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/>
  </bookViews>
  <sheets>
    <sheet name="Plants" sheetId="2" r:id="rId1"/>
    <sheet name="Press" sheetId="3" r:id="rId2"/>
    <sheet name="Parts" sheetId="6" r:id="rId3"/>
    <sheet name="Tonnage" sheetId="9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2">t_Presses[]</definedName>
    <definedName name="PressUtilization">t_Presses[]</definedName>
    <definedName name="r_DieCols">Parts!$O:$AC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PressViews">Table8[Press View Options]</definedName>
    <definedName name="r_TonnageViews">t_TonnageViews[Tonnage View Options]</definedName>
    <definedName name="v_TRBS">Variables!$B$3</definedName>
    <definedName name="v_uGrn">Variables!$B$4</definedName>
    <definedName name="v_uRed">Variables!$B$6</definedName>
    <definedName name="v_uYel">Variables!$B$5</definedName>
    <definedName name="vr_PaAll">Parts!$D:$AC,Parts!$AF:$FZ</definedName>
    <definedName name="vr_PaAnnSummary">Parts!$H:$N,Parts!$AD:$AD,Parts!$EG:$EG,Parts!$ET:$EW,Parts!$FJ:$FJ,Parts!$FW:$FZ</definedName>
    <definedName name="vr_PaAnnVol">Parts!$AX:$AX,Parts!$BK:$BN,Parts!$AD:$AD</definedName>
    <definedName name="vr_PaCust">Parts!$X:$AB</definedName>
    <definedName name="vr_PaDie">Parts!$O:$W,Parts!$AD:$AD</definedName>
    <definedName name="vr_PaHitsAnn">Parts!$FW:$FZ,Parts!$FJ:$FJ,Parts!$AD:$AD</definedName>
    <definedName name="vr_PaHitsYr1">Parts!$EX:$FJ,Parts!$AD:$AD</definedName>
    <definedName name="vr_PaHitsYr2">Parts!$FK:$FW,Parts!$AD:$AD</definedName>
    <definedName name="vr_PaHrsAvail">Parts!$BO:$CQ,Parts!$AD:$AD</definedName>
    <definedName name="vr_PaHrsPlanned">Parts!$CR:$DT,Parts!$AD:$AD</definedName>
    <definedName name="vr_PaMfg">Parts!$D:$G,Parts!$AD:$AK,Parts!$AD:$AD,Parts!$AC:$AC</definedName>
    <definedName name="vr_PaUtilAnn">Parts!$ET:$EW,Parts!$EG:$EG,Parts!$AD:$AD</definedName>
    <definedName name="vr_PaUtilYr1">Parts!$DU:$EG,Parts!$AD:$AD</definedName>
    <definedName name="vr_PaUtilYr2">Parts!$EH:$ET,Parts!$AD:$AD</definedName>
    <definedName name="vr_PaVolYr1">Parts!$AL:$AX,Parts!$AD:$AD</definedName>
    <definedName name="vr_PaVolYr2">Parts!$AY:$BK,Parts!$AD:$AD</definedName>
    <definedName name="vr_PlAll">Plants!$E:$GY</definedName>
    <definedName name="vr_PlBusinessDays">Plants!$E:$AG</definedName>
    <definedName name="vr_PlDaysAvail">Plants!$BK:$CM</definedName>
    <definedName name="vr_PlDaysOff">Plants!$AH:$BJ</definedName>
    <definedName name="vr_PlHrsAvail">Plants!$CN:$DP</definedName>
    <definedName name="vr_PlHrsPlanned">Plants!$ET:$FV</definedName>
    <definedName name="vr_PlUtilAnnual">Plants!$GI:$GI,Plants!$GV:$GY</definedName>
    <definedName name="vr_PlUtilYr1">Plants!$FW:$GH</definedName>
    <definedName name="vr_PlUtilYr2">Plants!$GJ:$GU</definedName>
    <definedName name="vr_PlYr1Detail">Plants!$E:$Q,Plants!$AH:$AT,Plants!$BK:$BW,Plants!$CN:$CZ,Plants!$ET:$FF,Plants!$FW:$GI</definedName>
    <definedName name="vr_PrAll">Press!$G:$CO</definedName>
    <definedName name="vr_PrAnnSummary">Press!$S:$S,Press!$AF:$AF,Press!$AG:$AG,Press!$AH:$AH,Press!$AI:$AI,Press!$AV:$AV,Press!$BI:$BI,Press!$BJ:$BJ,Press!$BK:$BK,Press!$BL:$BL,Press!$BY:$BY,Press!$CL:$CO</definedName>
    <definedName name="vr_PrUtilAnnual">Press!$CL:$CO,Press!$BY:$BY</definedName>
    <definedName name="vr_PrUtilYr1">Press!$BM:$BY</definedName>
    <definedName name="vr_PrUtilYr2">Press!$BZ:$CL</definedName>
    <definedName name="vr_TrAll">Tonnage!$D:$CL</definedName>
    <definedName name="vr_TrAnnSummary">Tonnage!$BF:$BF,Tonnage!$P:$P,Tonnage!$AC:$AF,Tonnage!$AS:$AS,Tonnage!$AS:$AS,Tonnage!$BG:$BI,Tonnage!$BV:$BV,Tonnage!$CI:$CL</definedName>
    <definedName name="vr_TrUtilAnnual">Tonnage!$CI:$CL,Tonnage!$BV:$BV</definedName>
    <definedName name="vr_TrUtilYr1">Tonnage!$BJ:$BV</definedName>
    <definedName name="vr_TrUtilYr2">Tonnage!$BW:$CI</definedName>
  </definedNames>
  <calcPr calcId="145621"/>
</workbook>
</file>

<file path=xl/calcChain.xml><?xml version="1.0" encoding="utf-8"?>
<calcChain xmlns="http://schemas.openxmlformats.org/spreadsheetml/2006/main">
  <c r="AJ117" i="6" l="1"/>
  <c r="AJ16" i="6"/>
  <c r="AJ17" i="6"/>
  <c r="AJ88" i="6"/>
  <c r="AJ110" i="6"/>
  <c r="AJ33" i="6"/>
  <c r="AJ32" i="6"/>
  <c r="AJ91" i="6"/>
  <c r="AJ89" i="6"/>
  <c r="AJ43" i="6"/>
  <c r="AJ42" i="6"/>
  <c r="AJ90" i="6"/>
  <c r="AJ41" i="6"/>
  <c r="AJ40" i="6"/>
  <c r="AJ93" i="6"/>
  <c r="AJ103" i="6"/>
  <c r="AJ101" i="6"/>
  <c r="AJ86" i="6"/>
  <c r="AJ35" i="6"/>
  <c r="AJ36" i="6"/>
  <c r="AJ37" i="6"/>
  <c r="AJ78" i="6"/>
  <c r="AJ112" i="6"/>
  <c r="AJ15" i="6"/>
  <c r="AJ56" i="6"/>
  <c r="AJ14" i="6"/>
  <c r="AJ39" i="6"/>
  <c r="AJ92" i="6"/>
  <c r="AJ47" i="6"/>
  <c r="AJ94" i="6"/>
  <c r="AJ30" i="6"/>
  <c r="AJ10" i="6"/>
  <c r="AJ68" i="6"/>
  <c r="AJ65" i="6"/>
  <c r="AJ69" i="6"/>
  <c r="AJ67" i="6"/>
  <c r="AJ66" i="6"/>
  <c r="AJ38" i="6"/>
  <c r="AJ111" i="6"/>
  <c r="AJ29" i="6"/>
  <c r="AJ21" i="6"/>
  <c r="AJ31" i="6"/>
  <c r="AJ82" i="6"/>
  <c r="AJ53" i="6"/>
  <c r="AJ54" i="6"/>
  <c r="AJ52" i="6"/>
  <c r="AJ104" i="6"/>
  <c r="AJ115" i="6"/>
  <c r="AJ18" i="6"/>
  <c r="AJ79" i="6"/>
  <c r="AJ13" i="6"/>
  <c r="AJ75" i="6"/>
  <c r="AJ74" i="6"/>
  <c r="AJ12" i="6"/>
  <c r="AJ9" i="6"/>
  <c r="AJ8" i="6"/>
  <c r="AJ70" i="6"/>
  <c r="AJ71" i="6"/>
  <c r="AJ11" i="6"/>
  <c r="AJ72" i="6"/>
  <c r="AJ55" i="6"/>
  <c r="AJ51" i="6"/>
  <c r="AJ109" i="6"/>
  <c r="AJ102" i="6"/>
  <c r="AJ80" i="6"/>
  <c r="AJ105" i="6"/>
  <c r="AJ106" i="6"/>
  <c r="AJ58" i="6"/>
  <c r="AJ57" i="6"/>
  <c r="AJ61" i="6"/>
  <c r="AJ107" i="6"/>
  <c r="AJ20" i="6"/>
  <c r="AJ76" i="6"/>
  <c r="AJ96" i="6"/>
  <c r="AJ50" i="6"/>
  <c r="AJ48" i="6"/>
  <c r="AJ98" i="6"/>
  <c r="AJ97" i="6"/>
  <c r="AJ114" i="6"/>
  <c r="AJ73" i="6"/>
  <c r="AJ22" i="6"/>
  <c r="AJ108" i="6"/>
  <c r="AJ44" i="6"/>
  <c r="AJ6" i="6"/>
  <c r="AJ25" i="6"/>
  <c r="AJ26" i="6"/>
  <c r="AJ24" i="6"/>
  <c r="AJ28" i="6"/>
  <c r="AJ27" i="6"/>
  <c r="AJ85" i="6"/>
  <c r="AJ113" i="6"/>
  <c r="AJ60" i="6"/>
  <c r="AJ84" i="6"/>
  <c r="AJ83" i="6"/>
  <c r="AJ46" i="6"/>
  <c r="AJ59" i="6"/>
  <c r="AJ116" i="6"/>
  <c r="AJ81" i="6"/>
  <c r="AJ34" i="6"/>
  <c r="AJ49" i="6"/>
  <c r="AJ100" i="6"/>
  <c r="AJ99" i="6"/>
  <c r="AJ95" i="6"/>
  <c r="AJ19" i="6"/>
  <c r="AJ7" i="6"/>
  <c r="AJ23" i="6"/>
  <c r="AJ87" i="6"/>
  <c r="AJ45" i="6"/>
  <c r="AJ62" i="6"/>
  <c r="AJ77" i="6"/>
  <c r="AJ63" i="6"/>
  <c r="AJ64" i="6"/>
  <c r="AR117" i="6"/>
  <c r="AR88" i="6"/>
  <c r="AS117" i="6"/>
  <c r="AS88" i="6"/>
  <c r="AT117" i="6"/>
  <c r="AT88" i="6"/>
  <c r="AU117" i="6"/>
  <c r="AU88" i="6"/>
  <c r="AU13" i="6"/>
  <c r="AU70" i="6"/>
  <c r="AV117" i="6"/>
  <c r="AV88" i="6"/>
  <c r="AV13" i="6"/>
  <c r="AV12" i="6"/>
  <c r="AV70" i="6"/>
  <c r="AW117" i="6"/>
  <c r="AW88" i="6"/>
  <c r="AW13" i="6"/>
  <c r="AW12" i="6"/>
  <c r="AW70" i="6"/>
  <c r="AY117" i="6"/>
  <c r="AY16" i="6"/>
  <c r="AY17" i="6"/>
  <c r="AY88" i="6"/>
  <c r="AY93" i="6"/>
  <c r="AY39" i="6"/>
  <c r="AY92" i="6"/>
  <c r="AY30" i="6"/>
  <c r="AY29" i="6"/>
  <c r="AY21" i="6"/>
  <c r="AY79" i="6"/>
  <c r="AY13" i="6"/>
  <c r="AY75" i="6"/>
  <c r="AY74" i="6"/>
  <c r="AY12" i="6"/>
  <c r="AY70" i="6"/>
  <c r="AY44" i="6"/>
  <c r="AY84" i="6"/>
  <c r="AY83" i="6"/>
  <c r="AZ117" i="6"/>
  <c r="AZ16" i="6"/>
  <c r="AZ17" i="6"/>
  <c r="AZ88" i="6"/>
  <c r="AZ93" i="6"/>
  <c r="AZ39" i="6"/>
  <c r="AZ92" i="6"/>
  <c r="AZ30" i="6"/>
  <c r="AZ29" i="6"/>
  <c r="AZ21" i="6"/>
  <c r="AZ79" i="6"/>
  <c r="AZ13" i="6"/>
  <c r="AZ75" i="6"/>
  <c r="AZ74" i="6"/>
  <c r="AZ12" i="6"/>
  <c r="AZ70" i="6"/>
  <c r="AZ44" i="6"/>
  <c r="AZ84" i="6"/>
  <c r="AZ83" i="6"/>
  <c r="BA117" i="6"/>
  <c r="BA16" i="6"/>
  <c r="BA17" i="6"/>
  <c r="BA88" i="6"/>
  <c r="BA93" i="6"/>
  <c r="BA39" i="6"/>
  <c r="BA92" i="6"/>
  <c r="BA30" i="6"/>
  <c r="BA29" i="6"/>
  <c r="BA21" i="6"/>
  <c r="BA79" i="6"/>
  <c r="BA13" i="6"/>
  <c r="BA75" i="6"/>
  <c r="BA74" i="6"/>
  <c r="BA12" i="6"/>
  <c r="BA70" i="6"/>
  <c r="BA44" i="6"/>
  <c r="BA84" i="6"/>
  <c r="BA83" i="6"/>
  <c r="BA81" i="6"/>
  <c r="BA87" i="6"/>
  <c r="BB117" i="6"/>
  <c r="BB16" i="6"/>
  <c r="BB17" i="6"/>
  <c r="BB88" i="6"/>
  <c r="BB93" i="6"/>
  <c r="BB39" i="6"/>
  <c r="BB92" i="6"/>
  <c r="BB30" i="6"/>
  <c r="BB29" i="6"/>
  <c r="BB21" i="6"/>
  <c r="BB79" i="6"/>
  <c r="BB13" i="6"/>
  <c r="BB75" i="6"/>
  <c r="BB74" i="6"/>
  <c r="BB12" i="6"/>
  <c r="BB70" i="6"/>
  <c r="BB44" i="6"/>
  <c r="BB84" i="6"/>
  <c r="BB83" i="6"/>
  <c r="BB81" i="6"/>
  <c r="BB87" i="6"/>
  <c r="BC117" i="6"/>
  <c r="BC16" i="6"/>
  <c r="BC17" i="6"/>
  <c r="BC88" i="6"/>
  <c r="BC93" i="6"/>
  <c r="BC39" i="6"/>
  <c r="BC92" i="6"/>
  <c r="BC30" i="6"/>
  <c r="BC29" i="6"/>
  <c r="BC21" i="6"/>
  <c r="BC79" i="6"/>
  <c r="BC13" i="6"/>
  <c r="BC75" i="6"/>
  <c r="BC74" i="6"/>
  <c r="BC12" i="6"/>
  <c r="BC70" i="6"/>
  <c r="BC44" i="6"/>
  <c r="BC84" i="6"/>
  <c r="BC83" i="6"/>
  <c r="BC81" i="6"/>
  <c r="BC87" i="6"/>
  <c r="BD117" i="6"/>
  <c r="BD16" i="6"/>
  <c r="BD17" i="6"/>
  <c r="BD88" i="6"/>
  <c r="BD93" i="6"/>
  <c r="BD39" i="6"/>
  <c r="BD92" i="6"/>
  <c r="BD30" i="6"/>
  <c r="BD29" i="6"/>
  <c r="BD21" i="6"/>
  <c r="BD79" i="6"/>
  <c r="BD13" i="6"/>
  <c r="BD75" i="6"/>
  <c r="BD74" i="6"/>
  <c r="BD12" i="6"/>
  <c r="BD70" i="6"/>
  <c r="BD44" i="6"/>
  <c r="BD84" i="6"/>
  <c r="BD83" i="6"/>
  <c r="BD81" i="6"/>
  <c r="BD87" i="6"/>
  <c r="BE117" i="6"/>
  <c r="BE16" i="6"/>
  <c r="BE17" i="6"/>
  <c r="BE88" i="6"/>
  <c r="BE93" i="6"/>
  <c r="BE39" i="6"/>
  <c r="BE92" i="6"/>
  <c r="BE30" i="6"/>
  <c r="BE29" i="6"/>
  <c r="BE21" i="6"/>
  <c r="BE53" i="6"/>
  <c r="BE54" i="6"/>
  <c r="BE52" i="6"/>
  <c r="BE104" i="6"/>
  <c r="BE79" i="6"/>
  <c r="BE13" i="6"/>
  <c r="BE75" i="6"/>
  <c r="BE74" i="6"/>
  <c r="BE12" i="6"/>
  <c r="BE70" i="6"/>
  <c r="BE44" i="6"/>
  <c r="BE84" i="6"/>
  <c r="BE83" i="6"/>
  <c r="BE81" i="6"/>
  <c r="BE87" i="6"/>
  <c r="BF117" i="6"/>
  <c r="BF16" i="6"/>
  <c r="BF17" i="6"/>
  <c r="BF88" i="6"/>
  <c r="BF93" i="6"/>
  <c r="BF39" i="6"/>
  <c r="BF92" i="6"/>
  <c r="BF30" i="6"/>
  <c r="BF29" i="6"/>
  <c r="BF21" i="6"/>
  <c r="BF53" i="6"/>
  <c r="BF54" i="6"/>
  <c r="BF52" i="6"/>
  <c r="BF104" i="6"/>
  <c r="BF79" i="6"/>
  <c r="BF13" i="6"/>
  <c r="BF75" i="6"/>
  <c r="BF74" i="6"/>
  <c r="BF12" i="6"/>
  <c r="BF70" i="6"/>
  <c r="BF58" i="6"/>
  <c r="BF57" i="6"/>
  <c r="BF44" i="6"/>
  <c r="BF113" i="6"/>
  <c r="BF84" i="6"/>
  <c r="BF83" i="6"/>
  <c r="BF81" i="6"/>
  <c r="BF87" i="6"/>
  <c r="BG117" i="6"/>
  <c r="BG16" i="6"/>
  <c r="BG17" i="6"/>
  <c r="BG88" i="6"/>
  <c r="BG93" i="6"/>
  <c r="BG39" i="6"/>
  <c r="BG92" i="6"/>
  <c r="BG30" i="6"/>
  <c r="BG29" i="6"/>
  <c r="BG21" i="6"/>
  <c r="BG53" i="6"/>
  <c r="BG54" i="6"/>
  <c r="BG52" i="6"/>
  <c r="BG104" i="6"/>
  <c r="BG79" i="6"/>
  <c r="BG13" i="6"/>
  <c r="BG75" i="6"/>
  <c r="BG74" i="6"/>
  <c r="BG12" i="6"/>
  <c r="BG70" i="6"/>
  <c r="BG58" i="6"/>
  <c r="BG57" i="6"/>
  <c r="BG44" i="6"/>
  <c r="BG113" i="6"/>
  <c r="BG84" i="6"/>
  <c r="BG83" i="6"/>
  <c r="BG81" i="6"/>
  <c r="BG87" i="6"/>
  <c r="BH117" i="6"/>
  <c r="BH16" i="6"/>
  <c r="BH17" i="6"/>
  <c r="BH88" i="6"/>
  <c r="BH93" i="6"/>
  <c r="BH39" i="6"/>
  <c r="BH92" i="6"/>
  <c r="BH30" i="6"/>
  <c r="BH29" i="6"/>
  <c r="BH21" i="6"/>
  <c r="BH53" i="6"/>
  <c r="BH54" i="6"/>
  <c r="BH52" i="6"/>
  <c r="BH104" i="6"/>
  <c r="BH79" i="6"/>
  <c r="BH13" i="6"/>
  <c r="BH75" i="6"/>
  <c r="BH74" i="6"/>
  <c r="BH12" i="6"/>
  <c r="BH70" i="6"/>
  <c r="BH58" i="6"/>
  <c r="BH57" i="6"/>
  <c r="BH44" i="6"/>
  <c r="BH113" i="6"/>
  <c r="BH84" i="6"/>
  <c r="BH83" i="6"/>
  <c r="BH81" i="6"/>
  <c r="BH87" i="6"/>
  <c r="BI117" i="6"/>
  <c r="BI16" i="6"/>
  <c r="BI17" i="6"/>
  <c r="BI88" i="6"/>
  <c r="BI93" i="6"/>
  <c r="BI39" i="6"/>
  <c r="BI92" i="6"/>
  <c r="BI30" i="6"/>
  <c r="BI29" i="6"/>
  <c r="BI21" i="6"/>
  <c r="BI53" i="6"/>
  <c r="BI54" i="6"/>
  <c r="BI52" i="6"/>
  <c r="BI104" i="6"/>
  <c r="BI79" i="6"/>
  <c r="BI13" i="6"/>
  <c r="BI75" i="6"/>
  <c r="BI74" i="6"/>
  <c r="BI12" i="6"/>
  <c r="BI70" i="6"/>
  <c r="BI58" i="6"/>
  <c r="BI57" i="6"/>
  <c r="BI44" i="6"/>
  <c r="BI113" i="6"/>
  <c r="BI84" i="6"/>
  <c r="BI83" i="6"/>
  <c r="BI81" i="6"/>
  <c r="BI87" i="6"/>
  <c r="BJ117" i="6"/>
  <c r="BJ16" i="6"/>
  <c r="BJ17" i="6"/>
  <c r="BJ88" i="6"/>
  <c r="BJ93" i="6"/>
  <c r="BJ39" i="6"/>
  <c r="BJ92" i="6"/>
  <c r="BJ30" i="6"/>
  <c r="BJ29" i="6"/>
  <c r="BJ21" i="6"/>
  <c r="BJ53" i="6"/>
  <c r="BJ54" i="6"/>
  <c r="BJ52" i="6"/>
  <c r="BJ104" i="6"/>
  <c r="BJ79" i="6"/>
  <c r="BJ13" i="6"/>
  <c r="BJ75" i="6"/>
  <c r="BJ74" i="6"/>
  <c r="BJ12" i="6"/>
  <c r="BJ70" i="6"/>
  <c r="BJ58" i="6"/>
  <c r="BJ57" i="6"/>
  <c r="BJ44" i="6"/>
  <c r="BJ113" i="6"/>
  <c r="BJ84" i="6"/>
  <c r="BJ83" i="6"/>
  <c r="BJ81" i="6"/>
  <c r="BJ87" i="6"/>
  <c r="BL117" i="6"/>
  <c r="BL16" i="6"/>
  <c r="BL17" i="6"/>
  <c r="BL88" i="6"/>
  <c r="BL110" i="6"/>
  <c r="BL33" i="6"/>
  <c r="BL32" i="6"/>
  <c r="BL91" i="6"/>
  <c r="BL89" i="6"/>
  <c r="BL43" i="6"/>
  <c r="BL42" i="6"/>
  <c r="BL90" i="6"/>
  <c r="BL41" i="6"/>
  <c r="BL40" i="6"/>
  <c r="BL93" i="6"/>
  <c r="BL103" i="6"/>
  <c r="BL101" i="6"/>
  <c r="BL86" i="6"/>
  <c r="BL35" i="6"/>
  <c r="BL36" i="6"/>
  <c r="BL37" i="6"/>
  <c r="BL78" i="6"/>
  <c r="BL112" i="6"/>
  <c r="BL15" i="6"/>
  <c r="BL56" i="6"/>
  <c r="BL14" i="6"/>
  <c r="BL39" i="6"/>
  <c r="BL92" i="6"/>
  <c r="BL47" i="6"/>
  <c r="BL94" i="6"/>
  <c r="BL30" i="6"/>
  <c r="BL10" i="6"/>
  <c r="BL68" i="6"/>
  <c r="BL65" i="6"/>
  <c r="BL69" i="6"/>
  <c r="BL67" i="6"/>
  <c r="BL66" i="6"/>
  <c r="BL38" i="6"/>
  <c r="BL111" i="6"/>
  <c r="BL29" i="6"/>
  <c r="BL21" i="6"/>
  <c r="BL31" i="6"/>
  <c r="BL82" i="6"/>
  <c r="BL53" i="6"/>
  <c r="BL54" i="6"/>
  <c r="BL52" i="6"/>
  <c r="BL104" i="6"/>
  <c r="BL115" i="6"/>
  <c r="BL18" i="6"/>
  <c r="BL79" i="6"/>
  <c r="BL13" i="6"/>
  <c r="BL75" i="6"/>
  <c r="BL74" i="6"/>
  <c r="BL12" i="6"/>
  <c r="BL9" i="6"/>
  <c r="BL8" i="6"/>
  <c r="BL70" i="6"/>
  <c r="BL71" i="6"/>
  <c r="BL11" i="6"/>
  <c r="BL72" i="6"/>
  <c r="BL55" i="6"/>
  <c r="BL51" i="6"/>
  <c r="BL109" i="6"/>
  <c r="BL102" i="6"/>
  <c r="BL80" i="6"/>
  <c r="BL105" i="6"/>
  <c r="BL106" i="6"/>
  <c r="BL58" i="6"/>
  <c r="BL57" i="6"/>
  <c r="BL61" i="6"/>
  <c r="BL107" i="6"/>
  <c r="BL20" i="6"/>
  <c r="BL76" i="6"/>
  <c r="BL96" i="6"/>
  <c r="BL50" i="6"/>
  <c r="BL48" i="6"/>
  <c r="BL98" i="6"/>
  <c r="BL97" i="6"/>
  <c r="BL114" i="6"/>
  <c r="BL73" i="6"/>
  <c r="BL22" i="6"/>
  <c r="BL108" i="6"/>
  <c r="BL44" i="6"/>
  <c r="BL6" i="6"/>
  <c r="BL25" i="6"/>
  <c r="BL26" i="6"/>
  <c r="BL24" i="6"/>
  <c r="BL28" i="6"/>
  <c r="BL27" i="6"/>
  <c r="BL85" i="6"/>
  <c r="BL113" i="6"/>
  <c r="BL60" i="6"/>
  <c r="BL84" i="6"/>
  <c r="BL83" i="6"/>
  <c r="BL46" i="6"/>
  <c r="BL59" i="6"/>
  <c r="BL116" i="6"/>
  <c r="BL81" i="6"/>
  <c r="BL34" i="6"/>
  <c r="BL49" i="6"/>
  <c r="BL100" i="6"/>
  <c r="BL99" i="6"/>
  <c r="BL95" i="6"/>
  <c r="BL19" i="6"/>
  <c r="BL7" i="6"/>
  <c r="BL23" i="6"/>
  <c r="BL87" i="6"/>
  <c r="BL45" i="6"/>
  <c r="BL62" i="6"/>
  <c r="BL77" i="6"/>
  <c r="BL63" i="6"/>
  <c r="BL64" i="6"/>
  <c r="BM117" i="6"/>
  <c r="BM16" i="6"/>
  <c r="BM17" i="6"/>
  <c r="BM88" i="6"/>
  <c r="BM110" i="6"/>
  <c r="BM33" i="6"/>
  <c r="BM32" i="6"/>
  <c r="BM91" i="6"/>
  <c r="BM89" i="6"/>
  <c r="BM43" i="6"/>
  <c r="BM42" i="6"/>
  <c r="BM90" i="6"/>
  <c r="BM41" i="6"/>
  <c r="BM40" i="6"/>
  <c r="BM93" i="6"/>
  <c r="BM103" i="6"/>
  <c r="BM101" i="6"/>
  <c r="BM86" i="6"/>
  <c r="BM35" i="6"/>
  <c r="BM36" i="6"/>
  <c r="BM37" i="6"/>
  <c r="BM78" i="6"/>
  <c r="BM112" i="6"/>
  <c r="BM15" i="6"/>
  <c r="BM56" i="6"/>
  <c r="BM14" i="6"/>
  <c r="BM39" i="6"/>
  <c r="BM92" i="6"/>
  <c r="BM47" i="6"/>
  <c r="BM94" i="6"/>
  <c r="BM30" i="6"/>
  <c r="BM10" i="6"/>
  <c r="BM68" i="6"/>
  <c r="BM65" i="6"/>
  <c r="BM69" i="6"/>
  <c r="BM67" i="6"/>
  <c r="BM66" i="6"/>
  <c r="BM38" i="6"/>
  <c r="BM111" i="6"/>
  <c r="BM29" i="6"/>
  <c r="BM21" i="6"/>
  <c r="BM31" i="6"/>
  <c r="BM82" i="6"/>
  <c r="BM53" i="6"/>
  <c r="BM54" i="6"/>
  <c r="BM52" i="6"/>
  <c r="BM104" i="6"/>
  <c r="BM115" i="6"/>
  <c r="BM18" i="6"/>
  <c r="BM79" i="6"/>
  <c r="BM13" i="6"/>
  <c r="BM75" i="6"/>
  <c r="BM74" i="6"/>
  <c r="BM12" i="6"/>
  <c r="BM9" i="6"/>
  <c r="BM8" i="6"/>
  <c r="BM70" i="6"/>
  <c r="BM71" i="6"/>
  <c r="BM11" i="6"/>
  <c r="BM72" i="6"/>
  <c r="BM55" i="6"/>
  <c r="BM51" i="6"/>
  <c r="BM109" i="6"/>
  <c r="BM102" i="6"/>
  <c r="BM80" i="6"/>
  <c r="BM105" i="6"/>
  <c r="BM106" i="6"/>
  <c r="BM58" i="6"/>
  <c r="BM57" i="6"/>
  <c r="BM61" i="6"/>
  <c r="BM107" i="6"/>
  <c r="BM20" i="6"/>
  <c r="BM76" i="6"/>
  <c r="BM96" i="6"/>
  <c r="BM50" i="6"/>
  <c r="BM48" i="6"/>
  <c r="BM98" i="6"/>
  <c r="BM97" i="6"/>
  <c r="BM114" i="6"/>
  <c r="BM73" i="6"/>
  <c r="BM22" i="6"/>
  <c r="BM108" i="6"/>
  <c r="BM44" i="6"/>
  <c r="BM6" i="6"/>
  <c r="BM25" i="6"/>
  <c r="BM26" i="6"/>
  <c r="BM24" i="6"/>
  <c r="BM28" i="6"/>
  <c r="BM27" i="6"/>
  <c r="BM85" i="6"/>
  <c r="BM113" i="6"/>
  <c r="BM60" i="6"/>
  <c r="BM84" i="6"/>
  <c r="BM83" i="6"/>
  <c r="BM46" i="6"/>
  <c r="BM59" i="6"/>
  <c r="BM116" i="6"/>
  <c r="BM81" i="6"/>
  <c r="BM34" i="6"/>
  <c r="BM49" i="6"/>
  <c r="BM100" i="6"/>
  <c r="BM99" i="6"/>
  <c r="BM95" i="6"/>
  <c r="BM19" i="6"/>
  <c r="BM7" i="6"/>
  <c r="BM23" i="6"/>
  <c r="BM87" i="6"/>
  <c r="BM45" i="6"/>
  <c r="BM62" i="6"/>
  <c r="BM77" i="6"/>
  <c r="BM63" i="6"/>
  <c r="BM64" i="6"/>
  <c r="BN117" i="6"/>
  <c r="BN16" i="6"/>
  <c r="BN17" i="6"/>
  <c r="BN88" i="6"/>
  <c r="BN110" i="6"/>
  <c r="BN33" i="6"/>
  <c r="BN32" i="6"/>
  <c r="BN91" i="6"/>
  <c r="BN89" i="6"/>
  <c r="BN43" i="6"/>
  <c r="BN42" i="6"/>
  <c r="BN90" i="6"/>
  <c r="BN41" i="6"/>
  <c r="BN40" i="6"/>
  <c r="BN93" i="6"/>
  <c r="BN103" i="6"/>
  <c r="BN101" i="6"/>
  <c r="BN86" i="6"/>
  <c r="BN35" i="6"/>
  <c r="BN36" i="6"/>
  <c r="BN37" i="6"/>
  <c r="BN78" i="6"/>
  <c r="BN112" i="6"/>
  <c r="BN15" i="6"/>
  <c r="BN56" i="6"/>
  <c r="BN14" i="6"/>
  <c r="BN39" i="6"/>
  <c r="BN92" i="6"/>
  <c r="BN47" i="6"/>
  <c r="BN94" i="6"/>
  <c r="BN30" i="6"/>
  <c r="BN10" i="6"/>
  <c r="BN68" i="6"/>
  <c r="BN65" i="6"/>
  <c r="BN69" i="6"/>
  <c r="BN67" i="6"/>
  <c r="BN66" i="6"/>
  <c r="BN38" i="6"/>
  <c r="BN111" i="6"/>
  <c r="BN29" i="6"/>
  <c r="BN21" i="6"/>
  <c r="BN31" i="6"/>
  <c r="BN82" i="6"/>
  <c r="BN53" i="6"/>
  <c r="BN54" i="6"/>
  <c r="BN52" i="6"/>
  <c r="BN104" i="6"/>
  <c r="BN115" i="6"/>
  <c r="BN18" i="6"/>
  <c r="BN79" i="6"/>
  <c r="BN13" i="6"/>
  <c r="BN75" i="6"/>
  <c r="BN74" i="6"/>
  <c r="BN12" i="6"/>
  <c r="BN9" i="6"/>
  <c r="BN8" i="6"/>
  <c r="BN70" i="6"/>
  <c r="BN71" i="6"/>
  <c r="BN11" i="6"/>
  <c r="BN72" i="6"/>
  <c r="BN55" i="6"/>
  <c r="BN51" i="6"/>
  <c r="BN109" i="6"/>
  <c r="BN102" i="6"/>
  <c r="BN80" i="6"/>
  <c r="BN105" i="6"/>
  <c r="BN106" i="6"/>
  <c r="BN58" i="6"/>
  <c r="BN57" i="6"/>
  <c r="BN61" i="6"/>
  <c r="BN107" i="6"/>
  <c r="BN20" i="6"/>
  <c r="BN76" i="6"/>
  <c r="BN96" i="6"/>
  <c r="BN50" i="6"/>
  <c r="BN48" i="6"/>
  <c r="BN98" i="6"/>
  <c r="BN97" i="6"/>
  <c r="BN114" i="6"/>
  <c r="BN73" i="6"/>
  <c r="BN22" i="6"/>
  <c r="BN108" i="6"/>
  <c r="BN44" i="6"/>
  <c r="BN6" i="6"/>
  <c r="BN25" i="6"/>
  <c r="BN26" i="6"/>
  <c r="BN24" i="6"/>
  <c r="BN28" i="6"/>
  <c r="BN27" i="6"/>
  <c r="BN85" i="6"/>
  <c r="BN113" i="6"/>
  <c r="BN60" i="6"/>
  <c r="BN84" i="6"/>
  <c r="BN83" i="6"/>
  <c r="BN46" i="6"/>
  <c r="BN59" i="6"/>
  <c r="BN116" i="6"/>
  <c r="BN81" i="6"/>
  <c r="BN34" i="6"/>
  <c r="BN49" i="6"/>
  <c r="BN100" i="6"/>
  <c r="BN99" i="6"/>
  <c r="BN95" i="6"/>
  <c r="BN19" i="6"/>
  <c r="BN7" i="6"/>
  <c r="BN23" i="6"/>
  <c r="BN87" i="6"/>
  <c r="BN45" i="6"/>
  <c r="BN62" i="6"/>
  <c r="BN77" i="6"/>
  <c r="BN63" i="6"/>
  <c r="BN64" i="6"/>
  <c r="CX117" i="6"/>
  <c r="CX88" i="6"/>
  <c r="CY117" i="6"/>
  <c r="CY88" i="6"/>
  <c r="CZ117" i="6"/>
  <c r="CZ88" i="6"/>
  <c r="DA117" i="6"/>
  <c r="DA88" i="6"/>
  <c r="DA13" i="6"/>
  <c r="DA70" i="6"/>
  <c r="DB117" i="6"/>
  <c r="DB88" i="6"/>
  <c r="DB13" i="6"/>
  <c r="DB12" i="6"/>
  <c r="DB70" i="6"/>
  <c r="DC117" i="6"/>
  <c r="DC88" i="6"/>
  <c r="DC13" i="6"/>
  <c r="DC12" i="6"/>
  <c r="DC70" i="6"/>
  <c r="DE117" i="6"/>
  <c r="DE16" i="6"/>
  <c r="DE17" i="6"/>
  <c r="DE88" i="6"/>
  <c r="DE93" i="6"/>
  <c r="DE39" i="6"/>
  <c r="DE92" i="6"/>
  <c r="DE30" i="6"/>
  <c r="DE29" i="6"/>
  <c r="DE21" i="6"/>
  <c r="DE79" i="6"/>
  <c r="DE13" i="6"/>
  <c r="DE75" i="6"/>
  <c r="DE74" i="6"/>
  <c r="DE12" i="6"/>
  <c r="DE70" i="6"/>
  <c r="DE44" i="6"/>
  <c r="DE84" i="6"/>
  <c r="DE83" i="6"/>
  <c r="DF117" i="6"/>
  <c r="DF16" i="6"/>
  <c r="DF17" i="6"/>
  <c r="DF88" i="6"/>
  <c r="DF93" i="6"/>
  <c r="DF39" i="6"/>
  <c r="DF92" i="6"/>
  <c r="DF30" i="6"/>
  <c r="DF29" i="6"/>
  <c r="DF21" i="6"/>
  <c r="DF79" i="6"/>
  <c r="DF13" i="6"/>
  <c r="DF75" i="6"/>
  <c r="DF74" i="6"/>
  <c r="DF12" i="6"/>
  <c r="DF70" i="6"/>
  <c r="DF44" i="6"/>
  <c r="DF84" i="6"/>
  <c r="DF83" i="6"/>
  <c r="DG117" i="6"/>
  <c r="DG16" i="6"/>
  <c r="DG17" i="6"/>
  <c r="DG88" i="6"/>
  <c r="DG93" i="6"/>
  <c r="DG39" i="6"/>
  <c r="DG92" i="6"/>
  <c r="DG30" i="6"/>
  <c r="DG29" i="6"/>
  <c r="DG21" i="6"/>
  <c r="DG79" i="6"/>
  <c r="DG13" i="6"/>
  <c r="DG75" i="6"/>
  <c r="DG74" i="6"/>
  <c r="DG12" i="6"/>
  <c r="DG70" i="6"/>
  <c r="DG44" i="6"/>
  <c r="DG84" i="6"/>
  <c r="DG83" i="6"/>
  <c r="DG81" i="6"/>
  <c r="DG87" i="6"/>
  <c r="DH117" i="6"/>
  <c r="DH16" i="6"/>
  <c r="DH17" i="6"/>
  <c r="DH88" i="6"/>
  <c r="DH93" i="6"/>
  <c r="DH39" i="6"/>
  <c r="DH92" i="6"/>
  <c r="DH30" i="6"/>
  <c r="DH29" i="6"/>
  <c r="DH21" i="6"/>
  <c r="DH79" i="6"/>
  <c r="DH13" i="6"/>
  <c r="DH75" i="6"/>
  <c r="DH74" i="6"/>
  <c r="DH12" i="6"/>
  <c r="DH70" i="6"/>
  <c r="DH44" i="6"/>
  <c r="DH84" i="6"/>
  <c r="DH83" i="6"/>
  <c r="DH81" i="6"/>
  <c r="DH87" i="6"/>
  <c r="DI117" i="6"/>
  <c r="DI16" i="6"/>
  <c r="DI17" i="6"/>
  <c r="DI88" i="6"/>
  <c r="DI93" i="6"/>
  <c r="DI39" i="6"/>
  <c r="DI92" i="6"/>
  <c r="DI30" i="6"/>
  <c r="DI29" i="6"/>
  <c r="DI21" i="6"/>
  <c r="DI79" i="6"/>
  <c r="DI13" i="6"/>
  <c r="DI75" i="6"/>
  <c r="DI74" i="6"/>
  <c r="DI12" i="6"/>
  <c r="DI70" i="6"/>
  <c r="DI44" i="6"/>
  <c r="DI84" i="6"/>
  <c r="DI83" i="6"/>
  <c r="DI81" i="6"/>
  <c r="DI87" i="6"/>
  <c r="DJ117" i="6"/>
  <c r="DJ16" i="6"/>
  <c r="DJ17" i="6"/>
  <c r="DJ88" i="6"/>
  <c r="DJ93" i="6"/>
  <c r="DJ39" i="6"/>
  <c r="DJ92" i="6"/>
  <c r="DJ30" i="6"/>
  <c r="DJ29" i="6"/>
  <c r="DJ21" i="6"/>
  <c r="DJ79" i="6"/>
  <c r="DJ13" i="6"/>
  <c r="DJ75" i="6"/>
  <c r="DJ74" i="6"/>
  <c r="DJ12" i="6"/>
  <c r="DJ70" i="6"/>
  <c r="DJ44" i="6"/>
  <c r="DJ84" i="6"/>
  <c r="DJ83" i="6"/>
  <c r="DJ81" i="6"/>
  <c r="DJ87" i="6"/>
  <c r="DK117" i="6"/>
  <c r="DK16" i="6"/>
  <c r="DK17" i="6"/>
  <c r="DK88" i="6"/>
  <c r="DK93" i="6"/>
  <c r="DK39" i="6"/>
  <c r="DK92" i="6"/>
  <c r="DK30" i="6"/>
  <c r="DK29" i="6"/>
  <c r="DK21" i="6"/>
  <c r="DK53" i="6"/>
  <c r="DK54" i="6"/>
  <c r="DK52" i="6"/>
  <c r="DK104" i="6"/>
  <c r="DK79" i="6"/>
  <c r="DK13" i="6"/>
  <c r="DK75" i="6"/>
  <c r="DK74" i="6"/>
  <c r="DK12" i="6"/>
  <c r="DK70" i="6"/>
  <c r="DK44" i="6"/>
  <c r="DK84" i="6"/>
  <c r="DK83" i="6"/>
  <c r="DK81" i="6"/>
  <c r="DK87" i="6"/>
  <c r="DL117" i="6"/>
  <c r="DL16" i="6"/>
  <c r="DL17" i="6"/>
  <c r="DL88" i="6"/>
  <c r="DL93" i="6"/>
  <c r="DL39" i="6"/>
  <c r="DL92" i="6"/>
  <c r="DL30" i="6"/>
  <c r="DL29" i="6"/>
  <c r="DL21" i="6"/>
  <c r="DL53" i="6"/>
  <c r="DL54" i="6"/>
  <c r="DL52" i="6"/>
  <c r="DL104" i="6"/>
  <c r="DL79" i="6"/>
  <c r="DL13" i="6"/>
  <c r="DL75" i="6"/>
  <c r="DL74" i="6"/>
  <c r="DL12" i="6"/>
  <c r="DL70" i="6"/>
  <c r="DL58" i="6"/>
  <c r="DL57" i="6"/>
  <c r="DL44" i="6"/>
  <c r="DL113" i="6"/>
  <c r="DL84" i="6"/>
  <c r="DL83" i="6"/>
  <c r="DL81" i="6"/>
  <c r="DL87" i="6"/>
  <c r="DM117" i="6"/>
  <c r="DM16" i="6"/>
  <c r="DM17" i="6"/>
  <c r="DM88" i="6"/>
  <c r="DM93" i="6"/>
  <c r="DM39" i="6"/>
  <c r="DM92" i="6"/>
  <c r="DM30" i="6"/>
  <c r="DM29" i="6"/>
  <c r="DM21" i="6"/>
  <c r="DM53" i="6"/>
  <c r="DM54" i="6"/>
  <c r="DM52" i="6"/>
  <c r="DM104" i="6"/>
  <c r="DM79" i="6"/>
  <c r="DM13" i="6"/>
  <c r="DM75" i="6"/>
  <c r="DM74" i="6"/>
  <c r="DM12" i="6"/>
  <c r="DM70" i="6"/>
  <c r="DM58" i="6"/>
  <c r="DM57" i="6"/>
  <c r="DM44" i="6"/>
  <c r="DM113" i="6"/>
  <c r="DM84" i="6"/>
  <c r="DM83" i="6"/>
  <c r="DM81" i="6"/>
  <c r="DM87" i="6"/>
  <c r="DN117" i="6"/>
  <c r="DN16" i="6"/>
  <c r="DN17" i="6"/>
  <c r="DN88" i="6"/>
  <c r="DN93" i="6"/>
  <c r="DN39" i="6"/>
  <c r="DN92" i="6"/>
  <c r="DN30" i="6"/>
  <c r="DN29" i="6"/>
  <c r="DN21" i="6"/>
  <c r="DN53" i="6"/>
  <c r="DN54" i="6"/>
  <c r="DN52" i="6"/>
  <c r="DN104" i="6"/>
  <c r="DN79" i="6"/>
  <c r="DN13" i="6"/>
  <c r="DN75" i="6"/>
  <c r="DN74" i="6"/>
  <c r="DN12" i="6"/>
  <c r="DN70" i="6"/>
  <c r="DN58" i="6"/>
  <c r="DN57" i="6"/>
  <c r="DN44" i="6"/>
  <c r="DN113" i="6"/>
  <c r="DN84" i="6"/>
  <c r="DN83" i="6"/>
  <c r="DN81" i="6"/>
  <c r="DN87" i="6"/>
  <c r="DO117" i="6"/>
  <c r="DO16" i="6"/>
  <c r="DO17" i="6"/>
  <c r="DO88" i="6"/>
  <c r="DO93" i="6"/>
  <c r="DO39" i="6"/>
  <c r="DO92" i="6"/>
  <c r="DO30" i="6"/>
  <c r="DO29" i="6"/>
  <c r="DO21" i="6"/>
  <c r="DO53" i="6"/>
  <c r="DO54" i="6"/>
  <c r="DO52" i="6"/>
  <c r="DO104" i="6"/>
  <c r="DO79" i="6"/>
  <c r="DO13" i="6"/>
  <c r="DO75" i="6"/>
  <c r="DO74" i="6"/>
  <c r="DO12" i="6"/>
  <c r="DO70" i="6"/>
  <c r="DO58" i="6"/>
  <c r="DO57" i="6"/>
  <c r="DO44" i="6"/>
  <c r="DO113" i="6"/>
  <c r="DO84" i="6"/>
  <c r="DO83" i="6"/>
  <c r="DO81" i="6"/>
  <c r="DO87" i="6"/>
  <c r="DP117" i="6"/>
  <c r="DP16" i="6"/>
  <c r="DP17" i="6"/>
  <c r="DP88" i="6"/>
  <c r="DP93" i="6"/>
  <c r="DP39" i="6"/>
  <c r="DP92" i="6"/>
  <c r="DP30" i="6"/>
  <c r="DP29" i="6"/>
  <c r="DP21" i="6"/>
  <c r="DP53" i="6"/>
  <c r="DP54" i="6"/>
  <c r="DP52" i="6"/>
  <c r="DP104" i="6"/>
  <c r="DP79" i="6"/>
  <c r="DP13" i="6"/>
  <c r="DP75" i="6"/>
  <c r="DP74" i="6"/>
  <c r="DP12" i="6"/>
  <c r="DP70" i="6"/>
  <c r="DP58" i="6"/>
  <c r="DP57" i="6"/>
  <c r="DP44" i="6"/>
  <c r="DP113" i="6"/>
  <c r="DP84" i="6"/>
  <c r="DP83" i="6"/>
  <c r="DP81" i="6"/>
  <c r="DP87" i="6"/>
  <c r="DR117" i="6"/>
  <c r="DR16" i="6"/>
  <c r="DR17" i="6"/>
  <c r="DR88" i="6"/>
  <c r="DR93" i="6"/>
  <c r="DR35" i="6"/>
  <c r="DR36" i="6"/>
  <c r="DR37" i="6"/>
  <c r="DR112" i="6"/>
  <c r="DR56" i="6"/>
  <c r="DR39" i="6"/>
  <c r="DR92" i="6"/>
  <c r="DR30" i="6"/>
  <c r="DR38" i="6"/>
  <c r="DR111" i="6"/>
  <c r="DR29" i="6"/>
  <c r="DR21" i="6"/>
  <c r="DR31" i="6"/>
  <c r="DR82" i="6"/>
  <c r="DR53" i="6"/>
  <c r="DR54" i="6"/>
  <c r="DR52" i="6"/>
  <c r="DR104" i="6"/>
  <c r="DR79" i="6"/>
  <c r="DR13" i="6"/>
  <c r="DR75" i="6"/>
  <c r="DR74" i="6"/>
  <c r="DR12" i="6"/>
  <c r="DR9" i="6"/>
  <c r="DR8" i="6"/>
  <c r="DR70" i="6"/>
  <c r="DR58" i="6"/>
  <c r="DR57" i="6"/>
  <c r="DR76" i="6"/>
  <c r="DR44" i="6"/>
  <c r="DR113" i="6"/>
  <c r="DR84" i="6"/>
  <c r="DR83" i="6"/>
  <c r="DR81" i="6"/>
  <c r="DR34" i="6"/>
  <c r="DR87" i="6"/>
  <c r="DR77" i="6"/>
  <c r="DS117" i="6"/>
  <c r="DS16" i="6"/>
  <c r="DS17" i="6"/>
  <c r="DS88" i="6"/>
  <c r="DS91" i="6"/>
  <c r="DS89" i="6"/>
  <c r="DS43" i="6"/>
  <c r="DS42" i="6"/>
  <c r="DS90" i="6"/>
  <c r="DS41" i="6"/>
  <c r="DS40" i="6"/>
  <c r="DS93" i="6"/>
  <c r="DS35" i="6"/>
  <c r="DS36" i="6"/>
  <c r="DS37" i="6"/>
  <c r="DS112" i="6"/>
  <c r="DS56" i="6"/>
  <c r="DS39" i="6"/>
  <c r="DS92" i="6"/>
  <c r="DS30" i="6"/>
  <c r="DS38" i="6"/>
  <c r="DS111" i="6"/>
  <c r="DS29" i="6"/>
  <c r="DS21" i="6"/>
  <c r="DS31" i="6"/>
  <c r="DS82" i="6"/>
  <c r="DS53" i="6"/>
  <c r="DS54" i="6"/>
  <c r="DS52" i="6"/>
  <c r="DS104" i="6"/>
  <c r="DS18" i="6"/>
  <c r="DS79" i="6"/>
  <c r="DS13" i="6"/>
  <c r="DS75" i="6"/>
  <c r="DS74" i="6"/>
  <c r="DS12" i="6"/>
  <c r="DS9" i="6"/>
  <c r="DS8" i="6"/>
  <c r="DS70" i="6"/>
  <c r="DS58" i="6"/>
  <c r="DS57" i="6"/>
  <c r="DS76" i="6"/>
  <c r="DS114" i="6"/>
  <c r="DS44" i="6"/>
  <c r="DS6" i="6"/>
  <c r="DS25" i="6"/>
  <c r="DS26" i="6"/>
  <c r="DS24" i="6"/>
  <c r="DS28" i="6"/>
  <c r="DS27" i="6"/>
  <c r="DS113" i="6"/>
  <c r="DS84" i="6"/>
  <c r="DS83" i="6"/>
  <c r="DS59" i="6"/>
  <c r="DS116" i="6"/>
  <c r="DS81" i="6"/>
  <c r="DS34" i="6"/>
  <c r="DS19" i="6"/>
  <c r="DS7" i="6"/>
  <c r="DS23" i="6"/>
  <c r="DS87" i="6"/>
  <c r="DS77" i="6"/>
  <c r="DT117" i="6"/>
  <c r="DT16" i="6"/>
  <c r="DT17" i="6"/>
  <c r="DT88" i="6"/>
  <c r="DT91" i="6"/>
  <c r="DT89" i="6"/>
  <c r="DT43" i="6"/>
  <c r="DT42" i="6"/>
  <c r="DT90" i="6"/>
  <c r="DT41" i="6"/>
  <c r="DT40" i="6"/>
  <c r="DT93" i="6"/>
  <c r="DT86" i="6"/>
  <c r="DT35" i="6"/>
  <c r="DT36" i="6"/>
  <c r="DT37" i="6"/>
  <c r="DT78" i="6"/>
  <c r="DT112" i="6"/>
  <c r="DT56" i="6"/>
  <c r="DT39" i="6"/>
  <c r="DT92" i="6"/>
  <c r="DT30" i="6"/>
  <c r="DT38" i="6"/>
  <c r="DT111" i="6"/>
  <c r="DT29" i="6"/>
  <c r="DT21" i="6"/>
  <c r="DT31" i="6"/>
  <c r="DT82" i="6"/>
  <c r="DT53" i="6"/>
  <c r="DT54" i="6"/>
  <c r="DT52" i="6"/>
  <c r="DT104" i="6"/>
  <c r="DT18" i="6"/>
  <c r="DT79" i="6"/>
  <c r="DT13" i="6"/>
  <c r="DT75" i="6"/>
  <c r="DT74" i="6"/>
  <c r="DT12" i="6"/>
  <c r="DT9" i="6"/>
  <c r="DT8" i="6"/>
  <c r="DT70" i="6"/>
  <c r="DT80" i="6"/>
  <c r="DT58" i="6"/>
  <c r="DT57" i="6"/>
  <c r="DT20" i="6"/>
  <c r="DT76" i="6"/>
  <c r="DT114" i="6"/>
  <c r="DT22" i="6"/>
  <c r="DT44" i="6"/>
  <c r="DT6" i="6"/>
  <c r="DT25" i="6"/>
  <c r="DT26" i="6"/>
  <c r="DT24" i="6"/>
  <c r="DT28" i="6"/>
  <c r="DT27" i="6"/>
  <c r="DT85" i="6"/>
  <c r="DT113" i="6"/>
  <c r="DT84" i="6"/>
  <c r="DT83" i="6"/>
  <c r="DT46" i="6"/>
  <c r="DT59" i="6"/>
  <c r="DT116" i="6"/>
  <c r="DT81" i="6"/>
  <c r="DT34" i="6"/>
  <c r="DT19" i="6"/>
  <c r="DT7" i="6"/>
  <c r="DT23" i="6"/>
  <c r="DT87" i="6"/>
  <c r="DT77" i="6"/>
  <c r="BK70" i="6" l="1"/>
  <c r="BK13" i="6"/>
  <c r="BK30" i="6"/>
  <c r="BK88" i="6"/>
  <c r="DQ117" i="6"/>
  <c r="DQ44" i="6"/>
  <c r="DQ75" i="6"/>
  <c r="DQ29" i="6"/>
  <c r="DQ93" i="6"/>
  <c r="BK84" i="6"/>
  <c r="BK74" i="6"/>
  <c r="BK21" i="6"/>
  <c r="BK39" i="6"/>
  <c r="BK16" i="6"/>
  <c r="BK44" i="6"/>
  <c r="BK75" i="6"/>
  <c r="BK29" i="6"/>
  <c r="BK93" i="6"/>
  <c r="BK117" i="6"/>
  <c r="BK83" i="6"/>
  <c r="BK12" i="6"/>
  <c r="BK79" i="6"/>
  <c r="BK92" i="6"/>
  <c r="BK17" i="6"/>
  <c r="DQ83" i="6"/>
  <c r="DQ12" i="6"/>
  <c r="DQ79" i="6"/>
  <c r="DQ92" i="6"/>
  <c r="DQ17" i="6"/>
  <c r="DQ84" i="6"/>
  <c r="DQ74" i="6"/>
  <c r="DQ21" i="6"/>
  <c r="DQ39" i="6"/>
  <c r="DQ16" i="6"/>
  <c r="DQ70" i="6"/>
  <c r="DQ13" i="6"/>
  <c r="DQ30" i="6"/>
  <c r="DQ88" i="6"/>
  <c r="CA31" i="3"/>
  <c r="CB31" i="3"/>
  <c r="CC31" i="3"/>
  <c r="CD31" i="3"/>
  <c r="CE31" i="3"/>
  <c r="CF31" i="3"/>
  <c r="CG31" i="3"/>
  <c r="CH31" i="3"/>
  <c r="CI31" i="3"/>
  <c r="CJ31" i="3"/>
  <c r="CK31" i="3"/>
  <c r="CM31" i="3"/>
  <c r="CN31" i="3"/>
  <c r="CO31" i="3"/>
  <c r="CA32" i="3"/>
  <c r="CB32" i="3"/>
  <c r="CC32" i="3"/>
  <c r="CD32" i="3"/>
  <c r="CE32" i="3"/>
  <c r="CF32" i="3"/>
  <c r="CG32" i="3"/>
  <c r="CH32" i="3"/>
  <c r="CI32" i="3"/>
  <c r="CJ32" i="3"/>
  <c r="CK32" i="3"/>
  <c r="CM32" i="3"/>
  <c r="CN32" i="3"/>
  <c r="CO32" i="3"/>
  <c r="CA33" i="3"/>
  <c r="CB33" i="3"/>
  <c r="CC33" i="3"/>
  <c r="CD33" i="3"/>
  <c r="CE33" i="3"/>
  <c r="CF33" i="3"/>
  <c r="CG33" i="3"/>
  <c r="CH33" i="3"/>
  <c r="CI33" i="3"/>
  <c r="CJ33" i="3"/>
  <c r="CK33" i="3"/>
  <c r="CM33" i="3"/>
  <c r="CN33" i="3"/>
  <c r="CO33" i="3"/>
  <c r="CA34" i="3"/>
  <c r="CB34" i="3"/>
  <c r="CC34" i="3"/>
  <c r="CD34" i="3"/>
  <c r="CE34" i="3"/>
  <c r="CF34" i="3"/>
  <c r="CG34" i="3"/>
  <c r="CH34" i="3"/>
  <c r="CI34" i="3"/>
  <c r="CJ34" i="3"/>
  <c r="CK34" i="3"/>
  <c r="CM34" i="3"/>
  <c r="CN34" i="3"/>
  <c r="CO34" i="3"/>
  <c r="CA35" i="3"/>
  <c r="CB35" i="3"/>
  <c r="CC35" i="3"/>
  <c r="CD35" i="3"/>
  <c r="CE35" i="3"/>
  <c r="CF35" i="3"/>
  <c r="CG35" i="3"/>
  <c r="CH35" i="3"/>
  <c r="CI35" i="3"/>
  <c r="CJ35" i="3"/>
  <c r="CK35" i="3"/>
  <c r="CM35" i="3"/>
  <c r="CN35" i="3"/>
  <c r="CO35" i="3"/>
  <c r="CA36" i="3"/>
  <c r="CB36" i="3"/>
  <c r="CC36" i="3"/>
  <c r="CD36" i="3"/>
  <c r="CE36" i="3"/>
  <c r="CF36" i="3"/>
  <c r="CG36" i="3"/>
  <c r="CH36" i="3"/>
  <c r="CI36" i="3"/>
  <c r="CJ36" i="3"/>
  <c r="CK36" i="3"/>
  <c r="CM36" i="3"/>
  <c r="CN36" i="3"/>
  <c r="CO36" i="3"/>
  <c r="CA37" i="3"/>
  <c r="CB37" i="3"/>
  <c r="CC37" i="3"/>
  <c r="CD37" i="3"/>
  <c r="CE37" i="3"/>
  <c r="CF37" i="3"/>
  <c r="CG37" i="3"/>
  <c r="CH37" i="3"/>
  <c r="CI37" i="3"/>
  <c r="CJ37" i="3"/>
  <c r="CK37" i="3"/>
  <c r="CM37" i="3"/>
  <c r="CN37" i="3"/>
  <c r="CO37" i="3"/>
  <c r="CA38" i="3"/>
  <c r="CB38" i="3"/>
  <c r="CC38" i="3"/>
  <c r="CD38" i="3"/>
  <c r="CE38" i="3"/>
  <c r="CF38" i="3"/>
  <c r="CG38" i="3"/>
  <c r="CH38" i="3"/>
  <c r="CI38" i="3"/>
  <c r="CJ38" i="3"/>
  <c r="CK38" i="3"/>
  <c r="CM38" i="3"/>
  <c r="CN38" i="3"/>
  <c r="CO38" i="3"/>
  <c r="CA39" i="3"/>
  <c r="CB39" i="3"/>
  <c r="CC39" i="3"/>
  <c r="CD39" i="3"/>
  <c r="CE39" i="3"/>
  <c r="CF39" i="3"/>
  <c r="CG39" i="3"/>
  <c r="CH39" i="3"/>
  <c r="CI39" i="3"/>
  <c r="CJ39" i="3"/>
  <c r="CK39" i="3"/>
  <c r="CM39" i="3"/>
  <c r="CN39" i="3"/>
  <c r="CO39" i="3"/>
  <c r="CA40" i="3"/>
  <c r="CB40" i="3"/>
  <c r="CC40" i="3"/>
  <c r="CD40" i="3"/>
  <c r="CE40" i="3"/>
  <c r="CF40" i="3"/>
  <c r="CG40" i="3"/>
  <c r="CH40" i="3"/>
  <c r="CI40" i="3"/>
  <c r="CJ40" i="3"/>
  <c r="CK40" i="3"/>
  <c r="CM40" i="3"/>
  <c r="CN40" i="3"/>
  <c r="CO40" i="3"/>
  <c r="CA41" i="3"/>
  <c r="CB41" i="3"/>
  <c r="CC41" i="3"/>
  <c r="CD41" i="3"/>
  <c r="CE41" i="3"/>
  <c r="CF41" i="3"/>
  <c r="CG41" i="3"/>
  <c r="CH41" i="3"/>
  <c r="CI41" i="3"/>
  <c r="CJ41" i="3"/>
  <c r="CK41" i="3"/>
  <c r="CM41" i="3"/>
  <c r="CN41" i="3"/>
  <c r="CO41" i="3"/>
  <c r="CA42" i="3"/>
  <c r="CB42" i="3"/>
  <c r="CC42" i="3"/>
  <c r="CD42" i="3"/>
  <c r="CE42" i="3"/>
  <c r="CF42" i="3"/>
  <c r="CG42" i="3"/>
  <c r="CH42" i="3"/>
  <c r="CI42" i="3"/>
  <c r="CJ42" i="3"/>
  <c r="CK42" i="3"/>
  <c r="CM42" i="3"/>
  <c r="CN42" i="3"/>
  <c r="CO42" i="3"/>
  <c r="CA43" i="3"/>
  <c r="CB43" i="3"/>
  <c r="CC43" i="3"/>
  <c r="CD43" i="3"/>
  <c r="CE43" i="3"/>
  <c r="CF43" i="3"/>
  <c r="CG43" i="3"/>
  <c r="CH43" i="3"/>
  <c r="CI43" i="3"/>
  <c r="CJ43" i="3"/>
  <c r="CK43" i="3"/>
  <c r="CM43" i="3"/>
  <c r="CN43" i="3"/>
  <c r="CO43" i="3"/>
  <c r="CA44" i="3"/>
  <c r="CB44" i="3"/>
  <c r="CC44" i="3"/>
  <c r="CD44" i="3"/>
  <c r="CE44" i="3"/>
  <c r="CF44" i="3"/>
  <c r="CG44" i="3"/>
  <c r="CH44" i="3"/>
  <c r="CI44" i="3"/>
  <c r="CJ44" i="3"/>
  <c r="CK44" i="3"/>
  <c r="CM44" i="3"/>
  <c r="CN44" i="3"/>
  <c r="CO44" i="3"/>
  <c r="CA45" i="3"/>
  <c r="CB45" i="3"/>
  <c r="CC45" i="3"/>
  <c r="CD45" i="3"/>
  <c r="CE45" i="3"/>
  <c r="CF45" i="3"/>
  <c r="CG45" i="3"/>
  <c r="CH45" i="3"/>
  <c r="CI45" i="3"/>
  <c r="CJ45" i="3"/>
  <c r="CK45" i="3"/>
  <c r="CM45" i="3"/>
  <c r="CN45" i="3"/>
  <c r="CO45" i="3"/>
  <c r="CA46" i="3"/>
  <c r="CB46" i="3"/>
  <c r="CC46" i="3"/>
  <c r="CD46" i="3"/>
  <c r="CE46" i="3"/>
  <c r="CF46" i="3"/>
  <c r="CG46" i="3"/>
  <c r="CH46" i="3"/>
  <c r="CI46" i="3"/>
  <c r="CJ46" i="3"/>
  <c r="CK46" i="3"/>
  <c r="CM46" i="3"/>
  <c r="CN46" i="3"/>
  <c r="CO46" i="3"/>
  <c r="CA47" i="3"/>
  <c r="CB47" i="3"/>
  <c r="CC47" i="3"/>
  <c r="CD47" i="3"/>
  <c r="CE47" i="3"/>
  <c r="CF47" i="3"/>
  <c r="CG47" i="3"/>
  <c r="CH47" i="3"/>
  <c r="CI47" i="3"/>
  <c r="CJ47" i="3"/>
  <c r="CK47" i="3"/>
  <c r="CM47" i="3"/>
  <c r="CN47" i="3"/>
  <c r="CO47" i="3"/>
  <c r="CA48" i="3"/>
  <c r="CB48" i="3"/>
  <c r="CC48" i="3"/>
  <c r="CD48" i="3"/>
  <c r="CE48" i="3"/>
  <c r="CF48" i="3"/>
  <c r="CG48" i="3"/>
  <c r="CH48" i="3"/>
  <c r="CI48" i="3"/>
  <c r="CJ48" i="3"/>
  <c r="CK48" i="3"/>
  <c r="CM48" i="3"/>
  <c r="CN48" i="3"/>
  <c r="CO48" i="3"/>
  <c r="CA49" i="3"/>
  <c r="CB49" i="3"/>
  <c r="CC49" i="3"/>
  <c r="CD49" i="3"/>
  <c r="CE49" i="3"/>
  <c r="CF49" i="3"/>
  <c r="CG49" i="3"/>
  <c r="CH49" i="3"/>
  <c r="CI49" i="3"/>
  <c r="CJ49" i="3"/>
  <c r="CK49" i="3"/>
  <c r="CM49" i="3"/>
  <c r="CN49" i="3"/>
  <c r="CO49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D5" i="2"/>
  <c r="D6" i="2"/>
  <c r="D7" i="2"/>
  <c r="D8" i="2"/>
  <c r="D9" i="2"/>
  <c r="A1" i="2" l="1"/>
  <c r="FH5" i="2" l="1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G5" i="2"/>
  <c r="BL8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FG9" i="2" l="1"/>
  <c r="FG8" i="2"/>
  <c r="BK13" i="3"/>
  <c r="FU6" i="2" s="1"/>
  <c r="BL13" i="3"/>
  <c r="FV6" i="2" s="1"/>
  <c r="BJ13" i="3"/>
  <c r="FT6" i="2" s="1"/>
  <c r="AW13" i="3"/>
  <c r="FG6" i="2" s="1"/>
  <c r="AX13" i="3"/>
  <c r="FH6" i="2" s="1"/>
  <c r="AY13" i="3"/>
  <c r="FI6" i="2" s="1"/>
  <c r="AZ13" i="3"/>
  <c r="FJ6" i="2" s="1"/>
  <c r="BA13" i="3"/>
  <c r="FK6" i="2" s="1"/>
  <c r="BB13" i="3"/>
  <c r="FL6" i="2" s="1"/>
  <c r="BC13" i="3"/>
  <c r="FM6" i="2" s="1"/>
  <c r="BD13" i="3"/>
  <c r="FN6" i="2" s="1"/>
  <c r="BE13" i="3"/>
  <c r="FO6" i="2" s="1"/>
  <c r="BF13" i="3"/>
  <c r="FP6" i="2" s="1"/>
  <c r="BG13" i="3"/>
  <c r="FQ6" i="2" s="1"/>
  <c r="BH13" i="3"/>
  <c r="FR6" i="2" s="1"/>
  <c r="BI13" i="3" l="1"/>
  <c r="FS6" i="2" s="1"/>
  <c r="C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FV1" i="2"/>
  <c r="FW1" i="2"/>
  <c r="FX1" i="2"/>
  <c r="FY1" i="2"/>
  <c r="FZ1" i="2"/>
  <c r="GA1" i="2"/>
  <c r="GB1" i="2"/>
  <c r="GC1" i="2"/>
  <c r="GD1" i="2"/>
  <c r="GE1" i="2"/>
  <c r="GF1" i="2"/>
  <c r="GG1" i="2"/>
  <c r="GH1" i="2"/>
  <c r="GI1" i="2"/>
  <c r="GJ1" i="2"/>
  <c r="GK1" i="2"/>
  <c r="GL1" i="2"/>
  <c r="GM1" i="2"/>
  <c r="GN1" i="2"/>
  <c r="GO1" i="2"/>
  <c r="GP1" i="2"/>
  <c r="GQ1" i="2"/>
  <c r="GR1" i="2"/>
  <c r="GS1" i="2"/>
  <c r="GT1" i="2"/>
  <c r="GU1" i="2"/>
  <c r="GV1" i="2"/>
  <c r="GW1" i="2"/>
  <c r="GX1" i="2"/>
  <c r="GY1" i="2"/>
  <c r="BY6" i="2" l="1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CI6" i="2"/>
  <c r="DL6" i="2" s="1"/>
  <c r="BY5" i="2"/>
  <c r="DB5" i="2" s="1"/>
  <c r="BZ5" i="2"/>
  <c r="DC5" i="2" s="1"/>
  <c r="CA5" i="2"/>
  <c r="DD5" i="2" s="1"/>
  <c r="CB5" i="2"/>
  <c r="DE5" i="2" s="1"/>
  <c r="CC5" i="2"/>
  <c r="DF5" i="2" s="1"/>
  <c r="CD5" i="2"/>
  <c r="DG5" i="2" s="1"/>
  <c r="CE5" i="2"/>
  <c r="DH5" i="2" s="1"/>
  <c r="CF5" i="2"/>
  <c r="DI5" i="2" s="1"/>
  <c r="CG5" i="2"/>
  <c r="DJ5" i="2" s="1"/>
  <c r="CH5" i="2"/>
  <c r="DK5" i="2" s="1"/>
  <c r="CI5" i="2"/>
  <c r="DL5" i="2" s="1"/>
  <c r="BY9" i="2"/>
  <c r="DB9" i="2" s="1"/>
  <c r="BZ9" i="2"/>
  <c r="DC9" i="2" s="1"/>
  <c r="CA9" i="2"/>
  <c r="DD9" i="2" s="1"/>
  <c r="CB9" i="2"/>
  <c r="DE9" i="2" s="1"/>
  <c r="CC9" i="2"/>
  <c r="DF9" i="2" s="1"/>
  <c r="CD9" i="2"/>
  <c r="DG9" i="2" s="1"/>
  <c r="CE9" i="2"/>
  <c r="DH9" i="2" s="1"/>
  <c r="CF9" i="2"/>
  <c r="DI9" i="2" s="1"/>
  <c r="CG9" i="2"/>
  <c r="DJ9" i="2" s="1"/>
  <c r="CH9" i="2"/>
  <c r="DK9" i="2" s="1"/>
  <c r="CI9" i="2"/>
  <c r="DL9" i="2" s="1"/>
  <c r="BY8" i="2"/>
  <c r="DB8" i="2" s="1"/>
  <c r="BZ8" i="2"/>
  <c r="DC8" i="2" s="1"/>
  <c r="CA8" i="2"/>
  <c r="DD8" i="2" s="1"/>
  <c r="CB8" i="2"/>
  <c r="DE8" i="2" s="1"/>
  <c r="CC8" i="2"/>
  <c r="DF8" i="2" s="1"/>
  <c r="CD8" i="2"/>
  <c r="DG8" i="2" s="1"/>
  <c r="CE8" i="2"/>
  <c r="DH8" i="2" s="1"/>
  <c r="CF8" i="2"/>
  <c r="DI8" i="2" s="1"/>
  <c r="CG8" i="2"/>
  <c r="DJ8" i="2" s="1"/>
  <c r="CH8" i="2"/>
  <c r="DK8" i="2" s="1"/>
  <c r="CI8" i="2"/>
  <c r="DL8" i="2" s="1"/>
  <c r="BY7" i="2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CI7" i="2"/>
  <c r="DL7" i="2" s="1"/>
  <c r="BX7" i="2"/>
  <c r="DA7" i="2" s="1"/>
  <c r="BX6" i="2"/>
  <c r="DA6" i="2" s="1"/>
  <c r="BX5" i="2"/>
  <c r="DA5" i="2" s="1"/>
  <c r="BX9" i="2"/>
  <c r="DA9" i="2" s="1"/>
  <c r="BX8" i="2"/>
  <c r="DA8" i="2" s="1"/>
  <c r="BG7" i="2"/>
  <c r="BI7" i="2" s="1"/>
  <c r="BG6" i="2"/>
  <c r="BH6" i="2" s="1"/>
  <c r="BG5" i="2"/>
  <c r="BI5" i="2" s="1"/>
  <c r="BG9" i="2"/>
  <c r="BH9" i="2" s="1"/>
  <c r="BG8" i="2"/>
  <c r="BI8" i="2" s="1"/>
  <c r="AD7" i="2"/>
  <c r="AE7" i="2" s="1"/>
  <c r="AD6" i="2"/>
  <c r="AE6" i="2" s="1"/>
  <c r="AD5" i="2"/>
  <c r="AE5" i="2" s="1"/>
  <c r="AD9" i="2"/>
  <c r="AE9" i="2" s="1"/>
  <c r="AD8" i="2"/>
  <c r="AE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AC15" i="3"/>
  <c r="CI15" i="3" s="1"/>
  <c r="AC23" i="3"/>
  <c r="CI23" i="3" s="1"/>
  <c r="AC14" i="3"/>
  <c r="CI14" i="3" s="1"/>
  <c r="AC22" i="3"/>
  <c r="CI22" i="3" s="1"/>
  <c r="AC30" i="3"/>
  <c r="CI30" i="3" s="1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X19" i="3"/>
  <c r="CD19" i="3" s="1"/>
  <c r="X27" i="3"/>
  <c r="CD27" i="3" s="1"/>
  <c r="X16" i="3"/>
  <c r="CD16" i="3" s="1"/>
  <c r="X24" i="3"/>
  <c r="CD24" i="3" s="1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AC11" i="3"/>
  <c r="AC6" i="3"/>
  <c r="AC8" i="3"/>
  <c r="AC10" i="3"/>
  <c r="AC12" i="3"/>
  <c r="Y5" i="3"/>
  <c r="Y7" i="3"/>
  <c r="Y9" i="3"/>
  <c r="Y11" i="3"/>
  <c r="Y6" i="3"/>
  <c r="Y8" i="3"/>
  <c r="Y10" i="3"/>
  <c r="Y12" i="3"/>
  <c r="AB5" i="3"/>
  <c r="AB7" i="3"/>
  <c r="AB9" i="3"/>
  <c r="AB11" i="3"/>
  <c r="AB6" i="3"/>
  <c r="AB8" i="3"/>
  <c r="AB10" i="3"/>
  <c r="AB12" i="3"/>
  <c r="X5" i="3"/>
  <c r="X7" i="3"/>
  <c r="X9" i="3"/>
  <c r="X11" i="3"/>
  <c r="X6" i="3"/>
  <c r="X8" i="3"/>
  <c r="X10" i="3"/>
  <c r="X12" i="3"/>
  <c r="AE5" i="3"/>
  <c r="AE6" i="3"/>
  <c r="AE8" i="3"/>
  <c r="AE10" i="3"/>
  <c r="AE12" i="3"/>
  <c r="AE7" i="3"/>
  <c r="AE9" i="3"/>
  <c r="AE11" i="3"/>
  <c r="AA5" i="3"/>
  <c r="AA6" i="3"/>
  <c r="AA8" i="3"/>
  <c r="AA10" i="3"/>
  <c r="AA12" i="3"/>
  <c r="AA7" i="3"/>
  <c r="AA9" i="3"/>
  <c r="AA11" i="3"/>
  <c r="W5" i="3"/>
  <c r="W6" i="3"/>
  <c r="W8" i="3"/>
  <c r="W10" i="3"/>
  <c r="W12" i="3"/>
  <c r="W7" i="3"/>
  <c r="W9" i="3"/>
  <c r="W11" i="3"/>
  <c r="AD5" i="3"/>
  <c r="AD6" i="3"/>
  <c r="AD8" i="3"/>
  <c r="AD10" i="3"/>
  <c r="AD12" i="3"/>
  <c r="AD7" i="3"/>
  <c r="AD9" i="3"/>
  <c r="AD11" i="3"/>
  <c r="Z5" i="3"/>
  <c r="Z6" i="3"/>
  <c r="Z8" i="3"/>
  <c r="Z10" i="3"/>
  <c r="Z12" i="3"/>
  <c r="Z7" i="3"/>
  <c r="Z9" i="3"/>
  <c r="Z11" i="3"/>
  <c r="V5" i="3"/>
  <c r="V6" i="3"/>
  <c r="V8" i="3"/>
  <c r="V10" i="3"/>
  <c r="V12" i="3"/>
  <c r="V7" i="3"/>
  <c r="V9" i="3"/>
  <c r="V11" i="3"/>
  <c r="T18" i="3"/>
  <c r="T23" i="3"/>
  <c r="T15" i="3"/>
  <c r="T16" i="3"/>
  <c r="T20" i="3"/>
  <c r="T24" i="3"/>
  <c r="T28" i="3"/>
  <c r="BZ28" i="3" s="1"/>
  <c r="T22" i="3"/>
  <c r="T19" i="3"/>
  <c r="T13" i="3"/>
  <c r="T17" i="3"/>
  <c r="T21" i="3"/>
  <c r="T25" i="3"/>
  <c r="BZ25" i="3" s="1"/>
  <c r="T29" i="3"/>
  <c r="BZ29" i="3" s="1"/>
  <c r="T14" i="3"/>
  <c r="T26" i="3"/>
  <c r="BZ26" i="3" s="1"/>
  <c r="T30" i="3"/>
  <c r="BZ30" i="3" s="1"/>
  <c r="T27" i="3"/>
  <c r="BZ27" i="3" s="1"/>
  <c r="T5" i="3"/>
  <c r="T6" i="3"/>
  <c r="T7" i="3"/>
  <c r="T11" i="3"/>
  <c r="T8" i="3"/>
  <c r="T12" i="3"/>
  <c r="T10" i="3"/>
  <c r="T9" i="3"/>
  <c r="DB7" i="2"/>
  <c r="CJ6" i="2"/>
  <c r="CJ9" i="2"/>
  <c r="CJ8" i="2"/>
  <c r="CJ7" i="2"/>
  <c r="CJ5" i="2"/>
  <c r="BJ8" i="2"/>
  <c r="BJ7" i="2"/>
  <c r="BJ5" i="2"/>
  <c r="BJ9" i="2"/>
  <c r="BJ6" i="2"/>
  <c r="BH8" i="2"/>
  <c r="BI9" i="2"/>
  <c r="BH5" i="2"/>
  <c r="BH7" i="2"/>
  <c r="BI6" i="2"/>
  <c r="AG9" i="2"/>
  <c r="AG5" i="2"/>
  <c r="AG6" i="2"/>
  <c r="AG8" i="2"/>
  <c r="AG7" i="2"/>
  <c r="AF9" i="2"/>
  <c r="AF5" i="2"/>
  <c r="AF6" i="2"/>
  <c r="AF8" i="2"/>
  <c r="AF7" i="2"/>
  <c r="B6" i="9"/>
  <c r="EO6" i="2" s="1"/>
  <c r="GU6" i="2" s="1"/>
  <c r="B7" i="9"/>
  <c r="ED7" i="2" s="1"/>
  <c r="B8" i="9"/>
  <c r="EJ8" i="2" s="1"/>
  <c r="GP8" i="2" s="1"/>
  <c r="B9" i="9"/>
  <c r="ED9" i="2" s="1"/>
  <c r="GJ9" i="2" s="1"/>
  <c r="B5" i="9"/>
  <c r="EL5" i="2" s="1"/>
  <c r="GR5" i="2" s="1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DM7" i="2" l="1"/>
  <c r="EP7" i="2" s="1"/>
  <c r="ET9" i="2"/>
  <c r="FA9" i="2"/>
  <c r="EE7" i="2"/>
  <c r="EE5" i="2"/>
  <c r="GK5" i="2" s="1"/>
  <c r="EM5" i="2"/>
  <c r="GS5" i="2" s="1"/>
  <c r="EJ5" i="2"/>
  <c r="GP5" i="2" s="1"/>
  <c r="EG5" i="2"/>
  <c r="GM5" i="2" s="1"/>
  <c r="EO5" i="2"/>
  <c r="GU5" i="2" s="1"/>
  <c r="EH5" i="2"/>
  <c r="GN5" i="2" s="1"/>
  <c r="EF9" i="2"/>
  <c r="GL9" i="2" s="1"/>
  <c r="EN9" i="2"/>
  <c r="GT9" i="2" s="1"/>
  <c r="EK8" i="2"/>
  <c r="GQ8" i="2" s="1"/>
  <c r="EG9" i="2"/>
  <c r="GM9" i="2" s="1"/>
  <c r="EO9" i="2"/>
  <c r="GU9" i="2" s="1"/>
  <c r="EL8" i="2"/>
  <c r="GR8" i="2" s="1"/>
  <c r="EH9" i="2"/>
  <c r="GN9" i="2" s="1"/>
  <c r="EE8" i="2"/>
  <c r="GK8" i="2" s="1"/>
  <c r="EM8" i="2"/>
  <c r="GS8" i="2" s="1"/>
  <c r="EI9" i="2"/>
  <c r="GO9" i="2" s="1"/>
  <c r="EF8" i="2"/>
  <c r="GL8" i="2" s="1"/>
  <c r="EN8" i="2"/>
  <c r="GT8" i="2" s="1"/>
  <c r="ED8" i="2"/>
  <c r="GJ8" i="2" s="1"/>
  <c r="EH7" i="2"/>
  <c r="EM6" i="2"/>
  <c r="GS6" i="2" s="1"/>
  <c r="EJ6" i="2"/>
  <c r="GP6" i="2" s="1"/>
  <c r="EN7" i="2"/>
  <c r="EG7" i="2"/>
  <c r="EL7" i="2"/>
  <c r="EI7" i="2"/>
  <c r="EN6" i="2"/>
  <c r="GT6" i="2" s="1"/>
  <c r="EG6" i="2"/>
  <c r="GM6" i="2" s="1"/>
  <c r="EK7" i="2"/>
  <c r="EI5" i="2"/>
  <c r="GO5" i="2" s="1"/>
  <c r="EF5" i="2"/>
  <c r="GL5" i="2" s="1"/>
  <c r="EN5" i="2"/>
  <c r="GT5" i="2" s="1"/>
  <c r="EK5" i="2"/>
  <c r="GQ5" i="2" s="1"/>
  <c r="ED5" i="2"/>
  <c r="GJ5" i="2" s="1"/>
  <c r="EJ9" i="2"/>
  <c r="GP9" i="2" s="1"/>
  <c r="EG8" i="2"/>
  <c r="GM8" i="2" s="1"/>
  <c r="EO8" i="2"/>
  <c r="GU8" i="2" s="1"/>
  <c r="EK9" i="2"/>
  <c r="GQ9" i="2" s="1"/>
  <c r="EH8" i="2"/>
  <c r="GN8" i="2" s="1"/>
  <c r="ED6" i="2"/>
  <c r="GJ6" i="2" s="1"/>
  <c r="EL9" i="2"/>
  <c r="GR9" i="2" s="1"/>
  <c r="EI8" i="2"/>
  <c r="GO8" i="2" s="1"/>
  <c r="EE9" i="2"/>
  <c r="GK9" i="2" s="1"/>
  <c r="EM9" i="2"/>
  <c r="GS9" i="2" s="1"/>
  <c r="EH6" i="2"/>
  <c r="GN6" i="2" s="1"/>
  <c r="EE6" i="2"/>
  <c r="GK6" i="2" s="1"/>
  <c r="EM7" i="2"/>
  <c r="EF7" i="2"/>
  <c r="EK6" i="2"/>
  <c r="GQ6" i="2" s="1"/>
  <c r="EO7" i="2"/>
  <c r="EL6" i="2"/>
  <c r="GR6" i="2" s="1"/>
  <c r="EI6" i="2"/>
  <c r="GO6" i="2" s="1"/>
  <c r="EF6" i="2"/>
  <c r="GL6" i="2" s="1"/>
  <c r="EJ7" i="2"/>
  <c r="CF18" i="3"/>
  <c r="CJ18" i="3"/>
  <c r="CD18" i="3"/>
  <c r="CH18" i="3"/>
  <c r="CA18" i="3"/>
  <c r="CI18" i="3"/>
  <c r="CB18" i="3"/>
  <c r="CC18" i="3"/>
  <c r="CG18" i="3"/>
  <c r="CK18" i="3"/>
  <c r="CE18" i="3"/>
  <c r="AF26" i="3"/>
  <c r="CL26" i="3" s="1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AF15" i="3"/>
  <c r="CL15" i="3" s="1"/>
  <c r="BZ15" i="3"/>
  <c r="AF27" i="3"/>
  <c r="CL27" i="3" s="1"/>
  <c r="AF29" i="3"/>
  <c r="CL29" i="3" s="1"/>
  <c r="AF13" i="3"/>
  <c r="CL13" i="3" s="1"/>
  <c r="BZ13" i="3"/>
  <c r="AF24" i="3"/>
  <c r="CL24" i="3" s="1"/>
  <c r="BZ24" i="3"/>
  <c r="AF23" i="3"/>
  <c r="CL23" i="3" s="1"/>
  <c r="BZ23" i="3"/>
  <c r="AF30" i="3"/>
  <c r="CL30" i="3" s="1"/>
  <c r="AF25" i="3"/>
  <c r="CL25" i="3" s="1"/>
  <c r="AF19" i="3"/>
  <c r="CL19" i="3" s="1"/>
  <c r="BZ19" i="3"/>
  <c r="AF20" i="3"/>
  <c r="CL20" i="3" s="1"/>
  <c r="BZ20" i="3"/>
  <c r="AF18" i="3"/>
  <c r="BZ18" i="3"/>
  <c r="U6" i="3"/>
  <c r="U10" i="3"/>
  <c r="AF10" i="3" s="1"/>
  <c r="U7" i="3"/>
  <c r="U11" i="3"/>
  <c r="U8" i="3"/>
  <c r="U12" i="3"/>
  <c r="U9" i="3"/>
  <c r="U5" i="3"/>
  <c r="CM9" i="2"/>
  <c r="DP9" i="2" s="1"/>
  <c r="DM9" i="2"/>
  <c r="CM5" i="2"/>
  <c r="DP5" i="2" s="1"/>
  <c r="DM5" i="2"/>
  <c r="CL6" i="2"/>
  <c r="DO6" i="2" s="1"/>
  <c r="DM6" i="2"/>
  <c r="CM8" i="2"/>
  <c r="DP8" i="2" s="1"/>
  <c r="DM8" i="2"/>
  <c r="CM7" i="2"/>
  <c r="DP7" i="2" s="1"/>
  <c r="FC8" i="2"/>
  <c r="CK6" i="2"/>
  <c r="DN6" i="2" s="1"/>
  <c r="CM6" i="2"/>
  <c r="DP6" i="2" s="1"/>
  <c r="CK7" i="2"/>
  <c r="DN7" i="2" s="1"/>
  <c r="CL7" i="2"/>
  <c r="DO7" i="2" s="1"/>
  <c r="CK8" i="2"/>
  <c r="DN8" i="2" s="1"/>
  <c r="CL8" i="2"/>
  <c r="DO8" i="2" s="1"/>
  <c r="CK9" i="2"/>
  <c r="DN9" i="2" s="1"/>
  <c r="CL9" i="2"/>
  <c r="DO9" i="2" s="1"/>
  <c r="CK5" i="2"/>
  <c r="DN5" i="2" s="1"/>
  <c r="CL5" i="2"/>
  <c r="DO5" i="2" s="1"/>
  <c r="FE8" i="2"/>
  <c r="EW8" i="2"/>
  <c r="EY8" i="2"/>
  <c r="EU8" i="2"/>
  <c r="EV8" i="2"/>
  <c r="FC9" i="2"/>
  <c r="FE9" i="2"/>
  <c r="EW9" i="2"/>
  <c r="FA8" i="2"/>
  <c r="EY9" i="2"/>
  <c r="EU9" i="2"/>
  <c r="FD9" i="2"/>
  <c r="EZ9" i="2"/>
  <c r="EV9" i="2"/>
  <c r="FD8" i="2"/>
  <c r="EZ8" i="2"/>
  <c r="FB9" i="2"/>
  <c r="EX9" i="2"/>
  <c r="FB8" i="2"/>
  <c r="EX8" i="2"/>
  <c r="ET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EQ7" i="2" l="1"/>
  <c r="ES7" i="2"/>
  <c r="ER7" i="2"/>
  <c r="ER8" i="2"/>
  <c r="GX8" i="2" s="1"/>
  <c r="ES6" i="2"/>
  <c r="GY6" i="2" s="1"/>
  <c r="EP8" i="2"/>
  <c r="GV8" i="2" s="1"/>
  <c r="EQ8" i="2"/>
  <c r="GW8" i="2" s="1"/>
  <c r="EQ6" i="2"/>
  <c r="GW6" i="2" s="1"/>
  <c r="ES8" i="2"/>
  <c r="GY8" i="2" s="1"/>
  <c r="ER9" i="2"/>
  <c r="GX9" i="2" s="1"/>
  <c r="EP6" i="2"/>
  <c r="GV6" i="2" s="1"/>
  <c r="EP9" i="2"/>
  <c r="GV9" i="2" s="1"/>
  <c r="EQ9" i="2"/>
  <c r="GW9" i="2" s="1"/>
  <c r="ER6" i="2"/>
  <c r="GX6" i="2" s="1"/>
  <c r="ES9" i="2"/>
  <c r="GY9" i="2" s="1"/>
  <c r="ER5" i="2"/>
  <c r="GX5" i="2" s="1"/>
  <c r="EP5" i="2"/>
  <c r="GV5" i="2" s="1"/>
  <c r="EQ5" i="2"/>
  <c r="GW5" i="2" s="1"/>
  <c r="ES5" i="2"/>
  <c r="GY5" i="2" s="1"/>
  <c r="C5" i="9"/>
  <c r="C6" i="9"/>
  <c r="C7" i="9"/>
  <c r="C8" i="9"/>
  <c r="C9" i="9"/>
  <c r="Z6" i="9"/>
  <c r="V6" i="9"/>
  <c r="Y6" i="9"/>
  <c r="U6" i="9"/>
  <c r="X6" i="9"/>
  <c r="AA6" i="9"/>
  <c r="S6" i="9"/>
  <c r="BG9" i="9"/>
  <c r="AC9" i="9"/>
  <c r="CI9" i="9" s="1"/>
  <c r="BF9" i="9"/>
  <c r="AB9" i="9"/>
  <c r="CH9" i="9" s="1"/>
  <c r="BE9" i="9"/>
  <c r="AA9" i="9"/>
  <c r="CG9" i="9" s="1"/>
  <c r="BD9" i="9"/>
  <c r="Z9" i="9"/>
  <c r="CF9" i="9" s="1"/>
  <c r="AX7" i="9"/>
  <c r="BB7" i="9"/>
  <c r="BF7" i="9"/>
  <c r="AU7" i="9"/>
  <c r="Z5" i="9"/>
  <c r="Y5" i="9"/>
  <c r="AB8" i="9"/>
  <c r="X8" i="9"/>
  <c r="T8" i="9"/>
  <c r="AA8" i="9"/>
  <c r="W8" i="9"/>
  <c r="S8" i="9"/>
  <c r="Q6" i="9"/>
  <c r="V7" i="9"/>
  <c r="X7" i="9"/>
  <c r="S7" i="9"/>
  <c r="R7" i="9"/>
  <c r="U7" i="9"/>
  <c r="W7" i="9"/>
  <c r="BC9" i="9"/>
  <c r="Y9" i="9"/>
  <c r="CE9" i="9" s="1"/>
  <c r="BB9" i="9"/>
  <c r="X9" i="9"/>
  <c r="CD9" i="9" s="1"/>
  <c r="BA9" i="9"/>
  <c r="W9" i="9"/>
  <c r="CC9" i="9" s="1"/>
  <c r="AZ9" i="9"/>
  <c r="V9" i="9"/>
  <c r="CB9" i="9" s="1"/>
  <c r="AY7" i="9"/>
  <c r="BC7" i="9"/>
  <c r="BG7" i="9"/>
  <c r="AT7" i="9"/>
  <c r="R8" i="9"/>
  <c r="Z8" i="9"/>
  <c r="V8" i="9"/>
  <c r="Y8" i="9"/>
  <c r="U8" i="9"/>
  <c r="T6" i="9"/>
  <c r="W6" i="9"/>
  <c r="Q7" i="9"/>
  <c r="AY9" i="9"/>
  <c r="U9" i="9"/>
  <c r="CA9" i="9" s="1"/>
  <c r="AX9" i="9"/>
  <c r="T9" i="9"/>
  <c r="BZ9" i="9" s="1"/>
  <c r="AW9" i="9"/>
  <c r="S9" i="9"/>
  <c r="BY9" i="9" s="1"/>
  <c r="AV9" i="9"/>
  <c r="R9" i="9"/>
  <c r="BX9" i="9" s="1"/>
  <c r="AV7" i="9"/>
  <c r="AZ7" i="9"/>
  <c r="BD7" i="9"/>
  <c r="BH7" i="9"/>
  <c r="R6" i="9"/>
  <c r="Q5" i="9"/>
  <c r="V5" i="9"/>
  <c r="U5" i="9"/>
  <c r="AB5" i="9"/>
  <c r="X5" i="9"/>
  <c r="T5" i="9"/>
  <c r="AA5" i="9"/>
  <c r="W5" i="9"/>
  <c r="S5" i="9"/>
  <c r="Q8" i="9"/>
  <c r="AB7" i="9"/>
  <c r="T7" i="9"/>
  <c r="Z7" i="9"/>
  <c r="Y7" i="9"/>
  <c r="AA7" i="9"/>
  <c r="Q9" i="9"/>
  <c r="BW9" i="9" s="1"/>
  <c r="AU9" i="9"/>
  <c r="AT9" i="9"/>
  <c r="AF9" i="9"/>
  <c r="CL9" i="9" s="1"/>
  <c r="BI9" i="9"/>
  <c r="AE9" i="9"/>
  <c r="CK9" i="9" s="1"/>
  <c r="BH9" i="9"/>
  <c r="AD9" i="9"/>
  <c r="CJ9" i="9" s="1"/>
  <c r="AB6" i="9"/>
  <c r="AW7" i="9"/>
  <c r="BA7" i="9"/>
  <c r="BE7" i="9"/>
  <c r="BI7" i="9"/>
  <c r="R5" i="9"/>
  <c r="CL18" i="3"/>
  <c r="AC7" i="9"/>
  <c r="CI7" i="9" s="1"/>
  <c r="AF11" i="3"/>
  <c r="AF9" i="3"/>
  <c r="AF7" i="3"/>
  <c r="AF12" i="3"/>
  <c r="AF8" i="3"/>
  <c r="AF6" i="3"/>
  <c r="AF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AH6" i="3"/>
  <c r="AH10" i="3"/>
  <c r="AH9" i="3"/>
  <c r="AH8" i="3"/>
  <c r="AH12" i="3"/>
  <c r="AG5" i="3"/>
  <c r="AG6" i="3"/>
  <c r="AG10" i="3"/>
  <c r="AG9" i="3"/>
  <c r="AG8" i="3"/>
  <c r="AG12" i="3"/>
  <c r="AG7" i="3"/>
  <c r="AG11" i="3"/>
  <c r="AI5" i="3"/>
  <c r="AI8" i="3"/>
  <c r="CO8" i="3" s="1"/>
  <c r="AI12" i="3"/>
  <c r="AI7" i="3"/>
  <c r="AI11" i="3"/>
  <c r="AI6" i="3"/>
  <c r="AI10" i="3"/>
  <c r="AI9" i="3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Q9" i="9"/>
  <c r="AJ7" i="9"/>
  <c r="AN7" i="9"/>
  <c r="AR7" i="9"/>
  <c r="AI9" i="9"/>
  <c r="AM9" i="9"/>
  <c r="L9" i="9"/>
  <c r="BR9" i="9" s="1"/>
  <c r="M9" i="9"/>
  <c r="BS9" i="9" s="1"/>
  <c r="F9" i="9"/>
  <c r="BL9" i="9" s="1"/>
  <c r="G9" i="9"/>
  <c r="BM9" i="9" s="1"/>
  <c r="AG7" i="9"/>
  <c r="AR9" i="9"/>
  <c r="AL7" i="9"/>
  <c r="AQ7" i="9"/>
  <c r="AL9" i="9"/>
  <c r="H9" i="9"/>
  <c r="BN9" i="9" s="1"/>
  <c r="E9" i="9"/>
  <c r="BK9" i="9" s="1"/>
  <c r="J9" i="9"/>
  <c r="BP9" i="9" s="1"/>
  <c r="K9" i="9"/>
  <c r="BQ9" i="9" s="1"/>
  <c r="AK7" i="9"/>
  <c r="AP7" i="9"/>
  <c r="AG9" i="9"/>
  <c r="AP9" i="9"/>
  <c r="AH7" i="9"/>
  <c r="N9" i="9"/>
  <c r="BT9" i="9" s="1"/>
  <c r="O9" i="9"/>
  <c r="AO7" i="9"/>
  <c r="AJ9" i="9"/>
  <c r="AK9" i="9"/>
  <c r="D9" i="9"/>
  <c r="BJ9" i="9" s="1"/>
  <c r="AI7" i="9"/>
  <c r="I9" i="9"/>
  <c r="BO9" i="9" s="1"/>
  <c r="AN9" i="9"/>
  <c r="P9" i="9"/>
  <c r="BV9" i="9" s="1"/>
  <c r="AO9" i="9"/>
  <c r="AM7" i="9"/>
  <c r="AH9" i="9"/>
  <c r="FF9" i="2"/>
  <c r="FF8" i="2"/>
  <c r="J1" i="3"/>
  <c r="K1" i="3"/>
  <c r="L1" i="3"/>
  <c r="M1" i="3"/>
  <c r="N1" i="3"/>
  <c r="O1" i="3"/>
  <c r="P1" i="3"/>
  <c r="Q1" i="3"/>
  <c r="R1" i="3"/>
  <c r="S1" i="3"/>
  <c r="CA7" i="9" l="1"/>
  <c r="CE7" i="9"/>
  <c r="CF7" i="9"/>
  <c r="BW7" i="9"/>
  <c r="BX7" i="9"/>
  <c r="CG7" i="9"/>
  <c r="BZ7" i="9"/>
  <c r="BY7" i="9"/>
  <c r="CH7" i="9"/>
  <c r="CC7" i="9"/>
  <c r="CD7" i="9"/>
  <c r="CB7" i="9"/>
  <c r="CN18" i="3"/>
  <c r="AE7" i="9"/>
  <c r="CK7" i="9" s="1"/>
  <c r="AF8" i="9"/>
  <c r="AD8" i="9"/>
  <c r="AE5" i="9"/>
  <c r="AF6" i="9"/>
  <c r="AD6" i="9"/>
  <c r="AE6" i="9"/>
  <c r="AC6" i="9"/>
  <c r="AC5" i="9"/>
  <c r="CO18" i="3"/>
  <c r="AF7" i="9"/>
  <c r="CL7" i="9" s="1"/>
  <c r="AF5" i="9"/>
  <c r="AE8" i="9"/>
  <c r="CM18" i="3"/>
  <c r="AD7" i="9"/>
  <c r="CJ7" i="9" s="1"/>
  <c r="AD5" i="9"/>
  <c r="AC8" i="9"/>
  <c r="BU9" i="9"/>
  <c r="AS9" i="9"/>
  <c r="AS7" i="9"/>
  <c r="E9" i="3"/>
  <c r="E7" i="3"/>
  <c r="E8" i="3"/>
  <c r="B1" i="3" l="1"/>
  <c r="D1" i="3"/>
  <c r="E1" i="3"/>
  <c r="F1" i="3"/>
  <c r="G1" i="3"/>
  <c r="H1" i="3"/>
  <c r="I1" i="3"/>
  <c r="B1" i="2"/>
  <c r="BM6" i="2"/>
  <c r="CP6" i="2" s="1"/>
  <c r="DS6" i="2" s="1"/>
  <c r="BN6" i="2"/>
  <c r="CQ6" i="2" s="1"/>
  <c r="DT6" i="2" s="1"/>
  <c r="BO6" i="2"/>
  <c r="CR6" i="2" s="1"/>
  <c r="DU6" i="2" s="1"/>
  <c r="BP6" i="2"/>
  <c r="CS6" i="2" s="1"/>
  <c r="DV6" i="2" s="1"/>
  <c r="BQ6" i="2"/>
  <c r="CT6" i="2" s="1"/>
  <c r="DW6" i="2" s="1"/>
  <c r="BR6" i="2"/>
  <c r="CU6" i="2" s="1"/>
  <c r="DX6" i="2" s="1"/>
  <c r="BS6" i="2"/>
  <c r="CV6" i="2" s="1"/>
  <c r="DY6" i="2" s="1"/>
  <c r="BT6" i="2"/>
  <c r="CW6" i="2" s="1"/>
  <c r="DZ6" i="2" s="1"/>
  <c r="BU6" i="2"/>
  <c r="CX6" i="2" s="1"/>
  <c r="EA6" i="2" s="1"/>
  <c r="BV6" i="2"/>
  <c r="CY6" i="2" s="1"/>
  <c r="EB6" i="2" s="1"/>
  <c r="BM5" i="2"/>
  <c r="CP5" i="2" s="1"/>
  <c r="BN5" i="2"/>
  <c r="CQ5" i="2" s="1"/>
  <c r="BO5" i="2"/>
  <c r="CR5" i="2" s="1"/>
  <c r="BP5" i="2"/>
  <c r="CS5" i="2" s="1"/>
  <c r="BQ5" i="2"/>
  <c r="CT5" i="2" s="1"/>
  <c r="BR5" i="2"/>
  <c r="CU5" i="2" s="1"/>
  <c r="BS5" i="2"/>
  <c r="CV5" i="2" s="1"/>
  <c r="BT5" i="2"/>
  <c r="CW5" i="2" s="1"/>
  <c r="BU5" i="2"/>
  <c r="CX5" i="2" s="1"/>
  <c r="BV5" i="2"/>
  <c r="CY5" i="2" s="1"/>
  <c r="BM9" i="2"/>
  <c r="CP9" i="2" s="1"/>
  <c r="DS9" i="2" s="1"/>
  <c r="FY9" i="2" s="1"/>
  <c r="BN9" i="2"/>
  <c r="CQ9" i="2" s="1"/>
  <c r="DT9" i="2" s="1"/>
  <c r="FZ9" i="2" s="1"/>
  <c r="BO9" i="2"/>
  <c r="CR9" i="2" s="1"/>
  <c r="DU9" i="2" s="1"/>
  <c r="GA9" i="2" s="1"/>
  <c r="BP9" i="2"/>
  <c r="CS9" i="2" s="1"/>
  <c r="DV9" i="2" s="1"/>
  <c r="GB9" i="2" s="1"/>
  <c r="BQ9" i="2"/>
  <c r="CT9" i="2" s="1"/>
  <c r="DW9" i="2" s="1"/>
  <c r="GC9" i="2" s="1"/>
  <c r="BR9" i="2"/>
  <c r="CU9" i="2" s="1"/>
  <c r="DX9" i="2" s="1"/>
  <c r="GD9" i="2" s="1"/>
  <c r="BS9" i="2"/>
  <c r="CV9" i="2" s="1"/>
  <c r="DY9" i="2" s="1"/>
  <c r="GE9" i="2" s="1"/>
  <c r="BT9" i="2"/>
  <c r="CW9" i="2" s="1"/>
  <c r="DZ9" i="2" s="1"/>
  <c r="GF9" i="2" s="1"/>
  <c r="BU9" i="2"/>
  <c r="CX9" i="2" s="1"/>
  <c r="EA9" i="2" s="1"/>
  <c r="GG9" i="2" s="1"/>
  <c r="BV9" i="2"/>
  <c r="CY9" i="2" s="1"/>
  <c r="EB9" i="2" s="1"/>
  <c r="GH9" i="2" s="1"/>
  <c r="BM8" i="2"/>
  <c r="CP8" i="2" s="1"/>
  <c r="DS8" i="2" s="1"/>
  <c r="FY8" i="2" s="1"/>
  <c r="BN8" i="2"/>
  <c r="CQ8" i="2" s="1"/>
  <c r="DT8" i="2" s="1"/>
  <c r="FZ8" i="2" s="1"/>
  <c r="BO8" i="2"/>
  <c r="CR8" i="2" s="1"/>
  <c r="DU8" i="2" s="1"/>
  <c r="GA8" i="2" s="1"/>
  <c r="BP8" i="2"/>
  <c r="CS8" i="2" s="1"/>
  <c r="DV8" i="2" s="1"/>
  <c r="GB8" i="2" s="1"/>
  <c r="BQ8" i="2"/>
  <c r="CT8" i="2" s="1"/>
  <c r="DW8" i="2" s="1"/>
  <c r="GC8" i="2" s="1"/>
  <c r="BR8" i="2"/>
  <c r="CU8" i="2" s="1"/>
  <c r="DX8" i="2" s="1"/>
  <c r="GD8" i="2" s="1"/>
  <c r="BS8" i="2"/>
  <c r="CV8" i="2" s="1"/>
  <c r="DY8" i="2" s="1"/>
  <c r="GE8" i="2" s="1"/>
  <c r="BT8" i="2"/>
  <c r="CW8" i="2" s="1"/>
  <c r="DZ8" i="2" s="1"/>
  <c r="GF8" i="2" s="1"/>
  <c r="BU8" i="2"/>
  <c r="CX8" i="2" s="1"/>
  <c r="EA8" i="2" s="1"/>
  <c r="GG8" i="2" s="1"/>
  <c r="BV8" i="2"/>
  <c r="CY8" i="2" s="1"/>
  <c r="EB8" i="2" s="1"/>
  <c r="GH8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BV7" i="2"/>
  <c r="CY7" i="2" s="1"/>
  <c r="AT7" i="2"/>
  <c r="AT6" i="2"/>
  <c r="AT5" i="2"/>
  <c r="AT9" i="2"/>
  <c r="AT8" i="2"/>
  <c r="Q7" i="2"/>
  <c r="Q6" i="2"/>
  <c r="Q5" i="2"/>
  <c r="Q9" i="2"/>
  <c r="Q8" i="2"/>
  <c r="BK6" i="2"/>
  <c r="CN6" i="2" s="1"/>
  <c r="DQ6" i="2" s="1"/>
  <c r="BL6" i="2"/>
  <c r="CO6" i="2" s="1"/>
  <c r="DR6" i="2" s="1"/>
  <c r="BK5" i="2"/>
  <c r="CN5" i="2" s="1"/>
  <c r="DQ5" i="2" s="1"/>
  <c r="FW5" i="2" s="1"/>
  <c r="BL5" i="2"/>
  <c r="CO5" i="2" s="1"/>
  <c r="BK9" i="2"/>
  <c r="CN9" i="2" s="1"/>
  <c r="DQ9" i="2" s="1"/>
  <c r="FW9" i="2" s="1"/>
  <c r="BL9" i="2"/>
  <c r="CO9" i="2" s="1"/>
  <c r="DR9" i="2" s="1"/>
  <c r="FX9" i="2" s="1"/>
  <c r="BK8" i="2"/>
  <c r="CN8" i="2" s="1"/>
  <c r="DQ8" i="2" s="1"/>
  <c r="FW8" i="2" s="1"/>
  <c r="BL8" i="2"/>
  <c r="CO8" i="2" s="1"/>
  <c r="DR8" i="2" s="1"/>
  <c r="FX8" i="2" s="1"/>
  <c r="BL7" i="2"/>
  <c r="CO7" i="2" s="1"/>
  <c r="BM7" i="2"/>
  <c r="CP7" i="2" s="1"/>
  <c r="BK7" i="2"/>
  <c r="CN7" i="2" s="1"/>
  <c r="E5" i="3"/>
  <c r="E6" i="3"/>
  <c r="AD117" i="6" l="1"/>
  <c r="AD110" i="6"/>
  <c r="AD89" i="6"/>
  <c r="AD41" i="6"/>
  <c r="AD101" i="6"/>
  <c r="AD37" i="6"/>
  <c r="AD56" i="6"/>
  <c r="AD47" i="6"/>
  <c r="AD68" i="6"/>
  <c r="AD66" i="6"/>
  <c r="AD21" i="6"/>
  <c r="AD54" i="6"/>
  <c r="AD18" i="6"/>
  <c r="AD74" i="6"/>
  <c r="AD70" i="6"/>
  <c r="AD55" i="6"/>
  <c r="AD80" i="6"/>
  <c r="AD57" i="6"/>
  <c r="AD76" i="6"/>
  <c r="AD98" i="6"/>
  <c r="AD22" i="6"/>
  <c r="AD25" i="6"/>
  <c r="AD27" i="6"/>
  <c r="AD84" i="6"/>
  <c r="AD116" i="6"/>
  <c r="AD100" i="6"/>
  <c r="AD7" i="6"/>
  <c r="AD62" i="6"/>
  <c r="AD16" i="6"/>
  <c r="AD33" i="6"/>
  <c r="AD43" i="6"/>
  <c r="AD40" i="6"/>
  <c r="AD86" i="6"/>
  <c r="AD78" i="6"/>
  <c r="AD14" i="6"/>
  <c r="AD94" i="6"/>
  <c r="AD65" i="6"/>
  <c r="AD38" i="6"/>
  <c r="AD31" i="6"/>
  <c r="AD52" i="6"/>
  <c r="AD79" i="6"/>
  <c r="AD12" i="6"/>
  <c r="AD71" i="6"/>
  <c r="AD51" i="6"/>
  <c r="AD105" i="6"/>
  <c r="AD61" i="6"/>
  <c r="AD96" i="6"/>
  <c r="AD97" i="6"/>
  <c r="AD108" i="6"/>
  <c r="AD26" i="6"/>
  <c r="AD85" i="6"/>
  <c r="AD83" i="6"/>
  <c r="AD81" i="6"/>
  <c r="AD99" i="6"/>
  <c r="AD23" i="6"/>
  <c r="AD77" i="6"/>
  <c r="AD17" i="6"/>
  <c r="AD32" i="6"/>
  <c r="AD42" i="6"/>
  <c r="AD93" i="6"/>
  <c r="AD35" i="6"/>
  <c r="AD112" i="6"/>
  <c r="AD39" i="6"/>
  <c r="AD30" i="6"/>
  <c r="AD69" i="6"/>
  <c r="AD111" i="6"/>
  <c r="AD82" i="6"/>
  <c r="AD104" i="6"/>
  <c r="AD13" i="6"/>
  <c r="AD9" i="6"/>
  <c r="AD11" i="6"/>
  <c r="AD109" i="6"/>
  <c r="AD106" i="6"/>
  <c r="AD107" i="6"/>
  <c r="AD50" i="6"/>
  <c r="AD114" i="6"/>
  <c r="AD44" i="6"/>
  <c r="AD24" i="6"/>
  <c r="AD113" i="6"/>
  <c r="AD46" i="6"/>
  <c r="AD34" i="6"/>
  <c r="AD95" i="6"/>
  <c r="AD87" i="6"/>
  <c r="AD63" i="6"/>
  <c r="AD88" i="6"/>
  <c r="AD91" i="6"/>
  <c r="BS91" i="6" s="1"/>
  <c r="AD90" i="6"/>
  <c r="AD103" i="6"/>
  <c r="AD36" i="6"/>
  <c r="AD15" i="6"/>
  <c r="BS15" i="6" s="1"/>
  <c r="AD92" i="6"/>
  <c r="AD10" i="6"/>
  <c r="AD67" i="6"/>
  <c r="AD29" i="6"/>
  <c r="BS29" i="6" s="1"/>
  <c r="AD53" i="6"/>
  <c r="AD115" i="6"/>
  <c r="AD75" i="6"/>
  <c r="AD8" i="6"/>
  <c r="BS8" i="6" s="1"/>
  <c r="AD72" i="6"/>
  <c r="AD102" i="6"/>
  <c r="AD58" i="6"/>
  <c r="AD20" i="6"/>
  <c r="BS20" i="6" s="1"/>
  <c r="AD48" i="6"/>
  <c r="AD73" i="6"/>
  <c r="AD6" i="6"/>
  <c r="AD28" i="6"/>
  <c r="BS28" i="6" s="1"/>
  <c r="AD60" i="6"/>
  <c r="AD59" i="6"/>
  <c r="AD49" i="6"/>
  <c r="AD19" i="6"/>
  <c r="BS19" i="6" s="1"/>
  <c r="AD45" i="6"/>
  <c r="AD64" i="6"/>
  <c r="AG117" i="6"/>
  <c r="AG110" i="6"/>
  <c r="AG89" i="6"/>
  <c r="AG41" i="6"/>
  <c r="AG101" i="6"/>
  <c r="AG37" i="6"/>
  <c r="AG56" i="6"/>
  <c r="AG47" i="6"/>
  <c r="AG68" i="6"/>
  <c r="AG66" i="6"/>
  <c r="AG21" i="6"/>
  <c r="AG54" i="6"/>
  <c r="AG18" i="6"/>
  <c r="AG74" i="6"/>
  <c r="AG70" i="6"/>
  <c r="AG55" i="6"/>
  <c r="AG80" i="6"/>
  <c r="AG57" i="6"/>
  <c r="AG76" i="6"/>
  <c r="AG98" i="6"/>
  <c r="AG22" i="6"/>
  <c r="AG25" i="6"/>
  <c r="AG27" i="6"/>
  <c r="AG84" i="6"/>
  <c r="AG116" i="6"/>
  <c r="AG100" i="6"/>
  <c r="AG7" i="6"/>
  <c r="AG62" i="6"/>
  <c r="AG16" i="6"/>
  <c r="AG33" i="6"/>
  <c r="AG43" i="6"/>
  <c r="AG40" i="6"/>
  <c r="AG86" i="6"/>
  <c r="AG78" i="6"/>
  <c r="AG14" i="6"/>
  <c r="AG94" i="6"/>
  <c r="AG65" i="6"/>
  <c r="AG38" i="6"/>
  <c r="AG31" i="6"/>
  <c r="AG52" i="6"/>
  <c r="AG79" i="6"/>
  <c r="AG12" i="6"/>
  <c r="AG71" i="6"/>
  <c r="AG51" i="6"/>
  <c r="AG105" i="6"/>
  <c r="AG61" i="6"/>
  <c r="AG96" i="6"/>
  <c r="AG97" i="6"/>
  <c r="AG108" i="6"/>
  <c r="AG26" i="6"/>
  <c r="AG85" i="6"/>
  <c r="AG83" i="6"/>
  <c r="AG81" i="6"/>
  <c r="AG99" i="6"/>
  <c r="AG23" i="6"/>
  <c r="AG77" i="6"/>
  <c r="AG17" i="6"/>
  <c r="AG32" i="6"/>
  <c r="AG42" i="6"/>
  <c r="AG93" i="6"/>
  <c r="AG35" i="6"/>
  <c r="AG112" i="6"/>
  <c r="AG39" i="6"/>
  <c r="AG30" i="6"/>
  <c r="AG69" i="6"/>
  <c r="AG111" i="6"/>
  <c r="AG82" i="6"/>
  <c r="AG104" i="6"/>
  <c r="AG13" i="6"/>
  <c r="AG9" i="6"/>
  <c r="AG11" i="6"/>
  <c r="AG109" i="6"/>
  <c r="AG106" i="6"/>
  <c r="AG107" i="6"/>
  <c r="AG50" i="6"/>
  <c r="AG114" i="6"/>
  <c r="AG44" i="6"/>
  <c r="AG24" i="6"/>
  <c r="AG113" i="6"/>
  <c r="AG46" i="6"/>
  <c r="AG34" i="6"/>
  <c r="AG95" i="6"/>
  <c r="AG87" i="6"/>
  <c r="AG63" i="6"/>
  <c r="AG88" i="6"/>
  <c r="AG91" i="6"/>
  <c r="AG90" i="6"/>
  <c r="AG103" i="6"/>
  <c r="AG36" i="6"/>
  <c r="AG15" i="6"/>
  <c r="AG92" i="6"/>
  <c r="AG10" i="6"/>
  <c r="AG67" i="6"/>
  <c r="AG29" i="6"/>
  <c r="AG53" i="6"/>
  <c r="AG115" i="6"/>
  <c r="AG75" i="6"/>
  <c r="AG8" i="6"/>
  <c r="AG72" i="6"/>
  <c r="AG102" i="6"/>
  <c r="AG58" i="6"/>
  <c r="AG20" i="6"/>
  <c r="AG48" i="6"/>
  <c r="AG73" i="6"/>
  <c r="AG6" i="6"/>
  <c r="AG28" i="6"/>
  <c r="AG60" i="6"/>
  <c r="AG59" i="6"/>
  <c r="AG49" i="6"/>
  <c r="AG19" i="6"/>
  <c r="AG45" i="6"/>
  <c r="AG64" i="6"/>
  <c r="AE117" i="6"/>
  <c r="AE110" i="6"/>
  <c r="AE89" i="6"/>
  <c r="AE41" i="6"/>
  <c r="AE101" i="6"/>
  <c r="AE37" i="6"/>
  <c r="AE56" i="6"/>
  <c r="AE47" i="6"/>
  <c r="AE68" i="6"/>
  <c r="AE66" i="6"/>
  <c r="AE21" i="6"/>
  <c r="AE54" i="6"/>
  <c r="AE18" i="6"/>
  <c r="AE74" i="6"/>
  <c r="AE70" i="6"/>
  <c r="AE55" i="6"/>
  <c r="AE80" i="6"/>
  <c r="AE57" i="6"/>
  <c r="AE76" i="6"/>
  <c r="AE98" i="6"/>
  <c r="AE22" i="6"/>
  <c r="AE25" i="6"/>
  <c r="AE27" i="6"/>
  <c r="AE84" i="6"/>
  <c r="AE116" i="6"/>
  <c r="AE100" i="6"/>
  <c r="AE7" i="6"/>
  <c r="AE62" i="6"/>
  <c r="AE16" i="6"/>
  <c r="AE33" i="6"/>
  <c r="AE43" i="6"/>
  <c r="AE40" i="6"/>
  <c r="AE86" i="6"/>
  <c r="AE78" i="6"/>
  <c r="AE14" i="6"/>
  <c r="AE94" i="6"/>
  <c r="AE65" i="6"/>
  <c r="AE38" i="6"/>
  <c r="AE31" i="6"/>
  <c r="AE52" i="6"/>
  <c r="AE79" i="6"/>
  <c r="AE12" i="6"/>
  <c r="AE71" i="6"/>
  <c r="AE51" i="6"/>
  <c r="AE105" i="6"/>
  <c r="AE61" i="6"/>
  <c r="AE96" i="6"/>
  <c r="AE97" i="6"/>
  <c r="AE108" i="6"/>
  <c r="AE26" i="6"/>
  <c r="AE85" i="6"/>
  <c r="AE83" i="6"/>
  <c r="AE81" i="6"/>
  <c r="AE99" i="6"/>
  <c r="AE23" i="6"/>
  <c r="AE77" i="6"/>
  <c r="AE17" i="6"/>
  <c r="AE32" i="6"/>
  <c r="AE42" i="6"/>
  <c r="AE93" i="6"/>
  <c r="AE35" i="6"/>
  <c r="AE112" i="6"/>
  <c r="AE39" i="6"/>
  <c r="AE30" i="6"/>
  <c r="AE69" i="6"/>
  <c r="AE111" i="6"/>
  <c r="AE82" i="6"/>
  <c r="AE104" i="6"/>
  <c r="AE13" i="6"/>
  <c r="AE9" i="6"/>
  <c r="AE11" i="6"/>
  <c r="AE109" i="6"/>
  <c r="AE106" i="6"/>
  <c r="AE107" i="6"/>
  <c r="AE50" i="6"/>
  <c r="AE114" i="6"/>
  <c r="AE44" i="6"/>
  <c r="AE24" i="6"/>
  <c r="AE113" i="6"/>
  <c r="AE46" i="6"/>
  <c r="AE34" i="6"/>
  <c r="AE95" i="6"/>
  <c r="AE87" i="6"/>
  <c r="AE63" i="6"/>
  <c r="AE88" i="6"/>
  <c r="AE91" i="6"/>
  <c r="AE90" i="6"/>
  <c r="AE103" i="6"/>
  <c r="AE36" i="6"/>
  <c r="AE15" i="6"/>
  <c r="AE92" i="6"/>
  <c r="AE10" i="6"/>
  <c r="AE67" i="6"/>
  <c r="AE29" i="6"/>
  <c r="AE53" i="6"/>
  <c r="AE115" i="6"/>
  <c r="AE75" i="6"/>
  <c r="AE8" i="6"/>
  <c r="AE72" i="6"/>
  <c r="AE102" i="6"/>
  <c r="AE58" i="6"/>
  <c r="AE20" i="6"/>
  <c r="AE48" i="6"/>
  <c r="AE73" i="6"/>
  <c r="AE6" i="6"/>
  <c r="AE28" i="6"/>
  <c r="AE60" i="6"/>
  <c r="AE59" i="6"/>
  <c r="AE49" i="6"/>
  <c r="AE19" i="6"/>
  <c r="AE45" i="6"/>
  <c r="AE64" i="6"/>
  <c r="BX16" i="6"/>
  <c r="BX33" i="6"/>
  <c r="BX43" i="6"/>
  <c r="BX40" i="6"/>
  <c r="BX86" i="6"/>
  <c r="BX78" i="6"/>
  <c r="BX14" i="6"/>
  <c r="BX94" i="6"/>
  <c r="BX65" i="6"/>
  <c r="BX38" i="6"/>
  <c r="BX31" i="6"/>
  <c r="BX52" i="6"/>
  <c r="BX79" i="6"/>
  <c r="BX12" i="6"/>
  <c r="BX71" i="6"/>
  <c r="BX51" i="6"/>
  <c r="BX105" i="6"/>
  <c r="BX61" i="6"/>
  <c r="BX96" i="6"/>
  <c r="BX97" i="6"/>
  <c r="BX108" i="6"/>
  <c r="BX26" i="6"/>
  <c r="BX85" i="6"/>
  <c r="BX83" i="6"/>
  <c r="BX81" i="6"/>
  <c r="BX99" i="6"/>
  <c r="BX23" i="6"/>
  <c r="BX77" i="6"/>
  <c r="BX17" i="6"/>
  <c r="BX32" i="6"/>
  <c r="BX42" i="6"/>
  <c r="BX93" i="6"/>
  <c r="BX35" i="6"/>
  <c r="BX112" i="6"/>
  <c r="BX39" i="6"/>
  <c r="BX30" i="6"/>
  <c r="BX69" i="6"/>
  <c r="BX111" i="6"/>
  <c r="BX82" i="6"/>
  <c r="BX104" i="6"/>
  <c r="BX13" i="6"/>
  <c r="BX9" i="6"/>
  <c r="BX11" i="6"/>
  <c r="BX109" i="6"/>
  <c r="BX106" i="6"/>
  <c r="BX107" i="6"/>
  <c r="BX50" i="6"/>
  <c r="BX114" i="6"/>
  <c r="BX44" i="6"/>
  <c r="BX24" i="6"/>
  <c r="BX113" i="6"/>
  <c r="BX46" i="6"/>
  <c r="BX34" i="6"/>
  <c r="BX95" i="6"/>
  <c r="BX87" i="6"/>
  <c r="BX63" i="6"/>
  <c r="BX88" i="6"/>
  <c r="BX91" i="6"/>
  <c r="BX90" i="6"/>
  <c r="BX103" i="6"/>
  <c r="BX36" i="6"/>
  <c r="BX15" i="6"/>
  <c r="BX92" i="6"/>
  <c r="BX10" i="6"/>
  <c r="BX67" i="6"/>
  <c r="BX29" i="6"/>
  <c r="BX53" i="6"/>
  <c r="BX115" i="6"/>
  <c r="BX75" i="6"/>
  <c r="BX8" i="6"/>
  <c r="BX72" i="6"/>
  <c r="BX102" i="6"/>
  <c r="BX58" i="6"/>
  <c r="BX20" i="6"/>
  <c r="BX48" i="6"/>
  <c r="BX73" i="6"/>
  <c r="BX6" i="6"/>
  <c r="BX28" i="6"/>
  <c r="BX60" i="6"/>
  <c r="BX59" i="6"/>
  <c r="BX49" i="6"/>
  <c r="BX19" i="6"/>
  <c r="BX45" i="6"/>
  <c r="BX64" i="6"/>
  <c r="BX117" i="6"/>
  <c r="BX110" i="6"/>
  <c r="BX89" i="6"/>
  <c r="BX41" i="6"/>
  <c r="BX101" i="6"/>
  <c r="BX37" i="6"/>
  <c r="BX56" i="6"/>
  <c r="BX47" i="6"/>
  <c r="BX68" i="6"/>
  <c r="BX66" i="6"/>
  <c r="BX21" i="6"/>
  <c r="BX54" i="6"/>
  <c r="BX18" i="6"/>
  <c r="BX74" i="6"/>
  <c r="BX70" i="6"/>
  <c r="BX55" i="6"/>
  <c r="BX80" i="6"/>
  <c r="BX57" i="6"/>
  <c r="BX76" i="6"/>
  <c r="BX98" i="6"/>
  <c r="BX22" i="6"/>
  <c r="BX25" i="6"/>
  <c r="BX27" i="6"/>
  <c r="BX84" i="6"/>
  <c r="BX116" i="6"/>
  <c r="BX100" i="6"/>
  <c r="BX7" i="6"/>
  <c r="BX62" i="6"/>
  <c r="BT16" i="6"/>
  <c r="BT33" i="6"/>
  <c r="BT43" i="6"/>
  <c r="BT40" i="6"/>
  <c r="BT86" i="6"/>
  <c r="BT78" i="6"/>
  <c r="BT14" i="6"/>
  <c r="BT94" i="6"/>
  <c r="BT65" i="6"/>
  <c r="BT38" i="6"/>
  <c r="BT31" i="6"/>
  <c r="BT52" i="6"/>
  <c r="BT79" i="6"/>
  <c r="BT12" i="6"/>
  <c r="BT71" i="6"/>
  <c r="BT51" i="6"/>
  <c r="BT105" i="6"/>
  <c r="BT61" i="6"/>
  <c r="BT96" i="6"/>
  <c r="BT97" i="6"/>
  <c r="BT108" i="6"/>
  <c r="BT26" i="6"/>
  <c r="BT85" i="6"/>
  <c r="BT83" i="6"/>
  <c r="BT81" i="6"/>
  <c r="BT99" i="6"/>
  <c r="BT23" i="6"/>
  <c r="BT77" i="6"/>
  <c r="BT17" i="6"/>
  <c r="BT32" i="6"/>
  <c r="BT42" i="6"/>
  <c r="BT93" i="6"/>
  <c r="BT35" i="6"/>
  <c r="BT112" i="6"/>
  <c r="BT39" i="6"/>
  <c r="BT30" i="6"/>
  <c r="BT69" i="6"/>
  <c r="BT111" i="6"/>
  <c r="BT82" i="6"/>
  <c r="BT104" i="6"/>
  <c r="BT13" i="6"/>
  <c r="BT9" i="6"/>
  <c r="BT11" i="6"/>
  <c r="BT109" i="6"/>
  <c r="BT106" i="6"/>
  <c r="BT107" i="6"/>
  <c r="BT50" i="6"/>
  <c r="BT114" i="6"/>
  <c r="BT44" i="6"/>
  <c r="BT24" i="6"/>
  <c r="BT113" i="6"/>
  <c r="BT46" i="6"/>
  <c r="BT34" i="6"/>
  <c r="BT95" i="6"/>
  <c r="BT87" i="6"/>
  <c r="BT63" i="6"/>
  <c r="BT88" i="6"/>
  <c r="BT91" i="6"/>
  <c r="BT90" i="6"/>
  <c r="BT103" i="6"/>
  <c r="BT36" i="6"/>
  <c r="BT15" i="6"/>
  <c r="BT92" i="6"/>
  <c r="BT10" i="6"/>
  <c r="BT67" i="6"/>
  <c r="BT29" i="6"/>
  <c r="BT53" i="6"/>
  <c r="BT115" i="6"/>
  <c r="BT75" i="6"/>
  <c r="BT8" i="6"/>
  <c r="BT72" i="6"/>
  <c r="BT102" i="6"/>
  <c r="BT58" i="6"/>
  <c r="BT20" i="6"/>
  <c r="BT48" i="6"/>
  <c r="BT73" i="6"/>
  <c r="BT6" i="6"/>
  <c r="BT28" i="6"/>
  <c r="BT60" i="6"/>
  <c r="BT59" i="6"/>
  <c r="BT49" i="6"/>
  <c r="BT19" i="6"/>
  <c r="BT45" i="6"/>
  <c r="BT64" i="6"/>
  <c r="BT117" i="6"/>
  <c r="BT110" i="6"/>
  <c r="BT89" i="6"/>
  <c r="BT41" i="6"/>
  <c r="BT101" i="6"/>
  <c r="BT37" i="6"/>
  <c r="BT56" i="6"/>
  <c r="BT47" i="6"/>
  <c r="BT68" i="6"/>
  <c r="BT66" i="6"/>
  <c r="BT21" i="6"/>
  <c r="BT54" i="6"/>
  <c r="BT18" i="6"/>
  <c r="BT74" i="6"/>
  <c r="BT70" i="6"/>
  <c r="BT55" i="6"/>
  <c r="BT80" i="6"/>
  <c r="BT57" i="6"/>
  <c r="BT76" i="6"/>
  <c r="BT98" i="6"/>
  <c r="BT22" i="6"/>
  <c r="BT25" i="6"/>
  <c r="BT27" i="6"/>
  <c r="BT84" i="6"/>
  <c r="BT116" i="6"/>
  <c r="BT100" i="6"/>
  <c r="BT7" i="6"/>
  <c r="BT62" i="6"/>
  <c r="BO117" i="6"/>
  <c r="BO110" i="6"/>
  <c r="BO89" i="6"/>
  <c r="BO41" i="6"/>
  <c r="BO101" i="6"/>
  <c r="BO37" i="6"/>
  <c r="BO56" i="6"/>
  <c r="BO47" i="6"/>
  <c r="BO68" i="6"/>
  <c r="BO66" i="6"/>
  <c r="BO21" i="6"/>
  <c r="BO54" i="6"/>
  <c r="BO18" i="6"/>
  <c r="BO74" i="6"/>
  <c r="BO70" i="6"/>
  <c r="BO55" i="6"/>
  <c r="BO80" i="6"/>
  <c r="BO57" i="6"/>
  <c r="BO76" i="6"/>
  <c r="BO98" i="6"/>
  <c r="BO22" i="6"/>
  <c r="BO25" i="6"/>
  <c r="BO27" i="6"/>
  <c r="BO84" i="6"/>
  <c r="BO116" i="6"/>
  <c r="BO100" i="6"/>
  <c r="BO7" i="6"/>
  <c r="BO62" i="6"/>
  <c r="BO16" i="6"/>
  <c r="BO33" i="6"/>
  <c r="BO43" i="6"/>
  <c r="BO40" i="6"/>
  <c r="BO86" i="6"/>
  <c r="BO78" i="6"/>
  <c r="BO14" i="6"/>
  <c r="BO94" i="6"/>
  <c r="BO65" i="6"/>
  <c r="BO38" i="6"/>
  <c r="BO31" i="6"/>
  <c r="BO52" i="6"/>
  <c r="BO79" i="6"/>
  <c r="BO12" i="6"/>
  <c r="BO71" i="6"/>
  <c r="BO51" i="6"/>
  <c r="BO105" i="6"/>
  <c r="BO61" i="6"/>
  <c r="BO96" i="6"/>
  <c r="BO97" i="6"/>
  <c r="BO108" i="6"/>
  <c r="BO26" i="6"/>
  <c r="BO85" i="6"/>
  <c r="BO83" i="6"/>
  <c r="BO81" i="6"/>
  <c r="BO99" i="6"/>
  <c r="BO23" i="6"/>
  <c r="BO77" i="6"/>
  <c r="BO17" i="6"/>
  <c r="BO32" i="6"/>
  <c r="BO42" i="6"/>
  <c r="BO93" i="6"/>
  <c r="BO35" i="6"/>
  <c r="BO112" i="6"/>
  <c r="BO39" i="6"/>
  <c r="BO30" i="6"/>
  <c r="BO69" i="6"/>
  <c r="BO111" i="6"/>
  <c r="BO82" i="6"/>
  <c r="BO104" i="6"/>
  <c r="BO13" i="6"/>
  <c r="BO9" i="6"/>
  <c r="BO11" i="6"/>
  <c r="BO109" i="6"/>
  <c r="BO106" i="6"/>
  <c r="BO107" i="6"/>
  <c r="BO50" i="6"/>
  <c r="BO114" i="6"/>
  <c r="BO44" i="6"/>
  <c r="BO24" i="6"/>
  <c r="BO113" i="6"/>
  <c r="BO46" i="6"/>
  <c r="BO34" i="6"/>
  <c r="BO95" i="6"/>
  <c r="BO87" i="6"/>
  <c r="BO63" i="6"/>
  <c r="BO88" i="6"/>
  <c r="BO91" i="6"/>
  <c r="BO90" i="6"/>
  <c r="BO103" i="6"/>
  <c r="BO36" i="6"/>
  <c r="BO15" i="6"/>
  <c r="BO92" i="6"/>
  <c r="BO10" i="6"/>
  <c r="BO67" i="6"/>
  <c r="BO29" i="6"/>
  <c r="BO53" i="6"/>
  <c r="BO115" i="6"/>
  <c r="BO75" i="6"/>
  <c r="BO8" i="6"/>
  <c r="BO72" i="6"/>
  <c r="BO102" i="6"/>
  <c r="BO58" i="6"/>
  <c r="BO20" i="6"/>
  <c r="BO48" i="6"/>
  <c r="BO73" i="6"/>
  <c r="BO6" i="6"/>
  <c r="BO28" i="6"/>
  <c r="BO60" i="6"/>
  <c r="BO59" i="6"/>
  <c r="BO49" i="6"/>
  <c r="BO19" i="6"/>
  <c r="BO45" i="6"/>
  <c r="BO64" i="6"/>
  <c r="BW16" i="6"/>
  <c r="BW33" i="6"/>
  <c r="BW43" i="6"/>
  <c r="BW40" i="6"/>
  <c r="BW86" i="6"/>
  <c r="BW78" i="6"/>
  <c r="BW14" i="6"/>
  <c r="BW94" i="6"/>
  <c r="BW65" i="6"/>
  <c r="BW38" i="6"/>
  <c r="BW31" i="6"/>
  <c r="BW52" i="6"/>
  <c r="BW79" i="6"/>
  <c r="BW12" i="6"/>
  <c r="BW71" i="6"/>
  <c r="BW51" i="6"/>
  <c r="BW105" i="6"/>
  <c r="BW61" i="6"/>
  <c r="BW96" i="6"/>
  <c r="BW97" i="6"/>
  <c r="BW108" i="6"/>
  <c r="BW26" i="6"/>
  <c r="BW85" i="6"/>
  <c r="BW83" i="6"/>
  <c r="BW81" i="6"/>
  <c r="BW99" i="6"/>
  <c r="BW23" i="6"/>
  <c r="BW77" i="6"/>
  <c r="BW17" i="6"/>
  <c r="BW32" i="6"/>
  <c r="BW42" i="6"/>
  <c r="BW93" i="6"/>
  <c r="BW35" i="6"/>
  <c r="BW112" i="6"/>
  <c r="BW39" i="6"/>
  <c r="BW30" i="6"/>
  <c r="BW69" i="6"/>
  <c r="BW111" i="6"/>
  <c r="BW82" i="6"/>
  <c r="BW104" i="6"/>
  <c r="BW13" i="6"/>
  <c r="BW9" i="6"/>
  <c r="BW11" i="6"/>
  <c r="BW109" i="6"/>
  <c r="BW106" i="6"/>
  <c r="BW107" i="6"/>
  <c r="BW50" i="6"/>
  <c r="BW114" i="6"/>
  <c r="BW44" i="6"/>
  <c r="BW24" i="6"/>
  <c r="BW113" i="6"/>
  <c r="BW46" i="6"/>
  <c r="BW34" i="6"/>
  <c r="BW95" i="6"/>
  <c r="BW87" i="6"/>
  <c r="BW63" i="6"/>
  <c r="BW88" i="6"/>
  <c r="BW91" i="6"/>
  <c r="BW90" i="6"/>
  <c r="BW103" i="6"/>
  <c r="BW36" i="6"/>
  <c r="BW15" i="6"/>
  <c r="BW92" i="6"/>
  <c r="BW10" i="6"/>
  <c r="BW67" i="6"/>
  <c r="BW29" i="6"/>
  <c r="BW53" i="6"/>
  <c r="BW115" i="6"/>
  <c r="BW75" i="6"/>
  <c r="BW8" i="6"/>
  <c r="BW72" i="6"/>
  <c r="BW102" i="6"/>
  <c r="BW58" i="6"/>
  <c r="BW20" i="6"/>
  <c r="BW48" i="6"/>
  <c r="BW73" i="6"/>
  <c r="BW6" i="6"/>
  <c r="BW28" i="6"/>
  <c r="BW60" i="6"/>
  <c r="BW59" i="6"/>
  <c r="BW49" i="6"/>
  <c r="BW19" i="6"/>
  <c r="BW45" i="6"/>
  <c r="BW64" i="6"/>
  <c r="BW117" i="6"/>
  <c r="BW110" i="6"/>
  <c r="BW89" i="6"/>
  <c r="BW41" i="6"/>
  <c r="BW101" i="6"/>
  <c r="BW37" i="6"/>
  <c r="BW56" i="6"/>
  <c r="BW47" i="6"/>
  <c r="BW68" i="6"/>
  <c r="BW66" i="6"/>
  <c r="BW21" i="6"/>
  <c r="BW54" i="6"/>
  <c r="BW18" i="6"/>
  <c r="BW74" i="6"/>
  <c r="BW70" i="6"/>
  <c r="BW55" i="6"/>
  <c r="BW80" i="6"/>
  <c r="BW57" i="6"/>
  <c r="BW76" i="6"/>
  <c r="BW98" i="6"/>
  <c r="BW22" i="6"/>
  <c r="BW25" i="6"/>
  <c r="BW27" i="6"/>
  <c r="BW84" i="6"/>
  <c r="BW116" i="6"/>
  <c r="BW100" i="6"/>
  <c r="BW7" i="6"/>
  <c r="BW62" i="6"/>
  <c r="BS117" i="6"/>
  <c r="BS16" i="6"/>
  <c r="BS33" i="6"/>
  <c r="BS43" i="6"/>
  <c r="BS40" i="6"/>
  <c r="BS86" i="6"/>
  <c r="BS78" i="6"/>
  <c r="BS14" i="6"/>
  <c r="BS94" i="6"/>
  <c r="BS65" i="6"/>
  <c r="BS38" i="6"/>
  <c r="BS31" i="6"/>
  <c r="BS52" i="6"/>
  <c r="BS79" i="6"/>
  <c r="BS12" i="6"/>
  <c r="BS71" i="6"/>
  <c r="BS51" i="6"/>
  <c r="BS105" i="6"/>
  <c r="BS61" i="6"/>
  <c r="BS88" i="6"/>
  <c r="BS90" i="6"/>
  <c r="BS103" i="6"/>
  <c r="BS36" i="6"/>
  <c r="BS92" i="6"/>
  <c r="BS10" i="6"/>
  <c r="BS67" i="6"/>
  <c r="BS53" i="6"/>
  <c r="BS115" i="6"/>
  <c r="BS75" i="6"/>
  <c r="BS72" i="6"/>
  <c r="BS102" i="6"/>
  <c r="BS58" i="6"/>
  <c r="BS17" i="6"/>
  <c r="BS42" i="6"/>
  <c r="BS35" i="6"/>
  <c r="BS39" i="6"/>
  <c r="BS69" i="6"/>
  <c r="BS82" i="6"/>
  <c r="BS13" i="6"/>
  <c r="BS11" i="6"/>
  <c r="BS106" i="6"/>
  <c r="BS96" i="6"/>
  <c r="BS97" i="6"/>
  <c r="BS108" i="6"/>
  <c r="BS26" i="6"/>
  <c r="BS85" i="6"/>
  <c r="BS83" i="6"/>
  <c r="BS81" i="6"/>
  <c r="BS99" i="6"/>
  <c r="BS23" i="6"/>
  <c r="BS77" i="6"/>
  <c r="BS110" i="6"/>
  <c r="BS41" i="6"/>
  <c r="BS37" i="6"/>
  <c r="BS47" i="6"/>
  <c r="BS66" i="6"/>
  <c r="BS54" i="6"/>
  <c r="BS74" i="6"/>
  <c r="BS55" i="6"/>
  <c r="BS57" i="6"/>
  <c r="BS50" i="6"/>
  <c r="BS114" i="6"/>
  <c r="BS44" i="6"/>
  <c r="BS24" i="6"/>
  <c r="BS113" i="6"/>
  <c r="BS46" i="6"/>
  <c r="BS34" i="6"/>
  <c r="BS95" i="6"/>
  <c r="BS87" i="6"/>
  <c r="BS63" i="6"/>
  <c r="BS32" i="6"/>
  <c r="BS93" i="6"/>
  <c r="BS112" i="6"/>
  <c r="BS30" i="6"/>
  <c r="BS111" i="6"/>
  <c r="BS104" i="6"/>
  <c r="BS9" i="6"/>
  <c r="BS109" i="6"/>
  <c r="BS107" i="6"/>
  <c r="BS48" i="6"/>
  <c r="BS73" i="6"/>
  <c r="BS6" i="6"/>
  <c r="BS60" i="6"/>
  <c r="BS59" i="6"/>
  <c r="BS49" i="6"/>
  <c r="BS45" i="6"/>
  <c r="BS64" i="6"/>
  <c r="BS89" i="6"/>
  <c r="BS101" i="6"/>
  <c r="BS56" i="6"/>
  <c r="BS68" i="6"/>
  <c r="BS21" i="6"/>
  <c r="BS18" i="6"/>
  <c r="BS70" i="6"/>
  <c r="BS80" i="6"/>
  <c r="BS76" i="6"/>
  <c r="BS98" i="6"/>
  <c r="BS22" i="6"/>
  <c r="BS25" i="6"/>
  <c r="BS27" i="6"/>
  <c r="BS84" i="6"/>
  <c r="BS116" i="6"/>
  <c r="BS100" i="6"/>
  <c r="BS7" i="6"/>
  <c r="BS62" i="6"/>
  <c r="BQ117" i="6"/>
  <c r="BQ110" i="6"/>
  <c r="BQ89" i="6"/>
  <c r="BQ41" i="6"/>
  <c r="BQ101" i="6"/>
  <c r="BQ37" i="6"/>
  <c r="BQ56" i="6"/>
  <c r="BQ47" i="6"/>
  <c r="BQ68" i="6"/>
  <c r="BQ66" i="6"/>
  <c r="BQ21" i="6"/>
  <c r="BQ54" i="6"/>
  <c r="BQ18" i="6"/>
  <c r="BQ74" i="6"/>
  <c r="BQ70" i="6"/>
  <c r="BQ55" i="6"/>
  <c r="BQ80" i="6"/>
  <c r="BQ57" i="6"/>
  <c r="BQ76" i="6"/>
  <c r="BQ98" i="6"/>
  <c r="BQ22" i="6"/>
  <c r="BQ25" i="6"/>
  <c r="BQ27" i="6"/>
  <c r="BQ84" i="6"/>
  <c r="BQ116" i="6"/>
  <c r="BQ100" i="6"/>
  <c r="BQ7" i="6"/>
  <c r="BQ62" i="6"/>
  <c r="BQ16" i="6"/>
  <c r="BQ33" i="6"/>
  <c r="BQ43" i="6"/>
  <c r="BQ40" i="6"/>
  <c r="BQ86" i="6"/>
  <c r="BQ78" i="6"/>
  <c r="BQ14" i="6"/>
  <c r="BQ94" i="6"/>
  <c r="BQ65" i="6"/>
  <c r="BQ38" i="6"/>
  <c r="BQ31" i="6"/>
  <c r="BQ52" i="6"/>
  <c r="BQ79" i="6"/>
  <c r="BQ12" i="6"/>
  <c r="BQ71" i="6"/>
  <c r="BQ51" i="6"/>
  <c r="BQ105" i="6"/>
  <c r="BQ61" i="6"/>
  <c r="BQ96" i="6"/>
  <c r="BQ97" i="6"/>
  <c r="BQ108" i="6"/>
  <c r="BQ26" i="6"/>
  <c r="BQ85" i="6"/>
  <c r="BQ83" i="6"/>
  <c r="BQ81" i="6"/>
  <c r="BQ99" i="6"/>
  <c r="BQ23" i="6"/>
  <c r="BQ77" i="6"/>
  <c r="BQ17" i="6"/>
  <c r="BQ32" i="6"/>
  <c r="BQ42" i="6"/>
  <c r="BQ93" i="6"/>
  <c r="BQ35" i="6"/>
  <c r="BQ112" i="6"/>
  <c r="BQ39" i="6"/>
  <c r="BQ30" i="6"/>
  <c r="BQ69" i="6"/>
  <c r="BQ111" i="6"/>
  <c r="BQ82" i="6"/>
  <c r="BQ104" i="6"/>
  <c r="BQ13" i="6"/>
  <c r="BQ9" i="6"/>
  <c r="BQ11" i="6"/>
  <c r="BQ109" i="6"/>
  <c r="BQ106" i="6"/>
  <c r="BQ107" i="6"/>
  <c r="BQ50" i="6"/>
  <c r="BQ114" i="6"/>
  <c r="BQ44" i="6"/>
  <c r="BQ24" i="6"/>
  <c r="BQ113" i="6"/>
  <c r="BQ46" i="6"/>
  <c r="BQ34" i="6"/>
  <c r="BQ95" i="6"/>
  <c r="BQ87" i="6"/>
  <c r="BQ63" i="6"/>
  <c r="BQ88" i="6"/>
  <c r="BQ91" i="6"/>
  <c r="BQ90" i="6"/>
  <c r="BQ103" i="6"/>
  <c r="BQ36" i="6"/>
  <c r="BQ15" i="6"/>
  <c r="BQ92" i="6"/>
  <c r="BQ10" i="6"/>
  <c r="BQ67" i="6"/>
  <c r="BQ29" i="6"/>
  <c r="BQ53" i="6"/>
  <c r="BQ115" i="6"/>
  <c r="BQ75" i="6"/>
  <c r="BQ8" i="6"/>
  <c r="BQ72" i="6"/>
  <c r="BQ102" i="6"/>
  <c r="BQ58" i="6"/>
  <c r="BQ20" i="6"/>
  <c r="BQ48" i="6"/>
  <c r="BQ73" i="6"/>
  <c r="BQ6" i="6"/>
  <c r="BQ28" i="6"/>
  <c r="BQ60" i="6"/>
  <c r="BQ59" i="6"/>
  <c r="BQ49" i="6"/>
  <c r="BQ19" i="6"/>
  <c r="BQ45" i="6"/>
  <c r="BQ64" i="6"/>
  <c r="BZ17" i="6"/>
  <c r="BZ32" i="6"/>
  <c r="BZ42" i="6"/>
  <c r="BZ93" i="6"/>
  <c r="BZ35" i="6"/>
  <c r="BZ112" i="6"/>
  <c r="BZ39" i="6"/>
  <c r="BZ117" i="6"/>
  <c r="BZ110" i="6"/>
  <c r="BZ89" i="6"/>
  <c r="BZ41" i="6"/>
  <c r="BZ101" i="6"/>
  <c r="BZ37" i="6"/>
  <c r="BZ56" i="6"/>
  <c r="BZ33" i="6"/>
  <c r="BZ40" i="6"/>
  <c r="BZ78" i="6"/>
  <c r="BZ47" i="6"/>
  <c r="BZ68" i="6"/>
  <c r="BZ66" i="6"/>
  <c r="BZ21" i="6"/>
  <c r="BZ54" i="6"/>
  <c r="BZ18" i="6"/>
  <c r="BZ74" i="6"/>
  <c r="BZ70" i="6"/>
  <c r="BZ55" i="6"/>
  <c r="BZ80" i="6"/>
  <c r="BZ57" i="6"/>
  <c r="BZ76" i="6"/>
  <c r="BZ98" i="6"/>
  <c r="BZ22" i="6"/>
  <c r="BZ25" i="6"/>
  <c r="BZ27" i="6"/>
  <c r="BZ84" i="6"/>
  <c r="BZ116" i="6"/>
  <c r="BZ100" i="6"/>
  <c r="BZ7" i="6"/>
  <c r="BZ62" i="6"/>
  <c r="BZ91" i="6"/>
  <c r="BZ103" i="6"/>
  <c r="BZ94" i="6"/>
  <c r="BZ65" i="6"/>
  <c r="BZ38" i="6"/>
  <c r="BZ31" i="6"/>
  <c r="BZ52" i="6"/>
  <c r="BZ79" i="6"/>
  <c r="BZ12" i="6"/>
  <c r="BZ71" i="6"/>
  <c r="BZ51" i="6"/>
  <c r="BZ105" i="6"/>
  <c r="BZ61" i="6"/>
  <c r="BZ96" i="6"/>
  <c r="BZ97" i="6"/>
  <c r="BZ108" i="6"/>
  <c r="BZ26" i="6"/>
  <c r="BZ85" i="6"/>
  <c r="BZ83" i="6"/>
  <c r="BZ81" i="6"/>
  <c r="BZ99" i="6"/>
  <c r="BZ23" i="6"/>
  <c r="BZ77" i="6"/>
  <c r="BZ16" i="6"/>
  <c r="BZ43" i="6"/>
  <c r="BZ86" i="6"/>
  <c r="BZ14" i="6"/>
  <c r="BZ30" i="6"/>
  <c r="BZ69" i="6"/>
  <c r="BZ111" i="6"/>
  <c r="BZ82" i="6"/>
  <c r="BZ104" i="6"/>
  <c r="BZ13" i="6"/>
  <c r="BZ9" i="6"/>
  <c r="BZ11" i="6"/>
  <c r="BZ109" i="6"/>
  <c r="BZ106" i="6"/>
  <c r="BZ107" i="6"/>
  <c r="BZ50" i="6"/>
  <c r="BZ114" i="6"/>
  <c r="BZ44" i="6"/>
  <c r="BZ24" i="6"/>
  <c r="BZ113" i="6"/>
  <c r="BZ46" i="6"/>
  <c r="BZ34" i="6"/>
  <c r="BZ95" i="6"/>
  <c r="BZ87" i="6"/>
  <c r="BZ63" i="6"/>
  <c r="BZ88" i="6"/>
  <c r="BZ90" i="6"/>
  <c r="BZ36" i="6"/>
  <c r="BZ92" i="6"/>
  <c r="BZ10" i="6"/>
  <c r="BZ67" i="6"/>
  <c r="BZ29" i="6"/>
  <c r="BZ53" i="6"/>
  <c r="BZ115" i="6"/>
  <c r="BZ75" i="6"/>
  <c r="BZ8" i="6"/>
  <c r="BZ72" i="6"/>
  <c r="BZ102" i="6"/>
  <c r="BZ58" i="6"/>
  <c r="BZ20" i="6"/>
  <c r="BZ48" i="6"/>
  <c r="BZ73" i="6"/>
  <c r="BZ6" i="6"/>
  <c r="BZ28" i="6"/>
  <c r="BZ60" i="6"/>
  <c r="BZ59" i="6"/>
  <c r="BZ49" i="6"/>
  <c r="BZ19" i="6"/>
  <c r="BZ45" i="6"/>
  <c r="BZ64" i="6"/>
  <c r="BV16" i="6"/>
  <c r="BV33" i="6"/>
  <c r="BV43" i="6"/>
  <c r="BV40" i="6"/>
  <c r="BV86" i="6"/>
  <c r="BV78" i="6"/>
  <c r="BV14" i="6"/>
  <c r="BV94" i="6"/>
  <c r="BV65" i="6"/>
  <c r="BV38" i="6"/>
  <c r="BV31" i="6"/>
  <c r="BV52" i="6"/>
  <c r="BV79" i="6"/>
  <c r="BV12" i="6"/>
  <c r="BV71" i="6"/>
  <c r="BV51" i="6"/>
  <c r="BV105" i="6"/>
  <c r="BV61" i="6"/>
  <c r="BV96" i="6"/>
  <c r="BV97" i="6"/>
  <c r="BV108" i="6"/>
  <c r="BV26" i="6"/>
  <c r="BV85" i="6"/>
  <c r="BV83" i="6"/>
  <c r="BV81" i="6"/>
  <c r="BV99" i="6"/>
  <c r="BV23" i="6"/>
  <c r="BV77" i="6"/>
  <c r="BV17" i="6"/>
  <c r="BV32" i="6"/>
  <c r="BV42" i="6"/>
  <c r="BV93" i="6"/>
  <c r="BV35" i="6"/>
  <c r="BV112" i="6"/>
  <c r="BV39" i="6"/>
  <c r="BV30" i="6"/>
  <c r="BV69" i="6"/>
  <c r="BV111" i="6"/>
  <c r="BV82" i="6"/>
  <c r="BV104" i="6"/>
  <c r="BV13" i="6"/>
  <c r="BV9" i="6"/>
  <c r="BV11" i="6"/>
  <c r="BV109" i="6"/>
  <c r="BV106" i="6"/>
  <c r="BV107" i="6"/>
  <c r="BV50" i="6"/>
  <c r="BV114" i="6"/>
  <c r="BV44" i="6"/>
  <c r="BV24" i="6"/>
  <c r="BV113" i="6"/>
  <c r="BV46" i="6"/>
  <c r="BV34" i="6"/>
  <c r="BV95" i="6"/>
  <c r="BV87" i="6"/>
  <c r="BV63" i="6"/>
  <c r="BV88" i="6"/>
  <c r="BV91" i="6"/>
  <c r="BV90" i="6"/>
  <c r="BV103" i="6"/>
  <c r="BV36" i="6"/>
  <c r="BV15" i="6"/>
  <c r="BV92" i="6"/>
  <c r="BV10" i="6"/>
  <c r="BV67" i="6"/>
  <c r="BV29" i="6"/>
  <c r="BV53" i="6"/>
  <c r="BV115" i="6"/>
  <c r="BV75" i="6"/>
  <c r="BV8" i="6"/>
  <c r="BV72" i="6"/>
  <c r="BV102" i="6"/>
  <c r="BV58" i="6"/>
  <c r="BV20" i="6"/>
  <c r="BV48" i="6"/>
  <c r="BV73" i="6"/>
  <c r="BV6" i="6"/>
  <c r="BV28" i="6"/>
  <c r="BV60" i="6"/>
  <c r="BV59" i="6"/>
  <c r="BV49" i="6"/>
  <c r="BV19" i="6"/>
  <c r="BV45" i="6"/>
  <c r="BV64" i="6"/>
  <c r="BV117" i="6"/>
  <c r="BV110" i="6"/>
  <c r="BV89" i="6"/>
  <c r="BV41" i="6"/>
  <c r="BV101" i="6"/>
  <c r="BV37" i="6"/>
  <c r="BV56" i="6"/>
  <c r="BV47" i="6"/>
  <c r="BV68" i="6"/>
  <c r="BV66" i="6"/>
  <c r="BV21" i="6"/>
  <c r="BV54" i="6"/>
  <c r="BV18" i="6"/>
  <c r="BV74" i="6"/>
  <c r="BV70" i="6"/>
  <c r="BV55" i="6"/>
  <c r="BV80" i="6"/>
  <c r="BV57" i="6"/>
  <c r="BV76" i="6"/>
  <c r="BV98" i="6"/>
  <c r="BV22" i="6"/>
  <c r="BV25" i="6"/>
  <c r="BV27" i="6"/>
  <c r="BV84" i="6"/>
  <c r="BV116" i="6"/>
  <c r="BV100" i="6"/>
  <c r="BV7" i="6"/>
  <c r="BV62" i="6"/>
  <c r="BR117" i="6"/>
  <c r="BR110" i="6"/>
  <c r="BR89" i="6"/>
  <c r="BR41" i="6"/>
  <c r="BR101" i="6"/>
  <c r="BR37" i="6"/>
  <c r="BR56" i="6"/>
  <c r="BR47" i="6"/>
  <c r="BR68" i="6"/>
  <c r="BR66" i="6"/>
  <c r="BR21" i="6"/>
  <c r="BR54" i="6"/>
  <c r="BR18" i="6"/>
  <c r="BR74" i="6"/>
  <c r="BR70" i="6"/>
  <c r="BR55" i="6"/>
  <c r="BR80" i="6"/>
  <c r="BR57" i="6"/>
  <c r="BR76" i="6"/>
  <c r="BR98" i="6"/>
  <c r="BR22" i="6"/>
  <c r="BR25" i="6"/>
  <c r="BR27" i="6"/>
  <c r="BR84" i="6"/>
  <c r="BR116" i="6"/>
  <c r="BR100" i="6"/>
  <c r="BR7" i="6"/>
  <c r="BR62" i="6"/>
  <c r="BR16" i="6"/>
  <c r="BR33" i="6"/>
  <c r="BR43" i="6"/>
  <c r="BR40" i="6"/>
  <c r="BR86" i="6"/>
  <c r="BR78" i="6"/>
  <c r="BR14" i="6"/>
  <c r="BR94" i="6"/>
  <c r="BR65" i="6"/>
  <c r="BR38" i="6"/>
  <c r="BR31" i="6"/>
  <c r="BR52" i="6"/>
  <c r="BR79" i="6"/>
  <c r="BR12" i="6"/>
  <c r="BR71" i="6"/>
  <c r="BR51" i="6"/>
  <c r="BR105" i="6"/>
  <c r="BR61" i="6"/>
  <c r="BR96" i="6"/>
  <c r="BR97" i="6"/>
  <c r="BR108" i="6"/>
  <c r="BR26" i="6"/>
  <c r="BR85" i="6"/>
  <c r="BR83" i="6"/>
  <c r="BR81" i="6"/>
  <c r="BR99" i="6"/>
  <c r="BR23" i="6"/>
  <c r="BR77" i="6"/>
  <c r="BR17" i="6"/>
  <c r="BR32" i="6"/>
  <c r="BR42" i="6"/>
  <c r="BR93" i="6"/>
  <c r="BR35" i="6"/>
  <c r="BR112" i="6"/>
  <c r="BR39" i="6"/>
  <c r="BR30" i="6"/>
  <c r="BR69" i="6"/>
  <c r="BR111" i="6"/>
  <c r="BR82" i="6"/>
  <c r="BR104" i="6"/>
  <c r="BR13" i="6"/>
  <c r="BR9" i="6"/>
  <c r="BR11" i="6"/>
  <c r="BR109" i="6"/>
  <c r="BR106" i="6"/>
  <c r="BR107" i="6"/>
  <c r="BR50" i="6"/>
  <c r="BR114" i="6"/>
  <c r="BR44" i="6"/>
  <c r="BR24" i="6"/>
  <c r="BR113" i="6"/>
  <c r="BR88" i="6"/>
  <c r="BR91" i="6"/>
  <c r="BR90" i="6"/>
  <c r="BR103" i="6"/>
  <c r="BR36" i="6"/>
  <c r="BR15" i="6"/>
  <c r="BR92" i="6"/>
  <c r="BR10" i="6"/>
  <c r="BR67" i="6"/>
  <c r="BR29" i="6"/>
  <c r="BR53" i="6"/>
  <c r="BR115" i="6"/>
  <c r="BR75" i="6"/>
  <c r="BR8" i="6"/>
  <c r="BR72" i="6"/>
  <c r="BR102" i="6"/>
  <c r="BR58" i="6"/>
  <c r="BR20" i="6"/>
  <c r="BR48" i="6"/>
  <c r="BR73" i="6"/>
  <c r="BR6" i="6"/>
  <c r="BR28" i="6"/>
  <c r="BR60" i="6"/>
  <c r="BR59" i="6"/>
  <c r="BR49" i="6"/>
  <c r="BR19" i="6"/>
  <c r="BR45" i="6"/>
  <c r="BR64" i="6"/>
  <c r="BR34" i="6"/>
  <c r="BR95" i="6"/>
  <c r="BR87" i="6"/>
  <c r="BR46" i="6"/>
  <c r="BR63" i="6"/>
  <c r="BP117" i="6"/>
  <c r="BP110" i="6"/>
  <c r="BP89" i="6"/>
  <c r="BP41" i="6"/>
  <c r="BP101" i="6"/>
  <c r="BP37" i="6"/>
  <c r="BP56" i="6"/>
  <c r="BP47" i="6"/>
  <c r="BP68" i="6"/>
  <c r="BP66" i="6"/>
  <c r="BP21" i="6"/>
  <c r="BP54" i="6"/>
  <c r="BP18" i="6"/>
  <c r="BP74" i="6"/>
  <c r="BP70" i="6"/>
  <c r="BP55" i="6"/>
  <c r="BP80" i="6"/>
  <c r="BP57" i="6"/>
  <c r="BP76" i="6"/>
  <c r="BP98" i="6"/>
  <c r="BP22" i="6"/>
  <c r="BP25" i="6"/>
  <c r="BP27" i="6"/>
  <c r="BP84" i="6"/>
  <c r="BP116" i="6"/>
  <c r="BP100" i="6"/>
  <c r="BP7" i="6"/>
  <c r="BP62" i="6"/>
  <c r="BP16" i="6"/>
  <c r="BP33" i="6"/>
  <c r="BP43" i="6"/>
  <c r="BP40" i="6"/>
  <c r="BP86" i="6"/>
  <c r="BP78" i="6"/>
  <c r="BP14" i="6"/>
  <c r="BP94" i="6"/>
  <c r="BP65" i="6"/>
  <c r="BP38" i="6"/>
  <c r="BP31" i="6"/>
  <c r="BP52" i="6"/>
  <c r="BP79" i="6"/>
  <c r="BP12" i="6"/>
  <c r="BP71" i="6"/>
  <c r="BP51" i="6"/>
  <c r="BP105" i="6"/>
  <c r="BP61" i="6"/>
  <c r="BP96" i="6"/>
  <c r="BP97" i="6"/>
  <c r="BP108" i="6"/>
  <c r="BP26" i="6"/>
  <c r="BP85" i="6"/>
  <c r="BP83" i="6"/>
  <c r="BP81" i="6"/>
  <c r="BP99" i="6"/>
  <c r="BP23" i="6"/>
  <c r="BP77" i="6"/>
  <c r="BP17" i="6"/>
  <c r="BP32" i="6"/>
  <c r="BP42" i="6"/>
  <c r="BP93" i="6"/>
  <c r="BP35" i="6"/>
  <c r="BP112" i="6"/>
  <c r="BP39" i="6"/>
  <c r="BP30" i="6"/>
  <c r="BP69" i="6"/>
  <c r="BP111" i="6"/>
  <c r="BP82" i="6"/>
  <c r="BP104" i="6"/>
  <c r="BP13" i="6"/>
  <c r="BP9" i="6"/>
  <c r="BP11" i="6"/>
  <c r="BP109" i="6"/>
  <c r="BP106" i="6"/>
  <c r="BP107" i="6"/>
  <c r="BP50" i="6"/>
  <c r="BP114" i="6"/>
  <c r="BP44" i="6"/>
  <c r="BP24" i="6"/>
  <c r="BP113" i="6"/>
  <c r="BP46" i="6"/>
  <c r="BP34" i="6"/>
  <c r="BP95" i="6"/>
  <c r="BP87" i="6"/>
  <c r="BP63" i="6"/>
  <c r="BP88" i="6"/>
  <c r="BP91" i="6"/>
  <c r="BP90" i="6"/>
  <c r="BP103" i="6"/>
  <c r="BP36" i="6"/>
  <c r="BP15" i="6"/>
  <c r="BP92" i="6"/>
  <c r="BP10" i="6"/>
  <c r="BP67" i="6"/>
  <c r="BP29" i="6"/>
  <c r="BP53" i="6"/>
  <c r="BP115" i="6"/>
  <c r="BP75" i="6"/>
  <c r="BP8" i="6"/>
  <c r="BP72" i="6"/>
  <c r="BP102" i="6"/>
  <c r="BP58" i="6"/>
  <c r="BP20" i="6"/>
  <c r="BP48" i="6"/>
  <c r="BP73" i="6"/>
  <c r="BP6" i="6"/>
  <c r="BP28" i="6"/>
  <c r="BP60" i="6"/>
  <c r="BP59" i="6"/>
  <c r="BP49" i="6"/>
  <c r="BP19" i="6"/>
  <c r="BP45" i="6"/>
  <c r="BP64" i="6"/>
  <c r="BY16" i="6"/>
  <c r="BY33" i="6"/>
  <c r="BY43" i="6"/>
  <c r="BY40" i="6"/>
  <c r="BY86" i="6"/>
  <c r="BY78" i="6"/>
  <c r="BY14" i="6"/>
  <c r="BY94" i="6"/>
  <c r="BY65" i="6"/>
  <c r="BY38" i="6"/>
  <c r="BY31" i="6"/>
  <c r="BY52" i="6"/>
  <c r="BY79" i="6"/>
  <c r="BY12" i="6"/>
  <c r="BY71" i="6"/>
  <c r="BY51" i="6"/>
  <c r="BY105" i="6"/>
  <c r="BY61" i="6"/>
  <c r="BY96" i="6"/>
  <c r="BY17" i="6"/>
  <c r="BY32" i="6"/>
  <c r="BY42" i="6"/>
  <c r="BY93" i="6"/>
  <c r="BY35" i="6"/>
  <c r="BY112" i="6"/>
  <c r="BY39" i="6"/>
  <c r="BY30" i="6"/>
  <c r="BY69" i="6"/>
  <c r="BY111" i="6"/>
  <c r="BY82" i="6"/>
  <c r="BY104" i="6"/>
  <c r="BY13" i="6"/>
  <c r="BY9" i="6"/>
  <c r="BY11" i="6"/>
  <c r="BY109" i="6"/>
  <c r="BY106" i="6"/>
  <c r="BY107" i="6"/>
  <c r="BY50" i="6"/>
  <c r="BY114" i="6"/>
  <c r="BY44" i="6"/>
  <c r="BY24" i="6"/>
  <c r="BY113" i="6"/>
  <c r="BY46" i="6"/>
  <c r="BY34" i="6"/>
  <c r="BY95" i="6"/>
  <c r="BY87" i="6"/>
  <c r="BY63" i="6"/>
  <c r="BY88" i="6"/>
  <c r="BY91" i="6"/>
  <c r="BY90" i="6"/>
  <c r="BY103" i="6"/>
  <c r="BY36" i="6"/>
  <c r="BY15" i="6"/>
  <c r="BY92" i="6"/>
  <c r="BY10" i="6"/>
  <c r="BY67" i="6"/>
  <c r="BY29" i="6"/>
  <c r="BY117" i="6"/>
  <c r="BY110" i="6"/>
  <c r="BY89" i="6"/>
  <c r="BY41" i="6"/>
  <c r="BY101" i="6"/>
  <c r="BY37" i="6"/>
  <c r="BY56" i="6"/>
  <c r="BY47" i="6"/>
  <c r="BY68" i="6"/>
  <c r="BY66" i="6"/>
  <c r="BY21" i="6"/>
  <c r="BY54" i="6"/>
  <c r="BY18" i="6"/>
  <c r="BY74" i="6"/>
  <c r="BY70" i="6"/>
  <c r="BY55" i="6"/>
  <c r="BY80" i="6"/>
  <c r="BY57" i="6"/>
  <c r="BY76" i="6"/>
  <c r="BY98" i="6"/>
  <c r="BY22" i="6"/>
  <c r="BY25" i="6"/>
  <c r="BY27" i="6"/>
  <c r="BY84" i="6"/>
  <c r="BY116" i="6"/>
  <c r="BY100" i="6"/>
  <c r="BY7" i="6"/>
  <c r="BY62" i="6"/>
  <c r="BY115" i="6"/>
  <c r="BY102" i="6"/>
  <c r="BY97" i="6"/>
  <c r="BY26" i="6"/>
  <c r="BY83" i="6"/>
  <c r="BY99" i="6"/>
  <c r="BY77" i="6"/>
  <c r="BY75" i="6"/>
  <c r="BY58" i="6"/>
  <c r="BY73" i="6"/>
  <c r="BY28" i="6"/>
  <c r="BY59" i="6"/>
  <c r="BY19" i="6"/>
  <c r="BY64" i="6"/>
  <c r="BY8" i="6"/>
  <c r="BY20" i="6"/>
  <c r="BY108" i="6"/>
  <c r="BY85" i="6"/>
  <c r="BY81" i="6"/>
  <c r="BY23" i="6"/>
  <c r="BY53" i="6"/>
  <c r="BY72" i="6"/>
  <c r="BY48" i="6"/>
  <c r="BY6" i="6"/>
  <c r="BY60" i="6"/>
  <c r="BY49" i="6"/>
  <c r="BY45" i="6"/>
  <c r="BU16" i="6"/>
  <c r="BU33" i="6"/>
  <c r="BU43" i="6"/>
  <c r="BU40" i="6"/>
  <c r="BU86" i="6"/>
  <c r="BU78" i="6"/>
  <c r="BU14" i="6"/>
  <c r="BU94" i="6"/>
  <c r="BU65" i="6"/>
  <c r="BU38" i="6"/>
  <c r="BU31" i="6"/>
  <c r="BU52" i="6"/>
  <c r="BU79" i="6"/>
  <c r="BU12" i="6"/>
  <c r="BU71" i="6"/>
  <c r="BU51" i="6"/>
  <c r="BU105" i="6"/>
  <c r="BU61" i="6"/>
  <c r="BU96" i="6"/>
  <c r="BU97" i="6"/>
  <c r="BU108" i="6"/>
  <c r="BU26" i="6"/>
  <c r="BU85" i="6"/>
  <c r="BU83" i="6"/>
  <c r="BU81" i="6"/>
  <c r="BU99" i="6"/>
  <c r="BU23" i="6"/>
  <c r="BU77" i="6"/>
  <c r="BU17" i="6"/>
  <c r="BU32" i="6"/>
  <c r="BU42" i="6"/>
  <c r="BU93" i="6"/>
  <c r="BU35" i="6"/>
  <c r="BU112" i="6"/>
  <c r="BU39" i="6"/>
  <c r="BU30" i="6"/>
  <c r="BU69" i="6"/>
  <c r="BU111" i="6"/>
  <c r="BU82" i="6"/>
  <c r="BU104" i="6"/>
  <c r="BU13" i="6"/>
  <c r="BU9" i="6"/>
  <c r="BU11" i="6"/>
  <c r="BU109" i="6"/>
  <c r="BU106" i="6"/>
  <c r="BU107" i="6"/>
  <c r="BU50" i="6"/>
  <c r="BU114" i="6"/>
  <c r="BU44" i="6"/>
  <c r="BU24" i="6"/>
  <c r="BU113" i="6"/>
  <c r="BU46" i="6"/>
  <c r="BU34" i="6"/>
  <c r="BU95" i="6"/>
  <c r="BU87" i="6"/>
  <c r="BU63" i="6"/>
  <c r="BU88" i="6"/>
  <c r="BU91" i="6"/>
  <c r="BU90" i="6"/>
  <c r="BU103" i="6"/>
  <c r="BU36" i="6"/>
  <c r="BU15" i="6"/>
  <c r="BU92" i="6"/>
  <c r="BU10" i="6"/>
  <c r="BU67" i="6"/>
  <c r="BU29" i="6"/>
  <c r="BU53" i="6"/>
  <c r="BU115" i="6"/>
  <c r="BU75" i="6"/>
  <c r="BU8" i="6"/>
  <c r="BU72" i="6"/>
  <c r="BU102" i="6"/>
  <c r="BU58" i="6"/>
  <c r="BU20" i="6"/>
  <c r="BU48" i="6"/>
  <c r="BU73" i="6"/>
  <c r="BU6" i="6"/>
  <c r="BU28" i="6"/>
  <c r="BU60" i="6"/>
  <c r="BU59" i="6"/>
  <c r="BU49" i="6"/>
  <c r="BU19" i="6"/>
  <c r="BU45" i="6"/>
  <c r="BU64" i="6"/>
  <c r="BU117" i="6"/>
  <c r="BU110" i="6"/>
  <c r="BU89" i="6"/>
  <c r="BU41" i="6"/>
  <c r="BU101" i="6"/>
  <c r="BU37" i="6"/>
  <c r="BU56" i="6"/>
  <c r="BU47" i="6"/>
  <c r="BU68" i="6"/>
  <c r="BU66" i="6"/>
  <c r="BU21" i="6"/>
  <c r="BU54" i="6"/>
  <c r="BU18" i="6"/>
  <c r="BU74" i="6"/>
  <c r="BU70" i="6"/>
  <c r="BU55" i="6"/>
  <c r="BU80" i="6"/>
  <c r="BU57" i="6"/>
  <c r="BU76" i="6"/>
  <c r="BU98" i="6"/>
  <c r="BU22" i="6"/>
  <c r="BU25" i="6"/>
  <c r="BU27" i="6"/>
  <c r="BU84" i="6"/>
  <c r="BU116" i="6"/>
  <c r="BU100" i="6"/>
  <c r="BU7" i="6"/>
  <c r="BU62" i="6"/>
  <c r="DZ7" i="2"/>
  <c r="DV7" i="2"/>
  <c r="DQ7" i="2"/>
  <c r="DY7" i="2"/>
  <c r="DU7" i="2"/>
  <c r="DS7" i="2"/>
  <c r="EB7" i="2"/>
  <c r="DX7" i="2"/>
  <c r="DT7" i="2"/>
  <c r="DR7" i="2"/>
  <c r="EA7" i="2"/>
  <c r="DW7" i="2"/>
  <c r="DR5" i="2"/>
  <c r="FX5" i="2" s="1"/>
  <c r="EA5" i="2"/>
  <c r="GG5" i="2" s="1"/>
  <c r="DW5" i="2"/>
  <c r="GC5" i="2" s="1"/>
  <c r="DS5" i="2"/>
  <c r="FY5" i="2" s="1"/>
  <c r="DZ5" i="2"/>
  <c r="GF5" i="2" s="1"/>
  <c r="DV5" i="2"/>
  <c r="GB5" i="2" s="1"/>
  <c r="DY5" i="2"/>
  <c r="GE5" i="2" s="1"/>
  <c r="DU5" i="2"/>
  <c r="GA5" i="2" s="1"/>
  <c r="EB5" i="2"/>
  <c r="GH5" i="2" s="1"/>
  <c r="DX5" i="2"/>
  <c r="GD5" i="2" s="1"/>
  <c r="DT5" i="2"/>
  <c r="FZ5" i="2" s="1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R7" i="3"/>
  <c r="R8" i="3"/>
  <c r="R5" i="3"/>
  <c r="R10" i="3"/>
  <c r="R11" i="3"/>
  <c r="R12" i="3"/>
  <c r="J7" i="3"/>
  <c r="J6" i="3"/>
  <c r="J8" i="3"/>
  <c r="J5" i="3"/>
  <c r="J9" i="3"/>
  <c r="J11" i="3"/>
  <c r="J12" i="3"/>
  <c r="J10" i="3"/>
  <c r="H7" i="3"/>
  <c r="H6" i="3"/>
  <c r="H5" i="3"/>
  <c r="H9" i="3"/>
  <c r="H8" i="3"/>
  <c r="H11" i="3"/>
  <c r="H12" i="3"/>
  <c r="H10" i="3"/>
  <c r="CZ9" i="2"/>
  <c r="G47" i="3"/>
  <c r="BM47" i="3" s="1"/>
  <c r="G46" i="3"/>
  <c r="BM46" i="3" s="1"/>
  <c r="G48" i="3"/>
  <c r="BM48" i="3" s="1"/>
  <c r="G45" i="3"/>
  <c r="BM45" i="3" s="1"/>
  <c r="G49" i="3"/>
  <c r="BM49" i="3" s="1"/>
  <c r="CZ6" i="2"/>
  <c r="EC6" i="2" s="1"/>
  <c r="G27" i="3"/>
  <c r="BM27" i="3" s="1"/>
  <c r="G28" i="3"/>
  <c r="BM28" i="3" s="1"/>
  <c r="G25" i="3"/>
  <c r="BM25" i="3" s="1"/>
  <c r="G22" i="3"/>
  <c r="G15" i="3"/>
  <c r="G16" i="3"/>
  <c r="G13" i="3"/>
  <c r="G29" i="3"/>
  <c r="BM29" i="3" s="1"/>
  <c r="G26" i="3"/>
  <c r="BM26" i="3" s="1"/>
  <c r="G19" i="3"/>
  <c r="G20" i="3"/>
  <c r="G17" i="3"/>
  <c r="G14" i="3"/>
  <c r="G30" i="3"/>
  <c r="BM30" i="3" s="1"/>
  <c r="G23" i="3"/>
  <c r="G24" i="3"/>
  <c r="G21" i="3"/>
  <c r="G18" i="3"/>
  <c r="Q6" i="3"/>
  <c r="Q5" i="3"/>
  <c r="Q8" i="3"/>
  <c r="Q9" i="3"/>
  <c r="Q7" i="3"/>
  <c r="Q10" i="3"/>
  <c r="Q11" i="3"/>
  <c r="Q12" i="3"/>
  <c r="M8" i="3"/>
  <c r="M5" i="3"/>
  <c r="M9" i="3"/>
  <c r="M6" i="3"/>
  <c r="M7" i="3"/>
  <c r="M10" i="3"/>
  <c r="M11" i="3"/>
  <c r="M12" i="3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P49" i="3"/>
  <c r="BV49" i="3" s="1"/>
  <c r="P46" i="3"/>
  <c r="BV46" i="3" s="1"/>
  <c r="P47" i="3"/>
  <c r="BV47" i="3" s="1"/>
  <c r="P45" i="3"/>
  <c r="BV45" i="3" s="1"/>
  <c r="P48" i="3"/>
  <c r="BV48" i="3" s="1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L26" i="3"/>
  <c r="BR26" i="3" s="1"/>
  <c r="L23" i="3"/>
  <c r="BR23" i="3" s="1"/>
  <c r="L24" i="3"/>
  <c r="BR24" i="3" s="1"/>
  <c r="L21" i="3"/>
  <c r="BR21" i="3" s="1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L5" i="3"/>
  <c r="L9" i="3"/>
  <c r="L6" i="3"/>
  <c r="L7" i="3"/>
  <c r="L10" i="3"/>
  <c r="L11" i="3"/>
  <c r="L12" i="3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O45" i="3"/>
  <c r="BU45" i="3" s="1"/>
  <c r="O49" i="3"/>
  <c r="BU49" i="3" s="1"/>
  <c r="O47" i="3"/>
  <c r="BU47" i="3" s="1"/>
  <c r="O46" i="3"/>
  <c r="BU46" i="3" s="1"/>
  <c r="O48" i="3"/>
  <c r="BU48" i="3" s="1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P9" i="3"/>
  <c r="P7" i="3"/>
  <c r="P5" i="3"/>
  <c r="P12" i="3"/>
  <c r="P10" i="3"/>
  <c r="P11" i="3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G9" i="3"/>
  <c r="G10" i="3"/>
  <c r="G11" i="3"/>
  <c r="G12" i="3"/>
  <c r="CZ7" i="2"/>
  <c r="EC7" i="2" s="1"/>
  <c r="G35" i="3"/>
  <c r="BM35" i="3" s="1"/>
  <c r="G36" i="3"/>
  <c r="BM36" i="3" s="1"/>
  <c r="CZ8" i="2"/>
  <c r="G43" i="3"/>
  <c r="BM43" i="3" s="1"/>
  <c r="G39" i="3"/>
  <c r="BM39" i="3" s="1"/>
  <c r="G33" i="3"/>
  <c r="BM33" i="3" s="1"/>
  <c r="G38" i="3"/>
  <c r="BM38" i="3" s="1"/>
  <c r="G32" i="3"/>
  <c r="BM32" i="3" s="1"/>
  <c r="G37" i="3"/>
  <c r="BM37" i="3" s="1"/>
  <c r="G42" i="3"/>
  <c r="BM42" i="3" s="1"/>
  <c r="G40" i="3"/>
  <c r="BM40" i="3" s="1"/>
  <c r="G41" i="3"/>
  <c r="BM41" i="3" s="1"/>
  <c r="G31" i="3"/>
  <c r="BM31" i="3" s="1"/>
  <c r="G44" i="3"/>
  <c r="BM44" i="3" s="1"/>
  <c r="G34" i="3"/>
  <c r="BM34" i="3" s="1"/>
  <c r="CZ5" i="2"/>
  <c r="O6" i="3"/>
  <c r="O5" i="3"/>
  <c r="O8" i="3"/>
  <c r="O9" i="3"/>
  <c r="O7" i="3"/>
  <c r="O12" i="3"/>
  <c r="O10" i="3"/>
  <c r="O11" i="3"/>
  <c r="K6" i="3"/>
  <c r="K5" i="3"/>
  <c r="K7" i="3"/>
  <c r="K8" i="3"/>
  <c r="K9" i="3"/>
  <c r="K12" i="3"/>
  <c r="K10" i="3"/>
  <c r="K11" i="3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R49" i="3"/>
  <c r="BX49" i="3" s="1"/>
  <c r="R47" i="3"/>
  <c r="BX47" i="3" s="1"/>
  <c r="R46" i="3"/>
  <c r="BX46" i="3" s="1"/>
  <c r="R48" i="3"/>
  <c r="BX48" i="3" s="1"/>
  <c r="R45" i="3"/>
  <c r="BX45" i="3" s="1"/>
  <c r="N49" i="3"/>
  <c r="BT49" i="3" s="1"/>
  <c r="N46" i="3"/>
  <c r="BT46" i="3" s="1"/>
  <c r="N48" i="3"/>
  <c r="BT48" i="3" s="1"/>
  <c r="N47" i="3"/>
  <c r="BT47" i="3" s="1"/>
  <c r="N45" i="3"/>
  <c r="BT45" i="3" s="1"/>
  <c r="J45" i="3"/>
  <c r="BP45" i="3" s="1"/>
  <c r="J49" i="3"/>
  <c r="BP49" i="3" s="1"/>
  <c r="J46" i="3"/>
  <c r="BP46" i="3" s="1"/>
  <c r="J48" i="3"/>
  <c r="BP48" i="3" s="1"/>
  <c r="J47" i="3"/>
  <c r="BP47" i="3" s="1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I6" i="3"/>
  <c r="I5" i="3"/>
  <c r="I9" i="3"/>
  <c r="I7" i="3"/>
  <c r="I10" i="3"/>
  <c r="I11" i="3"/>
  <c r="I12" i="3"/>
  <c r="N8" i="3"/>
  <c r="N7" i="3"/>
  <c r="N5" i="3"/>
  <c r="N9" i="3"/>
  <c r="N6" i="3"/>
  <c r="N11" i="3"/>
  <c r="N12" i="3"/>
  <c r="N10" i="3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Q48" i="3"/>
  <c r="BW48" i="3" s="1"/>
  <c r="Q47" i="3"/>
  <c r="BW47" i="3" s="1"/>
  <c r="Q45" i="3"/>
  <c r="BW45" i="3" s="1"/>
  <c r="Q49" i="3"/>
  <c r="BW49" i="3" s="1"/>
  <c r="Q46" i="3"/>
  <c r="BW46" i="3" s="1"/>
  <c r="M47" i="3"/>
  <c r="BS47" i="3" s="1"/>
  <c r="M45" i="3"/>
  <c r="BS45" i="3" s="1"/>
  <c r="M48" i="3"/>
  <c r="BS48" i="3" s="1"/>
  <c r="M49" i="3"/>
  <c r="BS49" i="3" s="1"/>
  <c r="M46" i="3"/>
  <c r="BS46" i="3" s="1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I13" i="3"/>
  <c r="I29" i="3"/>
  <c r="BO29" i="3" s="1"/>
  <c r="I26" i="3"/>
  <c r="BO26" i="3" s="1"/>
  <c r="I23" i="3"/>
  <c r="BO23" i="3" s="1"/>
  <c r="I24" i="3"/>
  <c r="BO24" i="3" s="1"/>
  <c r="BW8" i="2"/>
  <c r="BW7" i="2"/>
  <c r="BW5" i="2"/>
  <c r="BW6" i="2"/>
  <c r="AN13" i="3" s="1"/>
  <c r="EX6" i="2" s="1"/>
  <c r="GA6" i="2" s="1"/>
  <c r="BW9" i="2"/>
  <c r="AU12" i="6" l="1"/>
  <c r="BZ15" i="6"/>
  <c r="AF64" i="6"/>
  <c r="AI64" i="6" s="1"/>
  <c r="AK64" i="6" s="1"/>
  <c r="CJ64" i="6"/>
  <c r="CM64" i="6"/>
  <c r="CI64" i="6"/>
  <c r="CE64" i="6"/>
  <c r="CD64" i="6"/>
  <c r="CB64" i="6"/>
  <c r="CL64" i="6"/>
  <c r="CH64" i="6"/>
  <c r="CK64" i="6"/>
  <c r="CG64" i="6"/>
  <c r="CF64" i="6"/>
  <c r="AY64" i="6"/>
  <c r="AZ64" i="6"/>
  <c r="BA64" i="6"/>
  <c r="DG64" i="6" s="1"/>
  <c r="BB64" i="6"/>
  <c r="BC64" i="6"/>
  <c r="DI64" i="6" s="1"/>
  <c r="BD64" i="6"/>
  <c r="BF64" i="6"/>
  <c r="DL64" i="6" s="1"/>
  <c r="BH64" i="6"/>
  <c r="BE64" i="6"/>
  <c r="DK64" i="6" s="1"/>
  <c r="EN64" i="6" s="1"/>
  <c r="BG64" i="6"/>
  <c r="DM64" i="6" s="1"/>
  <c r="EP64" i="6" s="1"/>
  <c r="BJ64" i="6"/>
  <c r="DP64" i="6" s="1"/>
  <c r="ES64" i="6" s="1"/>
  <c r="CC64" i="6"/>
  <c r="BI64" i="6"/>
  <c r="DO64" i="6" s="1"/>
  <c r="CO64" i="6"/>
  <c r="CQ64" i="6"/>
  <c r="CP64" i="6"/>
  <c r="CN64" i="6"/>
  <c r="AF59" i="6"/>
  <c r="AI59" i="6" s="1"/>
  <c r="AK59" i="6" s="1"/>
  <c r="DR59" i="6" s="1"/>
  <c r="CJ59" i="6"/>
  <c r="CM59" i="6"/>
  <c r="CI59" i="6"/>
  <c r="CE59" i="6"/>
  <c r="CD59" i="6"/>
  <c r="CB59" i="6"/>
  <c r="CL59" i="6"/>
  <c r="CH59" i="6"/>
  <c r="CK59" i="6"/>
  <c r="CG59" i="6"/>
  <c r="CF59" i="6"/>
  <c r="AY59" i="6"/>
  <c r="AZ59" i="6"/>
  <c r="BA59" i="6"/>
  <c r="BB59" i="6"/>
  <c r="BC59" i="6"/>
  <c r="DI59" i="6" s="1"/>
  <c r="BD59" i="6"/>
  <c r="BF59" i="6"/>
  <c r="BH59" i="6"/>
  <c r="BE59" i="6"/>
  <c r="DK59" i="6" s="1"/>
  <c r="EN59" i="6" s="1"/>
  <c r="BG59" i="6"/>
  <c r="BJ59" i="6"/>
  <c r="CC59" i="6"/>
  <c r="BI59" i="6"/>
  <c r="DO59" i="6" s="1"/>
  <c r="CO59" i="6"/>
  <c r="CQ59" i="6"/>
  <c r="CP59" i="6"/>
  <c r="CN59" i="6"/>
  <c r="AF73" i="6"/>
  <c r="AI73" i="6" s="1"/>
  <c r="AK73" i="6" s="1"/>
  <c r="CJ73" i="6"/>
  <c r="CM73" i="6"/>
  <c r="CI73" i="6"/>
  <c r="CE73" i="6"/>
  <c r="CD73" i="6"/>
  <c r="CB73" i="6"/>
  <c r="CL73" i="6"/>
  <c r="CH73" i="6"/>
  <c r="CK73" i="6"/>
  <c r="CG73" i="6"/>
  <c r="CF73" i="6"/>
  <c r="AY73" i="6"/>
  <c r="AZ73" i="6"/>
  <c r="BB73" i="6"/>
  <c r="BC73" i="6"/>
  <c r="BD73" i="6"/>
  <c r="DJ73" i="6" s="1"/>
  <c r="BF73" i="6"/>
  <c r="BH73" i="6"/>
  <c r="BE73" i="6"/>
  <c r="BG73" i="6"/>
  <c r="DM73" i="6" s="1"/>
  <c r="BA73" i="6"/>
  <c r="BJ73" i="6"/>
  <c r="CC73" i="6"/>
  <c r="BI73" i="6"/>
  <c r="DO73" i="6" s="1"/>
  <c r="CO73" i="6"/>
  <c r="CQ73" i="6"/>
  <c r="CP73" i="6"/>
  <c r="CN73" i="6"/>
  <c r="AF102" i="6"/>
  <c r="AI102" i="6" s="1"/>
  <c r="AK102" i="6" s="1"/>
  <c r="CJ102" i="6"/>
  <c r="CM102" i="6"/>
  <c r="CI102" i="6"/>
  <c r="CE102" i="6"/>
  <c r="CD102" i="6"/>
  <c r="CB102" i="6"/>
  <c r="CL102" i="6"/>
  <c r="CH102" i="6"/>
  <c r="CK102" i="6"/>
  <c r="CG102" i="6"/>
  <c r="CF102" i="6"/>
  <c r="AY102" i="6"/>
  <c r="AZ102" i="6"/>
  <c r="BA102" i="6"/>
  <c r="BB102" i="6"/>
  <c r="BC102" i="6"/>
  <c r="DI102" i="6" s="1"/>
  <c r="BD102" i="6"/>
  <c r="BG102" i="6"/>
  <c r="BF102" i="6"/>
  <c r="BH102" i="6"/>
  <c r="DN102" i="6" s="1"/>
  <c r="BE102" i="6"/>
  <c r="BI102" i="6"/>
  <c r="CC102" i="6"/>
  <c r="BJ102" i="6"/>
  <c r="DP102" i="6" s="1"/>
  <c r="CO102" i="6"/>
  <c r="CQ102" i="6"/>
  <c r="CP102" i="6"/>
  <c r="CN102" i="6"/>
  <c r="AF115" i="6"/>
  <c r="AI115" i="6" s="1"/>
  <c r="AK115" i="6" s="1"/>
  <c r="CJ115" i="6"/>
  <c r="CM115" i="6"/>
  <c r="CI115" i="6"/>
  <c r="CE115" i="6"/>
  <c r="CD115" i="6"/>
  <c r="CB115" i="6"/>
  <c r="CL115" i="6"/>
  <c r="CK115" i="6"/>
  <c r="CG115" i="6"/>
  <c r="CF115" i="6"/>
  <c r="CH115" i="6"/>
  <c r="AY115" i="6"/>
  <c r="AZ115" i="6"/>
  <c r="BA115" i="6"/>
  <c r="BE115" i="6"/>
  <c r="BB115" i="6"/>
  <c r="DH115" i="6" s="1"/>
  <c r="EK115" i="6" s="1"/>
  <c r="BC115" i="6"/>
  <c r="BD115" i="6"/>
  <c r="BG115" i="6"/>
  <c r="BI115" i="6"/>
  <c r="DO115" i="6" s="1"/>
  <c r="BF115" i="6"/>
  <c r="BH115" i="6"/>
  <c r="DN115" i="6" s="1"/>
  <c r="CC115" i="6"/>
  <c r="BJ115" i="6"/>
  <c r="DP115" i="6" s="1"/>
  <c r="CO115" i="6"/>
  <c r="CQ115" i="6"/>
  <c r="CP115" i="6"/>
  <c r="CN115" i="6"/>
  <c r="AF10" i="6"/>
  <c r="AI10" i="6" s="1"/>
  <c r="AK10" i="6" s="1"/>
  <c r="CJ10" i="6"/>
  <c r="CM10" i="6"/>
  <c r="CI10" i="6"/>
  <c r="CE10" i="6"/>
  <c r="CD10" i="6"/>
  <c r="CB10" i="6"/>
  <c r="CL10" i="6"/>
  <c r="CK10" i="6"/>
  <c r="CG10" i="6"/>
  <c r="CF10" i="6"/>
  <c r="CH10" i="6"/>
  <c r="AY10" i="6"/>
  <c r="AZ10" i="6"/>
  <c r="BA10" i="6"/>
  <c r="BI10" i="6"/>
  <c r="BF10" i="6"/>
  <c r="DL10" i="6" s="1"/>
  <c r="BH10" i="6"/>
  <c r="BB10" i="6"/>
  <c r="BC10" i="6"/>
  <c r="BD10" i="6"/>
  <c r="DJ10" i="6" s="1"/>
  <c r="BE10" i="6"/>
  <c r="BG10" i="6"/>
  <c r="BJ10" i="6"/>
  <c r="CC10" i="6"/>
  <c r="CO10" i="6"/>
  <c r="CQ10" i="6"/>
  <c r="CP10" i="6"/>
  <c r="CN10" i="6"/>
  <c r="AF103" i="6"/>
  <c r="AI103" i="6" s="1"/>
  <c r="AK103" i="6" s="1"/>
  <c r="CJ103" i="6"/>
  <c r="CM103" i="6"/>
  <c r="CI103" i="6"/>
  <c r="CE103" i="6"/>
  <c r="CD103" i="6"/>
  <c r="CB103" i="6"/>
  <c r="CL103" i="6"/>
  <c r="CH103" i="6"/>
  <c r="CK103" i="6"/>
  <c r="CG103" i="6"/>
  <c r="CF103" i="6"/>
  <c r="AY103" i="6"/>
  <c r="AZ103" i="6"/>
  <c r="BA103" i="6"/>
  <c r="BG103" i="6"/>
  <c r="BI103" i="6"/>
  <c r="DO103" i="6" s="1"/>
  <c r="BF103" i="6"/>
  <c r="BH103" i="6"/>
  <c r="BB103" i="6"/>
  <c r="BC103" i="6"/>
  <c r="DI103" i="6" s="1"/>
  <c r="BD103" i="6"/>
  <c r="BE103" i="6"/>
  <c r="CC103" i="6"/>
  <c r="BJ103" i="6"/>
  <c r="DP103" i="6" s="1"/>
  <c r="ES103" i="6" s="1"/>
  <c r="CO103" i="6"/>
  <c r="CQ103" i="6"/>
  <c r="CP103" i="6"/>
  <c r="CN103" i="6"/>
  <c r="AF63" i="6"/>
  <c r="AI63" i="6" s="1"/>
  <c r="AK63" i="6" s="1"/>
  <c r="CJ63" i="6"/>
  <c r="CM63" i="6"/>
  <c r="CI63" i="6"/>
  <c r="CE63" i="6"/>
  <c r="CD63" i="6"/>
  <c r="CB63" i="6"/>
  <c r="CL63" i="6"/>
  <c r="CG63" i="6"/>
  <c r="CF63" i="6"/>
  <c r="CK63" i="6"/>
  <c r="CH63" i="6"/>
  <c r="BA63" i="6"/>
  <c r="DG63" i="6" s="1"/>
  <c r="AZ63" i="6"/>
  <c r="BB63" i="6"/>
  <c r="BC63" i="6"/>
  <c r="AY63" i="6"/>
  <c r="BD63" i="6"/>
  <c r="BE63" i="6"/>
  <c r="BH63" i="6"/>
  <c r="BG63" i="6"/>
  <c r="DM63" i="6" s="1"/>
  <c r="BF63" i="6"/>
  <c r="CC63" i="6"/>
  <c r="BJ63" i="6"/>
  <c r="BI63" i="6"/>
  <c r="DO63" i="6" s="1"/>
  <c r="CO63" i="6"/>
  <c r="CQ63" i="6"/>
  <c r="CP63" i="6"/>
  <c r="CN63" i="6"/>
  <c r="AF46" i="6"/>
  <c r="AI46" i="6" s="1"/>
  <c r="AK46" i="6" s="1"/>
  <c r="CJ46" i="6"/>
  <c r="CM46" i="6"/>
  <c r="CI46" i="6"/>
  <c r="CE46" i="6"/>
  <c r="CD46" i="6"/>
  <c r="CB46" i="6"/>
  <c r="CL46" i="6"/>
  <c r="CH46" i="6"/>
  <c r="CK46" i="6"/>
  <c r="CG46" i="6"/>
  <c r="CF46" i="6"/>
  <c r="BD46" i="6"/>
  <c r="DJ46" i="6" s="1"/>
  <c r="AZ46" i="6"/>
  <c r="BB46" i="6"/>
  <c r="AY46" i="6"/>
  <c r="BC46" i="6"/>
  <c r="DI46" i="6" s="1"/>
  <c r="BF46" i="6"/>
  <c r="BA46" i="6"/>
  <c r="BE46" i="6"/>
  <c r="BH46" i="6"/>
  <c r="DN46" i="6" s="1"/>
  <c r="BG46" i="6"/>
  <c r="BI46" i="6"/>
  <c r="DO46" i="6" s="1"/>
  <c r="BJ46" i="6"/>
  <c r="CC46" i="6"/>
  <c r="CO46" i="6"/>
  <c r="CQ46" i="6"/>
  <c r="FZ46" i="6" s="1"/>
  <c r="CP46" i="6"/>
  <c r="CN46" i="6"/>
  <c r="AF114" i="6"/>
  <c r="AI114" i="6" s="1"/>
  <c r="AK114" i="6" s="1"/>
  <c r="DR114" i="6" s="1"/>
  <c r="CJ114" i="6"/>
  <c r="CM114" i="6"/>
  <c r="CI114" i="6"/>
  <c r="CE114" i="6"/>
  <c r="CD114" i="6"/>
  <c r="CB114" i="6"/>
  <c r="CL114" i="6"/>
  <c r="CK114" i="6"/>
  <c r="CG114" i="6"/>
  <c r="CF114" i="6"/>
  <c r="CH114" i="6"/>
  <c r="AY114" i="6"/>
  <c r="BA114" i="6"/>
  <c r="BC114" i="6"/>
  <c r="BD114" i="6"/>
  <c r="BE114" i="6"/>
  <c r="DK114" i="6" s="1"/>
  <c r="AZ114" i="6"/>
  <c r="BB114" i="6"/>
  <c r="BH114" i="6"/>
  <c r="BG114" i="6"/>
  <c r="DM114" i="6" s="1"/>
  <c r="BI114" i="6"/>
  <c r="BF114" i="6"/>
  <c r="CC114" i="6"/>
  <c r="BJ114" i="6"/>
  <c r="DP114" i="6" s="1"/>
  <c r="CO114" i="6"/>
  <c r="CQ114" i="6"/>
  <c r="CP114" i="6"/>
  <c r="CN114" i="6"/>
  <c r="AF109" i="6"/>
  <c r="AI109" i="6" s="1"/>
  <c r="AK109" i="6" s="1"/>
  <c r="CJ109" i="6"/>
  <c r="CM109" i="6"/>
  <c r="CI109" i="6"/>
  <c r="CE109" i="6"/>
  <c r="CD109" i="6"/>
  <c r="CB109" i="6"/>
  <c r="CL109" i="6"/>
  <c r="CH109" i="6"/>
  <c r="CK109" i="6"/>
  <c r="CG109" i="6"/>
  <c r="CF109" i="6"/>
  <c r="AY109" i="6"/>
  <c r="BA109" i="6"/>
  <c r="BC109" i="6"/>
  <c r="BD109" i="6"/>
  <c r="BE109" i="6"/>
  <c r="DK109" i="6" s="1"/>
  <c r="EN109" i="6" s="1"/>
  <c r="AZ109" i="6"/>
  <c r="BB109" i="6"/>
  <c r="BH109" i="6"/>
  <c r="BG109" i="6"/>
  <c r="DM109" i="6" s="1"/>
  <c r="BF109" i="6"/>
  <c r="BI109" i="6"/>
  <c r="BJ109" i="6"/>
  <c r="CC109" i="6"/>
  <c r="CO109" i="6"/>
  <c r="CQ109" i="6"/>
  <c r="CP109" i="6"/>
  <c r="CN109" i="6"/>
  <c r="AF104" i="6"/>
  <c r="AI104" i="6" s="1"/>
  <c r="AK104" i="6" s="1"/>
  <c r="CJ104" i="6"/>
  <c r="CM104" i="6"/>
  <c r="CI104" i="6"/>
  <c r="CE104" i="6"/>
  <c r="CD104" i="6"/>
  <c r="CB104" i="6"/>
  <c r="CL104" i="6"/>
  <c r="CK104" i="6"/>
  <c r="CG104" i="6"/>
  <c r="CF104" i="6"/>
  <c r="CH104" i="6"/>
  <c r="BB104" i="6"/>
  <c r="DH104" i="6" s="1"/>
  <c r="EK104" i="6" s="1"/>
  <c r="AY104" i="6"/>
  <c r="BA104" i="6"/>
  <c r="BC104" i="6"/>
  <c r="BD104" i="6"/>
  <c r="DJ104" i="6" s="1"/>
  <c r="AZ104" i="6"/>
  <c r="CC104" i="6"/>
  <c r="CO104" i="6"/>
  <c r="CQ104" i="6"/>
  <c r="FZ104" i="6" s="1"/>
  <c r="CP104" i="6"/>
  <c r="CN104" i="6"/>
  <c r="AF30" i="6"/>
  <c r="AI30" i="6" s="1"/>
  <c r="AK30" i="6" s="1"/>
  <c r="CJ30" i="6"/>
  <c r="CM30" i="6"/>
  <c r="CI30" i="6"/>
  <c r="CE30" i="6"/>
  <c r="CD30" i="6"/>
  <c r="CB30" i="6"/>
  <c r="CL30" i="6"/>
  <c r="CH30" i="6"/>
  <c r="CK30" i="6"/>
  <c r="CG30" i="6"/>
  <c r="CF30" i="6"/>
  <c r="CC30" i="6"/>
  <c r="CO30" i="6"/>
  <c r="CQ30" i="6"/>
  <c r="CP30" i="6"/>
  <c r="CN30" i="6"/>
  <c r="AF93" i="6"/>
  <c r="AI93" i="6" s="1"/>
  <c r="AK93" i="6" s="1"/>
  <c r="CJ93" i="6"/>
  <c r="CM93" i="6"/>
  <c r="CI93" i="6"/>
  <c r="CE93" i="6"/>
  <c r="CD93" i="6"/>
  <c r="CB93" i="6"/>
  <c r="CL93" i="6"/>
  <c r="CK93" i="6"/>
  <c r="CG93" i="6"/>
  <c r="CF93" i="6"/>
  <c r="CH93" i="6"/>
  <c r="CC93" i="6"/>
  <c r="CO93" i="6"/>
  <c r="CQ93" i="6"/>
  <c r="CP93" i="6"/>
  <c r="CN93" i="6"/>
  <c r="AF77" i="6"/>
  <c r="AI77" i="6" s="1"/>
  <c r="AK77" i="6" s="1"/>
  <c r="CJ77" i="6"/>
  <c r="CM77" i="6"/>
  <c r="CI77" i="6"/>
  <c r="CE77" i="6"/>
  <c r="CD77" i="6"/>
  <c r="CB77" i="6"/>
  <c r="CL77" i="6"/>
  <c r="CH77" i="6"/>
  <c r="CK77" i="6"/>
  <c r="CG77" i="6"/>
  <c r="CF77" i="6"/>
  <c r="AY77" i="6"/>
  <c r="AZ77" i="6"/>
  <c r="BA77" i="6"/>
  <c r="BD77" i="6"/>
  <c r="BF77" i="6"/>
  <c r="DL77" i="6" s="1"/>
  <c r="BH77" i="6"/>
  <c r="BI77" i="6"/>
  <c r="BC77" i="6"/>
  <c r="BB77" i="6"/>
  <c r="DH77" i="6" s="1"/>
  <c r="EK77" i="6" s="1"/>
  <c r="BE77" i="6"/>
  <c r="BG77" i="6"/>
  <c r="BJ77" i="6"/>
  <c r="CC77" i="6"/>
  <c r="CO77" i="6"/>
  <c r="CQ77" i="6"/>
  <c r="CP77" i="6"/>
  <c r="CN77" i="6"/>
  <c r="AF83" i="6"/>
  <c r="AI83" i="6" s="1"/>
  <c r="AK83" i="6" s="1"/>
  <c r="CJ83" i="6"/>
  <c r="CM83" i="6"/>
  <c r="CI83" i="6"/>
  <c r="CE83" i="6"/>
  <c r="CD83" i="6"/>
  <c r="CB83" i="6"/>
  <c r="CL83" i="6"/>
  <c r="CK83" i="6"/>
  <c r="CG83" i="6"/>
  <c r="CF83" i="6"/>
  <c r="CH83" i="6"/>
  <c r="CC83" i="6"/>
  <c r="CO83" i="6"/>
  <c r="CQ83" i="6"/>
  <c r="CP83" i="6"/>
  <c r="CN83" i="6"/>
  <c r="AF97" i="6"/>
  <c r="AI97" i="6" s="1"/>
  <c r="AK97" i="6" s="1"/>
  <c r="CJ97" i="6"/>
  <c r="CM97" i="6"/>
  <c r="CI97" i="6"/>
  <c r="CE97" i="6"/>
  <c r="CD97" i="6"/>
  <c r="CB97" i="6"/>
  <c r="CH97" i="6"/>
  <c r="CL97" i="6"/>
  <c r="CK97" i="6"/>
  <c r="CG97" i="6"/>
  <c r="CF97" i="6"/>
  <c r="AY97" i="6"/>
  <c r="AZ97" i="6"/>
  <c r="BA97" i="6"/>
  <c r="BC97" i="6"/>
  <c r="BB97" i="6"/>
  <c r="DH97" i="6" s="1"/>
  <c r="EK97" i="6" s="1"/>
  <c r="BE97" i="6"/>
  <c r="BG97" i="6"/>
  <c r="BJ97" i="6"/>
  <c r="BD97" i="6"/>
  <c r="DJ97" i="6" s="1"/>
  <c r="BF97" i="6"/>
  <c r="BH97" i="6"/>
  <c r="BI97" i="6"/>
  <c r="CC97" i="6"/>
  <c r="CO97" i="6"/>
  <c r="CQ97" i="6"/>
  <c r="CP97" i="6"/>
  <c r="CN97" i="6"/>
  <c r="AF51" i="6"/>
  <c r="AI51" i="6" s="1"/>
  <c r="AK51" i="6" s="1"/>
  <c r="CJ51" i="6"/>
  <c r="CM51" i="6"/>
  <c r="CI51" i="6"/>
  <c r="CE51" i="6"/>
  <c r="CD51" i="6"/>
  <c r="CB51" i="6"/>
  <c r="CH51" i="6"/>
  <c r="CL51" i="6"/>
  <c r="CK51" i="6"/>
  <c r="CG51" i="6"/>
  <c r="CF51" i="6"/>
  <c r="AY51" i="6"/>
  <c r="AZ51" i="6"/>
  <c r="BA51" i="6"/>
  <c r="BC51" i="6"/>
  <c r="BB51" i="6"/>
  <c r="DH51" i="6" s="1"/>
  <c r="EK51" i="6" s="1"/>
  <c r="BE51" i="6"/>
  <c r="BG51" i="6"/>
  <c r="BJ51" i="6"/>
  <c r="BD51" i="6"/>
  <c r="DJ51" i="6" s="1"/>
  <c r="BF51" i="6"/>
  <c r="BH51" i="6"/>
  <c r="CC51" i="6"/>
  <c r="BI51" i="6"/>
  <c r="DO51" i="6" s="1"/>
  <c r="ER51" i="6" s="1"/>
  <c r="CO51" i="6"/>
  <c r="CQ51" i="6"/>
  <c r="CP51" i="6"/>
  <c r="CN51" i="6"/>
  <c r="AF52" i="6"/>
  <c r="AI52" i="6" s="1"/>
  <c r="AK52" i="6" s="1"/>
  <c r="CJ52" i="6"/>
  <c r="CM52" i="6"/>
  <c r="CI52" i="6"/>
  <c r="CE52" i="6"/>
  <c r="CD52" i="6"/>
  <c r="CB52" i="6"/>
  <c r="CH52" i="6"/>
  <c r="CL52" i="6"/>
  <c r="CK52" i="6"/>
  <c r="CG52" i="6"/>
  <c r="CF52" i="6"/>
  <c r="AY52" i="6"/>
  <c r="AZ52" i="6"/>
  <c r="BA52" i="6"/>
  <c r="BD52" i="6"/>
  <c r="BC52" i="6"/>
  <c r="DI52" i="6" s="1"/>
  <c r="BB52" i="6"/>
  <c r="CC52" i="6"/>
  <c r="CO52" i="6"/>
  <c r="CQ52" i="6"/>
  <c r="FZ52" i="6" s="1"/>
  <c r="CP52" i="6"/>
  <c r="CN52" i="6"/>
  <c r="AF94" i="6"/>
  <c r="AI94" i="6" s="1"/>
  <c r="AK94" i="6" s="1"/>
  <c r="CJ94" i="6"/>
  <c r="CM94" i="6"/>
  <c r="CI94" i="6"/>
  <c r="CE94" i="6"/>
  <c r="CD94" i="6"/>
  <c r="CB94" i="6"/>
  <c r="CH94" i="6"/>
  <c r="CL94" i="6"/>
  <c r="CK94" i="6"/>
  <c r="CG94" i="6"/>
  <c r="CF94" i="6"/>
  <c r="AY94" i="6"/>
  <c r="AZ94" i="6"/>
  <c r="BA94" i="6"/>
  <c r="BE94" i="6"/>
  <c r="BG94" i="6"/>
  <c r="DM94" i="6" s="1"/>
  <c r="BI94" i="6"/>
  <c r="BD94" i="6"/>
  <c r="BC94" i="6"/>
  <c r="BF94" i="6"/>
  <c r="DL94" i="6" s="1"/>
  <c r="BH94" i="6"/>
  <c r="BB94" i="6"/>
  <c r="CC94" i="6"/>
  <c r="BJ94" i="6"/>
  <c r="DP94" i="6" s="1"/>
  <c r="CO94" i="6"/>
  <c r="CQ94" i="6"/>
  <c r="CP94" i="6"/>
  <c r="CN94" i="6"/>
  <c r="AF40" i="6"/>
  <c r="AI40" i="6" s="1"/>
  <c r="AK40" i="6" s="1"/>
  <c r="DR40" i="6" s="1"/>
  <c r="CJ40" i="6"/>
  <c r="CM40" i="6"/>
  <c r="CI40" i="6"/>
  <c r="CE40" i="6"/>
  <c r="CD40" i="6"/>
  <c r="CB40" i="6"/>
  <c r="CH40" i="6"/>
  <c r="CL40" i="6"/>
  <c r="CK40" i="6"/>
  <c r="CG40" i="6"/>
  <c r="CF40" i="6"/>
  <c r="AY40" i="6"/>
  <c r="AZ40" i="6"/>
  <c r="BA40" i="6"/>
  <c r="BE40" i="6"/>
  <c r="BG40" i="6"/>
  <c r="DM40" i="6" s="1"/>
  <c r="BI40" i="6"/>
  <c r="BD40" i="6"/>
  <c r="BC40" i="6"/>
  <c r="BF40" i="6"/>
  <c r="DL40" i="6" s="1"/>
  <c r="BH40" i="6"/>
  <c r="BB40" i="6"/>
  <c r="BJ40" i="6"/>
  <c r="CC40" i="6"/>
  <c r="CO40" i="6"/>
  <c r="CQ40" i="6"/>
  <c r="CP40" i="6"/>
  <c r="CN40" i="6"/>
  <c r="AF62" i="6"/>
  <c r="AI62" i="6" s="1"/>
  <c r="AK62" i="6" s="1"/>
  <c r="CJ62" i="6"/>
  <c r="CM62" i="6"/>
  <c r="CI62" i="6"/>
  <c r="CE62" i="6"/>
  <c r="CD62" i="6"/>
  <c r="CB62" i="6"/>
  <c r="CH62" i="6"/>
  <c r="CL62" i="6"/>
  <c r="CK62" i="6"/>
  <c r="CG62" i="6"/>
  <c r="CF62" i="6"/>
  <c r="AZ62" i="6"/>
  <c r="DF62" i="6" s="1"/>
  <c r="AY62" i="6"/>
  <c r="BC62" i="6"/>
  <c r="BH62" i="6"/>
  <c r="BI62" i="6"/>
  <c r="DO62" i="6" s="1"/>
  <c r="ER62" i="6" s="1"/>
  <c r="BB62" i="6"/>
  <c r="BE62" i="6"/>
  <c r="BJ62" i="6"/>
  <c r="BA62" i="6"/>
  <c r="DG62" i="6" s="1"/>
  <c r="BF62" i="6"/>
  <c r="BD62" i="6"/>
  <c r="BG62" i="6"/>
  <c r="CC62" i="6"/>
  <c r="FL62" i="6" s="1"/>
  <c r="CO62" i="6"/>
  <c r="CQ62" i="6"/>
  <c r="CP62" i="6"/>
  <c r="CN62" i="6"/>
  <c r="AF84" i="6"/>
  <c r="AI84" i="6" s="1"/>
  <c r="AK84" i="6" s="1"/>
  <c r="CJ84" i="6"/>
  <c r="CM84" i="6"/>
  <c r="CI84" i="6"/>
  <c r="CE84" i="6"/>
  <c r="CD84" i="6"/>
  <c r="CB84" i="6"/>
  <c r="CH84" i="6"/>
  <c r="CL84" i="6"/>
  <c r="CK84" i="6"/>
  <c r="CG84" i="6"/>
  <c r="CF84" i="6"/>
  <c r="CC84" i="6"/>
  <c r="CO84" i="6"/>
  <c r="CQ84" i="6"/>
  <c r="CP84" i="6"/>
  <c r="CN84" i="6"/>
  <c r="AF98" i="6"/>
  <c r="AI98" i="6" s="1"/>
  <c r="AK98" i="6" s="1"/>
  <c r="CJ98" i="6"/>
  <c r="CM98" i="6"/>
  <c r="CI98" i="6"/>
  <c r="CE98" i="6"/>
  <c r="CD98" i="6"/>
  <c r="CB98" i="6"/>
  <c r="CH98" i="6"/>
  <c r="CL98" i="6"/>
  <c r="CK98" i="6"/>
  <c r="CG98" i="6"/>
  <c r="CF98" i="6"/>
  <c r="AY98" i="6"/>
  <c r="BA98" i="6"/>
  <c r="AZ98" i="6"/>
  <c r="BD98" i="6"/>
  <c r="BG98" i="6"/>
  <c r="DM98" i="6" s="1"/>
  <c r="BC98" i="6"/>
  <c r="BH98" i="6"/>
  <c r="BI98" i="6"/>
  <c r="BB98" i="6"/>
  <c r="DH98" i="6" s="1"/>
  <c r="EK98" i="6" s="1"/>
  <c r="BE98" i="6"/>
  <c r="BJ98" i="6"/>
  <c r="BF98" i="6"/>
  <c r="CC98" i="6"/>
  <c r="CO98" i="6"/>
  <c r="CQ98" i="6"/>
  <c r="CP98" i="6"/>
  <c r="CN98" i="6"/>
  <c r="AF55" i="6"/>
  <c r="AI55" i="6" s="1"/>
  <c r="AK55" i="6" s="1"/>
  <c r="CJ55" i="6"/>
  <c r="CM55" i="6"/>
  <c r="CI55" i="6"/>
  <c r="CE55" i="6"/>
  <c r="CD55" i="6"/>
  <c r="CB55" i="6"/>
  <c r="CH55" i="6"/>
  <c r="CL55" i="6"/>
  <c r="CK55" i="6"/>
  <c r="CG55" i="6"/>
  <c r="CF55" i="6"/>
  <c r="AY55" i="6"/>
  <c r="BA55" i="6"/>
  <c r="AZ55" i="6"/>
  <c r="BD55" i="6"/>
  <c r="BF55" i="6"/>
  <c r="DL55" i="6" s="1"/>
  <c r="BC55" i="6"/>
  <c r="BG55" i="6"/>
  <c r="BI55" i="6"/>
  <c r="BB55" i="6"/>
  <c r="DH55" i="6" s="1"/>
  <c r="EK55" i="6" s="1"/>
  <c r="BE55" i="6"/>
  <c r="BH55" i="6"/>
  <c r="BJ55" i="6"/>
  <c r="CC55" i="6"/>
  <c r="CO55" i="6"/>
  <c r="CQ55" i="6"/>
  <c r="CP55" i="6"/>
  <c r="CN55" i="6"/>
  <c r="AF54" i="6"/>
  <c r="AI54" i="6" s="1"/>
  <c r="AK54" i="6" s="1"/>
  <c r="CJ54" i="6"/>
  <c r="CM54" i="6"/>
  <c r="CI54" i="6"/>
  <c r="CE54" i="6"/>
  <c r="CD54" i="6"/>
  <c r="CB54" i="6"/>
  <c r="CH54" i="6"/>
  <c r="CL54" i="6"/>
  <c r="CK54" i="6"/>
  <c r="CG54" i="6"/>
  <c r="CF54" i="6"/>
  <c r="BA54" i="6"/>
  <c r="DG54" i="6" s="1"/>
  <c r="AZ54" i="6"/>
  <c r="AY54" i="6"/>
  <c r="BB54" i="6"/>
  <c r="BD54" i="6"/>
  <c r="DJ54" i="6" s="1"/>
  <c r="BC54" i="6"/>
  <c r="CC54" i="6"/>
  <c r="CO54" i="6"/>
  <c r="CQ54" i="6"/>
  <c r="FZ54" i="6" s="1"/>
  <c r="CP54" i="6"/>
  <c r="CN54" i="6"/>
  <c r="AF47" i="6"/>
  <c r="AI47" i="6" s="1"/>
  <c r="AK47" i="6" s="1"/>
  <c r="CJ47" i="6"/>
  <c r="CM47" i="6"/>
  <c r="CI47" i="6"/>
  <c r="CE47" i="6"/>
  <c r="CD47" i="6"/>
  <c r="CB47" i="6"/>
  <c r="CH47" i="6"/>
  <c r="CL47" i="6"/>
  <c r="CK47" i="6"/>
  <c r="CG47" i="6"/>
  <c r="CF47" i="6"/>
  <c r="BA47" i="6"/>
  <c r="DG47" i="6" s="1"/>
  <c r="AZ47" i="6"/>
  <c r="AY47" i="6"/>
  <c r="BC47" i="6"/>
  <c r="BF47" i="6"/>
  <c r="DL47" i="6" s="1"/>
  <c r="BB47" i="6"/>
  <c r="BG47" i="6"/>
  <c r="BE47" i="6"/>
  <c r="BH47" i="6"/>
  <c r="DN47" i="6" s="1"/>
  <c r="BD47" i="6"/>
  <c r="BI47" i="6"/>
  <c r="BJ47" i="6"/>
  <c r="CC47" i="6"/>
  <c r="CO47" i="6"/>
  <c r="CQ47" i="6"/>
  <c r="CP47" i="6"/>
  <c r="CN47" i="6"/>
  <c r="AF41" i="6"/>
  <c r="AI41" i="6" s="1"/>
  <c r="AK41" i="6" s="1"/>
  <c r="DR41" i="6" s="1"/>
  <c r="CJ41" i="6"/>
  <c r="CM41" i="6"/>
  <c r="CI41" i="6"/>
  <c r="CE41" i="6"/>
  <c r="CD41" i="6"/>
  <c r="CB41" i="6"/>
  <c r="CH41" i="6"/>
  <c r="CL41" i="6"/>
  <c r="CK41" i="6"/>
  <c r="CG41" i="6"/>
  <c r="CF41" i="6"/>
  <c r="BA41" i="6"/>
  <c r="DG41" i="6" s="1"/>
  <c r="AZ41" i="6"/>
  <c r="AY41" i="6"/>
  <c r="BC41" i="6"/>
  <c r="BF41" i="6"/>
  <c r="DL41" i="6" s="1"/>
  <c r="BB41" i="6"/>
  <c r="BG41" i="6"/>
  <c r="BE41" i="6"/>
  <c r="BH41" i="6"/>
  <c r="DN41" i="6" s="1"/>
  <c r="BD41" i="6"/>
  <c r="BI41" i="6"/>
  <c r="BJ41" i="6"/>
  <c r="CC41" i="6"/>
  <c r="CO41" i="6"/>
  <c r="CQ41" i="6"/>
  <c r="CP41" i="6"/>
  <c r="CN41" i="6"/>
  <c r="AF45" i="6"/>
  <c r="AI45" i="6" s="1"/>
  <c r="AK45" i="6" s="1"/>
  <c r="CJ45" i="6"/>
  <c r="CM45" i="6"/>
  <c r="CI45" i="6"/>
  <c r="CE45" i="6"/>
  <c r="CD45" i="6"/>
  <c r="CB45" i="6"/>
  <c r="CL45" i="6"/>
  <c r="CH45" i="6"/>
  <c r="CK45" i="6"/>
  <c r="CG45" i="6"/>
  <c r="CF45" i="6"/>
  <c r="AY45" i="6"/>
  <c r="AZ45" i="6"/>
  <c r="BF45" i="6"/>
  <c r="BH45" i="6"/>
  <c r="BE45" i="6"/>
  <c r="DK45" i="6" s="1"/>
  <c r="EN45" i="6" s="1"/>
  <c r="BG45" i="6"/>
  <c r="BA45" i="6"/>
  <c r="BB45" i="6"/>
  <c r="BC45" i="6"/>
  <c r="DI45" i="6" s="1"/>
  <c r="BD45" i="6"/>
  <c r="BI45" i="6"/>
  <c r="BJ45" i="6"/>
  <c r="CC45" i="6"/>
  <c r="CQ45" i="6"/>
  <c r="CO45" i="6"/>
  <c r="CP45" i="6"/>
  <c r="CN45" i="6"/>
  <c r="AF60" i="6"/>
  <c r="AI60" i="6" s="1"/>
  <c r="AK60" i="6" s="1"/>
  <c r="CJ60" i="6"/>
  <c r="CM60" i="6"/>
  <c r="CI60" i="6"/>
  <c r="CE60" i="6"/>
  <c r="CD60" i="6"/>
  <c r="CB60" i="6"/>
  <c r="CL60" i="6"/>
  <c r="CH60" i="6"/>
  <c r="CK60" i="6"/>
  <c r="CG60" i="6"/>
  <c r="CF60" i="6"/>
  <c r="AY60" i="6"/>
  <c r="AZ60" i="6"/>
  <c r="BA60" i="6"/>
  <c r="BF60" i="6"/>
  <c r="BH60" i="6"/>
  <c r="DN60" i="6" s="1"/>
  <c r="BE60" i="6"/>
  <c r="BG60" i="6"/>
  <c r="BB60" i="6"/>
  <c r="BC60" i="6"/>
  <c r="DI60" i="6" s="1"/>
  <c r="BD60" i="6"/>
  <c r="BI60" i="6"/>
  <c r="BJ60" i="6"/>
  <c r="CC60" i="6"/>
  <c r="CQ60" i="6"/>
  <c r="CO60" i="6"/>
  <c r="CP60" i="6"/>
  <c r="CN60" i="6"/>
  <c r="AF48" i="6"/>
  <c r="AI48" i="6" s="1"/>
  <c r="AK48" i="6" s="1"/>
  <c r="CJ48" i="6"/>
  <c r="CM48" i="6"/>
  <c r="CI48" i="6"/>
  <c r="CE48" i="6"/>
  <c r="CD48" i="6"/>
  <c r="CB48" i="6"/>
  <c r="CL48" i="6"/>
  <c r="CH48" i="6"/>
  <c r="CK48" i="6"/>
  <c r="CG48" i="6"/>
  <c r="CF48" i="6"/>
  <c r="AY48" i="6"/>
  <c r="AZ48" i="6"/>
  <c r="BA48" i="6"/>
  <c r="BF48" i="6"/>
  <c r="BH48" i="6"/>
  <c r="DN48" i="6" s="1"/>
  <c r="BE48" i="6"/>
  <c r="BG48" i="6"/>
  <c r="BB48" i="6"/>
  <c r="BC48" i="6"/>
  <c r="DI48" i="6" s="1"/>
  <c r="BD48" i="6"/>
  <c r="BI48" i="6"/>
  <c r="BJ48" i="6"/>
  <c r="CC48" i="6"/>
  <c r="CQ48" i="6"/>
  <c r="CO48" i="6"/>
  <c r="CP48" i="6"/>
  <c r="CN48" i="6"/>
  <c r="AF72" i="6"/>
  <c r="AI72" i="6" s="1"/>
  <c r="AK72" i="6" s="1"/>
  <c r="CJ72" i="6"/>
  <c r="CM72" i="6"/>
  <c r="CI72" i="6"/>
  <c r="CE72" i="6"/>
  <c r="CD72" i="6"/>
  <c r="CB72" i="6"/>
  <c r="CL72" i="6"/>
  <c r="CH72" i="6"/>
  <c r="CK72" i="6"/>
  <c r="CG72" i="6"/>
  <c r="CF72" i="6"/>
  <c r="AY72" i="6"/>
  <c r="AZ72" i="6"/>
  <c r="BA72" i="6"/>
  <c r="BF72" i="6"/>
  <c r="BH72" i="6"/>
  <c r="DN72" i="6" s="1"/>
  <c r="BE72" i="6"/>
  <c r="BB72" i="6"/>
  <c r="BC72" i="6"/>
  <c r="BD72" i="6"/>
  <c r="DJ72" i="6" s="1"/>
  <c r="BG72" i="6"/>
  <c r="BI72" i="6"/>
  <c r="BJ72" i="6"/>
  <c r="CC72" i="6"/>
  <c r="CQ72" i="6"/>
  <c r="CO72" i="6"/>
  <c r="CP72" i="6"/>
  <c r="CN72" i="6"/>
  <c r="AF53" i="6"/>
  <c r="AI53" i="6" s="1"/>
  <c r="AK53" i="6" s="1"/>
  <c r="CJ53" i="6"/>
  <c r="CM53" i="6"/>
  <c r="CI53" i="6"/>
  <c r="CE53" i="6"/>
  <c r="CD53" i="6"/>
  <c r="CB53" i="6"/>
  <c r="CL53" i="6"/>
  <c r="CK53" i="6"/>
  <c r="CG53" i="6"/>
  <c r="CH53" i="6"/>
  <c r="CF53" i="6"/>
  <c r="AY53" i="6"/>
  <c r="AZ53" i="6"/>
  <c r="BA53" i="6"/>
  <c r="BB53" i="6"/>
  <c r="BC53" i="6"/>
  <c r="DI53" i="6" s="1"/>
  <c r="BD53" i="6"/>
  <c r="CC53" i="6"/>
  <c r="CQ53" i="6"/>
  <c r="CO53" i="6"/>
  <c r="CP53" i="6"/>
  <c r="CN53" i="6"/>
  <c r="AF92" i="6"/>
  <c r="AI92" i="6" s="1"/>
  <c r="AK92" i="6" s="1"/>
  <c r="CJ92" i="6"/>
  <c r="CM92" i="6"/>
  <c r="CI92" i="6"/>
  <c r="CE92" i="6"/>
  <c r="CD92" i="6"/>
  <c r="CB92" i="6"/>
  <c r="CL92" i="6"/>
  <c r="CH92" i="6"/>
  <c r="CK92" i="6"/>
  <c r="CG92" i="6"/>
  <c r="CF92" i="6"/>
  <c r="CC92" i="6"/>
  <c r="CQ92" i="6"/>
  <c r="CO92" i="6"/>
  <c r="CP92" i="6"/>
  <c r="CN92" i="6"/>
  <c r="AF90" i="6"/>
  <c r="AI90" i="6" s="1"/>
  <c r="AK90" i="6" s="1"/>
  <c r="DR90" i="6" s="1"/>
  <c r="CJ90" i="6"/>
  <c r="CM90" i="6"/>
  <c r="CI90" i="6"/>
  <c r="CE90" i="6"/>
  <c r="CD90" i="6"/>
  <c r="CB90" i="6"/>
  <c r="CL90" i="6"/>
  <c r="CH90" i="6"/>
  <c r="CK90" i="6"/>
  <c r="CG90" i="6"/>
  <c r="CF90" i="6"/>
  <c r="AY90" i="6"/>
  <c r="AZ90" i="6"/>
  <c r="BA90" i="6"/>
  <c r="BF90" i="6"/>
  <c r="BH90" i="6"/>
  <c r="DN90" i="6" s="1"/>
  <c r="BB90" i="6"/>
  <c r="BC90" i="6"/>
  <c r="BD90" i="6"/>
  <c r="BE90" i="6"/>
  <c r="DK90" i="6" s="1"/>
  <c r="BG90" i="6"/>
  <c r="BI90" i="6"/>
  <c r="BJ90" i="6"/>
  <c r="CC90" i="6"/>
  <c r="CQ90" i="6"/>
  <c r="CO90" i="6"/>
  <c r="CP90" i="6"/>
  <c r="CN90" i="6"/>
  <c r="AF87" i="6"/>
  <c r="AI87" i="6" s="1"/>
  <c r="AK87" i="6" s="1"/>
  <c r="CJ87" i="6"/>
  <c r="CI87" i="6"/>
  <c r="CE87" i="6"/>
  <c r="CM87" i="6"/>
  <c r="CD87" i="6"/>
  <c r="CB87" i="6"/>
  <c r="CL87" i="6"/>
  <c r="CH87" i="6"/>
  <c r="CG87" i="6"/>
  <c r="CF87" i="6"/>
  <c r="CK87" i="6"/>
  <c r="AZ87" i="6"/>
  <c r="DF87" i="6" s="1"/>
  <c r="AY87" i="6"/>
  <c r="CC87" i="6"/>
  <c r="CQ87" i="6"/>
  <c r="CO87" i="6"/>
  <c r="CP87" i="6"/>
  <c r="CN87" i="6"/>
  <c r="AF113" i="6"/>
  <c r="AI113" i="6" s="1"/>
  <c r="AK113" i="6" s="1"/>
  <c r="CJ113" i="6"/>
  <c r="CM113" i="6"/>
  <c r="CI113" i="6"/>
  <c r="CE113" i="6"/>
  <c r="CD113" i="6"/>
  <c r="CB113" i="6"/>
  <c r="CL113" i="6"/>
  <c r="CH113" i="6"/>
  <c r="CG113" i="6"/>
  <c r="CF113" i="6"/>
  <c r="CK113" i="6"/>
  <c r="AZ113" i="6"/>
  <c r="DF113" i="6" s="1"/>
  <c r="BB113" i="6"/>
  <c r="AY113" i="6"/>
  <c r="BC113" i="6"/>
  <c r="BD113" i="6"/>
  <c r="DJ113" i="6" s="1"/>
  <c r="BE113" i="6"/>
  <c r="BA113" i="6"/>
  <c r="CC113" i="6"/>
  <c r="CQ113" i="6"/>
  <c r="FZ113" i="6" s="1"/>
  <c r="CO113" i="6"/>
  <c r="CP113" i="6"/>
  <c r="CN113" i="6"/>
  <c r="AF50" i="6"/>
  <c r="AI50" i="6" s="1"/>
  <c r="AK50" i="6" s="1"/>
  <c r="CJ50" i="6"/>
  <c r="CM50" i="6"/>
  <c r="CI50" i="6"/>
  <c r="CE50" i="6"/>
  <c r="CD50" i="6"/>
  <c r="CB50" i="6"/>
  <c r="CL50" i="6"/>
  <c r="CH50" i="6"/>
  <c r="CG50" i="6"/>
  <c r="CF50" i="6"/>
  <c r="CK50" i="6"/>
  <c r="BD50" i="6"/>
  <c r="DJ50" i="6" s="1"/>
  <c r="AZ50" i="6"/>
  <c r="BB50" i="6"/>
  <c r="AY50" i="6"/>
  <c r="BA50" i="6"/>
  <c r="DG50" i="6" s="1"/>
  <c r="BC50" i="6"/>
  <c r="BE50" i="6"/>
  <c r="BG50" i="6"/>
  <c r="BF50" i="6"/>
  <c r="DL50" i="6" s="1"/>
  <c r="BH50" i="6"/>
  <c r="BJ50" i="6"/>
  <c r="BI50" i="6"/>
  <c r="CC50" i="6"/>
  <c r="CQ50" i="6"/>
  <c r="CO50" i="6"/>
  <c r="CP50" i="6"/>
  <c r="CN50" i="6"/>
  <c r="AF11" i="6"/>
  <c r="AI11" i="6" s="1"/>
  <c r="AK11" i="6" s="1"/>
  <c r="CJ11" i="6"/>
  <c r="CM11" i="6"/>
  <c r="CI11" i="6"/>
  <c r="CE11" i="6"/>
  <c r="CD11" i="6"/>
  <c r="CB11" i="6"/>
  <c r="CL11" i="6"/>
  <c r="CH11" i="6"/>
  <c r="CK11" i="6"/>
  <c r="CG11" i="6"/>
  <c r="CF11" i="6"/>
  <c r="BD11" i="6"/>
  <c r="DJ11" i="6" s="1"/>
  <c r="AZ11" i="6"/>
  <c r="BB11" i="6"/>
  <c r="AY11" i="6"/>
  <c r="BA11" i="6"/>
  <c r="DG11" i="6" s="1"/>
  <c r="BC11" i="6"/>
  <c r="BG11" i="6"/>
  <c r="BF11" i="6"/>
  <c r="BE11" i="6"/>
  <c r="DK11" i="6" s="1"/>
  <c r="EN11" i="6" s="1"/>
  <c r="BI11" i="6"/>
  <c r="BH11" i="6"/>
  <c r="BJ11" i="6"/>
  <c r="CC11" i="6"/>
  <c r="CQ11" i="6"/>
  <c r="CO11" i="6"/>
  <c r="CP11" i="6"/>
  <c r="CN11" i="6"/>
  <c r="AF82" i="6"/>
  <c r="AI82" i="6" s="1"/>
  <c r="AK82" i="6" s="1"/>
  <c r="CJ82" i="6"/>
  <c r="CM82" i="6"/>
  <c r="CI82" i="6"/>
  <c r="CE82" i="6"/>
  <c r="CD82" i="6"/>
  <c r="CB82" i="6"/>
  <c r="CL82" i="6"/>
  <c r="CH82" i="6"/>
  <c r="CK82" i="6"/>
  <c r="CG82" i="6"/>
  <c r="CF82" i="6"/>
  <c r="AY82" i="6"/>
  <c r="BA82" i="6"/>
  <c r="BC82" i="6"/>
  <c r="BD82" i="6"/>
  <c r="AZ82" i="6"/>
  <c r="DF82" i="6" s="1"/>
  <c r="BB82" i="6"/>
  <c r="BI82" i="6"/>
  <c r="BE82" i="6"/>
  <c r="BH82" i="6"/>
  <c r="DN82" i="6" s="1"/>
  <c r="BJ82" i="6"/>
  <c r="BG82" i="6"/>
  <c r="BF82" i="6"/>
  <c r="CC82" i="6"/>
  <c r="FL82" i="6" s="1"/>
  <c r="CQ82" i="6"/>
  <c r="CO82" i="6"/>
  <c r="CP82" i="6"/>
  <c r="CN82" i="6"/>
  <c r="AF39" i="6"/>
  <c r="AI39" i="6" s="1"/>
  <c r="AK39" i="6" s="1"/>
  <c r="CJ39" i="6"/>
  <c r="CM39" i="6"/>
  <c r="CI39" i="6"/>
  <c r="CE39" i="6"/>
  <c r="CD39" i="6"/>
  <c r="CB39" i="6"/>
  <c r="CL39" i="6"/>
  <c r="CH39" i="6"/>
  <c r="CK39" i="6"/>
  <c r="CG39" i="6"/>
  <c r="CF39" i="6"/>
  <c r="CC39" i="6"/>
  <c r="CQ39" i="6"/>
  <c r="CO39" i="6"/>
  <c r="CP39" i="6"/>
  <c r="CN39" i="6"/>
  <c r="AF42" i="6"/>
  <c r="AI42" i="6" s="1"/>
  <c r="AK42" i="6" s="1"/>
  <c r="DR42" i="6" s="1"/>
  <c r="CJ42" i="6"/>
  <c r="CM42" i="6"/>
  <c r="CI42" i="6"/>
  <c r="CE42" i="6"/>
  <c r="CD42" i="6"/>
  <c r="CB42" i="6"/>
  <c r="CL42" i="6"/>
  <c r="CH42" i="6"/>
  <c r="CK42" i="6"/>
  <c r="CG42" i="6"/>
  <c r="CF42" i="6"/>
  <c r="BD42" i="6"/>
  <c r="DJ42" i="6" s="1"/>
  <c r="AZ42" i="6"/>
  <c r="BE42" i="6"/>
  <c r="BB42" i="6"/>
  <c r="AY42" i="6"/>
  <c r="BA42" i="6"/>
  <c r="BC42" i="6"/>
  <c r="BH42" i="6"/>
  <c r="BG42" i="6"/>
  <c r="DM42" i="6" s="1"/>
  <c r="BF42" i="6"/>
  <c r="BI42" i="6"/>
  <c r="BJ42" i="6"/>
  <c r="CC42" i="6"/>
  <c r="CQ42" i="6"/>
  <c r="CO42" i="6"/>
  <c r="CP42" i="6"/>
  <c r="CN42" i="6"/>
  <c r="AF23" i="6"/>
  <c r="AI23" i="6" s="1"/>
  <c r="AK23" i="6" s="1"/>
  <c r="DR23" i="6" s="1"/>
  <c r="CJ23" i="6"/>
  <c r="CM23" i="6"/>
  <c r="CI23" i="6"/>
  <c r="CE23" i="6"/>
  <c r="CD23" i="6"/>
  <c r="CL23" i="6"/>
  <c r="CB23" i="6"/>
  <c r="CH23" i="6"/>
  <c r="CK23" i="6"/>
  <c r="CG23" i="6"/>
  <c r="CF23" i="6"/>
  <c r="AY23" i="6"/>
  <c r="AZ23" i="6"/>
  <c r="BD23" i="6"/>
  <c r="BF23" i="6"/>
  <c r="BH23" i="6"/>
  <c r="DN23" i="6" s="1"/>
  <c r="BC23" i="6"/>
  <c r="BB23" i="6"/>
  <c r="BE23" i="6"/>
  <c r="BG23" i="6"/>
  <c r="DM23" i="6" s="1"/>
  <c r="BA23" i="6"/>
  <c r="BJ23" i="6"/>
  <c r="BI23" i="6"/>
  <c r="CC23" i="6"/>
  <c r="CQ23" i="6"/>
  <c r="CO23" i="6"/>
  <c r="CP23" i="6"/>
  <c r="CN23" i="6"/>
  <c r="AF85" i="6"/>
  <c r="AI85" i="6" s="1"/>
  <c r="AK85" i="6" s="1"/>
  <c r="CJ85" i="6"/>
  <c r="CM85" i="6"/>
  <c r="CI85" i="6"/>
  <c r="CE85" i="6"/>
  <c r="CL85" i="6"/>
  <c r="CD85" i="6"/>
  <c r="CB85" i="6"/>
  <c r="CH85" i="6"/>
  <c r="CK85" i="6"/>
  <c r="CG85" i="6"/>
  <c r="CF85" i="6"/>
  <c r="AY85" i="6"/>
  <c r="AZ85" i="6"/>
  <c r="BA85" i="6"/>
  <c r="BB85" i="6"/>
  <c r="BE85" i="6"/>
  <c r="DK85" i="6" s="1"/>
  <c r="EN85" i="6" s="1"/>
  <c r="BG85" i="6"/>
  <c r="BD85" i="6"/>
  <c r="BF85" i="6"/>
  <c r="BH85" i="6"/>
  <c r="DN85" i="6" s="1"/>
  <c r="BC85" i="6"/>
  <c r="BJ85" i="6"/>
  <c r="BI85" i="6"/>
  <c r="CC85" i="6"/>
  <c r="CQ85" i="6"/>
  <c r="CO85" i="6"/>
  <c r="CP85" i="6"/>
  <c r="CN85" i="6"/>
  <c r="AF96" i="6"/>
  <c r="AI96" i="6" s="1"/>
  <c r="AK96" i="6" s="1"/>
  <c r="CJ96" i="6"/>
  <c r="CM96" i="6"/>
  <c r="CI96" i="6"/>
  <c r="CE96" i="6"/>
  <c r="CD96" i="6"/>
  <c r="CL96" i="6"/>
  <c r="CB96" i="6"/>
  <c r="CH96" i="6"/>
  <c r="CK96" i="6"/>
  <c r="CG96" i="6"/>
  <c r="CF96" i="6"/>
  <c r="AY96" i="6"/>
  <c r="AZ96" i="6"/>
  <c r="BA96" i="6"/>
  <c r="BB96" i="6"/>
  <c r="BE96" i="6"/>
  <c r="DK96" i="6" s="1"/>
  <c r="EN96" i="6" s="1"/>
  <c r="BG96" i="6"/>
  <c r="BD96" i="6"/>
  <c r="BF96" i="6"/>
  <c r="BH96" i="6"/>
  <c r="DN96" i="6" s="1"/>
  <c r="BI96" i="6"/>
  <c r="BC96" i="6"/>
  <c r="BJ96" i="6"/>
  <c r="CC96" i="6"/>
  <c r="CQ96" i="6"/>
  <c r="CO96" i="6"/>
  <c r="CP96" i="6"/>
  <c r="CN96" i="6"/>
  <c r="AF71" i="6"/>
  <c r="AI71" i="6" s="1"/>
  <c r="AK71" i="6" s="1"/>
  <c r="CJ71" i="6"/>
  <c r="CM71" i="6"/>
  <c r="CI71" i="6"/>
  <c r="CE71" i="6"/>
  <c r="CL71" i="6"/>
  <c r="CD71" i="6"/>
  <c r="CB71" i="6"/>
  <c r="CH71" i="6"/>
  <c r="CK71" i="6"/>
  <c r="CG71" i="6"/>
  <c r="CF71" i="6"/>
  <c r="AY71" i="6"/>
  <c r="AZ71" i="6"/>
  <c r="BA71" i="6"/>
  <c r="BB71" i="6"/>
  <c r="BE71" i="6"/>
  <c r="DK71" i="6" s="1"/>
  <c r="EN71" i="6" s="1"/>
  <c r="BG71" i="6"/>
  <c r="BD71" i="6"/>
  <c r="BF71" i="6"/>
  <c r="BH71" i="6"/>
  <c r="DN71" i="6" s="1"/>
  <c r="BI71" i="6"/>
  <c r="BC71" i="6"/>
  <c r="BJ71" i="6"/>
  <c r="CC71" i="6"/>
  <c r="CQ71" i="6"/>
  <c r="CO71" i="6"/>
  <c r="CP71" i="6"/>
  <c r="CN71" i="6"/>
  <c r="AF31" i="6"/>
  <c r="AI31" i="6" s="1"/>
  <c r="AK31" i="6" s="1"/>
  <c r="CJ31" i="6"/>
  <c r="CM31" i="6"/>
  <c r="CI31" i="6"/>
  <c r="CE31" i="6"/>
  <c r="CD31" i="6"/>
  <c r="CL31" i="6"/>
  <c r="CB31" i="6"/>
  <c r="CH31" i="6"/>
  <c r="CK31" i="6"/>
  <c r="CG31" i="6"/>
  <c r="CF31" i="6"/>
  <c r="AY31" i="6"/>
  <c r="AZ31" i="6"/>
  <c r="BA31" i="6"/>
  <c r="BD31" i="6"/>
  <c r="BC31" i="6"/>
  <c r="DI31" i="6" s="1"/>
  <c r="BF31" i="6"/>
  <c r="BH31" i="6"/>
  <c r="BB31" i="6"/>
  <c r="BE31" i="6"/>
  <c r="DK31" i="6" s="1"/>
  <c r="EN31" i="6" s="1"/>
  <c r="BG31" i="6"/>
  <c r="BI31" i="6"/>
  <c r="BJ31" i="6"/>
  <c r="CC31" i="6"/>
  <c r="CQ31" i="6"/>
  <c r="CO31" i="6"/>
  <c r="CP31" i="6"/>
  <c r="CN31" i="6"/>
  <c r="AF14" i="6"/>
  <c r="AI14" i="6" s="1"/>
  <c r="AK14" i="6" s="1"/>
  <c r="CJ14" i="6"/>
  <c r="CM14" i="6"/>
  <c r="CI14" i="6"/>
  <c r="CE14" i="6"/>
  <c r="CL14" i="6"/>
  <c r="CD14" i="6"/>
  <c r="CB14" i="6"/>
  <c r="CH14" i="6"/>
  <c r="CK14" i="6"/>
  <c r="CG14" i="6"/>
  <c r="CF14" i="6"/>
  <c r="AY14" i="6"/>
  <c r="AZ14" i="6"/>
  <c r="BA14" i="6"/>
  <c r="BD14" i="6"/>
  <c r="BC14" i="6"/>
  <c r="DI14" i="6" s="1"/>
  <c r="BF14" i="6"/>
  <c r="BH14" i="6"/>
  <c r="BB14" i="6"/>
  <c r="BE14" i="6"/>
  <c r="DK14" i="6" s="1"/>
  <c r="EN14" i="6" s="1"/>
  <c r="BG14" i="6"/>
  <c r="BI14" i="6"/>
  <c r="BJ14" i="6"/>
  <c r="CC14" i="6"/>
  <c r="CQ14" i="6"/>
  <c r="CO14" i="6"/>
  <c r="CP14" i="6"/>
  <c r="CN14" i="6"/>
  <c r="AF43" i="6"/>
  <c r="AI43" i="6" s="1"/>
  <c r="AK43" i="6" s="1"/>
  <c r="DR43" i="6" s="1"/>
  <c r="CJ43" i="6"/>
  <c r="CM43" i="6"/>
  <c r="CI43" i="6"/>
  <c r="CE43" i="6"/>
  <c r="CD43" i="6"/>
  <c r="CL43" i="6"/>
  <c r="CB43" i="6"/>
  <c r="CH43" i="6"/>
  <c r="CK43" i="6"/>
  <c r="CG43" i="6"/>
  <c r="CF43" i="6"/>
  <c r="AY43" i="6"/>
  <c r="AZ43" i="6"/>
  <c r="BA43" i="6"/>
  <c r="BD43" i="6"/>
  <c r="BC43" i="6"/>
  <c r="DI43" i="6" s="1"/>
  <c r="BF43" i="6"/>
  <c r="BH43" i="6"/>
  <c r="BB43" i="6"/>
  <c r="BE43" i="6"/>
  <c r="DK43" i="6" s="1"/>
  <c r="EN43" i="6" s="1"/>
  <c r="BG43" i="6"/>
  <c r="BI43" i="6"/>
  <c r="BJ43" i="6"/>
  <c r="CC43" i="6"/>
  <c r="CQ43" i="6"/>
  <c r="CO43" i="6"/>
  <c r="CP43" i="6"/>
  <c r="CN43" i="6"/>
  <c r="AF7" i="6"/>
  <c r="AI7" i="6" s="1"/>
  <c r="AK7" i="6" s="1"/>
  <c r="DR7" i="6" s="1"/>
  <c r="CJ7" i="6"/>
  <c r="CM7" i="6"/>
  <c r="CI7" i="6"/>
  <c r="CE7" i="6"/>
  <c r="CL7" i="6"/>
  <c r="CD7" i="6"/>
  <c r="CB7" i="6"/>
  <c r="CH7" i="6"/>
  <c r="CK7" i="6"/>
  <c r="CG7" i="6"/>
  <c r="CF7" i="6"/>
  <c r="AZ7" i="6"/>
  <c r="DF7" i="6" s="1"/>
  <c r="AY7" i="6"/>
  <c r="BB7" i="6"/>
  <c r="BE7" i="6"/>
  <c r="BJ7" i="6"/>
  <c r="DP7" i="6" s="1"/>
  <c r="BA7" i="6"/>
  <c r="BF7" i="6"/>
  <c r="BD7" i="6"/>
  <c r="BG7" i="6"/>
  <c r="DM7" i="6" s="1"/>
  <c r="BC7" i="6"/>
  <c r="BH7" i="6"/>
  <c r="BI7" i="6"/>
  <c r="CC7" i="6"/>
  <c r="FL7" i="6" s="1"/>
  <c r="CQ7" i="6"/>
  <c r="CO7" i="6"/>
  <c r="CP7" i="6"/>
  <c r="CN7" i="6"/>
  <c r="AF27" i="6"/>
  <c r="AI27" i="6" s="1"/>
  <c r="AK27" i="6" s="1"/>
  <c r="DR27" i="6" s="1"/>
  <c r="CJ27" i="6"/>
  <c r="CM27" i="6"/>
  <c r="CI27" i="6"/>
  <c r="CE27" i="6"/>
  <c r="CL27" i="6"/>
  <c r="CD27" i="6"/>
  <c r="CB27" i="6"/>
  <c r="CH27" i="6"/>
  <c r="CK27" i="6"/>
  <c r="CG27" i="6"/>
  <c r="CF27" i="6"/>
  <c r="BA27" i="6"/>
  <c r="DG27" i="6" s="1"/>
  <c r="AZ27" i="6"/>
  <c r="AY27" i="6"/>
  <c r="BC27" i="6"/>
  <c r="BH27" i="6"/>
  <c r="DN27" i="6" s="1"/>
  <c r="BI27" i="6"/>
  <c r="BB27" i="6"/>
  <c r="BE27" i="6"/>
  <c r="BJ27" i="6"/>
  <c r="DP27" i="6" s="1"/>
  <c r="BF27" i="6"/>
  <c r="BD27" i="6"/>
  <c r="BG27" i="6"/>
  <c r="CC27" i="6"/>
  <c r="CQ27" i="6"/>
  <c r="CO27" i="6"/>
  <c r="CP27" i="6"/>
  <c r="CN27" i="6"/>
  <c r="AF76" i="6"/>
  <c r="AI76" i="6" s="1"/>
  <c r="AK76" i="6" s="1"/>
  <c r="CJ76" i="6"/>
  <c r="CM76" i="6"/>
  <c r="CI76" i="6"/>
  <c r="CE76" i="6"/>
  <c r="CD76" i="6"/>
  <c r="CL76" i="6"/>
  <c r="CB76" i="6"/>
  <c r="CH76" i="6"/>
  <c r="CK76" i="6"/>
  <c r="CG76" i="6"/>
  <c r="CF76" i="6"/>
  <c r="BA76" i="6"/>
  <c r="DG76" i="6" s="1"/>
  <c r="AZ76" i="6"/>
  <c r="AY76" i="6"/>
  <c r="BC76" i="6"/>
  <c r="BH76" i="6"/>
  <c r="DN76" i="6" s="1"/>
  <c r="BI76" i="6"/>
  <c r="BB76" i="6"/>
  <c r="BE76" i="6"/>
  <c r="BJ76" i="6"/>
  <c r="DP76" i="6" s="1"/>
  <c r="BF76" i="6"/>
  <c r="BD76" i="6"/>
  <c r="BG76" i="6"/>
  <c r="CC76" i="6"/>
  <c r="CQ76" i="6"/>
  <c r="CO76" i="6"/>
  <c r="CP76" i="6"/>
  <c r="CN76" i="6"/>
  <c r="AF70" i="6"/>
  <c r="AI70" i="6" s="1"/>
  <c r="AK70" i="6" s="1"/>
  <c r="CJ70" i="6"/>
  <c r="CM70" i="6"/>
  <c r="CI70" i="6"/>
  <c r="CE70" i="6"/>
  <c r="CD70" i="6"/>
  <c r="CL70" i="6"/>
  <c r="CB70" i="6"/>
  <c r="CH70" i="6"/>
  <c r="CK70" i="6"/>
  <c r="CG70" i="6"/>
  <c r="CF70" i="6"/>
  <c r="CC70" i="6"/>
  <c r="CQ70" i="6"/>
  <c r="CO70" i="6"/>
  <c r="CP70" i="6"/>
  <c r="CN70" i="6"/>
  <c r="AF21" i="6"/>
  <c r="AI21" i="6" s="1"/>
  <c r="AK21" i="6" s="1"/>
  <c r="CJ21" i="6"/>
  <c r="CM21" i="6"/>
  <c r="CI21" i="6"/>
  <c r="CE21" i="6"/>
  <c r="CD21" i="6"/>
  <c r="CL21" i="6"/>
  <c r="CB21" i="6"/>
  <c r="CH21" i="6"/>
  <c r="CK21" i="6"/>
  <c r="CG21" i="6"/>
  <c r="CF21" i="6"/>
  <c r="CC21" i="6"/>
  <c r="CQ21" i="6"/>
  <c r="CO21" i="6"/>
  <c r="CP21" i="6"/>
  <c r="CN21" i="6"/>
  <c r="AF56" i="6"/>
  <c r="AI56" i="6" s="1"/>
  <c r="AK56" i="6" s="1"/>
  <c r="CJ56" i="6"/>
  <c r="CM56" i="6"/>
  <c r="CI56" i="6"/>
  <c r="CE56" i="6"/>
  <c r="CD56" i="6"/>
  <c r="CL56" i="6"/>
  <c r="CB56" i="6"/>
  <c r="CH56" i="6"/>
  <c r="CK56" i="6"/>
  <c r="CG56" i="6"/>
  <c r="CF56" i="6"/>
  <c r="BA56" i="6"/>
  <c r="DG56" i="6" s="1"/>
  <c r="AZ56" i="6"/>
  <c r="AY56" i="6"/>
  <c r="BB56" i="6"/>
  <c r="BG56" i="6"/>
  <c r="DM56" i="6" s="1"/>
  <c r="BE56" i="6"/>
  <c r="BH56" i="6"/>
  <c r="BD56" i="6"/>
  <c r="BI56" i="6"/>
  <c r="DO56" i="6" s="1"/>
  <c r="BJ56" i="6"/>
  <c r="BC56" i="6"/>
  <c r="BF56" i="6"/>
  <c r="CC56" i="6"/>
  <c r="CQ56" i="6"/>
  <c r="CO56" i="6"/>
  <c r="CP56" i="6"/>
  <c r="CN56" i="6"/>
  <c r="AF89" i="6"/>
  <c r="AI89" i="6" s="1"/>
  <c r="AK89" i="6" s="1"/>
  <c r="DR89" i="6" s="1"/>
  <c r="CJ89" i="6"/>
  <c r="CM89" i="6"/>
  <c r="CI89" i="6"/>
  <c r="CE89" i="6"/>
  <c r="CD89" i="6"/>
  <c r="CL89" i="6"/>
  <c r="CB89" i="6"/>
  <c r="CH89" i="6"/>
  <c r="CK89" i="6"/>
  <c r="CG89" i="6"/>
  <c r="CF89" i="6"/>
  <c r="BA89" i="6"/>
  <c r="DG89" i="6" s="1"/>
  <c r="AZ89" i="6"/>
  <c r="AY89" i="6"/>
  <c r="BB89" i="6"/>
  <c r="BG89" i="6"/>
  <c r="DM89" i="6" s="1"/>
  <c r="BE89" i="6"/>
  <c r="BH89" i="6"/>
  <c r="BD89" i="6"/>
  <c r="BI89" i="6"/>
  <c r="DO89" i="6" s="1"/>
  <c r="BJ89" i="6"/>
  <c r="BC89" i="6"/>
  <c r="BF89" i="6"/>
  <c r="CC89" i="6"/>
  <c r="CQ89" i="6"/>
  <c r="CO89" i="6"/>
  <c r="CP89" i="6"/>
  <c r="CN89" i="6"/>
  <c r="AF19" i="6"/>
  <c r="AI19" i="6" s="1"/>
  <c r="AK19" i="6" s="1"/>
  <c r="DR19" i="6" s="1"/>
  <c r="CJ19" i="6"/>
  <c r="CM19" i="6"/>
  <c r="CI19" i="6"/>
  <c r="CE19" i="6"/>
  <c r="CD19" i="6"/>
  <c r="CB19" i="6"/>
  <c r="CL19" i="6"/>
  <c r="CH19" i="6"/>
  <c r="CK19" i="6"/>
  <c r="CG19" i="6"/>
  <c r="CF19" i="6"/>
  <c r="AY19" i="6"/>
  <c r="AZ19" i="6"/>
  <c r="BE19" i="6"/>
  <c r="BG19" i="6"/>
  <c r="BA19" i="6"/>
  <c r="DG19" i="6" s="1"/>
  <c r="BB19" i="6"/>
  <c r="BC19" i="6"/>
  <c r="BD19" i="6"/>
  <c r="BF19" i="6"/>
  <c r="DL19" i="6" s="1"/>
  <c r="BH19" i="6"/>
  <c r="BI19" i="6"/>
  <c r="BJ19" i="6"/>
  <c r="CC19" i="6"/>
  <c r="CO19" i="6"/>
  <c r="CQ19" i="6"/>
  <c r="CN19" i="6"/>
  <c r="CP19" i="6"/>
  <c r="AF28" i="6"/>
  <c r="AI28" i="6" s="1"/>
  <c r="AK28" i="6" s="1"/>
  <c r="DR28" i="6" s="1"/>
  <c r="CJ28" i="6"/>
  <c r="CM28" i="6"/>
  <c r="CI28" i="6"/>
  <c r="CE28" i="6"/>
  <c r="CD28" i="6"/>
  <c r="CB28" i="6"/>
  <c r="CL28" i="6"/>
  <c r="CH28" i="6"/>
  <c r="CK28" i="6"/>
  <c r="CG28" i="6"/>
  <c r="CF28" i="6"/>
  <c r="AY28" i="6"/>
  <c r="AZ28" i="6"/>
  <c r="BE28" i="6"/>
  <c r="BG28" i="6"/>
  <c r="BB28" i="6"/>
  <c r="DH28" i="6" s="1"/>
  <c r="EK28" i="6" s="1"/>
  <c r="BC28" i="6"/>
  <c r="BD28" i="6"/>
  <c r="BF28" i="6"/>
  <c r="BH28" i="6"/>
  <c r="DN28" i="6" s="1"/>
  <c r="BA28" i="6"/>
  <c r="BI28" i="6"/>
  <c r="BJ28" i="6"/>
  <c r="CC28" i="6"/>
  <c r="CO28" i="6"/>
  <c r="CQ28" i="6"/>
  <c r="CN28" i="6"/>
  <c r="CP28" i="6"/>
  <c r="AF20" i="6"/>
  <c r="AI20" i="6" s="1"/>
  <c r="AK20" i="6" s="1"/>
  <c r="CJ20" i="6"/>
  <c r="CM20" i="6"/>
  <c r="CI20" i="6"/>
  <c r="CE20" i="6"/>
  <c r="CD20" i="6"/>
  <c r="CB20" i="6"/>
  <c r="CL20" i="6"/>
  <c r="CH20" i="6"/>
  <c r="CK20" i="6"/>
  <c r="CG20" i="6"/>
  <c r="CF20" i="6"/>
  <c r="AY20" i="6"/>
  <c r="AZ20" i="6"/>
  <c r="BA20" i="6"/>
  <c r="BE20" i="6"/>
  <c r="BG20" i="6"/>
  <c r="DM20" i="6" s="1"/>
  <c r="BB20" i="6"/>
  <c r="BC20" i="6"/>
  <c r="BD20" i="6"/>
  <c r="BF20" i="6"/>
  <c r="DL20" i="6" s="1"/>
  <c r="BH20" i="6"/>
  <c r="BI20" i="6"/>
  <c r="BJ20" i="6"/>
  <c r="CC20" i="6"/>
  <c r="CO20" i="6"/>
  <c r="CQ20" i="6"/>
  <c r="CN20" i="6"/>
  <c r="CP20" i="6"/>
  <c r="AF8" i="6"/>
  <c r="AI8" i="6" s="1"/>
  <c r="AK8" i="6" s="1"/>
  <c r="CJ8" i="6"/>
  <c r="CM8" i="6"/>
  <c r="CI8" i="6"/>
  <c r="CE8" i="6"/>
  <c r="CD8" i="6"/>
  <c r="CB8" i="6"/>
  <c r="CL8" i="6"/>
  <c r="CH8" i="6"/>
  <c r="CK8" i="6"/>
  <c r="CG8" i="6"/>
  <c r="CF8" i="6"/>
  <c r="AY8" i="6"/>
  <c r="AZ8" i="6"/>
  <c r="BA8" i="6"/>
  <c r="BF8" i="6"/>
  <c r="BH8" i="6"/>
  <c r="DN8" i="6" s="1"/>
  <c r="BE8" i="6"/>
  <c r="BB8" i="6"/>
  <c r="BC8" i="6"/>
  <c r="BD8" i="6"/>
  <c r="DJ8" i="6" s="1"/>
  <c r="BG8" i="6"/>
  <c r="BI8" i="6"/>
  <c r="CC8" i="6"/>
  <c r="BJ8" i="6"/>
  <c r="DP8" i="6" s="1"/>
  <c r="CO8" i="6"/>
  <c r="CQ8" i="6"/>
  <c r="CN8" i="6"/>
  <c r="CP8" i="6"/>
  <c r="AF29" i="6"/>
  <c r="AI29" i="6" s="1"/>
  <c r="AK29" i="6" s="1"/>
  <c r="CJ29" i="6"/>
  <c r="CM29" i="6"/>
  <c r="CI29" i="6"/>
  <c r="CE29" i="6"/>
  <c r="CD29" i="6"/>
  <c r="CB29" i="6"/>
  <c r="CL29" i="6"/>
  <c r="CH29" i="6"/>
  <c r="CK29" i="6"/>
  <c r="CG29" i="6"/>
  <c r="CF29" i="6"/>
  <c r="CC29" i="6"/>
  <c r="CO29" i="6"/>
  <c r="CQ29" i="6"/>
  <c r="CN29" i="6"/>
  <c r="CP29" i="6"/>
  <c r="AF15" i="6"/>
  <c r="AI15" i="6" s="1"/>
  <c r="AK15" i="6" s="1"/>
  <c r="CJ15" i="6"/>
  <c r="CM15" i="6"/>
  <c r="CI15" i="6"/>
  <c r="CE15" i="6"/>
  <c r="CD15" i="6"/>
  <c r="CB15" i="6"/>
  <c r="CL15" i="6"/>
  <c r="CH15" i="6"/>
  <c r="CK15" i="6"/>
  <c r="CG15" i="6"/>
  <c r="CF15" i="6"/>
  <c r="AY15" i="6"/>
  <c r="AZ15" i="6"/>
  <c r="BA15" i="6"/>
  <c r="BF15" i="6"/>
  <c r="BH15" i="6"/>
  <c r="DN15" i="6" s="1"/>
  <c r="BB15" i="6"/>
  <c r="BC15" i="6"/>
  <c r="BD15" i="6"/>
  <c r="BE15" i="6"/>
  <c r="DK15" i="6" s="1"/>
  <c r="EN15" i="6" s="1"/>
  <c r="BG15" i="6"/>
  <c r="BI15" i="6"/>
  <c r="CC15" i="6"/>
  <c r="BJ15" i="6"/>
  <c r="DP15" i="6" s="1"/>
  <c r="CO15" i="6"/>
  <c r="CQ15" i="6"/>
  <c r="CN15" i="6"/>
  <c r="CP15" i="6"/>
  <c r="AF91" i="6"/>
  <c r="AI91" i="6" s="1"/>
  <c r="AK91" i="6" s="1"/>
  <c r="DR91" i="6" s="1"/>
  <c r="CJ91" i="6"/>
  <c r="CM91" i="6"/>
  <c r="CI91" i="6"/>
  <c r="CE91" i="6"/>
  <c r="CD91" i="6"/>
  <c r="CB91" i="6"/>
  <c r="CL91" i="6"/>
  <c r="CH91" i="6"/>
  <c r="CK91" i="6"/>
  <c r="CG91" i="6"/>
  <c r="CF91" i="6"/>
  <c r="AY91" i="6"/>
  <c r="AZ91" i="6"/>
  <c r="BA91" i="6"/>
  <c r="BF91" i="6"/>
  <c r="BH91" i="6"/>
  <c r="DN91" i="6" s="1"/>
  <c r="BB91" i="6"/>
  <c r="BC91" i="6"/>
  <c r="BD91" i="6"/>
  <c r="BE91" i="6"/>
  <c r="DK91" i="6" s="1"/>
  <c r="EN91" i="6" s="1"/>
  <c r="BG91" i="6"/>
  <c r="BI91" i="6"/>
  <c r="CC91" i="6"/>
  <c r="BJ91" i="6"/>
  <c r="DP91" i="6" s="1"/>
  <c r="CO91" i="6"/>
  <c r="CQ91" i="6"/>
  <c r="CN91" i="6"/>
  <c r="CP91" i="6"/>
  <c r="AF95" i="6"/>
  <c r="AI95" i="6" s="1"/>
  <c r="AK95" i="6" s="1"/>
  <c r="CJ95" i="6"/>
  <c r="CI95" i="6"/>
  <c r="CE95" i="6"/>
  <c r="CM95" i="6"/>
  <c r="CD95" i="6"/>
  <c r="CB95" i="6"/>
  <c r="CL95" i="6"/>
  <c r="CK95" i="6"/>
  <c r="CH95" i="6"/>
  <c r="CG95" i="6"/>
  <c r="CF95" i="6"/>
  <c r="BB95" i="6"/>
  <c r="DH95" i="6" s="1"/>
  <c r="AY95" i="6"/>
  <c r="BC95" i="6"/>
  <c r="BD95" i="6"/>
  <c r="AZ95" i="6"/>
  <c r="DF95" i="6" s="1"/>
  <c r="BA95" i="6"/>
  <c r="BH95" i="6"/>
  <c r="BG95" i="6"/>
  <c r="BI95" i="6"/>
  <c r="DO95" i="6" s="1"/>
  <c r="BF95" i="6"/>
  <c r="BE95" i="6"/>
  <c r="BJ95" i="6"/>
  <c r="CC95" i="6"/>
  <c r="FL95" i="6" s="1"/>
  <c r="CO95" i="6"/>
  <c r="CQ95" i="6"/>
  <c r="CN95" i="6"/>
  <c r="CP95" i="6"/>
  <c r="AF24" i="6"/>
  <c r="AI24" i="6" s="1"/>
  <c r="AK24" i="6" s="1"/>
  <c r="DR24" i="6" s="1"/>
  <c r="CJ24" i="6"/>
  <c r="CI24" i="6"/>
  <c r="CE24" i="6"/>
  <c r="CM24" i="6"/>
  <c r="CD24" i="6"/>
  <c r="CB24" i="6"/>
  <c r="CL24" i="6"/>
  <c r="CH24" i="6"/>
  <c r="CK24" i="6"/>
  <c r="CG24" i="6"/>
  <c r="CF24" i="6"/>
  <c r="BB24" i="6"/>
  <c r="DH24" i="6" s="1"/>
  <c r="AY24" i="6"/>
  <c r="BA24" i="6"/>
  <c r="BC24" i="6"/>
  <c r="BD24" i="6"/>
  <c r="DJ24" i="6" s="1"/>
  <c r="AZ24" i="6"/>
  <c r="BE24" i="6"/>
  <c r="BH24" i="6"/>
  <c r="BG24" i="6"/>
  <c r="DM24" i="6" s="1"/>
  <c r="BF24" i="6"/>
  <c r="BI24" i="6"/>
  <c r="CC24" i="6"/>
  <c r="BJ24" i="6"/>
  <c r="DP24" i="6" s="1"/>
  <c r="ES24" i="6" s="1"/>
  <c r="CO24" i="6"/>
  <c r="CQ24" i="6"/>
  <c r="CN24" i="6"/>
  <c r="CP24" i="6"/>
  <c r="AF107" i="6"/>
  <c r="AI107" i="6" s="1"/>
  <c r="AK107" i="6" s="1"/>
  <c r="CJ107" i="6"/>
  <c r="CM107" i="6"/>
  <c r="CI107" i="6"/>
  <c r="CE107" i="6"/>
  <c r="CB107" i="6"/>
  <c r="CL107" i="6"/>
  <c r="CD107" i="6"/>
  <c r="CH107" i="6"/>
  <c r="CK107" i="6"/>
  <c r="CG107" i="6"/>
  <c r="CF107" i="6"/>
  <c r="AZ107" i="6"/>
  <c r="DF107" i="6" s="1"/>
  <c r="BB107" i="6"/>
  <c r="AY107" i="6"/>
  <c r="BA107" i="6"/>
  <c r="BC107" i="6"/>
  <c r="DI107" i="6" s="1"/>
  <c r="BD107" i="6"/>
  <c r="BE107" i="6"/>
  <c r="BF107" i="6"/>
  <c r="BH107" i="6"/>
  <c r="DN107" i="6" s="1"/>
  <c r="BG107" i="6"/>
  <c r="BI107" i="6"/>
  <c r="BJ107" i="6"/>
  <c r="CC107" i="6"/>
  <c r="FL107" i="6" s="1"/>
  <c r="CO107" i="6"/>
  <c r="CQ107" i="6"/>
  <c r="CN107" i="6"/>
  <c r="CP107" i="6"/>
  <c r="AF9" i="6"/>
  <c r="AI9" i="6" s="1"/>
  <c r="AK9" i="6" s="1"/>
  <c r="CJ9" i="6"/>
  <c r="CI9" i="6"/>
  <c r="CE9" i="6"/>
  <c r="CM9" i="6"/>
  <c r="CD9" i="6"/>
  <c r="CB9" i="6"/>
  <c r="CL9" i="6"/>
  <c r="CH9" i="6"/>
  <c r="CK9" i="6"/>
  <c r="CG9" i="6"/>
  <c r="CF9" i="6"/>
  <c r="AZ9" i="6"/>
  <c r="DF9" i="6" s="1"/>
  <c r="BB9" i="6"/>
  <c r="AY9" i="6"/>
  <c r="BA9" i="6"/>
  <c r="BC9" i="6"/>
  <c r="DI9" i="6" s="1"/>
  <c r="BD9" i="6"/>
  <c r="BE9" i="6"/>
  <c r="BF9" i="6"/>
  <c r="BI9" i="6"/>
  <c r="DO9" i="6" s="1"/>
  <c r="BH9" i="6"/>
  <c r="BG9" i="6"/>
  <c r="CC9" i="6"/>
  <c r="BJ9" i="6"/>
  <c r="DP9" i="6" s="1"/>
  <c r="ES9" i="6" s="1"/>
  <c r="CO9" i="6"/>
  <c r="CQ9" i="6"/>
  <c r="CN9" i="6"/>
  <c r="CP9" i="6"/>
  <c r="AF111" i="6"/>
  <c r="AI111" i="6" s="1"/>
  <c r="AK111" i="6" s="1"/>
  <c r="CJ111" i="6"/>
  <c r="CM111" i="6"/>
  <c r="CI111" i="6"/>
  <c r="CE111" i="6"/>
  <c r="CD111" i="6"/>
  <c r="CB111" i="6"/>
  <c r="CL111" i="6"/>
  <c r="CH111" i="6"/>
  <c r="CK111" i="6"/>
  <c r="CG111" i="6"/>
  <c r="CF111" i="6"/>
  <c r="BD111" i="6"/>
  <c r="DJ111" i="6" s="1"/>
  <c r="AZ111" i="6"/>
  <c r="BE111" i="6"/>
  <c r="BB111" i="6"/>
  <c r="AY111" i="6"/>
  <c r="BA111" i="6"/>
  <c r="BC111" i="6"/>
  <c r="BH111" i="6"/>
  <c r="BG111" i="6"/>
  <c r="DM111" i="6" s="1"/>
  <c r="BF111" i="6"/>
  <c r="BI111" i="6"/>
  <c r="BJ111" i="6"/>
  <c r="CC111" i="6"/>
  <c r="CO111" i="6"/>
  <c r="CQ111" i="6"/>
  <c r="CN111" i="6"/>
  <c r="CP111" i="6"/>
  <c r="AF112" i="6"/>
  <c r="AI112" i="6" s="1"/>
  <c r="AK112" i="6" s="1"/>
  <c r="CJ112" i="6"/>
  <c r="CI112" i="6"/>
  <c r="CE112" i="6"/>
  <c r="CD112" i="6"/>
  <c r="CM112" i="6"/>
  <c r="CB112" i="6"/>
  <c r="CL112" i="6"/>
  <c r="CH112" i="6"/>
  <c r="CK112" i="6"/>
  <c r="CG112" i="6"/>
  <c r="CF112" i="6"/>
  <c r="BB112" i="6"/>
  <c r="DH112" i="6" s="1"/>
  <c r="AY112" i="6"/>
  <c r="BA112" i="6"/>
  <c r="BC112" i="6"/>
  <c r="BD112" i="6"/>
  <c r="DJ112" i="6" s="1"/>
  <c r="AZ112" i="6"/>
  <c r="BE112" i="6"/>
  <c r="BF112" i="6"/>
  <c r="BI112" i="6"/>
  <c r="DO112" i="6" s="1"/>
  <c r="BH112" i="6"/>
  <c r="BG112" i="6"/>
  <c r="BJ112" i="6"/>
  <c r="CC112" i="6"/>
  <c r="CO112" i="6"/>
  <c r="CQ112" i="6"/>
  <c r="CN112" i="6"/>
  <c r="CP112" i="6"/>
  <c r="AF32" i="6"/>
  <c r="AI32" i="6" s="1"/>
  <c r="AK32" i="6" s="1"/>
  <c r="CJ32" i="6"/>
  <c r="CM32" i="6"/>
  <c r="CI32" i="6"/>
  <c r="CE32" i="6"/>
  <c r="CD32" i="6"/>
  <c r="CB32" i="6"/>
  <c r="CL32" i="6"/>
  <c r="CH32" i="6"/>
  <c r="CK32" i="6"/>
  <c r="CG32" i="6"/>
  <c r="CF32" i="6"/>
  <c r="AZ32" i="6"/>
  <c r="DF32" i="6" s="1"/>
  <c r="BE32" i="6"/>
  <c r="BB32" i="6"/>
  <c r="AY32" i="6"/>
  <c r="BA32" i="6"/>
  <c r="DG32" i="6" s="1"/>
  <c r="BC32" i="6"/>
  <c r="BD32" i="6"/>
  <c r="BG32" i="6"/>
  <c r="BF32" i="6"/>
  <c r="DL32" i="6" s="1"/>
  <c r="BI32" i="6"/>
  <c r="BH32" i="6"/>
  <c r="BJ32" i="6"/>
  <c r="CC32" i="6"/>
  <c r="FL32" i="6" s="1"/>
  <c r="CO32" i="6"/>
  <c r="CQ32" i="6"/>
  <c r="CN32" i="6"/>
  <c r="CP32" i="6"/>
  <c r="AF99" i="6"/>
  <c r="AI99" i="6" s="1"/>
  <c r="AK99" i="6" s="1"/>
  <c r="CJ99" i="6"/>
  <c r="CI99" i="6"/>
  <c r="CE99" i="6"/>
  <c r="CD99" i="6"/>
  <c r="CM99" i="6"/>
  <c r="CB99" i="6"/>
  <c r="CL99" i="6"/>
  <c r="CH99" i="6"/>
  <c r="CK99" i="6"/>
  <c r="CG99" i="6"/>
  <c r="CF99" i="6"/>
  <c r="BA99" i="6"/>
  <c r="DG99" i="6" s="1"/>
  <c r="EJ99" i="6" s="1"/>
  <c r="AY99" i="6"/>
  <c r="AZ99" i="6"/>
  <c r="BC99" i="6"/>
  <c r="BB99" i="6"/>
  <c r="DH99" i="6" s="1"/>
  <c r="BE99" i="6"/>
  <c r="BG99" i="6"/>
  <c r="BJ99" i="6"/>
  <c r="BD99" i="6"/>
  <c r="DJ99" i="6" s="1"/>
  <c r="BF99" i="6"/>
  <c r="BH99" i="6"/>
  <c r="BI99" i="6"/>
  <c r="CC99" i="6"/>
  <c r="CO99" i="6"/>
  <c r="CQ99" i="6"/>
  <c r="CN99" i="6"/>
  <c r="CP99" i="6"/>
  <c r="AF26" i="6"/>
  <c r="AI26" i="6" s="1"/>
  <c r="AK26" i="6" s="1"/>
  <c r="DR26" i="6" s="1"/>
  <c r="CJ26" i="6"/>
  <c r="CM26" i="6"/>
  <c r="CI26" i="6"/>
  <c r="CE26" i="6"/>
  <c r="CD26" i="6"/>
  <c r="CB26" i="6"/>
  <c r="CL26" i="6"/>
  <c r="CH26" i="6"/>
  <c r="CK26" i="6"/>
  <c r="CG26" i="6"/>
  <c r="CF26" i="6"/>
  <c r="AY26" i="6"/>
  <c r="AZ26" i="6"/>
  <c r="BA26" i="6"/>
  <c r="BD26" i="6"/>
  <c r="BF26" i="6"/>
  <c r="DL26" i="6" s="1"/>
  <c r="BH26" i="6"/>
  <c r="BI26" i="6"/>
  <c r="BC26" i="6"/>
  <c r="BB26" i="6"/>
  <c r="DH26" i="6" s="1"/>
  <c r="EK26" i="6" s="1"/>
  <c r="BE26" i="6"/>
  <c r="BG26" i="6"/>
  <c r="BJ26" i="6"/>
  <c r="CC26" i="6"/>
  <c r="CO26" i="6"/>
  <c r="CQ26" i="6"/>
  <c r="CN26" i="6"/>
  <c r="CP26" i="6"/>
  <c r="AF61" i="6"/>
  <c r="AI61" i="6" s="1"/>
  <c r="AK61" i="6" s="1"/>
  <c r="CJ61" i="6"/>
  <c r="CM61" i="6"/>
  <c r="CI61" i="6"/>
  <c r="CE61" i="6"/>
  <c r="CD61" i="6"/>
  <c r="CB61" i="6"/>
  <c r="CL61" i="6"/>
  <c r="CH61" i="6"/>
  <c r="CK61" i="6"/>
  <c r="CG61" i="6"/>
  <c r="CF61" i="6"/>
  <c r="AY61" i="6"/>
  <c r="AZ61" i="6"/>
  <c r="BA61" i="6"/>
  <c r="BD61" i="6"/>
  <c r="BF61" i="6"/>
  <c r="DL61" i="6" s="1"/>
  <c r="BH61" i="6"/>
  <c r="BI61" i="6"/>
  <c r="BC61" i="6"/>
  <c r="BB61" i="6"/>
  <c r="DH61" i="6" s="1"/>
  <c r="EK61" i="6" s="1"/>
  <c r="BE61" i="6"/>
  <c r="BG61" i="6"/>
  <c r="BJ61" i="6"/>
  <c r="CC61" i="6"/>
  <c r="CO61" i="6"/>
  <c r="CQ61" i="6"/>
  <c r="CN61" i="6"/>
  <c r="CP61" i="6"/>
  <c r="AF12" i="6"/>
  <c r="AI12" i="6" s="1"/>
  <c r="AK12" i="6" s="1"/>
  <c r="FH12" i="6" s="1"/>
  <c r="CJ12" i="6"/>
  <c r="CM12" i="6"/>
  <c r="CI12" i="6"/>
  <c r="CE12" i="6"/>
  <c r="CD12" i="6"/>
  <c r="CB12" i="6"/>
  <c r="CL12" i="6"/>
  <c r="CH12" i="6"/>
  <c r="CK12" i="6"/>
  <c r="CG12" i="6"/>
  <c r="CF12" i="6"/>
  <c r="CC12" i="6"/>
  <c r="CO12" i="6"/>
  <c r="CQ12" i="6"/>
  <c r="CN12" i="6"/>
  <c r="CP12" i="6"/>
  <c r="AF38" i="6"/>
  <c r="AI38" i="6" s="1"/>
  <c r="AK38" i="6" s="1"/>
  <c r="CJ38" i="6"/>
  <c r="CM38" i="6"/>
  <c r="CI38" i="6"/>
  <c r="CE38" i="6"/>
  <c r="CD38" i="6"/>
  <c r="CB38" i="6"/>
  <c r="CH38" i="6"/>
  <c r="CL38" i="6"/>
  <c r="CK38" i="6"/>
  <c r="CG38" i="6"/>
  <c r="CF38" i="6"/>
  <c r="AY38" i="6"/>
  <c r="AZ38" i="6"/>
  <c r="BA38" i="6"/>
  <c r="BC38" i="6"/>
  <c r="BF38" i="6"/>
  <c r="DL38" i="6" s="1"/>
  <c r="BH38" i="6"/>
  <c r="BB38" i="6"/>
  <c r="BE38" i="6"/>
  <c r="BG38" i="6"/>
  <c r="DM38" i="6" s="1"/>
  <c r="BI38" i="6"/>
  <c r="BD38" i="6"/>
  <c r="CC38" i="6"/>
  <c r="BJ38" i="6"/>
  <c r="DP38" i="6" s="1"/>
  <c r="CO38" i="6"/>
  <c r="CQ38" i="6"/>
  <c r="CN38" i="6"/>
  <c r="CP38" i="6"/>
  <c r="AF78" i="6"/>
  <c r="AI78" i="6" s="1"/>
  <c r="AK78" i="6" s="1"/>
  <c r="CJ78" i="6"/>
  <c r="CM78" i="6"/>
  <c r="CI78" i="6"/>
  <c r="CE78" i="6"/>
  <c r="CD78" i="6"/>
  <c r="CB78" i="6"/>
  <c r="CH78" i="6"/>
  <c r="CL78" i="6"/>
  <c r="CK78" i="6"/>
  <c r="CG78" i="6"/>
  <c r="CF78" i="6"/>
  <c r="AY78" i="6"/>
  <c r="AZ78" i="6"/>
  <c r="BA78" i="6"/>
  <c r="BC78" i="6"/>
  <c r="BF78" i="6"/>
  <c r="DL78" i="6" s="1"/>
  <c r="BH78" i="6"/>
  <c r="BB78" i="6"/>
  <c r="BE78" i="6"/>
  <c r="BG78" i="6"/>
  <c r="DM78" i="6" s="1"/>
  <c r="BI78" i="6"/>
  <c r="BD78" i="6"/>
  <c r="BJ78" i="6"/>
  <c r="CC78" i="6"/>
  <c r="CO78" i="6"/>
  <c r="CQ78" i="6"/>
  <c r="CN78" i="6"/>
  <c r="CP78" i="6"/>
  <c r="AF33" i="6"/>
  <c r="AI33" i="6" s="1"/>
  <c r="AK33" i="6" s="1"/>
  <c r="CJ33" i="6"/>
  <c r="CM33" i="6"/>
  <c r="CI33" i="6"/>
  <c r="CE33" i="6"/>
  <c r="CD33" i="6"/>
  <c r="CB33" i="6"/>
  <c r="CL33" i="6"/>
  <c r="CH33" i="6"/>
  <c r="CK33" i="6"/>
  <c r="CG33" i="6"/>
  <c r="CF33" i="6"/>
  <c r="AY33" i="6"/>
  <c r="AZ33" i="6"/>
  <c r="BA33" i="6"/>
  <c r="BC33" i="6"/>
  <c r="BF33" i="6"/>
  <c r="DL33" i="6" s="1"/>
  <c r="BH33" i="6"/>
  <c r="BB33" i="6"/>
  <c r="BE33" i="6"/>
  <c r="BG33" i="6"/>
  <c r="DM33" i="6" s="1"/>
  <c r="BI33" i="6"/>
  <c r="BD33" i="6"/>
  <c r="CC33" i="6"/>
  <c r="BJ33" i="6"/>
  <c r="DP33" i="6" s="1"/>
  <c r="CO33" i="6"/>
  <c r="CQ33" i="6"/>
  <c r="CN33" i="6"/>
  <c r="CP33" i="6"/>
  <c r="AF100" i="6"/>
  <c r="AI100" i="6" s="1"/>
  <c r="AK100" i="6" s="1"/>
  <c r="CJ100" i="6"/>
  <c r="CM100" i="6"/>
  <c r="CI100" i="6"/>
  <c r="CE100" i="6"/>
  <c r="CD100" i="6"/>
  <c r="CL100" i="6"/>
  <c r="CB100" i="6"/>
  <c r="CH100" i="6"/>
  <c r="CK100" i="6"/>
  <c r="CG100" i="6"/>
  <c r="CF100" i="6"/>
  <c r="AZ100" i="6"/>
  <c r="DF100" i="6" s="1"/>
  <c r="AY100" i="6"/>
  <c r="BA100" i="6"/>
  <c r="BF100" i="6"/>
  <c r="BD100" i="6"/>
  <c r="DJ100" i="6" s="1"/>
  <c r="BG100" i="6"/>
  <c r="BC100" i="6"/>
  <c r="BH100" i="6"/>
  <c r="BI100" i="6"/>
  <c r="DO100" i="6" s="1"/>
  <c r="BB100" i="6"/>
  <c r="BE100" i="6"/>
  <c r="BJ100" i="6"/>
  <c r="CC100" i="6"/>
  <c r="FL100" i="6" s="1"/>
  <c r="CO100" i="6"/>
  <c r="CQ100" i="6"/>
  <c r="CN100" i="6"/>
  <c r="CP100" i="6"/>
  <c r="AF25" i="6"/>
  <c r="AI25" i="6" s="1"/>
  <c r="AK25" i="6" s="1"/>
  <c r="DR25" i="6" s="1"/>
  <c r="CJ25" i="6"/>
  <c r="CM25" i="6"/>
  <c r="CI25" i="6"/>
  <c r="CE25" i="6"/>
  <c r="CD25" i="6"/>
  <c r="CL25" i="6"/>
  <c r="CB25" i="6"/>
  <c r="CH25" i="6"/>
  <c r="CK25" i="6"/>
  <c r="CG25" i="6"/>
  <c r="CF25" i="6"/>
  <c r="BA25" i="6"/>
  <c r="DG25" i="6" s="1"/>
  <c r="AZ25" i="6"/>
  <c r="AY25" i="6"/>
  <c r="BB25" i="6"/>
  <c r="BE25" i="6"/>
  <c r="DK25" i="6" s="1"/>
  <c r="EN25" i="6" s="1"/>
  <c r="BJ25" i="6"/>
  <c r="BF25" i="6"/>
  <c r="BD25" i="6"/>
  <c r="BG25" i="6"/>
  <c r="DM25" i="6" s="1"/>
  <c r="BC25" i="6"/>
  <c r="BH25" i="6"/>
  <c r="BI25" i="6"/>
  <c r="CC25" i="6"/>
  <c r="CO25" i="6"/>
  <c r="CQ25" i="6"/>
  <c r="CN25" i="6"/>
  <c r="CP25" i="6"/>
  <c r="AF57" i="6"/>
  <c r="AI57" i="6" s="1"/>
  <c r="AK57" i="6" s="1"/>
  <c r="CJ57" i="6"/>
  <c r="CM57" i="6"/>
  <c r="CI57" i="6"/>
  <c r="CE57" i="6"/>
  <c r="CD57" i="6"/>
  <c r="CL57" i="6"/>
  <c r="CB57" i="6"/>
  <c r="CH57" i="6"/>
  <c r="CK57" i="6"/>
  <c r="CG57" i="6"/>
  <c r="CF57" i="6"/>
  <c r="BA57" i="6"/>
  <c r="DG57" i="6" s="1"/>
  <c r="AZ57" i="6"/>
  <c r="AY57" i="6"/>
  <c r="BB57" i="6"/>
  <c r="BE57" i="6"/>
  <c r="DK57" i="6" s="1"/>
  <c r="EN57" i="6" s="1"/>
  <c r="BD57" i="6"/>
  <c r="BC57" i="6"/>
  <c r="CC57" i="6"/>
  <c r="CO57" i="6"/>
  <c r="CQ57" i="6"/>
  <c r="CN57" i="6"/>
  <c r="CP57" i="6"/>
  <c r="AF74" i="6"/>
  <c r="AI74" i="6" s="1"/>
  <c r="AK74" i="6" s="1"/>
  <c r="CJ74" i="6"/>
  <c r="CM74" i="6"/>
  <c r="CI74" i="6"/>
  <c r="CE74" i="6"/>
  <c r="CD74" i="6"/>
  <c r="CL74" i="6"/>
  <c r="CB74" i="6"/>
  <c r="CH74" i="6"/>
  <c r="CK74" i="6"/>
  <c r="CG74" i="6"/>
  <c r="CF74" i="6"/>
  <c r="CC74" i="6"/>
  <c r="CO74" i="6"/>
  <c r="CQ74" i="6"/>
  <c r="CN74" i="6"/>
  <c r="CP74" i="6"/>
  <c r="AF66" i="6"/>
  <c r="AI66" i="6" s="1"/>
  <c r="AK66" i="6" s="1"/>
  <c r="CJ66" i="6"/>
  <c r="CM66" i="6"/>
  <c r="CI66" i="6"/>
  <c r="CE66" i="6"/>
  <c r="CD66" i="6"/>
  <c r="CL66" i="6"/>
  <c r="CB66" i="6"/>
  <c r="CH66" i="6"/>
  <c r="CK66" i="6"/>
  <c r="CG66" i="6"/>
  <c r="CF66" i="6"/>
  <c r="AZ66" i="6"/>
  <c r="DF66" i="6" s="1"/>
  <c r="AY66" i="6"/>
  <c r="BA66" i="6"/>
  <c r="BE66" i="6"/>
  <c r="BH66" i="6"/>
  <c r="DN66" i="6" s="1"/>
  <c r="BD66" i="6"/>
  <c r="BI66" i="6"/>
  <c r="BJ66" i="6"/>
  <c r="BC66" i="6"/>
  <c r="DI66" i="6" s="1"/>
  <c r="BF66" i="6"/>
  <c r="BB66" i="6"/>
  <c r="BG66" i="6"/>
  <c r="CC66" i="6"/>
  <c r="FL66" i="6" s="1"/>
  <c r="CO66" i="6"/>
  <c r="CQ66" i="6"/>
  <c r="CN66" i="6"/>
  <c r="CP66" i="6"/>
  <c r="AF37" i="6"/>
  <c r="AI37" i="6" s="1"/>
  <c r="AK37" i="6" s="1"/>
  <c r="CJ37" i="6"/>
  <c r="CM37" i="6"/>
  <c r="CI37" i="6"/>
  <c r="CE37" i="6"/>
  <c r="CD37" i="6"/>
  <c r="CL37" i="6"/>
  <c r="CB37" i="6"/>
  <c r="CH37" i="6"/>
  <c r="CK37" i="6"/>
  <c r="CG37" i="6"/>
  <c r="CF37" i="6"/>
  <c r="AZ37" i="6"/>
  <c r="DF37" i="6" s="1"/>
  <c r="AY37" i="6"/>
  <c r="BA37" i="6"/>
  <c r="BE37" i="6"/>
  <c r="BH37" i="6"/>
  <c r="DN37" i="6" s="1"/>
  <c r="BD37" i="6"/>
  <c r="BI37" i="6"/>
  <c r="BJ37" i="6"/>
  <c r="BC37" i="6"/>
  <c r="DI37" i="6" s="1"/>
  <c r="BF37" i="6"/>
  <c r="BB37" i="6"/>
  <c r="BG37" i="6"/>
  <c r="CC37" i="6"/>
  <c r="FL37" i="6" s="1"/>
  <c r="CO37" i="6"/>
  <c r="CQ37" i="6"/>
  <c r="CN37" i="6"/>
  <c r="CP37" i="6"/>
  <c r="AF110" i="6"/>
  <c r="AI110" i="6" s="1"/>
  <c r="AK110" i="6" s="1"/>
  <c r="CJ110" i="6"/>
  <c r="CM110" i="6"/>
  <c r="CI110" i="6"/>
  <c r="CE110" i="6"/>
  <c r="CD110" i="6"/>
  <c r="CB110" i="6"/>
  <c r="CH110" i="6"/>
  <c r="CL110" i="6"/>
  <c r="CK110" i="6"/>
  <c r="CG110" i="6"/>
  <c r="CF110" i="6"/>
  <c r="AZ110" i="6"/>
  <c r="DF110" i="6" s="1"/>
  <c r="AY110" i="6"/>
  <c r="BA110" i="6"/>
  <c r="BE110" i="6"/>
  <c r="BH110" i="6"/>
  <c r="DN110" i="6" s="1"/>
  <c r="BD110" i="6"/>
  <c r="BI110" i="6"/>
  <c r="BJ110" i="6"/>
  <c r="BC110" i="6"/>
  <c r="DI110" i="6" s="1"/>
  <c r="BF110" i="6"/>
  <c r="BB110" i="6"/>
  <c r="BG110" i="6"/>
  <c r="CC110" i="6"/>
  <c r="FL110" i="6" s="1"/>
  <c r="CO110" i="6"/>
  <c r="CQ110" i="6"/>
  <c r="CN110" i="6"/>
  <c r="CP110" i="6"/>
  <c r="AF49" i="6"/>
  <c r="AI49" i="6" s="1"/>
  <c r="AK49" i="6" s="1"/>
  <c r="CJ49" i="6"/>
  <c r="CM49" i="6"/>
  <c r="CI49" i="6"/>
  <c r="CE49" i="6"/>
  <c r="CD49" i="6"/>
  <c r="CB49" i="6"/>
  <c r="CL49" i="6"/>
  <c r="CH49" i="6"/>
  <c r="CK49" i="6"/>
  <c r="CG49" i="6"/>
  <c r="CF49" i="6"/>
  <c r="AY49" i="6"/>
  <c r="AZ49" i="6"/>
  <c r="BE49" i="6"/>
  <c r="BG49" i="6"/>
  <c r="BB49" i="6"/>
  <c r="DH49" i="6" s="1"/>
  <c r="EK49" i="6" s="1"/>
  <c r="BC49" i="6"/>
  <c r="BD49" i="6"/>
  <c r="BF49" i="6"/>
  <c r="BH49" i="6"/>
  <c r="DN49" i="6" s="1"/>
  <c r="BA49" i="6"/>
  <c r="BJ49" i="6"/>
  <c r="CC49" i="6"/>
  <c r="BI49" i="6"/>
  <c r="DO49" i="6" s="1"/>
  <c r="CO49" i="6"/>
  <c r="CQ49" i="6"/>
  <c r="CP49" i="6"/>
  <c r="CN49" i="6"/>
  <c r="AF6" i="6"/>
  <c r="AI6" i="6" s="1"/>
  <c r="AK6" i="6" s="1"/>
  <c r="DR6" i="6" s="1"/>
  <c r="CJ6" i="6"/>
  <c r="CM6" i="6"/>
  <c r="CI6" i="6"/>
  <c r="CE6" i="6"/>
  <c r="CD6" i="6"/>
  <c r="CB6" i="6"/>
  <c r="CL6" i="6"/>
  <c r="CH6" i="6"/>
  <c r="CK6" i="6"/>
  <c r="CG6" i="6"/>
  <c r="CF6" i="6"/>
  <c r="AY6" i="6"/>
  <c r="AZ6" i="6"/>
  <c r="BE6" i="6"/>
  <c r="BG6" i="6"/>
  <c r="BA6" i="6"/>
  <c r="DG6" i="6" s="1"/>
  <c r="BB6" i="6"/>
  <c r="BC6" i="6"/>
  <c r="BD6" i="6"/>
  <c r="BF6" i="6"/>
  <c r="DL6" i="6" s="1"/>
  <c r="BH6" i="6"/>
  <c r="BJ6" i="6"/>
  <c r="CC6" i="6"/>
  <c r="BI6" i="6"/>
  <c r="DO6" i="6" s="1"/>
  <c r="CO6" i="6"/>
  <c r="CQ6" i="6"/>
  <c r="CP6" i="6"/>
  <c r="CN6" i="6"/>
  <c r="AF58" i="6"/>
  <c r="AI58" i="6" s="1"/>
  <c r="AK58" i="6" s="1"/>
  <c r="CJ58" i="6"/>
  <c r="CM58" i="6"/>
  <c r="CI58" i="6"/>
  <c r="CE58" i="6"/>
  <c r="CD58" i="6"/>
  <c r="CB58" i="6"/>
  <c r="CL58" i="6"/>
  <c r="CH58" i="6"/>
  <c r="CK58" i="6"/>
  <c r="CG58" i="6"/>
  <c r="CF58" i="6"/>
  <c r="AY58" i="6"/>
  <c r="AZ58" i="6"/>
  <c r="BA58" i="6"/>
  <c r="BE58" i="6"/>
  <c r="BB58" i="6"/>
  <c r="DH58" i="6" s="1"/>
  <c r="EK58" i="6" s="1"/>
  <c r="BC58" i="6"/>
  <c r="BD58" i="6"/>
  <c r="CC58" i="6"/>
  <c r="CO58" i="6"/>
  <c r="CQ58" i="6"/>
  <c r="CN58" i="6"/>
  <c r="CP58" i="6"/>
  <c r="AF75" i="6"/>
  <c r="AI75" i="6" s="1"/>
  <c r="AK75" i="6" s="1"/>
  <c r="CJ75" i="6"/>
  <c r="CM75" i="6"/>
  <c r="CI75" i="6"/>
  <c r="CE75" i="6"/>
  <c r="CD75" i="6"/>
  <c r="CB75" i="6"/>
  <c r="CL75" i="6"/>
  <c r="CH75" i="6"/>
  <c r="CK75" i="6"/>
  <c r="CG75" i="6"/>
  <c r="CF75" i="6"/>
  <c r="CC75" i="6"/>
  <c r="CO75" i="6"/>
  <c r="CQ75" i="6"/>
  <c r="CN75" i="6"/>
  <c r="CP75" i="6"/>
  <c r="AF67" i="6"/>
  <c r="AI67" i="6" s="1"/>
  <c r="AK67" i="6" s="1"/>
  <c r="CJ67" i="6"/>
  <c r="CM67" i="6"/>
  <c r="CI67" i="6"/>
  <c r="CE67" i="6"/>
  <c r="CD67" i="6"/>
  <c r="CB67" i="6"/>
  <c r="CL67" i="6"/>
  <c r="CH67" i="6"/>
  <c r="CK67" i="6"/>
  <c r="CG67" i="6"/>
  <c r="CF67" i="6"/>
  <c r="AY67" i="6"/>
  <c r="AZ67" i="6"/>
  <c r="BA67" i="6"/>
  <c r="BG67" i="6"/>
  <c r="BF67" i="6"/>
  <c r="DL67" i="6" s="1"/>
  <c r="BH67" i="6"/>
  <c r="BI67" i="6"/>
  <c r="BB67" i="6"/>
  <c r="BC67" i="6"/>
  <c r="DI67" i="6" s="1"/>
  <c r="BD67" i="6"/>
  <c r="BE67" i="6"/>
  <c r="BJ67" i="6"/>
  <c r="CC67" i="6"/>
  <c r="CO67" i="6"/>
  <c r="CQ67" i="6"/>
  <c r="CN67" i="6"/>
  <c r="CP67" i="6"/>
  <c r="AF36" i="6"/>
  <c r="AI36" i="6" s="1"/>
  <c r="AK36" i="6" s="1"/>
  <c r="CJ36" i="6"/>
  <c r="CM36" i="6"/>
  <c r="CI36" i="6"/>
  <c r="CE36" i="6"/>
  <c r="CD36" i="6"/>
  <c r="CB36" i="6"/>
  <c r="CL36" i="6"/>
  <c r="CH36" i="6"/>
  <c r="CK36" i="6"/>
  <c r="CG36" i="6"/>
  <c r="CF36" i="6"/>
  <c r="AY36" i="6"/>
  <c r="AZ36" i="6"/>
  <c r="BA36" i="6"/>
  <c r="BB36" i="6"/>
  <c r="BC36" i="6"/>
  <c r="DI36" i="6" s="1"/>
  <c r="BD36" i="6"/>
  <c r="BE36" i="6"/>
  <c r="BG36" i="6"/>
  <c r="BI36" i="6"/>
  <c r="DO36" i="6" s="1"/>
  <c r="BF36" i="6"/>
  <c r="BH36" i="6"/>
  <c r="CC36" i="6"/>
  <c r="BJ36" i="6"/>
  <c r="DP36" i="6" s="1"/>
  <c r="CO36" i="6"/>
  <c r="CQ36" i="6"/>
  <c r="CN36" i="6"/>
  <c r="CP36" i="6"/>
  <c r="AF88" i="6"/>
  <c r="AI88" i="6" s="1"/>
  <c r="AK88" i="6" s="1"/>
  <c r="CJ88" i="6"/>
  <c r="CM88" i="6"/>
  <c r="CI88" i="6"/>
  <c r="CE88" i="6"/>
  <c r="CD88" i="6"/>
  <c r="CB88" i="6"/>
  <c r="CH88" i="6"/>
  <c r="CL88" i="6"/>
  <c r="CK88" i="6"/>
  <c r="CG88" i="6"/>
  <c r="CF88" i="6"/>
  <c r="CC88" i="6"/>
  <c r="CO88" i="6"/>
  <c r="CQ88" i="6"/>
  <c r="CN88" i="6"/>
  <c r="CP88" i="6"/>
  <c r="AF34" i="6"/>
  <c r="AI34" i="6" s="1"/>
  <c r="AK34" i="6" s="1"/>
  <c r="CJ34" i="6"/>
  <c r="CM34" i="6"/>
  <c r="CI34" i="6"/>
  <c r="CE34" i="6"/>
  <c r="CD34" i="6"/>
  <c r="CB34" i="6"/>
  <c r="CL34" i="6"/>
  <c r="CH34" i="6"/>
  <c r="CK34" i="6"/>
  <c r="CG34" i="6"/>
  <c r="CF34" i="6"/>
  <c r="AY34" i="6"/>
  <c r="BC34" i="6"/>
  <c r="BD34" i="6"/>
  <c r="BE34" i="6"/>
  <c r="AZ34" i="6"/>
  <c r="DF34" i="6" s="1"/>
  <c r="BB34" i="6"/>
  <c r="BG34" i="6"/>
  <c r="BA34" i="6"/>
  <c r="BF34" i="6"/>
  <c r="DL34" i="6" s="1"/>
  <c r="BH34" i="6"/>
  <c r="BJ34" i="6"/>
  <c r="CC34" i="6"/>
  <c r="BI34" i="6"/>
  <c r="DO34" i="6" s="1"/>
  <c r="CO34" i="6"/>
  <c r="CQ34" i="6"/>
  <c r="CN34" i="6"/>
  <c r="CP34" i="6"/>
  <c r="AF44" i="6"/>
  <c r="AI44" i="6" s="1"/>
  <c r="AK44" i="6" s="1"/>
  <c r="CJ44" i="6"/>
  <c r="CM44" i="6"/>
  <c r="CI44" i="6"/>
  <c r="CE44" i="6"/>
  <c r="CD44" i="6"/>
  <c r="CB44" i="6"/>
  <c r="CL44" i="6"/>
  <c r="CH44" i="6"/>
  <c r="CK44" i="6"/>
  <c r="CG44" i="6"/>
  <c r="CF44" i="6"/>
  <c r="CC44" i="6"/>
  <c r="CO44" i="6"/>
  <c r="CQ44" i="6"/>
  <c r="CN44" i="6"/>
  <c r="CP44" i="6"/>
  <c r="AF106" i="6"/>
  <c r="AI106" i="6" s="1"/>
  <c r="AK106" i="6" s="1"/>
  <c r="CJ106" i="6"/>
  <c r="CM106" i="6"/>
  <c r="CI106" i="6"/>
  <c r="CE106" i="6"/>
  <c r="CB106" i="6"/>
  <c r="CL106" i="6"/>
  <c r="CH106" i="6"/>
  <c r="CD106" i="6"/>
  <c r="CG106" i="6"/>
  <c r="CF106" i="6"/>
  <c r="CK106" i="6"/>
  <c r="BB106" i="6"/>
  <c r="DH106" i="6" s="1"/>
  <c r="EK106" i="6" s="1"/>
  <c r="AY106" i="6"/>
  <c r="BA106" i="6"/>
  <c r="BC106" i="6"/>
  <c r="BD106" i="6"/>
  <c r="DJ106" i="6" s="1"/>
  <c r="AZ106" i="6"/>
  <c r="BI106" i="6"/>
  <c r="BH106" i="6"/>
  <c r="BJ106" i="6"/>
  <c r="DP106" i="6" s="1"/>
  <c r="BG106" i="6"/>
  <c r="BE106" i="6"/>
  <c r="BF106" i="6"/>
  <c r="CC106" i="6"/>
  <c r="CO106" i="6"/>
  <c r="CQ106" i="6"/>
  <c r="CN106" i="6"/>
  <c r="CP106" i="6"/>
  <c r="AF13" i="6"/>
  <c r="AI13" i="6" s="1"/>
  <c r="AK13" i="6" s="1"/>
  <c r="CJ13" i="6"/>
  <c r="CM13" i="6"/>
  <c r="CI13" i="6"/>
  <c r="CE13" i="6"/>
  <c r="CB13" i="6"/>
  <c r="CL13" i="6"/>
  <c r="CH13" i="6"/>
  <c r="CD13" i="6"/>
  <c r="CK13" i="6"/>
  <c r="CG13" i="6"/>
  <c r="CF13" i="6"/>
  <c r="CC13" i="6"/>
  <c r="CO13" i="6"/>
  <c r="CQ13" i="6"/>
  <c r="CN13" i="6"/>
  <c r="CP13" i="6"/>
  <c r="AF69" i="6"/>
  <c r="AI69" i="6" s="1"/>
  <c r="AK69" i="6" s="1"/>
  <c r="CJ69" i="6"/>
  <c r="CM69" i="6"/>
  <c r="CI69" i="6"/>
  <c r="CE69" i="6"/>
  <c r="CD69" i="6"/>
  <c r="CB69" i="6"/>
  <c r="CL69" i="6"/>
  <c r="CH69" i="6"/>
  <c r="CK69" i="6"/>
  <c r="CG69" i="6"/>
  <c r="CF69" i="6"/>
  <c r="AZ69" i="6"/>
  <c r="DF69" i="6" s="1"/>
  <c r="BE69" i="6"/>
  <c r="BB69" i="6"/>
  <c r="AY69" i="6"/>
  <c r="BA69" i="6"/>
  <c r="DG69" i="6" s="1"/>
  <c r="BC69" i="6"/>
  <c r="BD69" i="6"/>
  <c r="BG69" i="6"/>
  <c r="BF69" i="6"/>
  <c r="DL69" i="6" s="1"/>
  <c r="BI69" i="6"/>
  <c r="BH69" i="6"/>
  <c r="BJ69" i="6"/>
  <c r="CC69" i="6"/>
  <c r="FL69" i="6" s="1"/>
  <c r="CO69" i="6"/>
  <c r="CQ69" i="6"/>
  <c r="CN69" i="6"/>
  <c r="CP69" i="6"/>
  <c r="AF35" i="6"/>
  <c r="AI35" i="6" s="1"/>
  <c r="AK35" i="6" s="1"/>
  <c r="CJ35" i="6"/>
  <c r="CM35" i="6"/>
  <c r="CI35" i="6"/>
  <c r="CE35" i="6"/>
  <c r="CB35" i="6"/>
  <c r="CL35" i="6"/>
  <c r="CH35" i="6"/>
  <c r="CD35" i="6"/>
  <c r="CK35" i="6"/>
  <c r="CG35" i="6"/>
  <c r="CF35" i="6"/>
  <c r="AY35" i="6"/>
  <c r="BA35" i="6"/>
  <c r="BC35" i="6"/>
  <c r="BD35" i="6"/>
  <c r="AZ35" i="6"/>
  <c r="DF35" i="6" s="1"/>
  <c r="BE35" i="6"/>
  <c r="BB35" i="6"/>
  <c r="BI35" i="6"/>
  <c r="BH35" i="6"/>
  <c r="DN35" i="6" s="1"/>
  <c r="BJ35" i="6"/>
  <c r="BG35" i="6"/>
  <c r="BF35" i="6"/>
  <c r="CC35" i="6"/>
  <c r="FL35" i="6" s="1"/>
  <c r="CO35" i="6"/>
  <c r="CQ35" i="6"/>
  <c r="CN35" i="6"/>
  <c r="CP35" i="6"/>
  <c r="AF17" i="6"/>
  <c r="AI17" i="6" s="1"/>
  <c r="AK17" i="6" s="1"/>
  <c r="CJ17" i="6"/>
  <c r="CM17" i="6"/>
  <c r="CI17" i="6"/>
  <c r="CE17" i="6"/>
  <c r="CL17" i="6"/>
  <c r="CD17" i="6"/>
  <c r="CB17" i="6"/>
  <c r="CH17" i="6"/>
  <c r="CK17" i="6"/>
  <c r="CG17" i="6"/>
  <c r="CF17" i="6"/>
  <c r="CC17" i="6"/>
  <c r="CO17" i="6"/>
  <c r="CQ17" i="6"/>
  <c r="CN17" i="6"/>
  <c r="CP17" i="6"/>
  <c r="AF81" i="6"/>
  <c r="AI81" i="6" s="1"/>
  <c r="AK81" i="6" s="1"/>
  <c r="CJ81" i="6"/>
  <c r="CM81" i="6"/>
  <c r="CI81" i="6"/>
  <c r="CE81" i="6"/>
  <c r="CB81" i="6"/>
  <c r="CH81" i="6"/>
  <c r="CL81" i="6"/>
  <c r="CD81" i="6"/>
  <c r="CK81" i="6"/>
  <c r="CG81" i="6"/>
  <c r="CF81" i="6"/>
  <c r="AY81" i="6"/>
  <c r="AZ81" i="6"/>
  <c r="CC81" i="6"/>
  <c r="CO81" i="6"/>
  <c r="CQ81" i="6"/>
  <c r="FZ81" i="6" s="1"/>
  <c r="CN81" i="6"/>
  <c r="CP81" i="6"/>
  <c r="AF108" i="6"/>
  <c r="AI108" i="6" s="1"/>
  <c r="AK108" i="6" s="1"/>
  <c r="CJ108" i="6"/>
  <c r="CM108" i="6"/>
  <c r="CI108" i="6"/>
  <c r="CE108" i="6"/>
  <c r="CD108" i="6"/>
  <c r="CB108" i="6"/>
  <c r="CH108" i="6"/>
  <c r="CL108" i="6"/>
  <c r="CK108" i="6"/>
  <c r="CG108" i="6"/>
  <c r="CF108" i="6"/>
  <c r="AY108" i="6"/>
  <c r="AZ108" i="6"/>
  <c r="BA108" i="6"/>
  <c r="BD108" i="6"/>
  <c r="BF108" i="6"/>
  <c r="DL108" i="6" s="1"/>
  <c r="BH108" i="6"/>
  <c r="BI108" i="6"/>
  <c r="BC108" i="6"/>
  <c r="BB108" i="6"/>
  <c r="DH108" i="6" s="1"/>
  <c r="EK108" i="6" s="1"/>
  <c r="BE108" i="6"/>
  <c r="BG108" i="6"/>
  <c r="CC108" i="6"/>
  <c r="BJ108" i="6"/>
  <c r="DP108" i="6" s="1"/>
  <c r="CO108" i="6"/>
  <c r="CQ108" i="6"/>
  <c r="CN108" i="6"/>
  <c r="CP108" i="6"/>
  <c r="AF105" i="6"/>
  <c r="AI105" i="6" s="1"/>
  <c r="AK105" i="6" s="1"/>
  <c r="CJ105" i="6"/>
  <c r="CM105" i="6"/>
  <c r="CI105" i="6"/>
  <c r="CE105" i="6"/>
  <c r="CB105" i="6"/>
  <c r="CH105" i="6"/>
  <c r="CL105" i="6"/>
  <c r="CD105" i="6"/>
  <c r="CK105" i="6"/>
  <c r="CG105" i="6"/>
  <c r="CF105" i="6"/>
  <c r="AY105" i="6"/>
  <c r="AZ105" i="6"/>
  <c r="BA105" i="6"/>
  <c r="BD105" i="6"/>
  <c r="BF105" i="6"/>
  <c r="DL105" i="6" s="1"/>
  <c r="BH105" i="6"/>
  <c r="BC105" i="6"/>
  <c r="BB105" i="6"/>
  <c r="BE105" i="6"/>
  <c r="DK105" i="6" s="1"/>
  <c r="BG105" i="6"/>
  <c r="BJ105" i="6"/>
  <c r="CC105" i="6"/>
  <c r="BI105" i="6"/>
  <c r="DO105" i="6" s="1"/>
  <c r="CO105" i="6"/>
  <c r="CQ105" i="6"/>
  <c r="CN105" i="6"/>
  <c r="CP105" i="6"/>
  <c r="AF79" i="6"/>
  <c r="AI79" i="6" s="1"/>
  <c r="AK79" i="6" s="1"/>
  <c r="CJ79" i="6"/>
  <c r="CM79" i="6"/>
  <c r="CI79" i="6"/>
  <c r="CE79" i="6"/>
  <c r="CD79" i="6"/>
  <c r="CB79" i="6"/>
  <c r="CH79" i="6"/>
  <c r="CL79" i="6"/>
  <c r="CK79" i="6"/>
  <c r="CG79" i="6"/>
  <c r="CF79" i="6"/>
  <c r="CC79" i="6"/>
  <c r="CO79" i="6"/>
  <c r="CQ79" i="6"/>
  <c r="CN79" i="6"/>
  <c r="CP79" i="6"/>
  <c r="AF65" i="6"/>
  <c r="AI65" i="6" s="1"/>
  <c r="AK65" i="6" s="1"/>
  <c r="CJ65" i="6"/>
  <c r="CM65" i="6"/>
  <c r="CI65" i="6"/>
  <c r="CE65" i="6"/>
  <c r="CB65" i="6"/>
  <c r="CH65" i="6"/>
  <c r="CL65" i="6"/>
  <c r="CD65" i="6"/>
  <c r="CK65" i="6"/>
  <c r="CG65" i="6"/>
  <c r="CF65" i="6"/>
  <c r="AY65" i="6"/>
  <c r="AZ65" i="6"/>
  <c r="BA65" i="6"/>
  <c r="BB65" i="6"/>
  <c r="BE65" i="6"/>
  <c r="DK65" i="6" s="1"/>
  <c r="BG65" i="6"/>
  <c r="BI65" i="6"/>
  <c r="BJ65" i="6"/>
  <c r="BD65" i="6"/>
  <c r="DJ65" i="6" s="1"/>
  <c r="BC65" i="6"/>
  <c r="BF65" i="6"/>
  <c r="BH65" i="6"/>
  <c r="CC65" i="6"/>
  <c r="CO65" i="6"/>
  <c r="CQ65" i="6"/>
  <c r="CN65" i="6"/>
  <c r="CP65" i="6"/>
  <c r="AF86" i="6"/>
  <c r="AI86" i="6" s="1"/>
  <c r="AK86" i="6" s="1"/>
  <c r="CJ86" i="6"/>
  <c r="CM86" i="6"/>
  <c r="CI86" i="6"/>
  <c r="CE86" i="6"/>
  <c r="CD86" i="6"/>
  <c r="CB86" i="6"/>
  <c r="CH86" i="6"/>
  <c r="CL86" i="6"/>
  <c r="CK86" i="6"/>
  <c r="CG86" i="6"/>
  <c r="CF86" i="6"/>
  <c r="AY86" i="6"/>
  <c r="AZ86" i="6"/>
  <c r="BA86" i="6"/>
  <c r="BB86" i="6"/>
  <c r="BE86" i="6"/>
  <c r="DK86" i="6" s="1"/>
  <c r="BG86" i="6"/>
  <c r="BI86" i="6"/>
  <c r="BJ86" i="6"/>
  <c r="BD86" i="6"/>
  <c r="DJ86" i="6" s="1"/>
  <c r="BC86" i="6"/>
  <c r="BF86" i="6"/>
  <c r="BH86" i="6"/>
  <c r="CC86" i="6"/>
  <c r="CO86" i="6"/>
  <c r="CQ86" i="6"/>
  <c r="CN86" i="6"/>
  <c r="CP86" i="6"/>
  <c r="AF16" i="6"/>
  <c r="AI16" i="6" s="1"/>
  <c r="AK16" i="6" s="1"/>
  <c r="CJ16" i="6"/>
  <c r="CM16" i="6"/>
  <c r="CI16" i="6"/>
  <c r="CE16" i="6"/>
  <c r="CD16" i="6"/>
  <c r="CB16" i="6"/>
  <c r="CL16" i="6"/>
  <c r="CH16" i="6"/>
  <c r="CK16" i="6"/>
  <c r="CG16" i="6"/>
  <c r="CF16" i="6"/>
  <c r="CC16" i="6"/>
  <c r="CO16" i="6"/>
  <c r="CQ16" i="6"/>
  <c r="CN16" i="6"/>
  <c r="CP16" i="6"/>
  <c r="AF116" i="6"/>
  <c r="AI116" i="6" s="1"/>
  <c r="AK116" i="6" s="1"/>
  <c r="DR116" i="6" s="1"/>
  <c r="CJ116" i="6"/>
  <c r="CM116" i="6"/>
  <c r="CI116" i="6"/>
  <c r="CE116" i="6"/>
  <c r="CD116" i="6"/>
  <c r="CB116" i="6"/>
  <c r="CH116" i="6"/>
  <c r="CL116" i="6"/>
  <c r="CK116" i="6"/>
  <c r="CG116" i="6"/>
  <c r="CF116" i="6"/>
  <c r="AY116" i="6"/>
  <c r="BA116" i="6"/>
  <c r="AZ116" i="6"/>
  <c r="BD116" i="6"/>
  <c r="BG116" i="6"/>
  <c r="DM116" i="6" s="1"/>
  <c r="BC116" i="6"/>
  <c r="BH116" i="6"/>
  <c r="BI116" i="6"/>
  <c r="BB116" i="6"/>
  <c r="DH116" i="6" s="1"/>
  <c r="EK116" i="6" s="1"/>
  <c r="BE116" i="6"/>
  <c r="BJ116" i="6"/>
  <c r="BF116" i="6"/>
  <c r="CC116" i="6"/>
  <c r="CO116" i="6"/>
  <c r="CQ116" i="6"/>
  <c r="CN116" i="6"/>
  <c r="CP116" i="6"/>
  <c r="AF22" i="6"/>
  <c r="AI22" i="6" s="1"/>
  <c r="AK22" i="6" s="1"/>
  <c r="CJ22" i="6"/>
  <c r="CM22" i="6"/>
  <c r="CI22" i="6"/>
  <c r="CE22" i="6"/>
  <c r="CD22" i="6"/>
  <c r="CB22" i="6"/>
  <c r="CH22" i="6"/>
  <c r="CL22" i="6"/>
  <c r="CK22" i="6"/>
  <c r="CG22" i="6"/>
  <c r="CF22" i="6"/>
  <c r="AZ22" i="6"/>
  <c r="DF22" i="6" s="1"/>
  <c r="AY22" i="6"/>
  <c r="BA22" i="6"/>
  <c r="BF22" i="6"/>
  <c r="BD22" i="6"/>
  <c r="DJ22" i="6" s="1"/>
  <c r="BG22" i="6"/>
  <c r="BC22" i="6"/>
  <c r="BH22" i="6"/>
  <c r="BI22" i="6"/>
  <c r="DO22" i="6" s="1"/>
  <c r="ER22" i="6" s="1"/>
  <c r="BB22" i="6"/>
  <c r="BE22" i="6"/>
  <c r="BJ22" i="6"/>
  <c r="CC22" i="6"/>
  <c r="FL22" i="6" s="1"/>
  <c r="CO22" i="6"/>
  <c r="CQ22" i="6"/>
  <c r="CN22" i="6"/>
  <c r="CP22" i="6"/>
  <c r="AF80" i="6"/>
  <c r="AI80" i="6" s="1"/>
  <c r="AK80" i="6" s="1"/>
  <c r="CJ80" i="6"/>
  <c r="CM80" i="6"/>
  <c r="CI80" i="6"/>
  <c r="CE80" i="6"/>
  <c r="CD80" i="6"/>
  <c r="CB80" i="6"/>
  <c r="CH80" i="6"/>
  <c r="CL80" i="6"/>
  <c r="CK80" i="6"/>
  <c r="CG80" i="6"/>
  <c r="CF80" i="6"/>
  <c r="AZ80" i="6"/>
  <c r="DF80" i="6" s="1"/>
  <c r="AY80" i="6"/>
  <c r="BA80" i="6"/>
  <c r="BJ80" i="6"/>
  <c r="BI80" i="6"/>
  <c r="DO80" i="6" s="1"/>
  <c r="ER80" i="6" s="1"/>
  <c r="BD80" i="6"/>
  <c r="BF80" i="6"/>
  <c r="BC80" i="6"/>
  <c r="BG80" i="6"/>
  <c r="DM80" i="6" s="1"/>
  <c r="BB80" i="6"/>
  <c r="BE80" i="6"/>
  <c r="BH80" i="6"/>
  <c r="CC80" i="6"/>
  <c r="FL80" i="6" s="1"/>
  <c r="CO80" i="6"/>
  <c r="CQ80" i="6"/>
  <c r="CN80" i="6"/>
  <c r="CP80" i="6"/>
  <c r="AF18" i="6"/>
  <c r="AI18" i="6" s="1"/>
  <c r="AK18" i="6" s="1"/>
  <c r="DR18" i="6" s="1"/>
  <c r="CJ18" i="6"/>
  <c r="CM18" i="6"/>
  <c r="CI18" i="6"/>
  <c r="CE18" i="6"/>
  <c r="CD18" i="6"/>
  <c r="CB18" i="6"/>
  <c r="CH18" i="6"/>
  <c r="CL18" i="6"/>
  <c r="CK18" i="6"/>
  <c r="CG18" i="6"/>
  <c r="CF18" i="6"/>
  <c r="BA18" i="6"/>
  <c r="DG18" i="6" s="1"/>
  <c r="AZ18" i="6"/>
  <c r="AY18" i="6"/>
  <c r="BC18" i="6"/>
  <c r="BG18" i="6"/>
  <c r="DM18" i="6" s="1"/>
  <c r="BB18" i="6"/>
  <c r="BE18" i="6"/>
  <c r="BH18" i="6"/>
  <c r="BI18" i="6"/>
  <c r="DO18" i="6" s="1"/>
  <c r="ER18" i="6" s="1"/>
  <c r="BJ18" i="6"/>
  <c r="BD18" i="6"/>
  <c r="BF18" i="6"/>
  <c r="CC18" i="6"/>
  <c r="CO18" i="6"/>
  <c r="CQ18" i="6"/>
  <c r="CN18" i="6"/>
  <c r="CP18" i="6"/>
  <c r="AF68" i="6"/>
  <c r="AI68" i="6" s="1"/>
  <c r="AK68" i="6" s="1"/>
  <c r="CJ68" i="6"/>
  <c r="CM68" i="6"/>
  <c r="CI68" i="6"/>
  <c r="CE68" i="6"/>
  <c r="CD68" i="6"/>
  <c r="CB68" i="6"/>
  <c r="CH68" i="6"/>
  <c r="CL68" i="6"/>
  <c r="CK68" i="6"/>
  <c r="CG68" i="6"/>
  <c r="CF68" i="6"/>
  <c r="AY68" i="6"/>
  <c r="BA68" i="6"/>
  <c r="AZ68" i="6"/>
  <c r="BD68" i="6"/>
  <c r="BI68" i="6"/>
  <c r="DO68" i="6" s="1"/>
  <c r="ER68" i="6" s="1"/>
  <c r="BJ68" i="6"/>
  <c r="BC68" i="6"/>
  <c r="BF68" i="6"/>
  <c r="BB68" i="6"/>
  <c r="DH68" i="6" s="1"/>
  <c r="EK68" i="6" s="1"/>
  <c r="BG68" i="6"/>
  <c r="BE68" i="6"/>
  <c r="BH68" i="6"/>
  <c r="CC68" i="6"/>
  <c r="CO68" i="6"/>
  <c r="CQ68" i="6"/>
  <c r="CN68" i="6"/>
  <c r="CP68" i="6"/>
  <c r="AF101" i="6"/>
  <c r="AI101" i="6" s="1"/>
  <c r="AK101" i="6" s="1"/>
  <c r="CJ101" i="6"/>
  <c r="CM101" i="6"/>
  <c r="CI101" i="6"/>
  <c r="CE101" i="6"/>
  <c r="CD101" i="6"/>
  <c r="CB101" i="6"/>
  <c r="CH101" i="6"/>
  <c r="CL101" i="6"/>
  <c r="CK101" i="6"/>
  <c r="CG101" i="6"/>
  <c r="CF101" i="6"/>
  <c r="AY101" i="6"/>
  <c r="BA101" i="6"/>
  <c r="AZ101" i="6"/>
  <c r="BD101" i="6"/>
  <c r="BI101" i="6"/>
  <c r="DO101" i="6" s="1"/>
  <c r="ER101" i="6" s="1"/>
  <c r="BJ101" i="6"/>
  <c r="BC101" i="6"/>
  <c r="BF101" i="6"/>
  <c r="BB101" i="6"/>
  <c r="DH101" i="6" s="1"/>
  <c r="EK101" i="6" s="1"/>
  <c r="BG101" i="6"/>
  <c r="BE101" i="6"/>
  <c r="BH101" i="6"/>
  <c r="CC101" i="6"/>
  <c r="CO101" i="6"/>
  <c r="CQ101" i="6"/>
  <c r="CN101" i="6"/>
  <c r="CP101" i="6"/>
  <c r="AF117" i="6"/>
  <c r="AI117" i="6" s="1"/>
  <c r="AK117" i="6" s="1"/>
  <c r="FH117" i="6" s="1"/>
  <c r="CJ117" i="6"/>
  <c r="CM117" i="6"/>
  <c r="CI117" i="6"/>
  <c r="CE117" i="6"/>
  <c r="CD117" i="6"/>
  <c r="CB117" i="6"/>
  <c r="CL117" i="6"/>
  <c r="CH117" i="6"/>
  <c r="CK117" i="6"/>
  <c r="CG117" i="6"/>
  <c r="CF117" i="6"/>
  <c r="CC117" i="6"/>
  <c r="CO117" i="6"/>
  <c r="CQ117" i="6"/>
  <c r="CN117" i="6"/>
  <c r="CP117" i="6"/>
  <c r="EE117" i="6"/>
  <c r="EE12" i="6"/>
  <c r="CA19" i="6"/>
  <c r="CA28" i="6"/>
  <c r="CA20" i="6"/>
  <c r="CA8" i="6"/>
  <c r="CA29" i="6"/>
  <c r="CA15" i="6"/>
  <c r="CA91" i="6"/>
  <c r="CA95" i="6"/>
  <c r="CA24" i="6"/>
  <c r="CA107" i="6"/>
  <c r="CA9" i="6"/>
  <c r="CA111" i="6"/>
  <c r="CA112" i="6"/>
  <c r="CA32" i="6"/>
  <c r="CA99" i="6"/>
  <c r="CA26" i="6"/>
  <c r="CA61" i="6"/>
  <c r="CA12" i="6"/>
  <c r="CA38" i="6"/>
  <c r="CA78" i="6"/>
  <c r="CA33" i="6"/>
  <c r="CA100" i="6"/>
  <c r="CA25" i="6"/>
  <c r="CA57" i="6"/>
  <c r="CA74" i="6"/>
  <c r="CA66" i="6"/>
  <c r="CA37" i="6"/>
  <c r="CA110" i="6"/>
  <c r="AL117" i="6"/>
  <c r="AL110" i="6"/>
  <c r="AL89" i="6"/>
  <c r="AL41" i="6"/>
  <c r="AL101" i="6"/>
  <c r="AL37" i="6"/>
  <c r="AL56" i="6"/>
  <c r="AL47" i="6"/>
  <c r="AL68" i="6"/>
  <c r="AL66" i="6"/>
  <c r="AL21" i="6"/>
  <c r="AL54" i="6"/>
  <c r="AL18" i="6"/>
  <c r="AL74" i="6"/>
  <c r="AL70" i="6"/>
  <c r="AL55" i="6"/>
  <c r="AL80" i="6"/>
  <c r="AL57" i="6"/>
  <c r="AL76" i="6"/>
  <c r="AL98" i="6"/>
  <c r="AL22" i="6"/>
  <c r="AL25" i="6"/>
  <c r="AL27" i="6"/>
  <c r="AL84" i="6"/>
  <c r="AL116" i="6"/>
  <c r="AL100" i="6"/>
  <c r="AL7" i="6"/>
  <c r="AL62" i="6"/>
  <c r="AM117" i="6"/>
  <c r="AM110" i="6"/>
  <c r="AM89" i="6"/>
  <c r="CS89" i="6" s="1"/>
  <c r="AM41" i="6"/>
  <c r="CS41" i="6" s="1"/>
  <c r="DV41" i="6" s="1"/>
  <c r="AM101" i="6"/>
  <c r="AM37" i="6"/>
  <c r="AM56" i="6"/>
  <c r="CS56" i="6" s="1"/>
  <c r="DV56" i="6" s="1"/>
  <c r="AM47" i="6"/>
  <c r="CS47" i="6" s="1"/>
  <c r="DV47" i="6" s="1"/>
  <c r="AM68" i="6"/>
  <c r="AM66" i="6"/>
  <c r="CS66" i="6" s="1"/>
  <c r="DV66" i="6" s="1"/>
  <c r="AM21" i="6"/>
  <c r="CS21" i="6" s="1"/>
  <c r="DV21" i="6" s="1"/>
  <c r="AM54" i="6"/>
  <c r="CS54" i="6" s="1"/>
  <c r="DV54" i="6" s="1"/>
  <c r="AM18" i="6"/>
  <c r="AM74" i="6"/>
  <c r="CS74" i="6" s="1"/>
  <c r="DV74" i="6" s="1"/>
  <c r="AM70" i="6"/>
  <c r="CS70" i="6" s="1"/>
  <c r="DV70" i="6" s="1"/>
  <c r="AM55" i="6"/>
  <c r="CS55" i="6" s="1"/>
  <c r="DV55" i="6" s="1"/>
  <c r="AM80" i="6"/>
  <c r="AM57" i="6"/>
  <c r="CS57" i="6" s="1"/>
  <c r="DV57" i="6" s="1"/>
  <c r="AM76" i="6"/>
  <c r="CS76" i="6" s="1"/>
  <c r="DV76" i="6" s="1"/>
  <c r="AM98" i="6"/>
  <c r="CS98" i="6" s="1"/>
  <c r="DV98" i="6" s="1"/>
  <c r="AM22" i="6"/>
  <c r="AM25" i="6"/>
  <c r="AM27" i="6"/>
  <c r="CS27" i="6" s="1"/>
  <c r="DV27" i="6" s="1"/>
  <c r="AM84" i="6"/>
  <c r="CS84" i="6" s="1"/>
  <c r="DV84" i="6" s="1"/>
  <c r="AM116" i="6"/>
  <c r="AM100" i="6"/>
  <c r="AM7" i="6"/>
  <c r="CS7" i="6" s="1"/>
  <c r="DV7" i="6" s="1"/>
  <c r="AM62" i="6"/>
  <c r="CS62" i="6" s="1"/>
  <c r="DV62" i="6" s="1"/>
  <c r="AN117" i="6"/>
  <c r="AN110" i="6"/>
  <c r="AN89" i="6"/>
  <c r="CT89" i="6" s="1"/>
  <c r="AN41" i="6"/>
  <c r="CT41" i="6" s="1"/>
  <c r="DW41" i="6" s="1"/>
  <c r="AN101" i="6"/>
  <c r="AN37" i="6"/>
  <c r="AN56" i="6"/>
  <c r="CT56" i="6" s="1"/>
  <c r="DW56" i="6" s="1"/>
  <c r="AN47" i="6"/>
  <c r="CT47" i="6" s="1"/>
  <c r="DW47" i="6" s="1"/>
  <c r="AN68" i="6"/>
  <c r="AN66" i="6"/>
  <c r="CT66" i="6" s="1"/>
  <c r="DW66" i="6" s="1"/>
  <c r="AN21" i="6"/>
  <c r="CT21" i="6" s="1"/>
  <c r="DW21" i="6" s="1"/>
  <c r="AN54" i="6"/>
  <c r="CT54" i="6" s="1"/>
  <c r="DW54" i="6" s="1"/>
  <c r="AN18" i="6"/>
  <c r="AN74" i="6"/>
  <c r="CT74" i="6" s="1"/>
  <c r="DW74" i="6" s="1"/>
  <c r="AN70" i="6"/>
  <c r="CT70" i="6" s="1"/>
  <c r="DW70" i="6" s="1"/>
  <c r="AN55" i="6"/>
  <c r="CT55" i="6" s="1"/>
  <c r="DW55" i="6" s="1"/>
  <c r="AN80" i="6"/>
  <c r="AN57" i="6"/>
  <c r="CT57" i="6" s="1"/>
  <c r="DW57" i="6" s="1"/>
  <c r="AN76" i="6"/>
  <c r="CT76" i="6" s="1"/>
  <c r="DW76" i="6" s="1"/>
  <c r="AN98" i="6"/>
  <c r="CT98" i="6" s="1"/>
  <c r="DW98" i="6" s="1"/>
  <c r="AN22" i="6"/>
  <c r="AN25" i="6"/>
  <c r="AN27" i="6"/>
  <c r="CT27" i="6" s="1"/>
  <c r="DW27" i="6" s="1"/>
  <c r="AN84" i="6"/>
  <c r="CT84" i="6" s="1"/>
  <c r="DW84" i="6" s="1"/>
  <c r="AN116" i="6"/>
  <c r="AN100" i="6"/>
  <c r="CT100" i="6" s="1"/>
  <c r="DW100" i="6" s="1"/>
  <c r="AN7" i="6"/>
  <c r="CT7" i="6" s="1"/>
  <c r="DW7" i="6" s="1"/>
  <c r="AN62" i="6"/>
  <c r="CT62" i="6" s="1"/>
  <c r="DW62" i="6" s="1"/>
  <c r="AO117" i="6"/>
  <c r="AL16" i="6"/>
  <c r="AL33" i="6"/>
  <c r="AL43" i="6"/>
  <c r="AL40" i="6"/>
  <c r="AL86" i="6"/>
  <c r="AL78" i="6"/>
  <c r="AL14" i="6"/>
  <c r="AL94" i="6"/>
  <c r="AL65" i="6"/>
  <c r="AL38" i="6"/>
  <c r="AL31" i="6"/>
  <c r="AL52" i="6"/>
  <c r="AL79" i="6"/>
  <c r="AL12" i="6"/>
  <c r="AL71" i="6"/>
  <c r="AL51" i="6"/>
  <c r="AL105" i="6"/>
  <c r="AL61" i="6"/>
  <c r="AL96" i="6"/>
  <c r="AL97" i="6"/>
  <c r="AL108" i="6"/>
  <c r="AL26" i="6"/>
  <c r="AL85" i="6"/>
  <c r="AL83" i="6"/>
  <c r="AL81" i="6"/>
  <c r="AL99" i="6"/>
  <c r="AL23" i="6"/>
  <c r="AL77" i="6"/>
  <c r="AM16" i="6"/>
  <c r="AM33" i="6"/>
  <c r="CS33" i="6" s="1"/>
  <c r="DV33" i="6" s="1"/>
  <c r="AM43" i="6"/>
  <c r="CS43" i="6" s="1"/>
  <c r="DV43" i="6" s="1"/>
  <c r="AM40" i="6"/>
  <c r="CS40" i="6" s="1"/>
  <c r="DV40" i="6" s="1"/>
  <c r="AM86" i="6"/>
  <c r="AM78" i="6"/>
  <c r="AM14" i="6"/>
  <c r="CS14" i="6" s="1"/>
  <c r="DV14" i="6" s="1"/>
  <c r="AM94" i="6"/>
  <c r="CS94" i="6" s="1"/>
  <c r="DV94" i="6" s="1"/>
  <c r="AM65" i="6"/>
  <c r="AM38" i="6"/>
  <c r="CS38" i="6" s="1"/>
  <c r="DV38" i="6" s="1"/>
  <c r="AM31" i="6"/>
  <c r="CS31" i="6" s="1"/>
  <c r="DV31" i="6" s="1"/>
  <c r="AM52" i="6"/>
  <c r="CS52" i="6" s="1"/>
  <c r="DV52" i="6" s="1"/>
  <c r="AM79" i="6"/>
  <c r="AM12" i="6"/>
  <c r="CS12" i="6" s="1"/>
  <c r="DV12" i="6" s="1"/>
  <c r="AM71" i="6"/>
  <c r="CS71" i="6" s="1"/>
  <c r="DV71" i="6" s="1"/>
  <c r="AM51" i="6"/>
  <c r="CS51" i="6" s="1"/>
  <c r="DV51" i="6" s="1"/>
  <c r="AM105" i="6"/>
  <c r="AM61" i="6"/>
  <c r="CS61" i="6" s="1"/>
  <c r="DV61" i="6" s="1"/>
  <c r="AM96" i="6"/>
  <c r="CS96" i="6" s="1"/>
  <c r="DV96" i="6" s="1"/>
  <c r="AM97" i="6"/>
  <c r="CS97" i="6" s="1"/>
  <c r="DV97" i="6" s="1"/>
  <c r="AM108" i="6"/>
  <c r="CS108" i="6" s="1"/>
  <c r="DV108" i="6" s="1"/>
  <c r="AM26" i="6"/>
  <c r="AM85" i="6"/>
  <c r="CS85" i="6" s="1"/>
  <c r="DV85" i="6" s="1"/>
  <c r="AM83" i="6"/>
  <c r="CS83" i="6" s="1"/>
  <c r="DV83" i="6" s="1"/>
  <c r="AM81" i="6"/>
  <c r="AM99" i="6"/>
  <c r="CS99" i="6" s="1"/>
  <c r="DV99" i="6" s="1"/>
  <c r="AM23" i="6"/>
  <c r="CS23" i="6" s="1"/>
  <c r="DV23" i="6" s="1"/>
  <c r="AM77" i="6"/>
  <c r="CS77" i="6" s="1"/>
  <c r="DV77" i="6" s="1"/>
  <c r="AN16" i="6"/>
  <c r="AN33" i="6"/>
  <c r="CT33" i="6" s="1"/>
  <c r="DW33" i="6" s="1"/>
  <c r="AN43" i="6"/>
  <c r="CT43" i="6" s="1"/>
  <c r="DW43" i="6" s="1"/>
  <c r="AN40" i="6"/>
  <c r="CT40" i="6" s="1"/>
  <c r="DW40" i="6" s="1"/>
  <c r="AN86" i="6"/>
  <c r="AN78" i="6"/>
  <c r="AN14" i="6"/>
  <c r="CT14" i="6" s="1"/>
  <c r="DW14" i="6" s="1"/>
  <c r="AN94" i="6"/>
  <c r="CT94" i="6" s="1"/>
  <c r="DW94" i="6" s="1"/>
  <c r="AN65" i="6"/>
  <c r="AN38" i="6"/>
  <c r="CT38" i="6" s="1"/>
  <c r="DW38" i="6" s="1"/>
  <c r="AN31" i="6"/>
  <c r="CT31" i="6" s="1"/>
  <c r="DW31" i="6" s="1"/>
  <c r="AN52" i="6"/>
  <c r="CT52" i="6" s="1"/>
  <c r="DW52" i="6" s="1"/>
  <c r="AN79" i="6"/>
  <c r="AN12" i="6"/>
  <c r="CT12" i="6" s="1"/>
  <c r="DW12" i="6" s="1"/>
  <c r="AN71" i="6"/>
  <c r="CT71" i="6" s="1"/>
  <c r="DW71" i="6" s="1"/>
  <c r="AN51" i="6"/>
  <c r="CT51" i="6" s="1"/>
  <c r="DW51" i="6" s="1"/>
  <c r="AN105" i="6"/>
  <c r="AN61" i="6"/>
  <c r="CT61" i="6" s="1"/>
  <c r="DW61" i="6" s="1"/>
  <c r="AN96" i="6"/>
  <c r="CT96" i="6" s="1"/>
  <c r="DW96" i="6" s="1"/>
  <c r="AN97" i="6"/>
  <c r="CT97" i="6" s="1"/>
  <c r="DW97" i="6" s="1"/>
  <c r="AN108" i="6"/>
  <c r="CT108" i="6" s="1"/>
  <c r="DW108" i="6" s="1"/>
  <c r="AN26" i="6"/>
  <c r="AN85" i="6"/>
  <c r="CT85" i="6" s="1"/>
  <c r="DW85" i="6" s="1"/>
  <c r="AN83" i="6"/>
  <c r="CT83" i="6" s="1"/>
  <c r="DW83" i="6" s="1"/>
  <c r="AN81" i="6"/>
  <c r="CT81" i="6" s="1"/>
  <c r="DW81" i="6" s="1"/>
  <c r="AN99" i="6"/>
  <c r="CT99" i="6" s="1"/>
  <c r="DW99" i="6" s="1"/>
  <c r="AN23" i="6"/>
  <c r="CT23" i="6" s="1"/>
  <c r="DW23" i="6" s="1"/>
  <c r="AN77" i="6"/>
  <c r="CT77" i="6" s="1"/>
  <c r="DW77" i="6" s="1"/>
  <c r="AO16" i="6"/>
  <c r="AL17" i="6"/>
  <c r="AL32" i="6"/>
  <c r="AL42" i="6"/>
  <c r="AL93" i="6"/>
  <c r="AL35" i="6"/>
  <c r="AL112" i="6"/>
  <c r="AL39" i="6"/>
  <c r="AL30" i="6"/>
  <c r="AL69" i="6"/>
  <c r="AL111" i="6"/>
  <c r="AL82" i="6"/>
  <c r="AL104" i="6"/>
  <c r="AL13" i="6"/>
  <c r="AL9" i="6"/>
  <c r="AL11" i="6"/>
  <c r="AL109" i="6"/>
  <c r="AL106" i="6"/>
  <c r="AL107" i="6"/>
  <c r="AL50" i="6"/>
  <c r="AL114" i="6"/>
  <c r="AL44" i="6"/>
  <c r="AL24" i="6"/>
  <c r="AL113" i="6"/>
  <c r="AL46" i="6"/>
  <c r="AL34" i="6"/>
  <c r="AL95" i="6"/>
  <c r="AL87" i="6"/>
  <c r="AL63" i="6"/>
  <c r="AM17" i="6"/>
  <c r="AM32" i="6"/>
  <c r="CS32" i="6" s="1"/>
  <c r="DV32" i="6" s="1"/>
  <c r="AM42" i="6"/>
  <c r="CS42" i="6" s="1"/>
  <c r="DV42" i="6" s="1"/>
  <c r="AM93" i="6"/>
  <c r="CS93" i="6" s="1"/>
  <c r="DV93" i="6" s="1"/>
  <c r="AM35" i="6"/>
  <c r="AM112" i="6"/>
  <c r="CS112" i="6" s="1"/>
  <c r="DV112" i="6" s="1"/>
  <c r="AM39" i="6"/>
  <c r="CS39" i="6" s="1"/>
  <c r="DV39" i="6" s="1"/>
  <c r="AM30" i="6"/>
  <c r="CS30" i="6" s="1"/>
  <c r="DV30" i="6" s="1"/>
  <c r="AM69" i="6"/>
  <c r="AM111" i="6"/>
  <c r="CS111" i="6" s="1"/>
  <c r="DV111" i="6" s="1"/>
  <c r="AM82" i="6"/>
  <c r="CS82" i="6" s="1"/>
  <c r="DV82" i="6" s="1"/>
  <c r="AM104" i="6"/>
  <c r="CS104" i="6" s="1"/>
  <c r="DV104" i="6" s="1"/>
  <c r="AM13" i="6"/>
  <c r="CS13" i="6" s="1"/>
  <c r="DV13" i="6" s="1"/>
  <c r="AM9" i="6"/>
  <c r="CS9" i="6" s="1"/>
  <c r="DV9" i="6" s="1"/>
  <c r="AM11" i="6"/>
  <c r="CS11" i="6" s="1"/>
  <c r="DV11" i="6" s="1"/>
  <c r="AM109" i="6"/>
  <c r="CS109" i="6" s="1"/>
  <c r="DV109" i="6" s="1"/>
  <c r="AM106" i="6"/>
  <c r="AM107" i="6"/>
  <c r="CS107" i="6" s="1"/>
  <c r="DV107" i="6" s="1"/>
  <c r="AM50" i="6"/>
  <c r="CS50" i="6" s="1"/>
  <c r="DV50" i="6" s="1"/>
  <c r="AM114" i="6"/>
  <c r="CS114" i="6" s="1"/>
  <c r="DV114" i="6" s="1"/>
  <c r="AM44" i="6"/>
  <c r="CS44" i="6" s="1"/>
  <c r="DV44" i="6" s="1"/>
  <c r="AM24" i="6"/>
  <c r="CS24" i="6" s="1"/>
  <c r="DV24" i="6" s="1"/>
  <c r="AM113" i="6"/>
  <c r="CS113" i="6" s="1"/>
  <c r="DV113" i="6" s="1"/>
  <c r="AM46" i="6"/>
  <c r="CS46" i="6" s="1"/>
  <c r="DV46" i="6" s="1"/>
  <c r="AM34" i="6"/>
  <c r="AM95" i="6"/>
  <c r="CS95" i="6" s="1"/>
  <c r="DV95" i="6" s="1"/>
  <c r="AM87" i="6"/>
  <c r="CS87" i="6" s="1"/>
  <c r="DV87" i="6" s="1"/>
  <c r="AM63" i="6"/>
  <c r="CS63" i="6" s="1"/>
  <c r="DV63" i="6" s="1"/>
  <c r="AN17" i="6"/>
  <c r="AN32" i="6"/>
  <c r="CT32" i="6" s="1"/>
  <c r="DW32" i="6" s="1"/>
  <c r="AN42" i="6"/>
  <c r="CT42" i="6" s="1"/>
  <c r="DW42" i="6" s="1"/>
  <c r="AN93" i="6"/>
  <c r="CT93" i="6" s="1"/>
  <c r="DW93" i="6" s="1"/>
  <c r="AN35" i="6"/>
  <c r="CT35" i="6" s="1"/>
  <c r="DW35" i="6" s="1"/>
  <c r="AN112" i="6"/>
  <c r="CT112" i="6" s="1"/>
  <c r="DW112" i="6" s="1"/>
  <c r="AN39" i="6"/>
  <c r="CT39" i="6" s="1"/>
  <c r="DW39" i="6" s="1"/>
  <c r="AN30" i="6"/>
  <c r="CT30" i="6" s="1"/>
  <c r="DW30" i="6" s="1"/>
  <c r="AN69" i="6"/>
  <c r="AN111" i="6"/>
  <c r="CT111" i="6" s="1"/>
  <c r="DW111" i="6" s="1"/>
  <c r="AN82" i="6"/>
  <c r="CT82" i="6" s="1"/>
  <c r="DW82" i="6" s="1"/>
  <c r="AN104" i="6"/>
  <c r="CT104" i="6" s="1"/>
  <c r="DW104" i="6" s="1"/>
  <c r="AN13" i="6"/>
  <c r="CT13" i="6" s="1"/>
  <c r="DW13" i="6" s="1"/>
  <c r="AN9" i="6"/>
  <c r="CT9" i="6" s="1"/>
  <c r="DW9" i="6" s="1"/>
  <c r="AN11" i="6"/>
  <c r="CT11" i="6" s="1"/>
  <c r="DW11" i="6" s="1"/>
  <c r="AN109" i="6"/>
  <c r="CT109" i="6" s="1"/>
  <c r="DW109" i="6" s="1"/>
  <c r="AN106" i="6"/>
  <c r="AN107" i="6"/>
  <c r="CT107" i="6" s="1"/>
  <c r="DW107" i="6" s="1"/>
  <c r="AN50" i="6"/>
  <c r="CT50" i="6" s="1"/>
  <c r="DW50" i="6" s="1"/>
  <c r="AN114" i="6"/>
  <c r="CT114" i="6" s="1"/>
  <c r="DW114" i="6" s="1"/>
  <c r="AN44" i="6"/>
  <c r="CT44" i="6" s="1"/>
  <c r="DW44" i="6" s="1"/>
  <c r="AN24" i="6"/>
  <c r="CT24" i="6" s="1"/>
  <c r="DW24" i="6" s="1"/>
  <c r="AN113" i="6"/>
  <c r="CT113" i="6" s="1"/>
  <c r="DW113" i="6" s="1"/>
  <c r="AN46" i="6"/>
  <c r="CT46" i="6" s="1"/>
  <c r="DW46" i="6" s="1"/>
  <c r="AN34" i="6"/>
  <c r="CT34" i="6" s="1"/>
  <c r="DW34" i="6" s="1"/>
  <c r="AN95" i="6"/>
  <c r="CT95" i="6" s="1"/>
  <c r="DW95" i="6" s="1"/>
  <c r="AN87" i="6"/>
  <c r="CT87" i="6" s="1"/>
  <c r="DW87" i="6" s="1"/>
  <c r="AN63" i="6"/>
  <c r="CT63" i="6" s="1"/>
  <c r="DW63" i="6" s="1"/>
  <c r="AO17" i="6"/>
  <c r="AL88" i="6"/>
  <c r="AL91" i="6"/>
  <c r="AL90" i="6"/>
  <c r="AL103" i="6"/>
  <c r="AL36" i="6"/>
  <c r="AL15" i="6"/>
  <c r="AL92" i="6"/>
  <c r="AL10" i="6"/>
  <c r="AL67" i="6"/>
  <c r="AL29" i="6"/>
  <c r="AL53" i="6"/>
  <c r="AL115" i="6"/>
  <c r="AL75" i="6"/>
  <c r="AL8" i="6"/>
  <c r="AL72" i="6"/>
  <c r="AL102" i="6"/>
  <c r="AL58" i="6"/>
  <c r="AL20" i="6"/>
  <c r="AL48" i="6"/>
  <c r="AL73" i="6"/>
  <c r="AL6" i="6"/>
  <c r="AL28" i="6"/>
  <c r="AL60" i="6"/>
  <c r="AL59" i="6"/>
  <c r="AL49" i="6"/>
  <c r="AL19" i="6"/>
  <c r="AL45" i="6"/>
  <c r="AL64" i="6"/>
  <c r="AM88" i="6"/>
  <c r="CS88" i="6" s="1"/>
  <c r="DV88" i="6" s="1"/>
  <c r="AM91" i="6"/>
  <c r="CS91" i="6" s="1"/>
  <c r="DV91" i="6" s="1"/>
  <c r="AM90" i="6"/>
  <c r="CS90" i="6" s="1"/>
  <c r="DV90" i="6" s="1"/>
  <c r="AM103" i="6"/>
  <c r="CS103" i="6" s="1"/>
  <c r="DV103" i="6" s="1"/>
  <c r="AM36" i="6"/>
  <c r="CS36" i="6" s="1"/>
  <c r="DV36" i="6" s="1"/>
  <c r="AM15" i="6"/>
  <c r="CS15" i="6" s="1"/>
  <c r="DV15" i="6" s="1"/>
  <c r="AM92" i="6"/>
  <c r="CS92" i="6" s="1"/>
  <c r="AM10" i="6"/>
  <c r="CS10" i="6" s="1"/>
  <c r="DV10" i="6" s="1"/>
  <c r="AM67" i="6"/>
  <c r="CS67" i="6" s="1"/>
  <c r="DV67" i="6" s="1"/>
  <c r="AM29" i="6"/>
  <c r="CS29" i="6" s="1"/>
  <c r="DV29" i="6" s="1"/>
  <c r="AM53" i="6"/>
  <c r="CS53" i="6" s="1"/>
  <c r="DV53" i="6" s="1"/>
  <c r="AM115" i="6"/>
  <c r="CS115" i="6" s="1"/>
  <c r="DV115" i="6" s="1"/>
  <c r="AM75" i="6"/>
  <c r="CS75" i="6" s="1"/>
  <c r="DV75" i="6" s="1"/>
  <c r="AM8" i="6"/>
  <c r="CS8" i="6" s="1"/>
  <c r="DV8" i="6" s="1"/>
  <c r="AM72" i="6"/>
  <c r="CS72" i="6" s="1"/>
  <c r="DV72" i="6" s="1"/>
  <c r="AM102" i="6"/>
  <c r="CS102" i="6" s="1"/>
  <c r="DV102" i="6" s="1"/>
  <c r="AM58" i="6"/>
  <c r="CS58" i="6" s="1"/>
  <c r="DV58" i="6" s="1"/>
  <c r="AM20" i="6"/>
  <c r="CS20" i="6" s="1"/>
  <c r="DV20" i="6" s="1"/>
  <c r="AM48" i="6"/>
  <c r="CS48" i="6" s="1"/>
  <c r="DV48" i="6" s="1"/>
  <c r="AM73" i="6"/>
  <c r="CS73" i="6" s="1"/>
  <c r="DV73" i="6" s="1"/>
  <c r="AM6" i="6"/>
  <c r="CS6" i="6" s="1"/>
  <c r="DV6" i="6" s="1"/>
  <c r="AM28" i="6"/>
  <c r="CS28" i="6" s="1"/>
  <c r="DV28" i="6" s="1"/>
  <c r="AM60" i="6"/>
  <c r="CS60" i="6" s="1"/>
  <c r="DV60" i="6" s="1"/>
  <c r="AM59" i="6"/>
  <c r="CS59" i="6" s="1"/>
  <c r="DV59" i="6" s="1"/>
  <c r="AM49" i="6"/>
  <c r="CS49" i="6" s="1"/>
  <c r="DV49" i="6" s="1"/>
  <c r="AM19" i="6"/>
  <c r="CS19" i="6" s="1"/>
  <c r="DV19" i="6" s="1"/>
  <c r="AM45" i="6"/>
  <c r="CS45" i="6" s="1"/>
  <c r="DV45" i="6" s="1"/>
  <c r="AM64" i="6"/>
  <c r="CS64" i="6" s="1"/>
  <c r="DV64" i="6" s="1"/>
  <c r="AN88" i="6"/>
  <c r="CT88" i="6" s="1"/>
  <c r="DW88" i="6" s="1"/>
  <c r="AN91" i="6"/>
  <c r="CT91" i="6" s="1"/>
  <c r="DW91" i="6" s="1"/>
  <c r="AN90" i="6"/>
  <c r="CT90" i="6" s="1"/>
  <c r="DW90" i="6" s="1"/>
  <c r="AN103" i="6"/>
  <c r="CT103" i="6" s="1"/>
  <c r="DW103" i="6" s="1"/>
  <c r="AN36" i="6"/>
  <c r="CT36" i="6" s="1"/>
  <c r="DW36" i="6" s="1"/>
  <c r="AN15" i="6"/>
  <c r="CT15" i="6" s="1"/>
  <c r="DW15" i="6" s="1"/>
  <c r="AN92" i="6"/>
  <c r="CT92" i="6" s="1"/>
  <c r="AN10" i="6"/>
  <c r="CT10" i="6" s="1"/>
  <c r="DW10" i="6" s="1"/>
  <c r="AN67" i="6"/>
  <c r="CT67" i="6" s="1"/>
  <c r="DW67" i="6" s="1"/>
  <c r="AN29" i="6"/>
  <c r="CT29" i="6" s="1"/>
  <c r="DW29" i="6" s="1"/>
  <c r="AN53" i="6"/>
  <c r="CT53" i="6" s="1"/>
  <c r="DW53" i="6" s="1"/>
  <c r="AN115" i="6"/>
  <c r="CT115" i="6" s="1"/>
  <c r="DW115" i="6" s="1"/>
  <c r="AN75" i="6"/>
  <c r="CT75" i="6" s="1"/>
  <c r="DW75" i="6" s="1"/>
  <c r="AN8" i="6"/>
  <c r="CT8" i="6" s="1"/>
  <c r="DW8" i="6" s="1"/>
  <c r="AN72" i="6"/>
  <c r="CT72" i="6" s="1"/>
  <c r="DW72" i="6" s="1"/>
  <c r="AN102" i="6"/>
  <c r="CT102" i="6" s="1"/>
  <c r="DW102" i="6" s="1"/>
  <c r="AN58" i="6"/>
  <c r="CT58" i="6" s="1"/>
  <c r="DW58" i="6" s="1"/>
  <c r="AN20" i="6"/>
  <c r="CT20" i="6" s="1"/>
  <c r="DW20" i="6" s="1"/>
  <c r="AN48" i="6"/>
  <c r="CT48" i="6" s="1"/>
  <c r="DW48" i="6" s="1"/>
  <c r="AN73" i="6"/>
  <c r="CT73" i="6" s="1"/>
  <c r="DW73" i="6" s="1"/>
  <c r="AN6" i="6"/>
  <c r="CT6" i="6" s="1"/>
  <c r="DW6" i="6" s="1"/>
  <c r="AN28" i="6"/>
  <c r="CT28" i="6" s="1"/>
  <c r="DW28" i="6" s="1"/>
  <c r="AN60" i="6"/>
  <c r="CT60" i="6" s="1"/>
  <c r="DW60" i="6" s="1"/>
  <c r="AN59" i="6"/>
  <c r="CT59" i="6" s="1"/>
  <c r="DW59" i="6" s="1"/>
  <c r="AN49" i="6"/>
  <c r="CT49" i="6" s="1"/>
  <c r="DW49" i="6" s="1"/>
  <c r="AN19" i="6"/>
  <c r="CT19" i="6" s="1"/>
  <c r="DW19" i="6" s="1"/>
  <c r="AN45" i="6"/>
  <c r="CT45" i="6" s="1"/>
  <c r="DW45" i="6" s="1"/>
  <c r="AN64" i="6"/>
  <c r="CT64" i="6" s="1"/>
  <c r="DW64" i="6" s="1"/>
  <c r="AO88" i="6"/>
  <c r="CU88" i="6" s="1"/>
  <c r="DX88" i="6" s="1"/>
  <c r="AO110" i="6"/>
  <c r="CU110" i="6" s="1"/>
  <c r="DX110" i="6" s="1"/>
  <c r="AO89" i="6"/>
  <c r="CU89" i="6" s="1"/>
  <c r="AO41" i="6"/>
  <c r="CU41" i="6" s="1"/>
  <c r="DX41" i="6" s="1"/>
  <c r="AO101" i="6"/>
  <c r="CU101" i="6" s="1"/>
  <c r="DX101" i="6" s="1"/>
  <c r="AO37" i="6"/>
  <c r="CU37" i="6" s="1"/>
  <c r="DX37" i="6" s="1"/>
  <c r="AO56" i="6"/>
  <c r="CU56" i="6" s="1"/>
  <c r="DX56" i="6" s="1"/>
  <c r="AO47" i="6"/>
  <c r="CU47" i="6" s="1"/>
  <c r="DX47" i="6" s="1"/>
  <c r="AO68" i="6"/>
  <c r="AO66" i="6"/>
  <c r="CU66" i="6" s="1"/>
  <c r="DX66" i="6" s="1"/>
  <c r="AO21" i="6"/>
  <c r="CU21" i="6" s="1"/>
  <c r="DX21" i="6" s="1"/>
  <c r="AO54" i="6"/>
  <c r="CU54" i="6" s="1"/>
  <c r="DX54" i="6" s="1"/>
  <c r="AO18" i="6"/>
  <c r="CU18" i="6" s="1"/>
  <c r="DX18" i="6" s="1"/>
  <c r="AO74" i="6"/>
  <c r="CU74" i="6" s="1"/>
  <c r="DX74" i="6" s="1"/>
  <c r="AO70" i="6"/>
  <c r="CU70" i="6" s="1"/>
  <c r="DX70" i="6" s="1"/>
  <c r="AO55" i="6"/>
  <c r="CU55" i="6" s="1"/>
  <c r="DX55" i="6" s="1"/>
  <c r="AO80" i="6"/>
  <c r="CU80" i="6" s="1"/>
  <c r="DX80" i="6" s="1"/>
  <c r="AO57" i="6"/>
  <c r="CU57" i="6" s="1"/>
  <c r="DX57" i="6" s="1"/>
  <c r="AO76" i="6"/>
  <c r="CU76" i="6" s="1"/>
  <c r="DX76" i="6" s="1"/>
  <c r="AO98" i="6"/>
  <c r="CU98" i="6" s="1"/>
  <c r="DX98" i="6" s="1"/>
  <c r="AO22" i="6"/>
  <c r="CU22" i="6" s="1"/>
  <c r="DX22" i="6" s="1"/>
  <c r="AO25" i="6"/>
  <c r="CU25" i="6" s="1"/>
  <c r="DX25" i="6" s="1"/>
  <c r="AO27" i="6"/>
  <c r="CU27" i="6" s="1"/>
  <c r="DX27" i="6" s="1"/>
  <c r="AO84" i="6"/>
  <c r="CU84" i="6" s="1"/>
  <c r="DX84" i="6" s="1"/>
  <c r="AO116" i="6"/>
  <c r="AO100" i="6"/>
  <c r="CU100" i="6" s="1"/>
  <c r="DX100" i="6" s="1"/>
  <c r="AO7" i="6"/>
  <c r="CU7" i="6" s="1"/>
  <c r="DX7" i="6" s="1"/>
  <c r="AO62" i="6"/>
  <c r="CU62" i="6" s="1"/>
  <c r="DX62" i="6" s="1"/>
  <c r="AP117" i="6"/>
  <c r="CV117" i="6" s="1"/>
  <c r="AP110" i="6"/>
  <c r="CV110" i="6" s="1"/>
  <c r="DY110" i="6" s="1"/>
  <c r="AP89" i="6"/>
  <c r="CV89" i="6" s="1"/>
  <c r="AP41" i="6"/>
  <c r="CV41" i="6" s="1"/>
  <c r="DY41" i="6" s="1"/>
  <c r="AP101" i="6"/>
  <c r="CV101" i="6" s="1"/>
  <c r="DY101" i="6" s="1"/>
  <c r="AP37" i="6"/>
  <c r="CV37" i="6" s="1"/>
  <c r="DY37" i="6" s="1"/>
  <c r="AP56" i="6"/>
  <c r="CV56" i="6" s="1"/>
  <c r="DY56" i="6" s="1"/>
  <c r="AP47" i="6"/>
  <c r="CV47" i="6" s="1"/>
  <c r="DY47" i="6" s="1"/>
  <c r="AP68" i="6"/>
  <c r="AP66" i="6"/>
  <c r="CV66" i="6" s="1"/>
  <c r="DY66" i="6" s="1"/>
  <c r="AP21" i="6"/>
  <c r="CV21" i="6" s="1"/>
  <c r="DY21" i="6" s="1"/>
  <c r="AP54" i="6"/>
  <c r="CV54" i="6" s="1"/>
  <c r="DY54" i="6" s="1"/>
  <c r="AP18" i="6"/>
  <c r="CV18" i="6" s="1"/>
  <c r="DY18" i="6" s="1"/>
  <c r="AP74" i="6"/>
  <c r="CV74" i="6" s="1"/>
  <c r="DY74" i="6" s="1"/>
  <c r="AP70" i="6"/>
  <c r="CV70" i="6" s="1"/>
  <c r="DY70" i="6" s="1"/>
  <c r="AP55" i="6"/>
  <c r="CV55" i="6" s="1"/>
  <c r="DY55" i="6" s="1"/>
  <c r="AP80" i="6"/>
  <c r="CV80" i="6" s="1"/>
  <c r="DY80" i="6" s="1"/>
  <c r="AP57" i="6"/>
  <c r="CV57" i="6" s="1"/>
  <c r="DY57" i="6" s="1"/>
  <c r="AP76" i="6"/>
  <c r="CV76" i="6" s="1"/>
  <c r="DY76" i="6" s="1"/>
  <c r="AP98" i="6"/>
  <c r="CV98" i="6" s="1"/>
  <c r="DY98" i="6" s="1"/>
  <c r="AP22" i="6"/>
  <c r="CV22" i="6" s="1"/>
  <c r="DY22" i="6" s="1"/>
  <c r="AP25" i="6"/>
  <c r="CV25" i="6" s="1"/>
  <c r="DY25" i="6" s="1"/>
  <c r="AP27" i="6"/>
  <c r="CV27" i="6" s="1"/>
  <c r="DY27" i="6" s="1"/>
  <c r="AP84" i="6"/>
  <c r="CV84" i="6" s="1"/>
  <c r="DY84" i="6" s="1"/>
  <c r="AP116" i="6"/>
  <c r="CV116" i="6" s="1"/>
  <c r="DY116" i="6" s="1"/>
  <c r="AP100" i="6"/>
  <c r="CV100" i="6" s="1"/>
  <c r="DY100" i="6" s="1"/>
  <c r="AP7" i="6"/>
  <c r="CV7" i="6" s="1"/>
  <c r="DY7" i="6" s="1"/>
  <c r="AP62" i="6"/>
  <c r="CV62" i="6" s="1"/>
  <c r="DY62" i="6" s="1"/>
  <c r="AQ117" i="6"/>
  <c r="CW117" i="6" s="1"/>
  <c r="AQ110" i="6"/>
  <c r="CW110" i="6" s="1"/>
  <c r="DZ110" i="6" s="1"/>
  <c r="AQ89" i="6"/>
  <c r="CW89" i="6" s="1"/>
  <c r="AQ41" i="6"/>
  <c r="CW41" i="6" s="1"/>
  <c r="DZ41" i="6" s="1"/>
  <c r="AQ101" i="6"/>
  <c r="CW101" i="6" s="1"/>
  <c r="DZ101" i="6" s="1"/>
  <c r="AQ37" i="6"/>
  <c r="CW37" i="6" s="1"/>
  <c r="DZ37" i="6" s="1"/>
  <c r="AQ56" i="6"/>
  <c r="CW56" i="6" s="1"/>
  <c r="DZ56" i="6" s="1"/>
  <c r="AQ47" i="6"/>
  <c r="CW47" i="6" s="1"/>
  <c r="DZ47" i="6" s="1"/>
  <c r="AQ68" i="6"/>
  <c r="AQ66" i="6"/>
  <c r="CW66" i="6" s="1"/>
  <c r="DZ66" i="6" s="1"/>
  <c r="AQ21" i="6"/>
  <c r="CW21" i="6" s="1"/>
  <c r="DZ21" i="6" s="1"/>
  <c r="AQ54" i="6"/>
  <c r="CW54" i="6" s="1"/>
  <c r="DZ54" i="6" s="1"/>
  <c r="AQ18" i="6"/>
  <c r="CW18" i="6" s="1"/>
  <c r="DZ18" i="6" s="1"/>
  <c r="AQ74" i="6"/>
  <c r="CW74" i="6" s="1"/>
  <c r="DZ74" i="6" s="1"/>
  <c r="AQ70" i="6"/>
  <c r="CW70" i="6" s="1"/>
  <c r="DZ70" i="6" s="1"/>
  <c r="AQ55" i="6"/>
  <c r="CW55" i="6" s="1"/>
  <c r="DZ55" i="6" s="1"/>
  <c r="AQ80" i="6"/>
  <c r="CW80" i="6" s="1"/>
  <c r="DZ80" i="6" s="1"/>
  <c r="AQ57" i="6"/>
  <c r="CW57" i="6" s="1"/>
  <c r="DZ57" i="6" s="1"/>
  <c r="AQ76" i="6"/>
  <c r="CW76" i="6" s="1"/>
  <c r="DZ76" i="6" s="1"/>
  <c r="AQ98" i="6"/>
  <c r="CW98" i="6" s="1"/>
  <c r="DZ98" i="6" s="1"/>
  <c r="AQ22" i="6"/>
  <c r="CW22" i="6" s="1"/>
  <c r="DZ22" i="6" s="1"/>
  <c r="AQ25" i="6"/>
  <c r="CW25" i="6" s="1"/>
  <c r="DZ25" i="6" s="1"/>
  <c r="AQ27" i="6"/>
  <c r="CW27" i="6" s="1"/>
  <c r="DZ27" i="6" s="1"/>
  <c r="AQ84" i="6"/>
  <c r="CW84" i="6" s="1"/>
  <c r="DZ84" i="6" s="1"/>
  <c r="AQ116" i="6"/>
  <c r="CW116" i="6" s="1"/>
  <c r="DZ116" i="6" s="1"/>
  <c r="AQ100" i="6"/>
  <c r="CW100" i="6" s="1"/>
  <c r="DZ100" i="6" s="1"/>
  <c r="AO33" i="6"/>
  <c r="CU33" i="6" s="1"/>
  <c r="DX33" i="6" s="1"/>
  <c r="AO43" i="6"/>
  <c r="CU43" i="6" s="1"/>
  <c r="DX43" i="6" s="1"/>
  <c r="AO40" i="6"/>
  <c r="CU40" i="6" s="1"/>
  <c r="DX40" i="6" s="1"/>
  <c r="AO86" i="6"/>
  <c r="AO78" i="6"/>
  <c r="CU78" i="6" s="1"/>
  <c r="FA78" i="6" s="1"/>
  <c r="AO14" i="6"/>
  <c r="CU14" i="6" s="1"/>
  <c r="DX14" i="6" s="1"/>
  <c r="AO94" i="6"/>
  <c r="CU94" i="6" s="1"/>
  <c r="DX94" i="6" s="1"/>
  <c r="AO65" i="6"/>
  <c r="CU65" i="6" s="1"/>
  <c r="AO38" i="6"/>
  <c r="CU38" i="6" s="1"/>
  <c r="DX38" i="6" s="1"/>
  <c r="AO31" i="6"/>
  <c r="CU31" i="6" s="1"/>
  <c r="DX31" i="6" s="1"/>
  <c r="AO52" i="6"/>
  <c r="CU52" i="6" s="1"/>
  <c r="DX52" i="6" s="1"/>
  <c r="AO79" i="6"/>
  <c r="CU79" i="6" s="1"/>
  <c r="DX79" i="6" s="1"/>
  <c r="AO12" i="6"/>
  <c r="CU12" i="6" s="1"/>
  <c r="DX12" i="6" s="1"/>
  <c r="AO71" i="6"/>
  <c r="CU71" i="6" s="1"/>
  <c r="DX71" i="6" s="1"/>
  <c r="AO51" i="6"/>
  <c r="CU51" i="6" s="1"/>
  <c r="DX51" i="6" s="1"/>
  <c r="AO105" i="6"/>
  <c r="CU105" i="6" s="1"/>
  <c r="DX105" i="6" s="1"/>
  <c r="AO61" i="6"/>
  <c r="CU61" i="6" s="1"/>
  <c r="DX61" i="6" s="1"/>
  <c r="AO96" i="6"/>
  <c r="CU96" i="6" s="1"/>
  <c r="DX96" i="6" s="1"/>
  <c r="AO97" i="6"/>
  <c r="CU97" i="6" s="1"/>
  <c r="DX97" i="6" s="1"/>
  <c r="AO108" i="6"/>
  <c r="AO26" i="6"/>
  <c r="CU26" i="6" s="1"/>
  <c r="DX26" i="6" s="1"/>
  <c r="AO85" i="6"/>
  <c r="CU85" i="6" s="1"/>
  <c r="DX85" i="6" s="1"/>
  <c r="AO83" i="6"/>
  <c r="CU83" i="6" s="1"/>
  <c r="DX83" i="6" s="1"/>
  <c r="AO81" i="6"/>
  <c r="CU81" i="6" s="1"/>
  <c r="DX81" i="6" s="1"/>
  <c r="AO99" i="6"/>
  <c r="CU99" i="6" s="1"/>
  <c r="DX99" i="6" s="1"/>
  <c r="AO23" i="6"/>
  <c r="CU23" i="6" s="1"/>
  <c r="DX23" i="6" s="1"/>
  <c r="AO77" i="6"/>
  <c r="CU77" i="6" s="1"/>
  <c r="DX77" i="6" s="1"/>
  <c r="AP16" i="6"/>
  <c r="CV16" i="6" s="1"/>
  <c r="FB16" i="6" s="1"/>
  <c r="AP33" i="6"/>
  <c r="CV33" i="6" s="1"/>
  <c r="DY33" i="6" s="1"/>
  <c r="AP43" i="6"/>
  <c r="CV43" i="6" s="1"/>
  <c r="DY43" i="6" s="1"/>
  <c r="AP40" i="6"/>
  <c r="CV40" i="6" s="1"/>
  <c r="DY40" i="6" s="1"/>
  <c r="AP86" i="6"/>
  <c r="AP78" i="6"/>
  <c r="CV78" i="6" s="1"/>
  <c r="AP14" i="6"/>
  <c r="CV14" i="6" s="1"/>
  <c r="DY14" i="6" s="1"/>
  <c r="AP94" i="6"/>
  <c r="CV94" i="6" s="1"/>
  <c r="DY94" i="6" s="1"/>
  <c r="AP65" i="6"/>
  <c r="CV65" i="6" s="1"/>
  <c r="FB65" i="6" s="1"/>
  <c r="AP38" i="6"/>
  <c r="CV38" i="6" s="1"/>
  <c r="DY38" i="6" s="1"/>
  <c r="AP31" i="6"/>
  <c r="CV31" i="6" s="1"/>
  <c r="DY31" i="6" s="1"/>
  <c r="AP52" i="6"/>
  <c r="CV52" i="6" s="1"/>
  <c r="DY52" i="6" s="1"/>
  <c r="AP79" i="6"/>
  <c r="CV79" i="6" s="1"/>
  <c r="DY79" i="6" s="1"/>
  <c r="AP12" i="6"/>
  <c r="CV12" i="6" s="1"/>
  <c r="DY12" i="6" s="1"/>
  <c r="AP71" i="6"/>
  <c r="CV71" i="6" s="1"/>
  <c r="DY71" i="6" s="1"/>
  <c r="AP51" i="6"/>
  <c r="CV51" i="6" s="1"/>
  <c r="DY51" i="6" s="1"/>
  <c r="AP105" i="6"/>
  <c r="CV105" i="6" s="1"/>
  <c r="DY105" i="6" s="1"/>
  <c r="AP61" i="6"/>
  <c r="CV61" i="6" s="1"/>
  <c r="DY61" i="6" s="1"/>
  <c r="AP96" i="6"/>
  <c r="CV96" i="6" s="1"/>
  <c r="DY96" i="6" s="1"/>
  <c r="AP97" i="6"/>
  <c r="CV97" i="6" s="1"/>
  <c r="DY97" i="6" s="1"/>
  <c r="AP108" i="6"/>
  <c r="AP26" i="6"/>
  <c r="CV26" i="6" s="1"/>
  <c r="DY26" i="6" s="1"/>
  <c r="AP85" i="6"/>
  <c r="CV85" i="6" s="1"/>
  <c r="DY85" i="6" s="1"/>
  <c r="AP83" i="6"/>
  <c r="CV83" i="6" s="1"/>
  <c r="DY83" i="6" s="1"/>
  <c r="AP81" i="6"/>
  <c r="CV81" i="6" s="1"/>
  <c r="DY81" i="6" s="1"/>
  <c r="AP99" i="6"/>
  <c r="CV99" i="6" s="1"/>
  <c r="DY99" i="6" s="1"/>
  <c r="AP23" i="6"/>
  <c r="CV23" i="6" s="1"/>
  <c r="DY23" i="6" s="1"/>
  <c r="AP77" i="6"/>
  <c r="CV77" i="6" s="1"/>
  <c r="DY77" i="6" s="1"/>
  <c r="AQ16" i="6"/>
  <c r="CW16" i="6" s="1"/>
  <c r="AQ33" i="6"/>
  <c r="CW33" i="6" s="1"/>
  <c r="DZ33" i="6" s="1"/>
  <c r="AQ43" i="6"/>
  <c r="CW43" i="6" s="1"/>
  <c r="DZ43" i="6" s="1"/>
  <c r="AQ40" i="6"/>
  <c r="CW40" i="6" s="1"/>
  <c r="DZ40" i="6" s="1"/>
  <c r="AQ86" i="6"/>
  <c r="AQ78" i="6"/>
  <c r="CW78" i="6" s="1"/>
  <c r="AQ14" i="6"/>
  <c r="CW14" i="6" s="1"/>
  <c r="DZ14" i="6" s="1"/>
  <c r="AQ94" i="6"/>
  <c r="CW94" i="6" s="1"/>
  <c r="DZ94" i="6" s="1"/>
  <c r="AQ65" i="6"/>
  <c r="CW65" i="6" s="1"/>
  <c r="AQ38" i="6"/>
  <c r="CW38" i="6" s="1"/>
  <c r="DZ38" i="6" s="1"/>
  <c r="AQ31" i="6"/>
  <c r="CW31" i="6" s="1"/>
  <c r="DZ31" i="6" s="1"/>
  <c r="AQ52" i="6"/>
  <c r="CW52" i="6" s="1"/>
  <c r="DZ52" i="6" s="1"/>
  <c r="AQ79" i="6"/>
  <c r="CW79" i="6" s="1"/>
  <c r="DZ79" i="6" s="1"/>
  <c r="AQ12" i="6"/>
  <c r="CW12" i="6" s="1"/>
  <c r="DZ12" i="6" s="1"/>
  <c r="AQ71" i="6"/>
  <c r="CW71" i="6" s="1"/>
  <c r="DZ71" i="6" s="1"/>
  <c r="AQ51" i="6"/>
  <c r="CW51" i="6" s="1"/>
  <c r="DZ51" i="6" s="1"/>
  <c r="AQ105" i="6"/>
  <c r="CW105" i="6" s="1"/>
  <c r="DZ105" i="6" s="1"/>
  <c r="AQ61" i="6"/>
  <c r="CW61" i="6" s="1"/>
  <c r="DZ61" i="6" s="1"/>
  <c r="AQ96" i="6"/>
  <c r="CW96" i="6" s="1"/>
  <c r="DZ96" i="6" s="1"/>
  <c r="AQ97" i="6"/>
  <c r="CW97" i="6" s="1"/>
  <c r="DZ97" i="6" s="1"/>
  <c r="AQ108" i="6"/>
  <c r="CW108" i="6" s="1"/>
  <c r="DZ108" i="6" s="1"/>
  <c r="AQ26" i="6"/>
  <c r="CW26" i="6" s="1"/>
  <c r="DZ26" i="6" s="1"/>
  <c r="AQ85" i="6"/>
  <c r="CW85" i="6" s="1"/>
  <c r="DZ85" i="6" s="1"/>
  <c r="AQ83" i="6"/>
  <c r="CW83" i="6" s="1"/>
  <c r="DZ83" i="6" s="1"/>
  <c r="AQ81" i="6"/>
  <c r="CW81" i="6" s="1"/>
  <c r="DZ81" i="6" s="1"/>
  <c r="AQ99" i="6"/>
  <c r="CW99" i="6" s="1"/>
  <c r="DZ99" i="6" s="1"/>
  <c r="AQ23" i="6"/>
  <c r="CW23" i="6" s="1"/>
  <c r="DZ23" i="6" s="1"/>
  <c r="AQ77" i="6"/>
  <c r="CW77" i="6" s="1"/>
  <c r="DZ77" i="6" s="1"/>
  <c r="AR16" i="6"/>
  <c r="CX16" i="6" s="1"/>
  <c r="AR33" i="6"/>
  <c r="CX33" i="6" s="1"/>
  <c r="EA33" i="6" s="1"/>
  <c r="AR43" i="6"/>
  <c r="CX43" i="6" s="1"/>
  <c r="EA43" i="6" s="1"/>
  <c r="AO32" i="6"/>
  <c r="CU32" i="6" s="1"/>
  <c r="DX32" i="6" s="1"/>
  <c r="AO42" i="6"/>
  <c r="CU42" i="6" s="1"/>
  <c r="DX42" i="6" s="1"/>
  <c r="AO93" i="6"/>
  <c r="CU93" i="6" s="1"/>
  <c r="DX93" i="6" s="1"/>
  <c r="AO35" i="6"/>
  <c r="CU35" i="6" s="1"/>
  <c r="DX35" i="6" s="1"/>
  <c r="AO112" i="6"/>
  <c r="CU112" i="6" s="1"/>
  <c r="DX112" i="6" s="1"/>
  <c r="AO39" i="6"/>
  <c r="CU39" i="6" s="1"/>
  <c r="DX39" i="6" s="1"/>
  <c r="AO30" i="6"/>
  <c r="CU30" i="6" s="1"/>
  <c r="DX30" i="6" s="1"/>
  <c r="AO69" i="6"/>
  <c r="CU69" i="6" s="1"/>
  <c r="DX69" i="6" s="1"/>
  <c r="AO111" i="6"/>
  <c r="CU111" i="6" s="1"/>
  <c r="DX111" i="6" s="1"/>
  <c r="AO82" i="6"/>
  <c r="CU82" i="6" s="1"/>
  <c r="DX82" i="6" s="1"/>
  <c r="AO104" i="6"/>
  <c r="CU104" i="6" s="1"/>
  <c r="DX104" i="6" s="1"/>
  <c r="AO13" i="6"/>
  <c r="CU13" i="6" s="1"/>
  <c r="DX13" i="6" s="1"/>
  <c r="AO9" i="6"/>
  <c r="CU9" i="6" s="1"/>
  <c r="DX9" i="6" s="1"/>
  <c r="AO11" i="6"/>
  <c r="CU11" i="6" s="1"/>
  <c r="DX11" i="6" s="1"/>
  <c r="AO109" i="6"/>
  <c r="CU109" i="6" s="1"/>
  <c r="DX109" i="6" s="1"/>
  <c r="AO106" i="6"/>
  <c r="CU106" i="6" s="1"/>
  <c r="DX106" i="6" s="1"/>
  <c r="AO107" i="6"/>
  <c r="CU107" i="6" s="1"/>
  <c r="DX107" i="6" s="1"/>
  <c r="AO50" i="6"/>
  <c r="CU50" i="6" s="1"/>
  <c r="DX50" i="6" s="1"/>
  <c r="AO114" i="6"/>
  <c r="CU114" i="6" s="1"/>
  <c r="DX114" i="6" s="1"/>
  <c r="AO44" i="6"/>
  <c r="CU44" i="6" s="1"/>
  <c r="DX44" i="6" s="1"/>
  <c r="AO24" i="6"/>
  <c r="CU24" i="6" s="1"/>
  <c r="DX24" i="6" s="1"/>
  <c r="AO113" i="6"/>
  <c r="CU113" i="6" s="1"/>
  <c r="DX113" i="6" s="1"/>
  <c r="AO46" i="6"/>
  <c r="CU46" i="6" s="1"/>
  <c r="DX46" i="6" s="1"/>
  <c r="AO34" i="6"/>
  <c r="CU34" i="6" s="1"/>
  <c r="DX34" i="6" s="1"/>
  <c r="AO95" i="6"/>
  <c r="CU95" i="6" s="1"/>
  <c r="DX95" i="6" s="1"/>
  <c r="AO87" i="6"/>
  <c r="CU87" i="6" s="1"/>
  <c r="DX87" i="6" s="1"/>
  <c r="AO63" i="6"/>
  <c r="CU63" i="6" s="1"/>
  <c r="DX63" i="6" s="1"/>
  <c r="AP17" i="6"/>
  <c r="CV17" i="6" s="1"/>
  <c r="DY17" i="6" s="1"/>
  <c r="AP32" i="6"/>
  <c r="CV32" i="6" s="1"/>
  <c r="DY32" i="6" s="1"/>
  <c r="AP42" i="6"/>
  <c r="CV42" i="6" s="1"/>
  <c r="DY42" i="6" s="1"/>
  <c r="AP93" i="6"/>
  <c r="CV93" i="6" s="1"/>
  <c r="DY93" i="6" s="1"/>
  <c r="AP35" i="6"/>
  <c r="CV35" i="6" s="1"/>
  <c r="DY35" i="6" s="1"/>
  <c r="AP112" i="6"/>
  <c r="CV112" i="6" s="1"/>
  <c r="DY112" i="6" s="1"/>
  <c r="AP39" i="6"/>
  <c r="CV39" i="6" s="1"/>
  <c r="DY39" i="6" s="1"/>
  <c r="AP30" i="6"/>
  <c r="CV30" i="6" s="1"/>
  <c r="DY30" i="6" s="1"/>
  <c r="AP69" i="6"/>
  <c r="CV69" i="6" s="1"/>
  <c r="DY69" i="6" s="1"/>
  <c r="AP111" i="6"/>
  <c r="CV111" i="6" s="1"/>
  <c r="DY111" i="6" s="1"/>
  <c r="AP82" i="6"/>
  <c r="CV82" i="6" s="1"/>
  <c r="DY82" i="6" s="1"/>
  <c r="AP104" i="6"/>
  <c r="CV104" i="6" s="1"/>
  <c r="DY104" i="6" s="1"/>
  <c r="AP13" i="6"/>
  <c r="CV13" i="6" s="1"/>
  <c r="DY13" i="6" s="1"/>
  <c r="AP9" i="6"/>
  <c r="CV9" i="6" s="1"/>
  <c r="DY9" i="6" s="1"/>
  <c r="AP11" i="6"/>
  <c r="CV11" i="6" s="1"/>
  <c r="DY11" i="6" s="1"/>
  <c r="AP109" i="6"/>
  <c r="CV109" i="6" s="1"/>
  <c r="DY109" i="6" s="1"/>
  <c r="AP106" i="6"/>
  <c r="CV106" i="6" s="1"/>
  <c r="DY106" i="6" s="1"/>
  <c r="AP107" i="6"/>
  <c r="CV107" i="6" s="1"/>
  <c r="DY107" i="6" s="1"/>
  <c r="AP50" i="6"/>
  <c r="CV50" i="6" s="1"/>
  <c r="DY50" i="6" s="1"/>
  <c r="AP114" i="6"/>
  <c r="CV114" i="6" s="1"/>
  <c r="DY114" i="6" s="1"/>
  <c r="AP44" i="6"/>
  <c r="CV44" i="6" s="1"/>
  <c r="DY44" i="6" s="1"/>
  <c r="AP24" i="6"/>
  <c r="CV24" i="6" s="1"/>
  <c r="DY24" i="6" s="1"/>
  <c r="AP113" i="6"/>
  <c r="CV113" i="6" s="1"/>
  <c r="DY113" i="6" s="1"/>
  <c r="AP46" i="6"/>
  <c r="CV46" i="6" s="1"/>
  <c r="DY46" i="6" s="1"/>
  <c r="AP34" i="6"/>
  <c r="CV34" i="6" s="1"/>
  <c r="DY34" i="6" s="1"/>
  <c r="AP95" i="6"/>
  <c r="CV95" i="6" s="1"/>
  <c r="DY95" i="6" s="1"/>
  <c r="AP87" i="6"/>
  <c r="CV87" i="6" s="1"/>
  <c r="DY87" i="6" s="1"/>
  <c r="AP63" i="6"/>
  <c r="CV63" i="6" s="1"/>
  <c r="DY63" i="6" s="1"/>
  <c r="AQ17" i="6"/>
  <c r="CW17" i="6" s="1"/>
  <c r="DZ17" i="6" s="1"/>
  <c r="AQ32" i="6"/>
  <c r="CW32" i="6" s="1"/>
  <c r="DZ32" i="6" s="1"/>
  <c r="AQ42" i="6"/>
  <c r="CW42" i="6" s="1"/>
  <c r="DZ42" i="6" s="1"/>
  <c r="AQ93" i="6"/>
  <c r="CW93" i="6" s="1"/>
  <c r="DZ93" i="6" s="1"/>
  <c r="AQ35" i="6"/>
  <c r="CW35" i="6" s="1"/>
  <c r="DZ35" i="6" s="1"/>
  <c r="AQ112" i="6"/>
  <c r="CW112" i="6" s="1"/>
  <c r="DZ112" i="6" s="1"/>
  <c r="AQ39" i="6"/>
  <c r="CW39" i="6" s="1"/>
  <c r="DZ39" i="6" s="1"/>
  <c r="AQ30" i="6"/>
  <c r="CW30" i="6" s="1"/>
  <c r="DZ30" i="6" s="1"/>
  <c r="AQ69" i="6"/>
  <c r="CW69" i="6" s="1"/>
  <c r="DZ69" i="6" s="1"/>
  <c r="AQ111" i="6"/>
  <c r="CW111" i="6" s="1"/>
  <c r="DZ111" i="6" s="1"/>
  <c r="AQ82" i="6"/>
  <c r="CW82" i="6" s="1"/>
  <c r="DZ82" i="6" s="1"/>
  <c r="AQ104" i="6"/>
  <c r="CW104" i="6" s="1"/>
  <c r="DZ104" i="6" s="1"/>
  <c r="AQ13" i="6"/>
  <c r="CW13" i="6" s="1"/>
  <c r="DZ13" i="6" s="1"/>
  <c r="AQ9" i="6"/>
  <c r="CW9" i="6" s="1"/>
  <c r="DZ9" i="6" s="1"/>
  <c r="AQ11" i="6"/>
  <c r="CW11" i="6" s="1"/>
  <c r="DZ11" i="6" s="1"/>
  <c r="AQ109" i="6"/>
  <c r="CW109" i="6" s="1"/>
  <c r="DZ109" i="6" s="1"/>
  <c r="AQ106" i="6"/>
  <c r="CW106" i="6" s="1"/>
  <c r="DZ106" i="6" s="1"/>
  <c r="AQ107" i="6"/>
  <c r="CW107" i="6" s="1"/>
  <c r="DZ107" i="6" s="1"/>
  <c r="AQ50" i="6"/>
  <c r="CW50" i="6" s="1"/>
  <c r="DZ50" i="6" s="1"/>
  <c r="AQ114" i="6"/>
  <c r="CW114" i="6" s="1"/>
  <c r="DZ114" i="6" s="1"/>
  <c r="AQ44" i="6"/>
  <c r="CW44" i="6" s="1"/>
  <c r="DZ44" i="6" s="1"/>
  <c r="AQ24" i="6"/>
  <c r="CW24" i="6" s="1"/>
  <c r="DZ24" i="6" s="1"/>
  <c r="AQ113" i="6"/>
  <c r="CW113" i="6" s="1"/>
  <c r="DZ113" i="6" s="1"/>
  <c r="AQ46" i="6"/>
  <c r="CW46" i="6" s="1"/>
  <c r="DZ46" i="6" s="1"/>
  <c r="AQ34" i="6"/>
  <c r="CW34" i="6" s="1"/>
  <c r="DZ34" i="6" s="1"/>
  <c r="AQ95" i="6"/>
  <c r="CW95" i="6" s="1"/>
  <c r="DZ95" i="6" s="1"/>
  <c r="AO91" i="6"/>
  <c r="CU91" i="6" s="1"/>
  <c r="DX91" i="6" s="1"/>
  <c r="AO90" i="6"/>
  <c r="CU90" i="6" s="1"/>
  <c r="DX90" i="6" s="1"/>
  <c r="AO103" i="6"/>
  <c r="CU103" i="6" s="1"/>
  <c r="DX103" i="6" s="1"/>
  <c r="AO36" i="6"/>
  <c r="CU36" i="6" s="1"/>
  <c r="DX36" i="6" s="1"/>
  <c r="AO15" i="6"/>
  <c r="CU15" i="6" s="1"/>
  <c r="DX15" i="6" s="1"/>
  <c r="AO92" i="6"/>
  <c r="CU92" i="6" s="1"/>
  <c r="FA92" i="6" s="1"/>
  <c r="AO10" i="6"/>
  <c r="CU10" i="6" s="1"/>
  <c r="DX10" i="6" s="1"/>
  <c r="AO67" i="6"/>
  <c r="CU67" i="6" s="1"/>
  <c r="DX67" i="6" s="1"/>
  <c r="AO29" i="6"/>
  <c r="CU29" i="6" s="1"/>
  <c r="DX29" i="6" s="1"/>
  <c r="AO53" i="6"/>
  <c r="CU53" i="6" s="1"/>
  <c r="DX53" i="6" s="1"/>
  <c r="AO115" i="6"/>
  <c r="CU115" i="6" s="1"/>
  <c r="DX115" i="6" s="1"/>
  <c r="AO75" i="6"/>
  <c r="CU75" i="6" s="1"/>
  <c r="DX75" i="6" s="1"/>
  <c r="AO8" i="6"/>
  <c r="CU8" i="6" s="1"/>
  <c r="DX8" i="6" s="1"/>
  <c r="AO72" i="6"/>
  <c r="CU72" i="6" s="1"/>
  <c r="DX72" i="6" s="1"/>
  <c r="AO102" i="6"/>
  <c r="CU102" i="6" s="1"/>
  <c r="DX102" i="6" s="1"/>
  <c r="AO58" i="6"/>
  <c r="CU58" i="6" s="1"/>
  <c r="DX58" i="6" s="1"/>
  <c r="AO20" i="6"/>
  <c r="CU20" i="6" s="1"/>
  <c r="DX20" i="6" s="1"/>
  <c r="AO48" i="6"/>
  <c r="CU48" i="6" s="1"/>
  <c r="DX48" i="6" s="1"/>
  <c r="AO73" i="6"/>
  <c r="CU73" i="6" s="1"/>
  <c r="DX73" i="6" s="1"/>
  <c r="AO6" i="6"/>
  <c r="CU6" i="6" s="1"/>
  <c r="DX6" i="6" s="1"/>
  <c r="AO28" i="6"/>
  <c r="CU28" i="6" s="1"/>
  <c r="DX28" i="6" s="1"/>
  <c r="AO60" i="6"/>
  <c r="CU60" i="6" s="1"/>
  <c r="DX60" i="6" s="1"/>
  <c r="AO59" i="6"/>
  <c r="CU59" i="6" s="1"/>
  <c r="DX59" i="6" s="1"/>
  <c r="AO49" i="6"/>
  <c r="CU49" i="6" s="1"/>
  <c r="DX49" i="6" s="1"/>
  <c r="AO19" i="6"/>
  <c r="CU19" i="6" s="1"/>
  <c r="DX19" i="6" s="1"/>
  <c r="AO45" i="6"/>
  <c r="CU45" i="6" s="1"/>
  <c r="DX45" i="6" s="1"/>
  <c r="AO64" i="6"/>
  <c r="CU64" i="6" s="1"/>
  <c r="DX64" i="6" s="1"/>
  <c r="AP88" i="6"/>
  <c r="CV88" i="6" s="1"/>
  <c r="DY88" i="6" s="1"/>
  <c r="AP91" i="6"/>
  <c r="CV91" i="6" s="1"/>
  <c r="DY91" i="6" s="1"/>
  <c r="AP90" i="6"/>
  <c r="CV90" i="6" s="1"/>
  <c r="DY90" i="6" s="1"/>
  <c r="AP103" i="6"/>
  <c r="CV103" i="6" s="1"/>
  <c r="DY103" i="6" s="1"/>
  <c r="AP36" i="6"/>
  <c r="CV36" i="6" s="1"/>
  <c r="DY36" i="6" s="1"/>
  <c r="AP15" i="6"/>
  <c r="CV15" i="6" s="1"/>
  <c r="DY15" i="6" s="1"/>
  <c r="AP92" i="6"/>
  <c r="CV92" i="6" s="1"/>
  <c r="AP10" i="6"/>
  <c r="CV10" i="6" s="1"/>
  <c r="DY10" i="6" s="1"/>
  <c r="AP67" i="6"/>
  <c r="CV67" i="6" s="1"/>
  <c r="DY67" i="6" s="1"/>
  <c r="AP29" i="6"/>
  <c r="CV29" i="6" s="1"/>
  <c r="DY29" i="6" s="1"/>
  <c r="AP53" i="6"/>
  <c r="CV53" i="6" s="1"/>
  <c r="DY53" i="6" s="1"/>
  <c r="AP115" i="6"/>
  <c r="CV115" i="6" s="1"/>
  <c r="DY115" i="6" s="1"/>
  <c r="AP75" i="6"/>
  <c r="CV75" i="6" s="1"/>
  <c r="DY75" i="6" s="1"/>
  <c r="AP8" i="6"/>
  <c r="CV8" i="6" s="1"/>
  <c r="DY8" i="6" s="1"/>
  <c r="AP72" i="6"/>
  <c r="CV72" i="6" s="1"/>
  <c r="DY72" i="6" s="1"/>
  <c r="AP102" i="6"/>
  <c r="CV102" i="6" s="1"/>
  <c r="DY102" i="6" s="1"/>
  <c r="AP58" i="6"/>
  <c r="CV58" i="6" s="1"/>
  <c r="DY58" i="6" s="1"/>
  <c r="AP20" i="6"/>
  <c r="CV20" i="6" s="1"/>
  <c r="DY20" i="6" s="1"/>
  <c r="AP48" i="6"/>
  <c r="CV48" i="6" s="1"/>
  <c r="DY48" i="6" s="1"/>
  <c r="AP73" i="6"/>
  <c r="CV73" i="6" s="1"/>
  <c r="DY73" i="6" s="1"/>
  <c r="AP6" i="6"/>
  <c r="CV6" i="6" s="1"/>
  <c r="DY6" i="6" s="1"/>
  <c r="AP28" i="6"/>
  <c r="CV28" i="6" s="1"/>
  <c r="DY28" i="6" s="1"/>
  <c r="AP60" i="6"/>
  <c r="CV60" i="6" s="1"/>
  <c r="DY60" i="6" s="1"/>
  <c r="AP59" i="6"/>
  <c r="CV59" i="6" s="1"/>
  <c r="DY59" i="6" s="1"/>
  <c r="AP49" i="6"/>
  <c r="CV49" i="6" s="1"/>
  <c r="DY49" i="6" s="1"/>
  <c r="AP19" i="6"/>
  <c r="CV19" i="6" s="1"/>
  <c r="DY19" i="6" s="1"/>
  <c r="AP45" i="6"/>
  <c r="CV45" i="6" s="1"/>
  <c r="DY45" i="6" s="1"/>
  <c r="AP64" i="6"/>
  <c r="CV64" i="6" s="1"/>
  <c r="DY64" i="6" s="1"/>
  <c r="AQ88" i="6"/>
  <c r="CW88" i="6" s="1"/>
  <c r="DZ88" i="6" s="1"/>
  <c r="AQ91" i="6"/>
  <c r="CW91" i="6" s="1"/>
  <c r="DZ91" i="6" s="1"/>
  <c r="AQ90" i="6"/>
  <c r="CW90" i="6" s="1"/>
  <c r="DZ90" i="6" s="1"/>
  <c r="AQ103" i="6"/>
  <c r="CW103" i="6" s="1"/>
  <c r="DZ103" i="6" s="1"/>
  <c r="AQ36" i="6"/>
  <c r="CW36" i="6" s="1"/>
  <c r="DZ36" i="6" s="1"/>
  <c r="AQ15" i="6"/>
  <c r="CW15" i="6" s="1"/>
  <c r="DZ15" i="6" s="1"/>
  <c r="AQ92" i="6"/>
  <c r="CW92" i="6" s="1"/>
  <c r="AQ10" i="6"/>
  <c r="CW10" i="6" s="1"/>
  <c r="DZ10" i="6" s="1"/>
  <c r="AQ67" i="6"/>
  <c r="CW67" i="6" s="1"/>
  <c r="DZ67" i="6" s="1"/>
  <c r="AQ29" i="6"/>
  <c r="CW29" i="6" s="1"/>
  <c r="DZ29" i="6" s="1"/>
  <c r="AQ53" i="6"/>
  <c r="CW53" i="6" s="1"/>
  <c r="DZ53" i="6" s="1"/>
  <c r="AQ115" i="6"/>
  <c r="CW115" i="6" s="1"/>
  <c r="DZ115" i="6" s="1"/>
  <c r="AQ75" i="6"/>
  <c r="CW75" i="6" s="1"/>
  <c r="DZ75" i="6" s="1"/>
  <c r="AQ8" i="6"/>
  <c r="CW8" i="6" s="1"/>
  <c r="DZ8" i="6" s="1"/>
  <c r="AQ72" i="6"/>
  <c r="CW72" i="6" s="1"/>
  <c r="DZ72" i="6" s="1"/>
  <c r="AQ102" i="6"/>
  <c r="CW102" i="6" s="1"/>
  <c r="DZ102" i="6" s="1"/>
  <c r="AQ58" i="6"/>
  <c r="CW58" i="6" s="1"/>
  <c r="DZ58" i="6" s="1"/>
  <c r="AQ20" i="6"/>
  <c r="CW20" i="6" s="1"/>
  <c r="DZ20" i="6" s="1"/>
  <c r="AQ48" i="6"/>
  <c r="CW48" i="6" s="1"/>
  <c r="DZ48" i="6" s="1"/>
  <c r="AQ73" i="6"/>
  <c r="CW73" i="6" s="1"/>
  <c r="DZ73" i="6" s="1"/>
  <c r="AQ6" i="6"/>
  <c r="CW6" i="6" s="1"/>
  <c r="DZ6" i="6" s="1"/>
  <c r="AQ28" i="6"/>
  <c r="CW28" i="6" s="1"/>
  <c r="DZ28" i="6" s="1"/>
  <c r="AQ60" i="6"/>
  <c r="CW60" i="6" s="1"/>
  <c r="DZ60" i="6" s="1"/>
  <c r="AQ59" i="6"/>
  <c r="CW59" i="6" s="1"/>
  <c r="DZ59" i="6" s="1"/>
  <c r="AQ49" i="6"/>
  <c r="CW49" i="6" s="1"/>
  <c r="DZ49" i="6" s="1"/>
  <c r="AQ19" i="6"/>
  <c r="CW19" i="6" s="1"/>
  <c r="DZ19" i="6" s="1"/>
  <c r="AQ45" i="6"/>
  <c r="CW45" i="6" s="1"/>
  <c r="DZ45" i="6" s="1"/>
  <c r="AQ64" i="6"/>
  <c r="CW64" i="6" s="1"/>
  <c r="DZ64" i="6" s="1"/>
  <c r="AR91" i="6"/>
  <c r="CX91" i="6" s="1"/>
  <c r="EA91" i="6" s="1"/>
  <c r="AR90" i="6"/>
  <c r="CX90" i="6" s="1"/>
  <c r="AQ7" i="6"/>
  <c r="CW7" i="6" s="1"/>
  <c r="DZ7" i="6" s="1"/>
  <c r="AR32" i="6"/>
  <c r="CX32" i="6" s="1"/>
  <c r="EA32" i="6" s="1"/>
  <c r="AR40" i="6"/>
  <c r="CX40" i="6" s="1"/>
  <c r="EA40" i="6" s="1"/>
  <c r="AR86" i="6"/>
  <c r="CX86" i="6" s="1"/>
  <c r="EA86" i="6" s="1"/>
  <c r="AR78" i="6"/>
  <c r="CX78" i="6" s="1"/>
  <c r="AR14" i="6"/>
  <c r="CX14" i="6" s="1"/>
  <c r="EA14" i="6" s="1"/>
  <c r="AR94" i="6"/>
  <c r="CX94" i="6" s="1"/>
  <c r="EA94" i="6" s="1"/>
  <c r="AR65" i="6"/>
  <c r="CX65" i="6" s="1"/>
  <c r="AR38" i="6"/>
  <c r="CX38" i="6" s="1"/>
  <c r="EA38" i="6" s="1"/>
  <c r="AR31" i="6"/>
  <c r="CX31" i="6" s="1"/>
  <c r="EA31" i="6" s="1"/>
  <c r="AR52" i="6"/>
  <c r="CX52" i="6" s="1"/>
  <c r="EA52" i="6" s="1"/>
  <c r="AR79" i="6"/>
  <c r="CX79" i="6" s="1"/>
  <c r="EA79" i="6" s="1"/>
  <c r="AR12" i="6"/>
  <c r="CX12" i="6" s="1"/>
  <c r="EA12" i="6" s="1"/>
  <c r="AR71" i="6"/>
  <c r="CX71" i="6" s="1"/>
  <c r="EA71" i="6" s="1"/>
  <c r="AR51" i="6"/>
  <c r="CX51" i="6" s="1"/>
  <c r="EA51" i="6" s="1"/>
  <c r="AR105" i="6"/>
  <c r="CX105" i="6" s="1"/>
  <c r="EA105" i="6" s="1"/>
  <c r="AR61" i="6"/>
  <c r="CX61" i="6" s="1"/>
  <c r="EA61" i="6" s="1"/>
  <c r="AR96" i="6"/>
  <c r="CX96" i="6" s="1"/>
  <c r="EA96" i="6" s="1"/>
  <c r="AR97" i="6"/>
  <c r="CX97" i="6" s="1"/>
  <c r="EA97" i="6" s="1"/>
  <c r="AR108" i="6"/>
  <c r="CX108" i="6" s="1"/>
  <c r="EA108" i="6" s="1"/>
  <c r="AR26" i="6"/>
  <c r="CX26" i="6" s="1"/>
  <c r="EA26" i="6" s="1"/>
  <c r="AR85" i="6"/>
  <c r="CX85" i="6" s="1"/>
  <c r="EA85" i="6" s="1"/>
  <c r="AR83" i="6"/>
  <c r="CX83" i="6" s="1"/>
  <c r="EA83" i="6" s="1"/>
  <c r="AR81" i="6"/>
  <c r="CX81" i="6" s="1"/>
  <c r="EA81" i="6" s="1"/>
  <c r="AR99" i="6"/>
  <c r="CX99" i="6" s="1"/>
  <c r="EA99" i="6" s="1"/>
  <c r="AR23" i="6"/>
  <c r="CX23" i="6" s="1"/>
  <c r="EA23" i="6" s="1"/>
  <c r="AR77" i="6"/>
  <c r="CX77" i="6" s="1"/>
  <c r="EA77" i="6" s="1"/>
  <c r="AS16" i="6"/>
  <c r="CY16" i="6" s="1"/>
  <c r="AS33" i="6"/>
  <c r="CY33" i="6" s="1"/>
  <c r="EB33" i="6" s="1"/>
  <c r="AS43" i="6"/>
  <c r="CY43" i="6" s="1"/>
  <c r="EB43" i="6" s="1"/>
  <c r="AS40" i="6"/>
  <c r="CY40" i="6" s="1"/>
  <c r="EB40" i="6" s="1"/>
  <c r="AS86" i="6"/>
  <c r="CY86" i="6" s="1"/>
  <c r="EB86" i="6" s="1"/>
  <c r="AS78" i="6"/>
  <c r="CY78" i="6" s="1"/>
  <c r="FE78" i="6" s="1"/>
  <c r="AS14" i="6"/>
  <c r="CY14" i="6" s="1"/>
  <c r="EB14" i="6" s="1"/>
  <c r="AS94" i="6"/>
  <c r="CY94" i="6" s="1"/>
  <c r="EB94" i="6" s="1"/>
  <c r="AS65" i="6"/>
  <c r="CY65" i="6" s="1"/>
  <c r="AS38" i="6"/>
  <c r="CY38" i="6" s="1"/>
  <c r="EB38" i="6" s="1"/>
  <c r="AS31" i="6"/>
  <c r="CY31" i="6" s="1"/>
  <c r="EB31" i="6" s="1"/>
  <c r="AS52" i="6"/>
  <c r="CY52" i="6" s="1"/>
  <c r="EB52" i="6" s="1"/>
  <c r="AS79" i="6"/>
  <c r="CY79" i="6" s="1"/>
  <c r="EB79" i="6" s="1"/>
  <c r="AS12" i="6"/>
  <c r="CY12" i="6" s="1"/>
  <c r="EB12" i="6" s="1"/>
  <c r="AS71" i="6"/>
  <c r="CY71" i="6" s="1"/>
  <c r="EB71" i="6" s="1"/>
  <c r="AS51" i="6"/>
  <c r="CY51" i="6" s="1"/>
  <c r="EB51" i="6" s="1"/>
  <c r="AS105" i="6"/>
  <c r="CY105" i="6" s="1"/>
  <c r="EB105" i="6" s="1"/>
  <c r="AS61" i="6"/>
  <c r="CY61" i="6" s="1"/>
  <c r="EB61" i="6" s="1"/>
  <c r="AS96" i="6"/>
  <c r="CY96" i="6" s="1"/>
  <c r="EB96" i="6" s="1"/>
  <c r="AS97" i="6"/>
  <c r="CY97" i="6" s="1"/>
  <c r="EB97" i="6" s="1"/>
  <c r="AS108" i="6"/>
  <c r="CY108" i="6" s="1"/>
  <c r="EB108" i="6" s="1"/>
  <c r="AS26" i="6"/>
  <c r="CY26" i="6" s="1"/>
  <c r="EB26" i="6" s="1"/>
  <c r="AS85" i="6"/>
  <c r="CY85" i="6" s="1"/>
  <c r="EB85" i="6" s="1"/>
  <c r="AS83" i="6"/>
  <c r="CY83" i="6" s="1"/>
  <c r="EB83" i="6" s="1"/>
  <c r="AS81" i="6"/>
  <c r="CY81" i="6" s="1"/>
  <c r="EB81" i="6" s="1"/>
  <c r="AS99" i="6"/>
  <c r="CY99" i="6" s="1"/>
  <c r="EB99" i="6" s="1"/>
  <c r="AS23" i="6"/>
  <c r="CY23" i="6" s="1"/>
  <c r="EB23" i="6" s="1"/>
  <c r="AS77" i="6"/>
  <c r="CY77" i="6" s="1"/>
  <c r="EB77" i="6" s="1"/>
  <c r="AT16" i="6"/>
  <c r="CZ16" i="6" s="1"/>
  <c r="AT33" i="6"/>
  <c r="CZ33" i="6" s="1"/>
  <c r="EC33" i="6" s="1"/>
  <c r="AT43" i="6"/>
  <c r="CZ43" i="6" s="1"/>
  <c r="EC43" i="6" s="1"/>
  <c r="AT40" i="6"/>
  <c r="CZ40" i="6" s="1"/>
  <c r="EC40" i="6" s="1"/>
  <c r="AT86" i="6"/>
  <c r="CZ86" i="6" s="1"/>
  <c r="EC86" i="6" s="1"/>
  <c r="AT78" i="6"/>
  <c r="CZ78" i="6" s="1"/>
  <c r="FF78" i="6" s="1"/>
  <c r="AT14" i="6"/>
  <c r="CZ14" i="6" s="1"/>
  <c r="EC14" i="6" s="1"/>
  <c r="AT94" i="6"/>
  <c r="CZ94" i="6" s="1"/>
  <c r="EC94" i="6" s="1"/>
  <c r="AT65" i="6"/>
  <c r="CZ65" i="6" s="1"/>
  <c r="AT38" i="6"/>
  <c r="CZ38" i="6" s="1"/>
  <c r="EC38" i="6" s="1"/>
  <c r="AT31" i="6"/>
  <c r="CZ31" i="6" s="1"/>
  <c r="EC31" i="6" s="1"/>
  <c r="AT52" i="6"/>
  <c r="CZ52" i="6" s="1"/>
  <c r="EC52" i="6" s="1"/>
  <c r="AT79" i="6"/>
  <c r="CZ79" i="6" s="1"/>
  <c r="EC79" i="6" s="1"/>
  <c r="AT12" i="6"/>
  <c r="CZ12" i="6" s="1"/>
  <c r="EC12" i="6" s="1"/>
  <c r="AT71" i="6"/>
  <c r="CZ71" i="6" s="1"/>
  <c r="EC71" i="6" s="1"/>
  <c r="AT51" i="6"/>
  <c r="CZ51" i="6" s="1"/>
  <c r="EC51" i="6" s="1"/>
  <c r="AT105" i="6"/>
  <c r="CZ105" i="6" s="1"/>
  <c r="EC105" i="6" s="1"/>
  <c r="AT61" i="6"/>
  <c r="CZ61" i="6" s="1"/>
  <c r="EC61" i="6" s="1"/>
  <c r="AT96" i="6"/>
  <c r="CZ96" i="6" s="1"/>
  <c r="EC96" i="6" s="1"/>
  <c r="AT97" i="6"/>
  <c r="CZ97" i="6" s="1"/>
  <c r="EC97" i="6" s="1"/>
  <c r="AT108" i="6"/>
  <c r="CZ108" i="6" s="1"/>
  <c r="EC108" i="6" s="1"/>
  <c r="AT26" i="6"/>
  <c r="CZ26" i="6" s="1"/>
  <c r="EC26" i="6" s="1"/>
  <c r="AT85" i="6"/>
  <c r="CZ85" i="6" s="1"/>
  <c r="EC85" i="6" s="1"/>
  <c r="AT83" i="6"/>
  <c r="CZ83" i="6" s="1"/>
  <c r="EC83" i="6" s="1"/>
  <c r="AT81" i="6"/>
  <c r="CZ81" i="6" s="1"/>
  <c r="EC81" i="6" s="1"/>
  <c r="AT99" i="6"/>
  <c r="CZ99" i="6" s="1"/>
  <c r="EC99" i="6" s="1"/>
  <c r="AT23" i="6"/>
  <c r="CZ23" i="6" s="1"/>
  <c r="EC23" i="6" s="1"/>
  <c r="AT77" i="6"/>
  <c r="CZ77" i="6" s="1"/>
  <c r="EC77" i="6" s="1"/>
  <c r="AU16" i="6"/>
  <c r="DA16" i="6" s="1"/>
  <c r="AU33" i="6"/>
  <c r="DA33" i="6" s="1"/>
  <c r="ED33" i="6" s="1"/>
  <c r="AU43" i="6"/>
  <c r="DA43" i="6" s="1"/>
  <c r="ED43" i="6" s="1"/>
  <c r="AU40" i="6"/>
  <c r="DA40" i="6" s="1"/>
  <c r="ED40" i="6" s="1"/>
  <c r="AQ87" i="6"/>
  <c r="CW87" i="6" s="1"/>
  <c r="DZ87" i="6" s="1"/>
  <c r="AR17" i="6"/>
  <c r="CX17" i="6" s="1"/>
  <c r="EA17" i="6" s="1"/>
  <c r="AR89" i="6"/>
  <c r="CX89" i="6" s="1"/>
  <c r="FD89" i="6" s="1"/>
  <c r="AR93" i="6"/>
  <c r="CX93" i="6" s="1"/>
  <c r="EA93" i="6" s="1"/>
  <c r="AR35" i="6"/>
  <c r="CX35" i="6" s="1"/>
  <c r="EA35" i="6" s="1"/>
  <c r="AR112" i="6"/>
  <c r="CX112" i="6" s="1"/>
  <c r="EA112" i="6" s="1"/>
  <c r="AR39" i="6"/>
  <c r="CX39" i="6" s="1"/>
  <c r="EA39" i="6" s="1"/>
  <c r="AR30" i="6"/>
  <c r="CX30" i="6" s="1"/>
  <c r="EA30" i="6" s="1"/>
  <c r="AR69" i="6"/>
  <c r="CX69" i="6" s="1"/>
  <c r="EA69" i="6" s="1"/>
  <c r="AR111" i="6"/>
  <c r="CX111" i="6" s="1"/>
  <c r="EA111" i="6" s="1"/>
  <c r="AR82" i="6"/>
  <c r="CX82" i="6" s="1"/>
  <c r="EA82" i="6" s="1"/>
  <c r="AR104" i="6"/>
  <c r="CX104" i="6" s="1"/>
  <c r="EA104" i="6" s="1"/>
  <c r="AR13" i="6"/>
  <c r="CX13" i="6" s="1"/>
  <c r="EA13" i="6" s="1"/>
  <c r="AR9" i="6"/>
  <c r="CX9" i="6" s="1"/>
  <c r="EA9" i="6" s="1"/>
  <c r="AR11" i="6"/>
  <c r="CX11" i="6" s="1"/>
  <c r="EA11" i="6" s="1"/>
  <c r="AR109" i="6"/>
  <c r="CX109" i="6" s="1"/>
  <c r="EA109" i="6" s="1"/>
  <c r="AR106" i="6"/>
  <c r="CX106" i="6" s="1"/>
  <c r="EA106" i="6" s="1"/>
  <c r="AR107" i="6"/>
  <c r="CX107" i="6" s="1"/>
  <c r="EA107" i="6" s="1"/>
  <c r="AR50" i="6"/>
  <c r="CX50" i="6" s="1"/>
  <c r="EA50" i="6" s="1"/>
  <c r="AR114" i="6"/>
  <c r="CX114" i="6" s="1"/>
  <c r="EA114" i="6" s="1"/>
  <c r="AR44" i="6"/>
  <c r="CX44" i="6" s="1"/>
  <c r="EA44" i="6" s="1"/>
  <c r="AR24" i="6"/>
  <c r="CX24" i="6" s="1"/>
  <c r="EA24" i="6" s="1"/>
  <c r="AR113" i="6"/>
  <c r="CX113" i="6" s="1"/>
  <c r="EA113" i="6" s="1"/>
  <c r="AR46" i="6"/>
  <c r="CX46" i="6" s="1"/>
  <c r="EA46" i="6" s="1"/>
  <c r="AR34" i="6"/>
  <c r="CX34" i="6" s="1"/>
  <c r="EA34" i="6" s="1"/>
  <c r="AR95" i="6"/>
  <c r="CX95" i="6" s="1"/>
  <c r="EA95" i="6" s="1"/>
  <c r="AR87" i="6"/>
  <c r="CX87" i="6" s="1"/>
  <c r="EA87" i="6" s="1"/>
  <c r="AR63" i="6"/>
  <c r="CX63" i="6" s="1"/>
  <c r="EA63" i="6" s="1"/>
  <c r="AS17" i="6"/>
  <c r="CY17" i="6" s="1"/>
  <c r="EB17" i="6" s="1"/>
  <c r="AS32" i="6"/>
  <c r="CY32" i="6" s="1"/>
  <c r="EB32" i="6" s="1"/>
  <c r="AS42" i="6"/>
  <c r="CY42" i="6" s="1"/>
  <c r="EB42" i="6" s="1"/>
  <c r="AS93" i="6"/>
  <c r="CY93" i="6" s="1"/>
  <c r="EB93" i="6" s="1"/>
  <c r="AS35" i="6"/>
  <c r="CY35" i="6" s="1"/>
  <c r="EB35" i="6" s="1"/>
  <c r="AS112" i="6"/>
  <c r="CY112" i="6" s="1"/>
  <c r="EB112" i="6" s="1"/>
  <c r="AS39" i="6"/>
  <c r="CY39" i="6" s="1"/>
  <c r="EB39" i="6" s="1"/>
  <c r="AS30" i="6"/>
  <c r="CY30" i="6" s="1"/>
  <c r="EB30" i="6" s="1"/>
  <c r="AS69" i="6"/>
  <c r="CY69" i="6" s="1"/>
  <c r="EB69" i="6" s="1"/>
  <c r="AS111" i="6"/>
  <c r="CY111" i="6" s="1"/>
  <c r="EB111" i="6" s="1"/>
  <c r="AS82" i="6"/>
  <c r="CY82" i="6" s="1"/>
  <c r="EB82" i="6" s="1"/>
  <c r="AS104" i="6"/>
  <c r="CY104" i="6" s="1"/>
  <c r="EB104" i="6" s="1"/>
  <c r="AS13" i="6"/>
  <c r="CY13" i="6" s="1"/>
  <c r="EB13" i="6" s="1"/>
  <c r="AS9" i="6"/>
  <c r="CY9" i="6" s="1"/>
  <c r="EB9" i="6" s="1"/>
  <c r="AS11" i="6"/>
  <c r="CY11" i="6" s="1"/>
  <c r="EB11" i="6" s="1"/>
  <c r="AS109" i="6"/>
  <c r="CY109" i="6" s="1"/>
  <c r="EB109" i="6" s="1"/>
  <c r="AS106" i="6"/>
  <c r="CY106" i="6" s="1"/>
  <c r="EB106" i="6" s="1"/>
  <c r="AS107" i="6"/>
  <c r="CY107" i="6" s="1"/>
  <c r="EB107" i="6" s="1"/>
  <c r="AS50" i="6"/>
  <c r="CY50" i="6" s="1"/>
  <c r="EB50" i="6" s="1"/>
  <c r="AS114" i="6"/>
  <c r="CY114" i="6" s="1"/>
  <c r="EB114" i="6" s="1"/>
  <c r="AS44" i="6"/>
  <c r="CY44" i="6" s="1"/>
  <c r="EB44" i="6" s="1"/>
  <c r="AS24" i="6"/>
  <c r="CY24" i="6" s="1"/>
  <c r="EB24" i="6" s="1"/>
  <c r="AS113" i="6"/>
  <c r="CY113" i="6" s="1"/>
  <c r="EB113" i="6" s="1"/>
  <c r="AS46" i="6"/>
  <c r="CY46" i="6" s="1"/>
  <c r="EB46" i="6" s="1"/>
  <c r="AS34" i="6"/>
  <c r="CY34" i="6" s="1"/>
  <c r="EB34" i="6" s="1"/>
  <c r="AS95" i="6"/>
  <c r="CY95" i="6" s="1"/>
  <c r="EB95" i="6" s="1"/>
  <c r="AS87" i="6"/>
  <c r="CY87" i="6" s="1"/>
  <c r="EB87" i="6" s="1"/>
  <c r="AS63" i="6"/>
  <c r="CY63" i="6" s="1"/>
  <c r="EB63" i="6" s="1"/>
  <c r="AT17" i="6"/>
  <c r="CZ17" i="6" s="1"/>
  <c r="EC17" i="6" s="1"/>
  <c r="AT32" i="6"/>
  <c r="CZ32" i="6" s="1"/>
  <c r="EC32" i="6" s="1"/>
  <c r="AT42" i="6"/>
  <c r="CZ42" i="6" s="1"/>
  <c r="EC42" i="6" s="1"/>
  <c r="AT93" i="6"/>
  <c r="CZ93" i="6" s="1"/>
  <c r="EC93" i="6" s="1"/>
  <c r="AT35" i="6"/>
  <c r="CZ35" i="6" s="1"/>
  <c r="EC35" i="6" s="1"/>
  <c r="AT112" i="6"/>
  <c r="CZ112" i="6" s="1"/>
  <c r="EC112" i="6" s="1"/>
  <c r="AT39" i="6"/>
  <c r="CZ39" i="6" s="1"/>
  <c r="EC39" i="6" s="1"/>
  <c r="AT30" i="6"/>
  <c r="CZ30" i="6" s="1"/>
  <c r="EC30" i="6" s="1"/>
  <c r="AT69" i="6"/>
  <c r="CZ69" i="6" s="1"/>
  <c r="EC69" i="6" s="1"/>
  <c r="AT111" i="6"/>
  <c r="CZ111" i="6" s="1"/>
  <c r="EC111" i="6" s="1"/>
  <c r="AT82" i="6"/>
  <c r="CZ82" i="6" s="1"/>
  <c r="EC82" i="6" s="1"/>
  <c r="AT104" i="6"/>
  <c r="CZ104" i="6" s="1"/>
  <c r="EC104" i="6" s="1"/>
  <c r="AT13" i="6"/>
  <c r="CZ13" i="6" s="1"/>
  <c r="EC13" i="6" s="1"/>
  <c r="AT9" i="6"/>
  <c r="CZ9" i="6" s="1"/>
  <c r="EC9" i="6" s="1"/>
  <c r="AT11" i="6"/>
  <c r="CZ11" i="6" s="1"/>
  <c r="EC11" i="6" s="1"/>
  <c r="AT109" i="6"/>
  <c r="CZ109" i="6" s="1"/>
  <c r="EC109" i="6" s="1"/>
  <c r="AT106" i="6"/>
  <c r="CZ106" i="6" s="1"/>
  <c r="EC106" i="6" s="1"/>
  <c r="AT107" i="6"/>
  <c r="CZ107" i="6" s="1"/>
  <c r="EC107" i="6" s="1"/>
  <c r="AT50" i="6"/>
  <c r="CZ50" i="6" s="1"/>
  <c r="EC50" i="6" s="1"/>
  <c r="AT114" i="6"/>
  <c r="CZ114" i="6" s="1"/>
  <c r="EC114" i="6" s="1"/>
  <c r="AT44" i="6"/>
  <c r="CZ44" i="6" s="1"/>
  <c r="EC44" i="6" s="1"/>
  <c r="AT24" i="6"/>
  <c r="CZ24" i="6" s="1"/>
  <c r="EC24" i="6" s="1"/>
  <c r="AT113" i="6"/>
  <c r="CZ113" i="6" s="1"/>
  <c r="EC113" i="6" s="1"/>
  <c r="AT46" i="6"/>
  <c r="CZ46" i="6" s="1"/>
  <c r="EC46" i="6" s="1"/>
  <c r="AT34" i="6"/>
  <c r="CZ34" i="6" s="1"/>
  <c r="EC34" i="6" s="1"/>
  <c r="AT95" i="6"/>
  <c r="CZ95" i="6" s="1"/>
  <c r="EC95" i="6" s="1"/>
  <c r="AT87" i="6"/>
  <c r="CZ87" i="6" s="1"/>
  <c r="EC87" i="6" s="1"/>
  <c r="AT63" i="6"/>
  <c r="CZ63" i="6" s="1"/>
  <c r="EC63" i="6" s="1"/>
  <c r="AU17" i="6"/>
  <c r="DA17" i="6" s="1"/>
  <c r="ED17" i="6" s="1"/>
  <c r="AU32" i="6"/>
  <c r="DA32" i="6" s="1"/>
  <c r="ED32" i="6" s="1"/>
  <c r="AU42" i="6"/>
  <c r="DA42" i="6" s="1"/>
  <c r="ED42" i="6" s="1"/>
  <c r="AU93" i="6"/>
  <c r="DA93" i="6" s="1"/>
  <c r="ED93" i="6" s="1"/>
  <c r="AU35" i="6"/>
  <c r="DA35" i="6" s="1"/>
  <c r="ED35" i="6" s="1"/>
  <c r="AU112" i="6"/>
  <c r="DA112" i="6" s="1"/>
  <c r="ED112" i="6" s="1"/>
  <c r="AU39" i="6"/>
  <c r="DA39" i="6" s="1"/>
  <c r="ED39" i="6" s="1"/>
  <c r="AU30" i="6"/>
  <c r="DA30" i="6" s="1"/>
  <c r="ED30" i="6" s="1"/>
  <c r="AU69" i="6"/>
  <c r="DA69" i="6" s="1"/>
  <c r="ED69" i="6" s="1"/>
  <c r="AU111" i="6"/>
  <c r="DA111" i="6" s="1"/>
  <c r="ED111" i="6" s="1"/>
  <c r="AQ62" i="6"/>
  <c r="CW62" i="6" s="1"/>
  <c r="DZ62" i="6" s="1"/>
  <c r="AR42" i="6"/>
  <c r="CX42" i="6" s="1"/>
  <c r="EA42" i="6" s="1"/>
  <c r="AR103" i="6"/>
  <c r="CX103" i="6" s="1"/>
  <c r="EA103" i="6" s="1"/>
  <c r="AR36" i="6"/>
  <c r="CX36" i="6" s="1"/>
  <c r="EA36" i="6" s="1"/>
  <c r="AR15" i="6"/>
  <c r="CX15" i="6" s="1"/>
  <c r="EA15" i="6" s="1"/>
  <c r="AR92" i="6"/>
  <c r="CX92" i="6" s="1"/>
  <c r="AR10" i="6"/>
  <c r="CX10" i="6" s="1"/>
  <c r="EA10" i="6" s="1"/>
  <c r="AR67" i="6"/>
  <c r="CX67" i="6" s="1"/>
  <c r="EA67" i="6" s="1"/>
  <c r="AR29" i="6"/>
  <c r="CX29" i="6" s="1"/>
  <c r="EA29" i="6" s="1"/>
  <c r="AR53" i="6"/>
  <c r="CX53" i="6" s="1"/>
  <c r="EA53" i="6" s="1"/>
  <c r="AR115" i="6"/>
  <c r="CX115" i="6" s="1"/>
  <c r="EA115" i="6" s="1"/>
  <c r="AR75" i="6"/>
  <c r="CX75" i="6" s="1"/>
  <c r="EA75" i="6" s="1"/>
  <c r="AR8" i="6"/>
  <c r="CX8" i="6" s="1"/>
  <c r="EA8" i="6" s="1"/>
  <c r="AR72" i="6"/>
  <c r="CX72" i="6" s="1"/>
  <c r="EA72" i="6" s="1"/>
  <c r="AR102" i="6"/>
  <c r="CX102" i="6" s="1"/>
  <c r="EA102" i="6" s="1"/>
  <c r="AR58" i="6"/>
  <c r="CX58" i="6" s="1"/>
  <c r="EA58" i="6" s="1"/>
  <c r="AR20" i="6"/>
  <c r="CX20" i="6" s="1"/>
  <c r="EA20" i="6" s="1"/>
  <c r="AR48" i="6"/>
  <c r="CX48" i="6" s="1"/>
  <c r="EA48" i="6" s="1"/>
  <c r="AR73" i="6"/>
  <c r="CX73" i="6" s="1"/>
  <c r="EA73" i="6" s="1"/>
  <c r="AR6" i="6"/>
  <c r="CX6" i="6" s="1"/>
  <c r="EA6" i="6" s="1"/>
  <c r="AR28" i="6"/>
  <c r="CX28" i="6" s="1"/>
  <c r="EA28" i="6" s="1"/>
  <c r="AR60" i="6"/>
  <c r="CX60" i="6" s="1"/>
  <c r="EA60" i="6" s="1"/>
  <c r="AR59" i="6"/>
  <c r="CX59" i="6" s="1"/>
  <c r="EA59" i="6" s="1"/>
  <c r="AR49" i="6"/>
  <c r="CX49" i="6" s="1"/>
  <c r="EA49" i="6" s="1"/>
  <c r="AR19" i="6"/>
  <c r="CX19" i="6" s="1"/>
  <c r="EA19" i="6" s="1"/>
  <c r="AR45" i="6"/>
  <c r="CX45" i="6" s="1"/>
  <c r="EA45" i="6" s="1"/>
  <c r="AR64" i="6"/>
  <c r="CX64" i="6" s="1"/>
  <c r="EA64" i="6" s="1"/>
  <c r="AS91" i="6"/>
  <c r="CY91" i="6" s="1"/>
  <c r="EB91" i="6" s="1"/>
  <c r="AS90" i="6"/>
  <c r="CY90" i="6" s="1"/>
  <c r="FE90" i="6" s="1"/>
  <c r="AS103" i="6"/>
  <c r="CY103" i="6" s="1"/>
  <c r="EB103" i="6" s="1"/>
  <c r="AS36" i="6"/>
  <c r="CY36" i="6" s="1"/>
  <c r="EB36" i="6" s="1"/>
  <c r="AS15" i="6"/>
  <c r="CY15" i="6" s="1"/>
  <c r="EB15" i="6" s="1"/>
  <c r="AS92" i="6"/>
  <c r="CY92" i="6" s="1"/>
  <c r="AS10" i="6"/>
  <c r="CY10" i="6" s="1"/>
  <c r="EB10" i="6" s="1"/>
  <c r="AS67" i="6"/>
  <c r="CY67" i="6" s="1"/>
  <c r="EB67" i="6" s="1"/>
  <c r="AS29" i="6"/>
  <c r="CY29" i="6" s="1"/>
  <c r="EB29" i="6" s="1"/>
  <c r="AS53" i="6"/>
  <c r="CY53" i="6" s="1"/>
  <c r="EB53" i="6" s="1"/>
  <c r="AS115" i="6"/>
  <c r="CY115" i="6" s="1"/>
  <c r="EB115" i="6" s="1"/>
  <c r="AS75" i="6"/>
  <c r="CY75" i="6" s="1"/>
  <c r="EB75" i="6" s="1"/>
  <c r="AS8" i="6"/>
  <c r="CY8" i="6" s="1"/>
  <c r="EB8" i="6" s="1"/>
  <c r="AS72" i="6"/>
  <c r="CY72" i="6" s="1"/>
  <c r="EB72" i="6" s="1"/>
  <c r="AS102" i="6"/>
  <c r="CY102" i="6" s="1"/>
  <c r="EB102" i="6" s="1"/>
  <c r="AS58" i="6"/>
  <c r="CY58" i="6" s="1"/>
  <c r="EB58" i="6" s="1"/>
  <c r="AS20" i="6"/>
  <c r="CY20" i="6" s="1"/>
  <c r="EB20" i="6" s="1"/>
  <c r="AS48" i="6"/>
  <c r="CY48" i="6" s="1"/>
  <c r="EB48" i="6" s="1"/>
  <c r="AS73" i="6"/>
  <c r="CY73" i="6" s="1"/>
  <c r="EB73" i="6" s="1"/>
  <c r="AS6" i="6"/>
  <c r="CY6" i="6" s="1"/>
  <c r="EB6" i="6" s="1"/>
  <c r="AS28" i="6"/>
  <c r="CY28" i="6" s="1"/>
  <c r="EB28" i="6" s="1"/>
  <c r="AS60" i="6"/>
  <c r="CY60" i="6" s="1"/>
  <c r="EB60" i="6" s="1"/>
  <c r="AS59" i="6"/>
  <c r="CY59" i="6" s="1"/>
  <c r="EB59" i="6" s="1"/>
  <c r="AS49" i="6"/>
  <c r="CY49" i="6" s="1"/>
  <c r="EB49" i="6" s="1"/>
  <c r="AS19" i="6"/>
  <c r="CY19" i="6" s="1"/>
  <c r="EB19" i="6" s="1"/>
  <c r="AS45" i="6"/>
  <c r="CY45" i="6" s="1"/>
  <c r="EB45" i="6" s="1"/>
  <c r="AS64" i="6"/>
  <c r="CY64" i="6" s="1"/>
  <c r="EB64" i="6" s="1"/>
  <c r="AT91" i="6"/>
  <c r="CZ91" i="6" s="1"/>
  <c r="EC91" i="6" s="1"/>
  <c r="AT90" i="6"/>
  <c r="CZ90" i="6" s="1"/>
  <c r="AT103" i="6"/>
  <c r="CZ103" i="6" s="1"/>
  <c r="EC103" i="6" s="1"/>
  <c r="AT36" i="6"/>
  <c r="CZ36" i="6" s="1"/>
  <c r="EC36" i="6" s="1"/>
  <c r="AT15" i="6"/>
  <c r="CZ15" i="6" s="1"/>
  <c r="EC15" i="6" s="1"/>
  <c r="AT92" i="6"/>
  <c r="CZ92" i="6" s="1"/>
  <c r="FF92" i="6" s="1"/>
  <c r="AT10" i="6"/>
  <c r="CZ10" i="6" s="1"/>
  <c r="EC10" i="6" s="1"/>
  <c r="AT67" i="6"/>
  <c r="CZ67" i="6" s="1"/>
  <c r="EC67" i="6" s="1"/>
  <c r="AT29" i="6"/>
  <c r="CZ29" i="6" s="1"/>
  <c r="EC29" i="6" s="1"/>
  <c r="AT53" i="6"/>
  <c r="CZ53" i="6" s="1"/>
  <c r="EC53" i="6" s="1"/>
  <c r="AT115" i="6"/>
  <c r="CZ115" i="6" s="1"/>
  <c r="EC115" i="6" s="1"/>
  <c r="AT75" i="6"/>
  <c r="CZ75" i="6" s="1"/>
  <c r="EC75" i="6" s="1"/>
  <c r="AT8" i="6"/>
  <c r="CZ8" i="6" s="1"/>
  <c r="EC8" i="6" s="1"/>
  <c r="AT72" i="6"/>
  <c r="CZ72" i="6" s="1"/>
  <c r="EC72" i="6" s="1"/>
  <c r="AT102" i="6"/>
  <c r="CZ102" i="6" s="1"/>
  <c r="EC102" i="6" s="1"/>
  <c r="AT58" i="6"/>
  <c r="CZ58" i="6" s="1"/>
  <c r="EC58" i="6" s="1"/>
  <c r="AT20" i="6"/>
  <c r="CZ20" i="6" s="1"/>
  <c r="EC20" i="6" s="1"/>
  <c r="AT48" i="6"/>
  <c r="CZ48" i="6" s="1"/>
  <c r="EC48" i="6" s="1"/>
  <c r="AT73" i="6"/>
  <c r="CZ73" i="6" s="1"/>
  <c r="EC73" i="6" s="1"/>
  <c r="AT6" i="6"/>
  <c r="CZ6" i="6" s="1"/>
  <c r="EC6" i="6" s="1"/>
  <c r="AT28" i="6"/>
  <c r="CZ28" i="6" s="1"/>
  <c r="EC28" i="6" s="1"/>
  <c r="AT60" i="6"/>
  <c r="CZ60" i="6" s="1"/>
  <c r="EC60" i="6" s="1"/>
  <c r="AT59" i="6"/>
  <c r="CZ59" i="6" s="1"/>
  <c r="EC59" i="6" s="1"/>
  <c r="AT49" i="6"/>
  <c r="CZ49" i="6" s="1"/>
  <c r="EC49" i="6" s="1"/>
  <c r="AT19" i="6"/>
  <c r="CZ19" i="6" s="1"/>
  <c r="EC19" i="6" s="1"/>
  <c r="AT45" i="6"/>
  <c r="CZ45" i="6" s="1"/>
  <c r="EC45" i="6" s="1"/>
  <c r="AT64" i="6"/>
  <c r="CZ64" i="6" s="1"/>
  <c r="EC64" i="6" s="1"/>
  <c r="AU91" i="6"/>
  <c r="DA91" i="6" s="1"/>
  <c r="ED91" i="6" s="1"/>
  <c r="AU90" i="6"/>
  <c r="DA90" i="6" s="1"/>
  <c r="AU103" i="6"/>
  <c r="DA103" i="6" s="1"/>
  <c r="ED103" i="6" s="1"/>
  <c r="AU36" i="6"/>
  <c r="DA36" i="6" s="1"/>
  <c r="ED36" i="6" s="1"/>
  <c r="AQ63" i="6"/>
  <c r="CW63" i="6" s="1"/>
  <c r="DZ63" i="6" s="1"/>
  <c r="AR110" i="6"/>
  <c r="CX110" i="6" s="1"/>
  <c r="EA110" i="6" s="1"/>
  <c r="AR41" i="6"/>
  <c r="CX41" i="6" s="1"/>
  <c r="EA41" i="6" s="1"/>
  <c r="AR101" i="6"/>
  <c r="CX101" i="6" s="1"/>
  <c r="EA101" i="6" s="1"/>
  <c r="AR37" i="6"/>
  <c r="CX37" i="6" s="1"/>
  <c r="EA37" i="6" s="1"/>
  <c r="AR56" i="6"/>
  <c r="CX56" i="6" s="1"/>
  <c r="EA56" i="6" s="1"/>
  <c r="AR47" i="6"/>
  <c r="CX47" i="6" s="1"/>
  <c r="EA47" i="6" s="1"/>
  <c r="AR68" i="6"/>
  <c r="CX68" i="6" s="1"/>
  <c r="EA68" i="6" s="1"/>
  <c r="AR66" i="6"/>
  <c r="CX66" i="6" s="1"/>
  <c r="EA66" i="6" s="1"/>
  <c r="AR21" i="6"/>
  <c r="CX21" i="6" s="1"/>
  <c r="EA21" i="6" s="1"/>
  <c r="AR54" i="6"/>
  <c r="CX54" i="6" s="1"/>
  <c r="EA54" i="6" s="1"/>
  <c r="AR18" i="6"/>
  <c r="CX18" i="6" s="1"/>
  <c r="EA18" i="6" s="1"/>
  <c r="AR74" i="6"/>
  <c r="CX74" i="6" s="1"/>
  <c r="EA74" i="6" s="1"/>
  <c r="AR70" i="6"/>
  <c r="CX70" i="6" s="1"/>
  <c r="EA70" i="6" s="1"/>
  <c r="AR55" i="6"/>
  <c r="CX55" i="6" s="1"/>
  <c r="EA55" i="6" s="1"/>
  <c r="AR80" i="6"/>
  <c r="CX80" i="6" s="1"/>
  <c r="EA80" i="6" s="1"/>
  <c r="AR57" i="6"/>
  <c r="CX57" i="6" s="1"/>
  <c r="EA57" i="6" s="1"/>
  <c r="AR76" i="6"/>
  <c r="CX76" i="6" s="1"/>
  <c r="EA76" i="6" s="1"/>
  <c r="AR98" i="6"/>
  <c r="CX98" i="6" s="1"/>
  <c r="EA98" i="6" s="1"/>
  <c r="AR22" i="6"/>
  <c r="CX22" i="6" s="1"/>
  <c r="EA22" i="6" s="1"/>
  <c r="AR25" i="6"/>
  <c r="CX25" i="6" s="1"/>
  <c r="EA25" i="6" s="1"/>
  <c r="AR27" i="6"/>
  <c r="CX27" i="6" s="1"/>
  <c r="EA27" i="6" s="1"/>
  <c r="AR84" i="6"/>
  <c r="CX84" i="6" s="1"/>
  <c r="EA84" i="6" s="1"/>
  <c r="AR116" i="6"/>
  <c r="CX116" i="6" s="1"/>
  <c r="EA116" i="6" s="1"/>
  <c r="AR100" i="6"/>
  <c r="CX100" i="6" s="1"/>
  <c r="EA100" i="6" s="1"/>
  <c r="AR7" i="6"/>
  <c r="CX7" i="6" s="1"/>
  <c r="EA7" i="6" s="1"/>
  <c r="AR62" i="6"/>
  <c r="CX62" i="6" s="1"/>
  <c r="EA62" i="6" s="1"/>
  <c r="AS110" i="6"/>
  <c r="CY110" i="6" s="1"/>
  <c r="EB110" i="6" s="1"/>
  <c r="AS89" i="6"/>
  <c r="CY89" i="6" s="1"/>
  <c r="AS41" i="6"/>
  <c r="CY41" i="6" s="1"/>
  <c r="EB41" i="6" s="1"/>
  <c r="AS101" i="6"/>
  <c r="CY101" i="6" s="1"/>
  <c r="EB101" i="6" s="1"/>
  <c r="AS37" i="6"/>
  <c r="CY37" i="6" s="1"/>
  <c r="EB37" i="6" s="1"/>
  <c r="AS56" i="6"/>
  <c r="CY56" i="6" s="1"/>
  <c r="EB56" i="6" s="1"/>
  <c r="AS47" i="6"/>
  <c r="CY47" i="6" s="1"/>
  <c r="EB47" i="6" s="1"/>
  <c r="AS68" i="6"/>
  <c r="CY68" i="6" s="1"/>
  <c r="EB68" i="6" s="1"/>
  <c r="AS66" i="6"/>
  <c r="CY66" i="6" s="1"/>
  <c r="EB66" i="6" s="1"/>
  <c r="AS21" i="6"/>
  <c r="CY21" i="6" s="1"/>
  <c r="EB21" i="6" s="1"/>
  <c r="AS54" i="6"/>
  <c r="CY54" i="6" s="1"/>
  <c r="EB54" i="6" s="1"/>
  <c r="AS18" i="6"/>
  <c r="CY18" i="6" s="1"/>
  <c r="EB18" i="6" s="1"/>
  <c r="AS74" i="6"/>
  <c r="CY74" i="6" s="1"/>
  <c r="EB74" i="6" s="1"/>
  <c r="AS70" i="6"/>
  <c r="CY70" i="6" s="1"/>
  <c r="EB70" i="6" s="1"/>
  <c r="AS55" i="6"/>
  <c r="CY55" i="6" s="1"/>
  <c r="EB55" i="6" s="1"/>
  <c r="AS80" i="6"/>
  <c r="CY80" i="6" s="1"/>
  <c r="EB80" i="6" s="1"/>
  <c r="AS57" i="6"/>
  <c r="CY57" i="6" s="1"/>
  <c r="EB57" i="6" s="1"/>
  <c r="AS76" i="6"/>
  <c r="CY76" i="6" s="1"/>
  <c r="EB76" i="6" s="1"/>
  <c r="AS98" i="6"/>
  <c r="CY98" i="6" s="1"/>
  <c r="EB98" i="6" s="1"/>
  <c r="AS22" i="6"/>
  <c r="CY22" i="6" s="1"/>
  <c r="EB22" i="6" s="1"/>
  <c r="AS25" i="6"/>
  <c r="CY25" i="6" s="1"/>
  <c r="EB25" i="6" s="1"/>
  <c r="AS27" i="6"/>
  <c r="CY27" i="6" s="1"/>
  <c r="EB27" i="6" s="1"/>
  <c r="AS84" i="6"/>
  <c r="CY84" i="6" s="1"/>
  <c r="EB84" i="6" s="1"/>
  <c r="AS116" i="6"/>
  <c r="CY116" i="6" s="1"/>
  <c r="EB116" i="6" s="1"/>
  <c r="AS100" i="6"/>
  <c r="CY100" i="6" s="1"/>
  <c r="EB100" i="6" s="1"/>
  <c r="AS7" i="6"/>
  <c r="CY7" i="6" s="1"/>
  <c r="EB7" i="6" s="1"/>
  <c r="AS62" i="6"/>
  <c r="CY62" i="6" s="1"/>
  <c r="EB62" i="6" s="1"/>
  <c r="AT110" i="6"/>
  <c r="CZ110" i="6" s="1"/>
  <c r="EC110" i="6" s="1"/>
  <c r="AT89" i="6"/>
  <c r="CZ89" i="6" s="1"/>
  <c r="FF89" i="6" s="1"/>
  <c r="AT41" i="6"/>
  <c r="CZ41" i="6" s="1"/>
  <c r="EC41" i="6" s="1"/>
  <c r="AT101" i="6"/>
  <c r="CZ101" i="6" s="1"/>
  <c r="EC101" i="6" s="1"/>
  <c r="AT37" i="6"/>
  <c r="CZ37" i="6" s="1"/>
  <c r="EC37" i="6" s="1"/>
  <c r="AT56" i="6"/>
  <c r="CZ56" i="6" s="1"/>
  <c r="EC56" i="6" s="1"/>
  <c r="AT47" i="6"/>
  <c r="CZ47" i="6" s="1"/>
  <c r="EC47" i="6" s="1"/>
  <c r="AT68" i="6"/>
  <c r="CZ68" i="6" s="1"/>
  <c r="EC68" i="6" s="1"/>
  <c r="AT66" i="6"/>
  <c r="CZ66" i="6" s="1"/>
  <c r="EC66" i="6" s="1"/>
  <c r="AT21" i="6"/>
  <c r="CZ21" i="6" s="1"/>
  <c r="EC21" i="6" s="1"/>
  <c r="AT54" i="6"/>
  <c r="CZ54" i="6" s="1"/>
  <c r="EC54" i="6" s="1"/>
  <c r="AT18" i="6"/>
  <c r="CZ18" i="6" s="1"/>
  <c r="EC18" i="6" s="1"/>
  <c r="AT74" i="6"/>
  <c r="CZ74" i="6" s="1"/>
  <c r="EC74" i="6" s="1"/>
  <c r="AT70" i="6"/>
  <c r="CZ70" i="6" s="1"/>
  <c r="EC70" i="6" s="1"/>
  <c r="AT55" i="6"/>
  <c r="CZ55" i="6" s="1"/>
  <c r="EC55" i="6" s="1"/>
  <c r="AT80" i="6"/>
  <c r="CZ80" i="6" s="1"/>
  <c r="EC80" i="6" s="1"/>
  <c r="AT57" i="6"/>
  <c r="CZ57" i="6" s="1"/>
  <c r="EC57" i="6" s="1"/>
  <c r="AT76" i="6"/>
  <c r="CZ76" i="6" s="1"/>
  <c r="EC76" i="6" s="1"/>
  <c r="AT98" i="6"/>
  <c r="CZ98" i="6" s="1"/>
  <c r="EC98" i="6" s="1"/>
  <c r="AT22" i="6"/>
  <c r="CZ22" i="6" s="1"/>
  <c r="EC22" i="6" s="1"/>
  <c r="AT25" i="6"/>
  <c r="CZ25" i="6" s="1"/>
  <c r="EC25" i="6" s="1"/>
  <c r="AT27" i="6"/>
  <c r="CZ27" i="6" s="1"/>
  <c r="EC27" i="6" s="1"/>
  <c r="AT84" i="6"/>
  <c r="CZ84" i="6" s="1"/>
  <c r="EC84" i="6" s="1"/>
  <c r="AT116" i="6"/>
  <c r="CZ116" i="6" s="1"/>
  <c r="EC116" i="6" s="1"/>
  <c r="AT100" i="6"/>
  <c r="CZ100" i="6" s="1"/>
  <c r="EC100" i="6" s="1"/>
  <c r="AT7" i="6"/>
  <c r="CZ7" i="6" s="1"/>
  <c r="EC7" i="6" s="1"/>
  <c r="AT62" i="6"/>
  <c r="CZ62" i="6" s="1"/>
  <c r="EC62" i="6" s="1"/>
  <c r="AU110" i="6"/>
  <c r="DA110" i="6" s="1"/>
  <c r="ED110" i="6" s="1"/>
  <c r="AU89" i="6"/>
  <c r="DA89" i="6" s="1"/>
  <c r="FG89" i="6" s="1"/>
  <c r="AU41" i="6"/>
  <c r="DA41" i="6" s="1"/>
  <c r="ED41" i="6" s="1"/>
  <c r="AU101" i="6"/>
  <c r="DA101" i="6" s="1"/>
  <c r="ED101" i="6" s="1"/>
  <c r="AU37" i="6"/>
  <c r="DA37" i="6" s="1"/>
  <c r="ED37" i="6" s="1"/>
  <c r="AU56" i="6"/>
  <c r="DA56" i="6" s="1"/>
  <c r="ED56" i="6" s="1"/>
  <c r="AU47" i="6"/>
  <c r="DA47" i="6" s="1"/>
  <c r="ED47" i="6" s="1"/>
  <c r="AU68" i="6"/>
  <c r="DA68" i="6" s="1"/>
  <c r="ED68" i="6" s="1"/>
  <c r="AU66" i="6"/>
  <c r="DA66" i="6" s="1"/>
  <c r="ED66" i="6" s="1"/>
  <c r="AU21" i="6"/>
  <c r="DA21" i="6" s="1"/>
  <c r="ED21" i="6" s="1"/>
  <c r="AU86" i="6"/>
  <c r="DA86" i="6" s="1"/>
  <c r="ED86" i="6" s="1"/>
  <c r="AU92" i="6"/>
  <c r="DA92" i="6" s="1"/>
  <c r="FG92" i="6" s="1"/>
  <c r="AU67" i="6"/>
  <c r="DA67" i="6" s="1"/>
  <c r="ED67" i="6" s="1"/>
  <c r="AU82" i="6"/>
  <c r="DA82" i="6" s="1"/>
  <c r="ED82" i="6" s="1"/>
  <c r="AU104" i="6"/>
  <c r="DA104" i="6" s="1"/>
  <c r="ED104" i="6" s="1"/>
  <c r="AU9" i="6"/>
  <c r="DA9" i="6" s="1"/>
  <c r="ED9" i="6" s="1"/>
  <c r="AU11" i="6"/>
  <c r="DA11" i="6" s="1"/>
  <c r="ED11" i="6" s="1"/>
  <c r="AU109" i="6"/>
  <c r="DA109" i="6" s="1"/>
  <c r="ED109" i="6" s="1"/>
  <c r="AU106" i="6"/>
  <c r="DA106" i="6" s="1"/>
  <c r="ED106" i="6" s="1"/>
  <c r="AU107" i="6"/>
  <c r="DA107" i="6" s="1"/>
  <c r="ED107" i="6" s="1"/>
  <c r="AU50" i="6"/>
  <c r="DA50" i="6" s="1"/>
  <c r="ED50" i="6" s="1"/>
  <c r="AU114" i="6"/>
  <c r="DA114" i="6" s="1"/>
  <c r="ED114" i="6" s="1"/>
  <c r="AU44" i="6"/>
  <c r="DA44" i="6" s="1"/>
  <c r="ED44" i="6" s="1"/>
  <c r="AU24" i="6"/>
  <c r="DA24" i="6" s="1"/>
  <c r="ED24" i="6" s="1"/>
  <c r="AU113" i="6"/>
  <c r="DA113" i="6" s="1"/>
  <c r="ED113" i="6" s="1"/>
  <c r="AU46" i="6"/>
  <c r="DA46" i="6" s="1"/>
  <c r="ED46" i="6" s="1"/>
  <c r="AU34" i="6"/>
  <c r="DA34" i="6" s="1"/>
  <c r="ED34" i="6" s="1"/>
  <c r="AU95" i="6"/>
  <c r="DA95" i="6" s="1"/>
  <c r="ED95" i="6" s="1"/>
  <c r="AU87" i="6"/>
  <c r="DA87" i="6" s="1"/>
  <c r="ED87" i="6" s="1"/>
  <c r="AU63" i="6"/>
  <c r="DA63" i="6" s="1"/>
  <c r="ED63" i="6" s="1"/>
  <c r="AV17" i="6"/>
  <c r="DB17" i="6" s="1"/>
  <c r="EE17" i="6" s="1"/>
  <c r="AV32" i="6"/>
  <c r="DB32" i="6" s="1"/>
  <c r="EE32" i="6" s="1"/>
  <c r="AV42" i="6"/>
  <c r="DB42" i="6" s="1"/>
  <c r="EE42" i="6" s="1"/>
  <c r="AV93" i="6"/>
  <c r="DB93" i="6" s="1"/>
  <c r="EE93" i="6" s="1"/>
  <c r="AV35" i="6"/>
  <c r="DB35" i="6" s="1"/>
  <c r="EE35" i="6" s="1"/>
  <c r="AV112" i="6"/>
  <c r="DB112" i="6" s="1"/>
  <c r="EE112" i="6" s="1"/>
  <c r="AV39" i="6"/>
  <c r="DB39" i="6" s="1"/>
  <c r="EE39" i="6" s="1"/>
  <c r="AV30" i="6"/>
  <c r="DB30" i="6" s="1"/>
  <c r="EE30" i="6" s="1"/>
  <c r="AV69" i="6"/>
  <c r="DB69" i="6" s="1"/>
  <c r="EE69" i="6" s="1"/>
  <c r="AV111" i="6"/>
  <c r="DB111" i="6" s="1"/>
  <c r="EE111" i="6" s="1"/>
  <c r="AV82" i="6"/>
  <c r="DB82" i="6" s="1"/>
  <c r="EE82" i="6" s="1"/>
  <c r="AV104" i="6"/>
  <c r="DB104" i="6" s="1"/>
  <c r="EE104" i="6" s="1"/>
  <c r="AV9" i="6"/>
  <c r="DB9" i="6" s="1"/>
  <c r="EE9" i="6" s="1"/>
  <c r="AV11" i="6"/>
  <c r="DB11" i="6" s="1"/>
  <c r="EE11" i="6" s="1"/>
  <c r="AV109" i="6"/>
  <c r="DB109" i="6" s="1"/>
  <c r="EE109" i="6" s="1"/>
  <c r="AV106" i="6"/>
  <c r="DB106" i="6" s="1"/>
  <c r="EE106" i="6" s="1"/>
  <c r="AV107" i="6"/>
  <c r="DB107" i="6" s="1"/>
  <c r="EE107" i="6" s="1"/>
  <c r="AV50" i="6"/>
  <c r="DB50" i="6" s="1"/>
  <c r="EE50" i="6" s="1"/>
  <c r="AV114" i="6"/>
  <c r="DB114" i="6" s="1"/>
  <c r="EE114" i="6" s="1"/>
  <c r="AV44" i="6"/>
  <c r="DB44" i="6" s="1"/>
  <c r="EE44" i="6" s="1"/>
  <c r="AV24" i="6"/>
  <c r="DB24" i="6" s="1"/>
  <c r="EE24" i="6" s="1"/>
  <c r="AV113" i="6"/>
  <c r="DB113" i="6" s="1"/>
  <c r="EE113" i="6" s="1"/>
  <c r="AV46" i="6"/>
  <c r="DB46" i="6" s="1"/>
  <c r="EE46" i="6" s="1"/>
  <c r="AV34" i="6"/>
  <c r="DB34" i="6" s="1"/>
  <c r="EE34" i="6" s="1"/>
  <c r="AV95" i="6"/>
  <c r="DB95" i="6" s="1"/>
  <c r="EE95" i="6" s="1"/>
  <c r="AV87" i="6"/>
  <c r="DB87" i="6" s="1"/>
  <c r="EE87" i="6" s="1"/>
  <c r="AV63" i="6"/>
  <c r="DB63" i="6" s="1"/>
  <c r="EE63" i="6" s="1"/>
  <c r="AW17" i="6"/>
  <c r="DC17" i="6" s="1"/>
  <c r="EF17" i="6" s="1"/>
  <c r="AW32" i="6"/>
  <c r="DC32" i="6" s="1"/>
  <c r="EF32" i="6" s="1"/>
  <c r="AW42" i="6"/>
  <c r="DC42" i="6" s="1"/>
  <c r="EF42" i="6" s="1"/>
  <c r="AW93" i="6"/>
  <c r="DC93" i="6" s="1"/>
  <c r="EF93" i="6" s="1"/>
  <c r="AW35" i="6"/>
  <c r="DC35" i="6" s="1"/>
  <c r="EF35" i="6" s="1"/>
  <c r="AW112" i="6"/>
  <c r="DC112" i="6" s="1"/>
  <c r="EF112" i="6" s="1"/>
  <c r="AW39" i="6"/>
  <c r="DC39" i="6" s="1"/>
  <c r="EF39" i="6" s="1"/>
  <c r="AW30" i="6"/>
  <c r="DC30" i="6" s="1"/>
  <c r="EF30" i="6" s="1"/>
  <c r="AW69" i="6"/>
  <c r="DC69" i="6" s="1"/>
  <c r="EF69" i="6" s="1"/>
  <c r="AW111" i="6"/>
  <c r="DC111" i="6" s="1"/>
  <c r="EF111" i="6" s="1"/>
  <c r="AW82" i="6"/>
  <c r="DC82" i="6" s="1"/>
  <c r="EF82" i="6" s="1"/>
  <c r="AW104" i="6"/>
  <c r="DC104" i="6" s="1"/>
  <c r="EF104" i="6" s="1"/>
  <c r="AW9" i="6"/>
  <c r="DC9" i="6" s="1"/>
  <c r="EF9" i="6" s="1"/>
  <c r="AW11" i="6"/>
  <c r="DC11" i="6" s="1"/>
  <c r="EF11" i="6" s="1"/>
  <c r="AW109" i="6"/>
  <c r="DC109" i="6" s="1"/>
  <c r="EF109" i="6" s="1"/>
  <c r="AW106" i="6"/>
  <c r="DC106" i="6" s="1"/>
  <c r="EF106" i="6" s="1"/>
  <c r="AW107" i="6"/>
  <c r="DC107" i="6" s="1"/>
  <c r="EF107" i="6" s="1"/>
  <c r="AW50" i="6"/>
  <c r="DC50" i="6" s="1"/>
  <c r="EF50" i="6" s="1"/>
  <c r="AW114" i="6"/>
  <c r="DC114" i="6" s="1"/>
  <c r="EF114" i="6" s="1"/>
  <c r="AW44" i="6"/>
  <c r="DC44" i="6" s="1"/>
  <c r="EF44" i="6" s="1"/>
  <c r="AW24" i="6"/>
  <c r="DC24" i="6" s="1"/>
  <c r="EF24" i="6" s="1"/>
  <c r="AW113" i="6"/>
  <c r="DC113" i="6" s="1"/>
  <c r="EF113" i="6" s="1"/>
  <c r="AW46" i="6"/>
  <c r="DC46" i="6" s="1"/>
  <c r="EF46" i="6" s="1"/>
  <c r="AW34" i="6"/>
  <c r="DC34" i="6" s="1"/>
  <c r="EF34" i="6" s="1"/>
  <c r="AW95" i="6"/>
  <c r="DC95" i="6" s="1"/>
  <c r="EF95" i="6" s="1"/>
  <c r="AW87" i="6"/>
  <c r="DC87" i="6" s="1"/>
  <c r="EF87" i="6" s="1"/>
  <c r="AW63" i="6"/>
  <c r="DC63" i="6" s="1"/>
  <c r="EF63" i="6" s="1"/>
  <c r="AU78" i="6"/>
  <c r="DA78" i="6" s="1"/>
  <c r="AU94" i="6"/>
  <c r="DA94" i="6" s="1"/>
  <c r="ED94" i="6" s="1"/>
  <c r="AU38" i="6"/>
  <c r="DA38" i="6" s="1"/>
  <c r="ED38" i="6" s="1"/>
  <c r="AU53" i="6"/>
  <c r="DA53" i="6" s="1"/>
  <c r="ED53" i="6" s="1"/>
  <c r="AU115" i="6"/>
  <c r="DA115" i="6" s="1"/>
  <c r="ED115" i="6" s="1"/>
  <c r="AU75" i="6"/>
  <c r="DA75" i="6" s="1"/>
  <c r="ED75" i="6" s="1"/>
  <c r="AU8" i="6"/>
  <c r="DA8" i="6" s="1"/>
  <c r="ED8" i="6" s="1"/>
  <c r="AU72" i="6"/>
  <c r="DA72" i="6" s="1"/>
  <c r="ED72" i="6" s="1"/>
  <c r="AU102" i="6"/>
  <c r="DA102" i="6" s="1"/>
  <c r="ED102" i="6" s="1"/>
  <c r="AU58" i="6"/>
  <c r="DA58" i="6" s="1"/>
  <c r="ED58" i="6" s="1"/>
  <c r="AU20" i="6"/>
  <c r="DA20" i="6" s="1"/>
  <c r="ED20" i="6" s="1"/>
  <c r="AU48" i="6"/>
  <c r="DA48" i="6" s="1"/>
  <c r="ED48" i="6" s="1"/>
  <c r="AU73" i="6"/>
  <c r="DA73" i="6" s="1"/>
  <c r="ED73" i="6" s="1"/>
  <c r="AU6" i="6"/>
  <c r="DA6" i="6" s="1"/>
  <c r="ED6" i="6" s="1"/>
  <c r="AU28" i="6"/>
  <c r="DA28" i="6" s="1"/>
  <c r="ED28" i="6" s="1"/>
  <c r="AU60" i="6"/>
  <c r="DA60" i="6" s="1"/>
  <c r="ED60" i="6" s="1"/>
  <c r="AU59" i="6"/>
  <c r="DA59" i="6" s="1"/>
  <c r="ED59" i="6" s="1"/>
  <c r="AU49" i="6"/>
  <c r="DA49" i="6" s="1"/>
  <c r="ED49" i="6" s="1"/>
  <c r="AU19" i="6"/>
  <c r="DA19" i="6" s="1"/>
  <c r="ED19" i="6" s="1"/>
  <c r="AU45" i="6"/>
  <c r="DA45" i="6" s="1"/>
  <c r="ED45" i="6" s="1"/>
  <c r="AU64" i="6"/>
  <c r="DA64" i="6" s="1"/>
  <c r="ED64" i="6" s="1"/>
  <c r="AV91" i="6"/>
  <c r="DB91" i="6" s="1"/>
  <c r="EE91" i="6" s="1"/>
  <c r="AV90" i="6"/>
  <c r="DB90" i="6" s="1"/>
  <c r="AV103" i="6"/>
  <c r="DB103" i="6" s="1"/>
  <c r="EE103" i="6" s="1"/>
  <c r="AV36" i="6"/>
  <c r="DB36" i="6" s="1"/>
  <c r="EE36" i="6" s="1"/>
  <c r="AV15" i="6"/>
  <c r="DB15" i="6" s="1"/>
  <c r="EE15" i="6" s="1"/>
  <c r="AV92" i="6"/>
  <c r="DB92" i="6" s="1"/>
  <c r="AV10" i="6"/>
  <c r="DB10" i="6" s="1"/>
  <c r="EE10" i="6" s="1"/>
  <c r="AV67" i="6"/>
  <c r="DB67" i="6" s="1"/>
  <c r="EE67" i="6" s="1"/>
  <c r="AV29" i="6"/>
  <c r="DB29" i="6" s="1"/>
  <c r="EE29" i="6" s="1"/>
  <c r="AV53" i="6"/>
  <c r="DB53" i="6" s="1"/>
  <c r="EE53" i="6" s="1"/>
  <c r="AV115" i="6"/>
  <c r="DB115" i="6" s="1"/>
  <c r="EE115" i="6" s="1"/>
  <c r="AV75" i="6"/>
  <c r="DB75" i="6" s="1"/>
  <c r="EE75" i="6" s="1"/>
  <c r="AV8" i="6"/>
  <c r="DB8" i="6" s="1"/>
  <c r="EE8" i="6" s="1"/>
  <c r="AV72" i="6"/>
  <c r="DB72" i="6" s="1"/>
  <c r="EE72" i="6" s="1"/>
  <c r="AV102" i="6"/>
  <c r="DB102" i="6" s="1"/>
  <c r="EE102" i="6" s="1"/>
  <c r="AV58" i="6"/>
  <c r="DB58" i="6" s="1"/>
  <c r="EE58" i="6" s="1"/>
  <c r="AV20" i="6"/>
  <c r="DB20" i="6" s="1"/>
  <c r="EE20" i="6" s="1"/>
  <c r="AV48" i="6"/>
  <c r="DB48" i="6" s="1"/>
  <c r="EE48" i="6" s="1"/>
  <c r="AV73" i="6"/>
  <c r="DB73" i="6" s="1"/>
  <c r="EE73" i="6" s="1"/>
  <c r="AV6" i="6"/>
  <c r="DB6" i="6" s="1"/>
  <c r="EE6" i="6" s="1"/>
  <c r="AV28" i="6"/>
  <c r="DB28" i="6" s="1"/>
  <c r="EE28" i="6" s="1"/>
  <c r="AV60" i="6"/>
  <c r="DB60" i="6" s="1"/>
  <c r="EE60" i="6" s="1"/>
  <c r="AV59" i="6"/>
  <c r="DB59" i="6" s="1"/>
  <c r="EE59" i="6" s="1"/>
  <c r="AV49" i="6"/>
  <c r="DB49" i="6" s="1"/>
  <c r="EE49" i="6" s="1"/>
  <c r="AV19" i="6"/>
  <c r="DB19" i="6" s="1"/>
  <c r="EE19" i="6" s="1"/>
  <c r="AV45" i="6"/>
  <c r="DB45" i="6" s="1"/>
  <c r="EE45" i="6" s="1"/>
  <c r="AV64" i="6"/>
  <c r="DB64" i="6" s="1"/>
  <c r="EE64" i="6" s="1"/>
  <c r="AW91" i="6"/>
  <c r="DC91" i="6" s="1"/>
  <c r="EF91" i="6" s="1"/>
  <c r="AW90" i="6"/>
  <c r="DC90" i="6" s="1"/>
  <c r="FI90" i="6" s="1"/>
  <c r="AW103" i="6"/>
  <c r="DC103" i="6" s="1"/>
  <c r="EF103" i="6" s="1"/>
  <c r="AW36" i="6"/>
  <c r="DC36" i="6" s="1"/>
  <c r="EF36" i="6" s="1"/>
  <c r="AW15" i="6"/>
  <c r="DC15" i="6" s="1"/>
  <c r="EF15" i="6" s="1"/>
  <c r="AW92" i="6"/>
  <c r="DC92" i="6" s="1"/>
  <c r="FI92" i="6" s="1"/>
  <c r="AW10" i="6"/>
  <c r="DC10" i="6" s="1"/>
  <c r="EF10" i="6" s="1"/>
  <c r="AW67" i="6"/>
  <c r="DC67" i="6" s="1"/>
  <c r="EF67" i="6" s="1"/>
  <c r="AW29" i="6"/>
  <c r="DC29" i="6" s="1"/>
  <c r="EF29" i="6" s="1"/>
  <c r="AW53" i="6"/>
  <c r="DC53" i="6" s="1"/>
  <c r="EF53" i="6" s="1"/>
  <c r="AW115" i="6"/>
  <c r="DC115" i="6" s="1"/>
  <c r="EF115" i="6" s="1"/>
  <c r="AW75" i="6"/>
  <c r="DC75" i="6" s="1"/>
  <c r="EF75" i="6" s="1"/>
  <c r="AW8" i="6"/>
  <c r="DC8" i="6" s="1"/>
  <c r="EF8" i="6" s="1"/>
  <c r="AW72" i="6"/>
  <c r="DC72" i="6" s="1"/>
  <c r="EF72" i="6" s="1"/>
  <c r="AW102" i="6"/>
  <c r="DC102" i="6" s="1"/>
  <c r="EF102" i="6" s="1"/>
  <c r="AW58" i="6"/>
  <c r="DC58" i="6" s="1"/>
  <c r="EF58" i="6" s="1"/>
  <c r="AW20" i="6"/>
  <c r="DC20" i="6" s="1"/>
  <c r="EF20" i="6" s="1"/>
  <c r="AW48" i="6"/>
  <c r="DC48" i="6" s="1"/>
  <c r="EF48" i="6" s="1"/>
  <c r="AW73" i="6"/>
  <c r="DC73" i="6" s="1"/>
  <c r="EF73" i="6" s="1"/>
  <c r="AW6" i="6"/>
  <c r="DC6" i="6" s="1"/>
  <c r="EF6" i="6" s="1"/>
  <c r="AW28" i="6"/>
  <c r="DC28" i="6" s="1"/>
  <c r="EF28" i="6" s="1"/>
  <c r="AW60" i="6"/>
  <c r="DC60" i="6" s="1"/>
  <c r="EF60" i="6" s="1"/>
  <c r="AW59" i="6"/>
  <c r="DC59" i="6" s="1"/>
  <c r="EF59" i="6" s="1"/>
  <c r="AW49" i="6"/>
  <c r="DC49" i="6" s="1"/>
  <c r="EF49" i="6" s="1"/>
  <c r="AW19" i="6"/>
  <c r="DC19" i="6" s="1"/>
  <c r="EF19" i="6" s="1"/>
  <c r="AW45" i="6"/>
  <c r="DC45" i="6" s="1"/>
  <c r="EF45" i="6" s="1"/>
  <c r="AW64" i="6"/>
  <c r="DC64" i="6" s="1"/>
  <c r="EF64" i="6" s="1"/>
  <c r="AU15" i="6"/>
  <c r="DA15" i="6" s="1"/>
  <c r="ED15" i="6" s="1"/>
  <c r="AU10" i="6"/>
  <c r="DA10" i="6" s="1"/>
  <c r="ED10" i="6" s="1"/>
  <c r="AU29" i="6"/>
  <c r="DA29" i="6" s="1"/>
  <c r="ED29" i="6" s="1"/>
  <c r="AU54" i="6"/>
  <c r="DA54" i="6" s="1"/>
  <c r="ED54" i="6" s="1"/>
  <c r="AU18" i="6"/>
  <c r="DA18" i="6" s="1"/>
  <c r="ED18" i="6" s="1"/>
  <c r="AU74" i="6"/>
  <c r="DA74" i="6" s="1"/>
  <c r="ED74" i="6" s="1"/>
  <c r="AU55" i="6"/>
  <c r="DA55" i="6" s="1"/>
  <c r="ED55" i="6" s="1"/>
  <c r="AU80" i="6"/>
  <c r="DA80" i="6" s="1"/>
  <c r="ED80" i="6" s="1"/>
  <c r="AU57" i="6"/>
  <c r="DA57" i="6" s="1"/>
  <c r="ED57" i="6" s="1"/>
  <c r="AU76" i="6"/>
  <c r="DA76" i="6" s="1"/>
  <c r="ED76" i="6" s="1"/>
  <c r="AU98" i="6"/>
  <c r="DA98" i="6" s="1"/>
  <c r="ED98" i="6" s="1"/>
  <c r="AU22" i="6"/>
  <c r="DA22" i="6" s="1"/>
  <c r="ED22" i="6" s="1"/>
  <c r="AU25" i="6"/>
  <c r="DA25" i="6" s="1"/>
  <c r="ED25" i="6" s="1"/>
  <c r="AU27" i="6"/>
  <c r="DA27" i="6" s="1"/>
  <c r="ED27" i="6" s="1"/>
  <c r="AU84" i="6"/>
  <c r="DA84" i="6" s="1"/>
  <c r="ED84" i="6" s="1"/>
  <c r="AU116" i="6"/>
  <c r="DA116" i="6" s="1"/>
  <c r="ED116" i="6" s="1"/>
  <c r="AU100" i="6"/>
  <c r="DA100" i="6" s="1"/>
  <c r="ED100" i="6" s="1"/>
  <c r="AU7" i="6"/>
  <c r="DA7" i="6" s="1"/>
  <c r="ED7" i="6" s="1"/>
  <c r="AU62" i="6"/>
  <c r="DA62" i="6" s="1"/>
  <c r="ED62" i="6" s="1"/>
  <c r="AV110" i="6"/>
  <c r="DB110" i="6" s="1"/>
  <c r="EE110" i="6" s="1"/>
  <c r="AV89" i="6"/>
  <c r="DB89" i="6" s="1"/>
  <c r="FH89" i="6" s="1"/>
  <c r="AV41" i="6"/>
  <c r="DB41" i="6" s="1"/>
  <c r="EE41" i="6" s="1"/>
  <c r="AV101" i="6"/>
  <c r="DB101" i="6" s="1"/>
  <c r="EE101" i="6" s="1"/>
  <c r="AV37" i="6"/>
  <c r="DB37" i="6" s="1"/>
  <c r="EE37" i="6" s="1"/>
  <c r="AV56" i="6"/>
  <c r="DB56" i="6" s="1"/>
  <c r="EE56" i="6" s="1"/>
  <c r="AV47" i="6"/>
  <c r="DB47" i="6" s="1"/>
  <c r="EE47" i="6" s="1"/>
  <c r="AV68" i="6"/>
  <c r="DB68" i="6" s="1"/>
  <c r="EE68" i="6" s="1"/>
  <c r="AV66" i="6"/>
  <c r="DB66" i="6" s="1"/>
  <c r="EE66" i="6" s="1"/>
  <c r="AV21" i="6"/>
  <c r="DB21" i="6" s="1"/>
  <c r="EE21" i="6" s="1"/>
  <c r="AV54" i="6"/>
  <c r="DB54" i="6" s="1"/>
  <c r="EE54" i="6" s="1"/>
  <c r="AV18" i="6"/>
  <c r="DB18" i="6" s="1"/>
  <c r="EE18" i="6" s="1"/>
  <c r="AV74" i="6"/>
  <c r="DB74" i="6" s="1"/>
  <c r="EE74" i="6" s="1"/>
  <c r="AV55" i="6"/>
  <c r="DB55" i="6" s="1"/>
  <c r="EE55" i="6" s="1"/>
  <c r="AV80" i="6"/>
  <c r="DB80" i="6" s="1"/>
  <c r="EE80" i="6" s="1"/>
  <c r="AV57" i="6"/>
  <c r="DB57" i="6" s="1"/>
  <c r="EE57" i="6" s="1"/>
  <c r="AV76" i="6"/>
  <c r="DB76" i="6" s="1"/>
  <c r="EE76" i="6" s="1"/>
  <c r="AV98" i="6"/>
  <c r="DB98" i="6" s="1"/>
  <c r="EE98" i="6" s="1"/>
  <c r="AV22" i="6"/>
  <c r="DB22" i="6" s="1"/>
  <c r="EE22" i="6" s="1"/>
  <c r="AV25" i="6"/>
  <c r="DB25" i="6" s="1"/>
  <c r="EE25" i="6" s="1"/>
  <c r="AV27" i="6"/>
  <c r="DB27" i="6" s="1"/>
  <c r="EE27" i="6" s="1"/>
  <c r="AV84" i="6"/>
  <c r="DB84" i="6" s="1"/>
  <c r="EE84" i="6" s="1"/>
  <c r="AV116" i="6"/>
  <c r="DB116" i="6" s="1"/>
  <c r="EE116" i="6" s="1"/>
  <c r="AV100" i="6"/>
  <c r="DB100" i="6" s="1"/>
  <c r="EE100" i="6" s="1"/>
  <c r="AV7" i="6"/>
  <c r="DB7" i="6" s="1"/>
  <c r="EE7" i="6" s="1"/>
  <c r="AV62" i="6"/>
  <c r="DB62" i="6" s="1"/>
  <c r="EE62" i="6" s="1"/>
  <c r="AW110" i="6"/>
  <c r="DC110" i="6" s="1"/>
  <c r="EF110" i="6" s="1"/>
  <c r="AW89" i="6"/>
  <c r="DC89" i="6" s="1"/>
  <c r="AW41" i="6"/>
  <c r="DC41" i="6" s="1"/>
  <c r="EF41" i="6" s="1"/>
  <c r="AW101" i="6"/>
  <c r="DC101" i="6" s="1"/>
  <c r="EF101" i="6" s="1"/>
  <c r="AW37" i="6"/>
  <c r="DC37" i="6" s="1"/>
  <c r="EF37" i="6" s="1"/>
  <c r="AW56" i="6"/>
  <c r="DC56" i="6" s="1"/>
  <c r="EF56" i="6" s="1"/>
  <c r="AW47" i="6"/>
  <c r="DC47" i="6" s="1"/>
  <c r="EF47" i="6" s="1"/>
  <c r="AW68" i="6"/>
  <c r="DC68" i="6" s="1"/>
  <c r="EF68" i="6" s="1"/>
  <c r="AW66" i="6"/>
  <c r="DC66" i="6" s="1"/>
  <c r="EF66" i="6" s="1"/>
  <c r="AW21" i="6"/>
  <c r="DC21" i="6" s="1"/>
  <c r="EF21" i="6" s="1"/>
  <c r="AW54" i="6"/>
  <c r="DC54" i="6" s="1"/>
  <c r="EF54" i="6" s="1"/>
  <c r="AW18" i="6"/>
  <c r="DC18" i="6" s="1"/>
  <c r="EF18" i="6" s="1"/>
  <c r="AW74" i="6"/>
  <c r="DC74" i="6" s="1"/>
  <c r="EF74" i="6" s="1"/>
  <c r="AW55" i="6"/>
  <c r="DC55" i="6" s="1"/>
  <c r="EF55" i="6" s="1"/>
  <c r="AW80" i="6"/>
  <c r="DC80" i="6" s="1"/>
  <c r="EF80" i="6" s="1"/>
  <c r="AW57" i="6"/>
  <c r="DC57" i="6" s="1"/>
  <c r="EF57" i="6" s="1"/>
  <c r="AW76" i="6"/>
  <c r="DC76" i="6" s="1"/>
  <c r="EF76" i="6" s="1"/>
  <c r="AW98" i="6"/>
  <c r="DC98" i="6" s="1"/>
  <c r="EF98" i="6" s="1"/>
  <c r="AW22" i="6"/>
  <c r="DC22" i="6" s="1"/>
  <c r="EF22" i="6" s="1"/>
  <c r="AW25" i="6"/>
  <c r="DC25" i="6" s="1"/>
  <c r="EF25" i="6" s="1"/>
  <c r="AW27" i="6"/>
  <c r="DC27" i="6" s="1"/>
  <c r="EF27" i="6" s="1"/>
  <c r="AW84" i="6"/>
  <c r="DC84" i="6" s="1"/>
  <c r="EF84" i="6" s="1"/>
  <c r="AW116" i="6"/>
  <c r="DC116" i="6" s="1"/>
  <c r="EF116" i="6" s="1"/>
  <c r="AW100" i="6"/>
  <c r="DC100" i="6" s="1"/>
  <c r="EF100" i="6" s="1"/>
  <c r="AW7" i="6"/>
  <c r="DC7" i="6" s="1"/>
  <c r="EF7" i="6" s="1"/>
  <c r="AW62" i="6"/>
  <c r="DC62" i="6" s="1"/>
  <c r="EF62" i="6" s="1"/>
  <c r="AU14" i="6"/>
  <c r="DA14" i="6" s="1"/>
  <c r="ED14" i="6" s="1"/>
  <c r="AU65" i="6"/>
  <c r="DA65" i="6" s="1"/>
  <c r="FG65" i="6" s="1"/>
  <c r="AU31" i="6"/>
  <c r="DA31" i="6" s="1"/>
  <c r="ED31" i="6" s="1"/>
  <c r="AU52" i="6"/>
  <c r="DA52" i="6" s="1"/>
  <c r="ED52" i="6" s="1"/>
  <c r="AU79" i="6"/>
  <c r="DA79" i="6" s="1"/>
  <c r="ED79" i="6" s="1"/>
  <c r="AU71" i="6"/>
  <c r="DA71" i="6" s="1"/>
  <c r="ED71" i="6" s="1"/>
  <c r="AU51" i="6"/>
  <c r="DA51" i="6" s="1"/>
  <c r="ED51" i="6" s="1"/>
  <c r="AU105" i="6"/>
  <c r="DA105" i="6" s="1"/>
  <c r="ED105" i="6" s="1"/>
  <c r="AU61" i="6"/>
  <c r="DA61" i="6" s="1"/>
  <c r="ED61" i="6" s="1"/>
  <c r="AU96" i="6"/>
  <c r="DA96" i="6" s="1"/>
  <c r="ED96" i="6" s="1"/>
  <c r="AU97" i="6"/>
  <c r="DA97" i="6" s="1"/>
  <c r="ED97" i="6" s="1"/>
  <c r="AU108" i="6"/>
  <c r="DA108" i="6" s="1"/>
  <c r="ED108" i="6" s="1"/>
  <c r="AU26" i="6"/>
  <c r="DA26" i="6" s="1"/>
  <c r="ED26" i="6" s="1"/>
  <c r="AU85" i="6"/>
  <c r="DA85" i="6" s="1"/>
  <c r="ED85" i="6" s="1"/>
  <c r="AU83" i="6"/>
  <c r="DA83" i="6" s="1"/>
  <c r="ED83" i="6" s="1"/>
  <c r="AU81" i="6"/>
  <c r="DA81" i="6" s="1"/>
  <c r="ED81" i="6" s="1"/>
  <c r="AU99" i="6"/>
  <c r="DA99" i="6" s="1"/>
  <c r="ED99" i="6" s="1"/>
  <c r="AU23" i="6"/>
  <c r="DA23" i="6" s="1"/>
  <c r="ED23" i="6" s="1"/>
  <c r="AU77" i="6"/>
  <c r="DA77" i="6" s="1"/>
  <c r="ED77" i="6" s="1"/>
  <c r="AV16" i="6"/>
  <c r="DB16" i="6" s="1"/>
  <c r="FH16" i="6" s="1"/>
  <c r="AV33" i="6"/>
  <c r="DB33" i="6" s="1"/>
  <c r="EE33" i="6" s="1"/>
  <c r="AV43" i="6"/>
  <c r="DB43" i="6" s="1"/>
  <c r="EE43" i="6" s="1"/>
  <c r="AV40" i="6"/>
  <c r="DB40" i="6" s="1"/>
  <c r="EE40" i="6" s="1"/>
  <c r="AV86" i="6"/>
  <c r="DB86" i="6" s="1"/>
  <c r="EE86" i="6" s="1"/>
  <c r="AV78" i="6"/>
  <c r="DB78" i="6" s="1"/>
  <c r="AV14" i="6"/>
  <c r="DB14" i="6" s="1"/>
  <c r="EE14" i="6" s="1"/>
  <c r="AV94" i="6"/>
  <c r="DB94" i="6" s="1"/>
  <c r="EE94" i="6" s="1"/>
  <c r="AV65" i="6"/>
  <c r="DB65" i="6" s="1"/>
  <c r="FH65" i="6" s="1"/>
  <c r="AV38" i="6"/>
  <c r="DB38" i="6" s="1"/>
  <c r="EE38" i="6" s="1"/>
  <c r="AV31" i="6"/>
  <c r="DB31" i="6" s="1"/>
  <c r="EE31" i="6" s="1"/>
  <c r="AV52" i="6"/>
  <c r="DB52" i="6" s="1"/>
  <c r="EE52" i="6" s="1"/>
  <c r="AV79" i="6"/>
  <c r="DB79" i="6" s="1"/>
  <c r="EE79" i="6" s="1"/>
  <c r="AV71" i="6"/>
  <c r="DB71" i="6" s="1"/>
  <c r="EE71" i="6" s="1"/>
  <c r="AV51" i="6"/>
  <c r="DB51" i="6" s="1"/>
  <c r="EE51" i="6" s="1"/>
  <c r="AV105" i="6"/>
  <c r="DB105" i="6" s="1"/>
  <c r="EE105" i="6" s="1"/>
  <c r="AV61" i="6"/>
  <c r="DB61" i="6" s="1"/>
  <c r="EE61" i="6" s="1"/>
  <c r="AV96" i="6"/>
  <c r="DB96" i="6" s="1"/>
  <c r="EE96" i="6" s="1"/>
  <c r="AV97" i="6"/>
  <c r="DB97" i="6" s="1"/>
  <c r="EE97" i="6" s="1"/>
  <c r="AV108" i="6"/>
  <c r="DB108" i="6" s="1"/>
  <c r="EE108" i="6" s="1"/>
  <c r="AV26" i="6"/>
  <c r="DB26" i="6" s="1"/>
  <c r="EE26" i="6" s="1"/>
  <c r="AV85" i="6"/>
  <c r="DB85" i="6" s="1"/>
  <c r="EE85" i="6" s="1"/>
  <c r="AV83" i="6"/>
  <c r="DB83" i="6" s="1"/>
  <c r="EE83" i="6" s="1"/>
  <c r="AV81" i="6"/>
  <c r="DB81" i="6" s="1"/>
  <c r="EE81" i="6" s="1"/>
  <c r="AV99" i="6"/>
  <c r="DB99" i="6" s="1"/>
  <c r="EE99" i="6" s="1"/>
  <c r="AV23" i="6"/>
  <c r="DB23" i="6" s="1"/>
  <c r="EE23" i="6" s="1"/>
  <c r="AV77" i="6"/>
  <c r="DB77" i="6" s="1"/>
  <c r="EE77" i="6" s="1"/>
  <c r="AW16" i="6"/>
  <c r="DC16" i="6" s="1"/>
  <c r="FI16" i="6" s="1"/>
  <c r="AW33" i="6"/>
  <c r="DC33" i="6" s="1"/>
  <c r="EF33" i="6" s="1"/>
  <c r="AW43" i="6"/>
  <c r="DC43" i="6" s="1"/>
  <c r="EF43" i="6" s="1"/>
  <c r="AW40" i="6"/>
  <c r="DC40" i="6" s="1"/>
  <c r="EF40" i="6" s="1"/>
  <c r="AW86" i="6"/>
  <c r="DC86" i="6" s="1"/>
  <c r="EF86" i="6" s="1"/>
  <c r="AW78" i="6"/>
  <c r="DC78" i="6" s="1"/>
  <c r="FI78" i="6" s="1"/>
  <c r="AW14" i="6"/>
  <c r="DC14" i="6" s="1"/>
  <c r="EF14" i="6" s="1"/>
  <c r="AW94" i="6"/>
  <c r="DC94" i="6" s="1"/>
  <c r="EF94" i="6" s="1"/>
  <c r="AW65" i="6"/>
  <c r="DC65" i="6" s="1"/>
  <c r="FI65" i="6" s="1"/>
  <c r="AW38" i="6"/>
  <c r="DC38" i="6" s="1"/>
  <c r="EF38" i="6" s="1"/>
  <c r="AW31" i="6"/>
  <c r="DC31" i="6" s="1"/>
  <c r="EF31" i="6" s="1"/>
  <c r="AW52" i="6"/>
  <c r="DC52" i="6" s="1"/>
  <c r="EF52" i="6" s="1"/>
  <c r="AW79" i="6"/>
  <c r="DC79" i="6" s="1"/>
  <c r="EF79" i="6" s="1"/>
  <c r="AW71" i="6"/>
  <c r="DC71" i="6" s="1"/>
  <c r="EF71" i="6" s="1"/>
  <c r="AW51" i="6"/>
  <c r="DC51" i="6" s="1"/>
  <c r="EF51" i="6" s="1"/>
  <c r="AW105" i="6"/>
  <c r="DC105" i="6" s="1"/>
  <c r="EF105" i="6" s="1"/>
  <c r="AW61" i="6"/>
  <c r="DC61" i="6" s="1"/>
  <c r="EF61" i="6" s="1"/>
  <c r="AW96" i="6"/>
  <c r="DC96" i="6" s="1"/>
  <c r="EF96" i="6" s="1"/>
  <c r="AW97" i="6"/>
  <c r="DC97" i="6" s="1"/>
  <c r="EF97" i="6" s="1"/>
  <c r="AW108" i="6"/>
  <c r="DC108" i="6" s="1"/>
  <c r="EF108" i="6" s="1"/>
  <c r="AW26" i="6"/>
  <c r="DC26" i="6" s="1"/>
  <c r="EF26" i="6" s="1"/>
  <c r="AW85" i="6"/>
  <c r="DC85" i="6" s="1"/>
  <c r="EF85" i="6" s="1"/>
  <c r="AW83" i="6"/>
  <c r="DC83" i="6" s="1"/>
  <c r="EF83" i="6" s="1"/>
  <c r="AW81" i="6"/>
  <c r="DC81" i="6" s="1"/>
  <c r="EF81" i="6" s="1"/>
  <c r="AW99" i="6"/>
  <c r="DC99" i="6" s="1"/>
  <c r="EF99" i="6" s="1"/>
  <c r="AW23" i="6"/>
  <c r="DC23" i="6" s="1"/>
  <c r="EF23" i="6" s="1"/>
  <c r="AW77" i="6"/>
  <c r="DC77" i="6" s="1"/>
  <c r="EF77" i="6" s="1"/>
  <c r="EA117" i="6"/>
  <c r="FD117" i="6"/>
  <c r="FD49" i="6"/>
  <c r="FD58" i="6"/>
  <c r="FD67" i="6"/>
  <c r="EA88" i="6"/>
  <c r="FD88" i="6"/>
  <c r="FD34" i="6"/>
  <c r="FD44" i="6"/>
  <c r="FD106" i="6"/>
  <c r="FD13" i="6"/>
  <c r="FD69" i="6"/>
  <c r="FD35" i="6"/>
  <c r="FD17" i="6"/>
  <c r="FD81" i="6"/>
  <c r="FD108" i="6"/>
  <c r="FD105" i="6"/>
  <c r="FD79" i="6"/>
  <c r="FD65" i="6"/>
  <c r="FD86" i="6"/>
  <c r="FD16" i="6"/>
  <c r="EY49" i="6"/>
  <c r="EY6" i="6"/>
  <c r="EY58" i="6"/>
  <c r="EY75" i="6"/>
  <c r="EY67" i="6"/>
  <c r="EY36" i="6"/>
  <c r="EY88" i="6"/>
  <c r="EY44" i="6"/>
  <c r="EY13" i="6"/>
  <c r="EY108" i="6"/>
  <c r="FA95" i="6"/>
  <c r="FA19" i="6"/>
  <c r="FA28" i="6"/>
  <c r="FA20" i="6"/>
  <c r="FA8" i="6"/>
  <c r="FA29" i="6"/>
  <c r="FA15" i="6"/>
  <c r="FA91" i="6"/>
  <c r="FA44" i="6"/>
  <c r="FA106" i="6"/>
  <c r="FA13" i="6"/>
  <c r="FA69" i="6"/>
  <c r="FA35" i="6"/>
  <c r="FA81" i="6"/>
  <c r="FA105" i="6"/>
  <c r="FA79" i="6"/>
  <c r="FA65" i="6"/>
  <c r="FA22" i="6"/>
  <c r="FA80" i="6"/>
  <c r="FA18" i="6"/>
  <c r="FA101" i="6"/>
  <c r="EB117" i="6"/>
  <c r="FE117" i="6"/>
  <c r="FE49" i="6"/>
  <c r="FE6" i="6"/>
  <c r="FE58" i="6"/>
  <c r="FE75" i="6"/>
  <c r="FE67" i="6"/>
  <c r="FE36" i="6"/>
  <c r="EB88" i="6"/>
  <c r="FE88" i="6"/>
  <c r="FE34" i="6"/>
  <c r="FE44" i="6"/>
  <c r="FE106" i="6"/>
  <c r="FE13" i="6"/>
  <c r="FE69" i="6"/>
  <c r="FE35" i="6"/>
  <c r="FE17" i="6"/>
  <c r="FE81" i="6"/>
  <c r="FE108" i="6"/>
  <c r="FE105" i="6"/>
  <c r="FE79" i="6"/>
  <c r="FE65" i="6"/>
  <c r="FE86" i="6"/>
  <c r="FE16" i="6"/>
  <c r="EF70" i="6"/>
  <c r="FI70" i="6"/>
  <c r="EZ49" i="6"/>
  <c r="EZ6" i="6"/>
  <c r="EZ58" i="6"/>
  <c r="EZ75" i="6"/>
  <c r="EZ67" i="6"/>
  <c r="EZ36" i="6"/>
  <c r="EZ88" i="6"/>
  <c r="EZ34" i="6"/>
  <c r="EZ44" i="6"/>
  <c r="EZ13" i="6"/>
  <c r="EZ35" i="6"/>
  <c r="EZ81" i="6"/>
  <c r="EZ108" i="6"/>
  <c r="FB116" i="6"/>
  <c r="FB22" i="6"/>
  <c r="FB70" i="6"/>
  <c r="FB56" i="6"/>
  <c r="FB45" i="6"/>
  <c r="FB60" i="6"/>
  <c r="FB48" i="6"/>
  <c r="FB104" i="6"/>
  <c r="FB93" i="6"/>
  <c r="FB95" i="6"/>
  <c r="FB24" i="6"/>
  <c r="FB57" i="6"/>
  <c r="FB66" i="6"/>
  <c r="FB110" i="6"/>
  <c r="FB81" i="6"/>
  <c r="FB11" i="6"/>
  <c r="FB39" i="6"/>
  <c r="FB20" i="6"/>
  <c r="FB8" i="6"/>
  <c r="FB29" i="6"/>
  <c r="FB15" i="6"/>
  <c r="FB91" i="6"/>
  <c r="FB51" i="6"/>
  <c r="FB52" i="6"/>
  <c r="FB94" i="6"/>
  <c r="FB40" i="6"/>
  <c r="FB117" i="6"/>
  <c r="FF116" i="6"/>
  <c r="FF22" i="6"/>
  <c r="FF80" i="6"/>
  <c r="FF18" i="6"/>
  <c r="FF68" i="6"/>
  <c r="FF101" i="6"/>
  <c r="EC117" i="6"/>
  <c r="FF117" i="6"/>
  <c r="FF6" i="6"/>
  <c r="FF58" i="6"/>
  <c r="FF67" i="6"/>
  <c r="EC88" i="6"/>
  <c r="FF88" i="6"/>
  <c r="FF34" i="6"/>
  <c r="FF44" i="6"/>
  <c r="FF106" i="6"/>
  <c r="FF13" i="6"/>
  <c r="FF69" i="6"/>
  <c r="FF35" i="6"/>
  <c r="FF17" i="6"/>
  <c r="FF81" i="6"/>
  <c r="FF108" i="6"/>
  <c r="FF105" i="6"/>
  <c r="FF79" i="6"/>
  <c r="FF65" i="6"/>
  <c r="FF86" i="6"/>
  <c r="FF16" i="6"/>
  <c r="CA49" i="6"/>
  <c r="CA6" i="6"/>
  <c r="CA58" i="6"/>
  <c r="CA75" i="6"/>
  <c r="CA67" i="6"/>
  <c r="CA36" i="6"/>
  <c r="CA88" i="6"/>
  <c r="CA34" i="6"/>
  <c r="CA44" i="6"/>
  <c r="CA106" i="6"/>
  <c r="CA13" i="6"/>
  <c r="CA69" i="6"/>
  <c r="CA35" i="6"/>
  <c r="CA17" i="6"/>
  <c r="CA81" i="6"/>
  <c r="CA108" i="6"/>
  <c r="CA105" i="6"/>
  <c r="CA79" i="6"/>
  <c r="CA65" i="6"/>
  <c r="CA86" i="6"/>
  <c r="CA16" i="6"/>
  <c r="CA116" i="6"/>
  <c r="CA22" i="6"/>
  <c r="CA80" i="6"/>
  <c r="CA18" i="6"/>
  <c r="CA68" i="6"/>
  <c r="CA101" i="6"/>
  <c r="CA117" i="6"/>
  <c r="FC7" i="6"/>
  <c r="FC27" i="6"/>
  <c r="FC76" i="6"/>
  <c r="FC70" i="6"/>
  <c r="FC21" i="6"/>
  <c r="FC56" i="6"/>
  <c r="FC89" i="6"/>
  <c r="FC45" i="6"/>
  <c r="FC60" i="6"/>
  <c r="FC48" i="6"/>
  <c r="FC72" i="6"/>
  <c r="FC53" i="6"/>
  <c r="FC92" i="6"/>
  <c r="FC90" i="6"/>
  <c r="FC87" i="6"/>
  <c r="FC113" i="6"/>
  <c r="FC50" i="6"/>
  <c r="FC11" i="6"/>
  <c r="FC82" i="6"/>
  <c r="FC39" i="6"/>
  <c r="FC42" i="6"/>
  <c r="FC23" i="6"/>
  <c r="FC85" i="6"/>
  <c r="FC96" i="6"/>
  <c r="FC71" i="6"/>
  <c r="FC31" i="6"/>
  <c r="FC14" i="6"/>
  <c r="FC43" i="6"/>
  <c r="ED70" i="6"/>
  <c r="FG70" i="6"/>
  <c r="FG90" i="6"/>
  <c r="FG87" i="6"/>
  <c r="FG113" i="6"/>
  <c r="FG50" i="6"/>
  <c r="FG11" i="6"/>
  <c r="FD84" i="6"/>
  <c r="FD64" i="6"/>
  <c r="FD59" i="6"/>
  <c r="FD73" i="6"/>
  <c r="FD102" i="6"/>
  <c r="FD115" i="6"/>
  <c r="FD10" i="6"/>
  <c r="FD103" i="6"/>
  <c r="FD63" i="6"/>
  <c r="FD46" i="6"/>
  <c r="FD114" i="6"/>
  <c r="FD109" i="6"/>
  <c r="FD104" i="6"/>
  <c r="FD30" i="6"/>
  <c r="FD93" i="6"/>
  <c r="FD77" i="6"/>
  <c r="FD83" i="6"/>
  <c r="FD97" i="6"/>
  <c r="FD51" i="6"/>
  <c r="FD52" i="6"/>
  <c r="FD94" i="6"/>
  <c r="FD40" i="6"/>
  <c r="EE70" i="6"/>
  <c r="FH70" i="6"/>
  <c r="FH36" i="6"/>
  <c r="EE88" i="6"/>
  <c r="FH88" i="6"/>
  <c r="EE13" i="6"/>
  <c r="FH13" i="6"/>
  <c r="EY64" i="6"/>
  <c r="EY59" i="6"/>
  <c r="EY73" i="6"/>
  <c r="EY102" i="6"/>
  <c r="EY115" i="6"/>
  <c r="EY10" i="6"/>
  <c r="EY103" i="6"/>
  <c r="EY63" i="6"/>
  <c r="EY46" i="6"/>
  <c r="EY114" i="6"/>
  <c r="EY109" i="6"/>
  <c r="EY104" i="6"/>
  <c r="EY30" i="6"/>
  <c r="EY93" i="6"/>
  <c r="EY77" i="6"/>
  <c r="EY83" i="6"/>
  <c r="EY97" i="6"/>
  <c r="EY51" i="6"/>
  <c r="EY52" i="6"/>
  <c r="EY94" i="6"/>
  <c r="EY40" i="6"/>
  <c r="EY62" i="6"/>
  <c r="EY84" i="6"/>
  <c r="EY98" i="6"/>
  <c r="EY55" i="6"/>
  <c r="EY54" i="6"/>
  <c r="EY47" i="6"/>
  <c r="EY41" i="6"/>
  <c r="FA63" i="6"/>
  <c r="FA34" i="6"/>
  <c r="FA49" i="6"/>
  <c r="FA6" i="6"/>
  <c r="FA58" i="6"/>
  <c r="FA75" i="6"/>
  <c r="FA67" i="6"/>
  <c r="FA36" i="6"/>
  <c r="FA88" i="6"/>
  <c r="FA114" i="6"/>
  <c r="FA109" i="6"/>
  <c r="FA104" i="6"/>
  <c r="FA30" i="6"/>
  <c r="FA93" i="6"/>
  <c r="FA77" i="6"/>
  <c r="FA83" i="6"/>
  <c r="FA97" i="6"/>
  <c r="FA51" i="6"/>
  <c r="FA52" i="6"/>
  <c r="FA94" i="6"/>
  <c r="FA40" i="6"/>
  <c r="FA62" i="6"/>
  <c r="FA84" i="6"/>
  <c r="FA98" i="6"/>
  <c r="FA55" i="6"/>
  <c r="FA54" i="6"/>
  <c r="FA47" i="6"/>
  <c r="FA41" i="6"/>
  <c r="FE62" i="6"/>
  <c r="FE84" i="6"/>
  <c r="FE98" i="6"/>
  <c r="FE55" i="6"/>
  <c r="FE54" i="6"/>
  <c r="FE47" i="6"/>
  <c r="FE41" i="6"/>
  <c r="FE64" i="6"/>
  <c r="FE59" i="6"/>
  <c r="FE73" i="6"/>
  <c r="FE102" i="6"/>
  <c r="FE115" i="6"/>
  <c r="FE10" i="6"/>
  <c r="FE103" i="6"/>
  <c r="FE63" i="6"/>
  <c r="FE46" i="6"/>
  <c r="FE114" i="6"/>
  <c r="FE109" i="6"/>
  <c r="FE104" i="6"/>
  <c r="FE30" i="6"/>
  <c r="FE93" i="6"/>
  <c r="FE77" i="6"/>
  <c r="FE83" i="6"/>
  <c r="FE97" i="6"/>
  <c r="FE51" i="6"/>
  <c r="FE52" i="6"/>
  <c r="FE94" i="6"/>
  <c r="FE40" i="6"/>
  <c r="EF88" i="6"/>
  <c r="FI88" i="6"/>
  <c r="FI34" i="6"/>
  <c r="FI44" i="6"/>
  <c r="FI106" i="6"/>
  <c r="EF13" i="6"/>
  <c r="FI13" i="6"/>
  <c r="EF12" i="6"/>
  <c r="FI12" i="6"/>
  <c r="EF117" i="6"/>
  <c r="FI117" i="6"/>
  <c r="FI93" i="6"/>
  <c r="EZ64" i="6"/>
  <c r="EZ59" i="6"/>
  <c r="EZ73" i="6"/>
  <c r="EZ102" i="6"/>
  <c r="EZ115" i="6"/>
  <c r="EZ10" i="6"/>
  <c r="EZ103" i="6"/>
  <c r="EZ63" i="6"/>
  <c r="EZ46" i="6"/>
  <c r="EZ114" i="6"/>
  <c r="EZ109" i="6"/>
  <c r="EZ104" i="6"/>
  <c r="EZ30" i="6"/>
  <c r="EZ93" i="6"/>
  <c r="EZ77" i="6"/>
  <c r="EZ83" i="6"/>
  <c r="EZ97" i="6"/>
  <c r="EZ51" i="6"/>
  <c r="EZ52" i="6"/>
  <c r="EZ94" i="6"/>
  <c r="EZ40" i="6"/>
  <c r="EZ62" i="6"/>
  <c r="EZ84" i="6"/>
  <c r="EZ98" i="6"/>
  <c r="EZ55" i="6"/>
  <c r="EZ54" i="6"/>
  <c r="EZ47" i="6"/>
  <c r="EZ41" i="6"/>
  <c r="FB62" i="6"/>
  <c r="FB84" i="6"/>
  <c r="FB98" i="6"/>
  <c r="FB18" i="6"/>
  <c r="FB101" i="6"/>
  <c r="FB19" i="6"/>
  <c r="FB28" i="6"/>
  <c r="FB107" i="6"/>
  <c r="FB111" i="6"/>
  <c r="FB32" i="6"/>
  <c r="FB34" i="6"/>
  <c r="FB44" i="6"/>
  <c r="FB55" i="6"/>
  <c r="FB47" i="6"/>
  <c r="FB77" i="6"/>
  <c r="FB83" i="6"/>
  <c r="FB97" i="6"/>
  <c r="FB13" i="6"/>
  <c r="FB35" i="6"/>
  <c r="FB58" i="6"/>
  <c r="FB75" i="6"/>
  <c r="FB67" i="6"/>
  <c r="FB36" i="6"/>
  <c r="FB88" i="6"/>
  <c r="FB71" i="6"/>
  <c r="FB31" i="6"/>
  <c r="FB14" i="6"/>
  <c r="FB43" i="6"/>
  <c r="FF41" i="6"/>
  <c r="FF64" i="6"/>
  <c r="FF10" i="6"/>
  <c r="FF63" i="6"/>
  <c r="FF46" i="6"/>
  <c r="FF114" i="6"/>
  <c r="FF109" i="6"/>
  <c r="FF104" i="6"/>
  <c r="FF30" i="6"/>
  <c r="FF93" i="6"/>
  <c r="FF77" i="6"/>
  <c r="FF83" i="6"/>
  <c r="FF97" i="6"/>
  <c r="FF51" i="6"/>
  <c r="FF52" i="6"/>
  <c r="FF94" i="6"/>
  <c r="FF40" i="6"/>
  <c r="CA64" i="6"/>
  <c r="CA59" i="6"/>
  <c r="CA73" i="6"/>
  <c r="CA102" i="6"/>
  <c r="CA115" i="6"/>
  <c r="CA10" i="6"/>
  <c r="CA103" i="6"/>
  <c r="CA63" i="6"/>
  <c r="CA46" i="6"/>
  <c r="CA114" i="6"/>
  <c r="CA109" i="6"/>
  <c r="CA104" i="6"/>
  <c r="CA30" i="6"/>
  <c r="CA93" i="6"/>
  <c r="CA77" i="6"/>
  <c r="CA83" i="6"/>
  <c r="CA97" i="6"/>
  <c r="CA51" i="6"/>
  <c r="CA52" i="6"/>
  <c r="CA94" i="6"/>
  <c r="CA40" i="6"/>
  <c r="CA62" i="6"/>
  <c r="CA84" i="6"/>
  <c r="CA98" i="6"/>
  <c r="CA55" i="6"/>
  <c r="CA54" i="6"/>
  <c r="CA47" i="6"/>
  <c r="CA41" i="6"/>
  <c r="FC100" i="6"/>
  <c r="FC25" i="6"/>
  <c r="FC57" i="6"/>
  <c r="FC74" i="6"/>
  <c r="FC66" i="6"/>
  <c r="FC37" i="6"/>
  <c r="FC110" i="6"/>
  <c r="FC19" i="6"/>
  <c r="FC28" i="6"/>
  <c r="FC20" i="6"/>
  <c r="FC8" i="6"/>
  <c r="FC29" i="6"/>
  <c r="FC15" i="6"/>
  <c r="FC91" i="6"/>
  <c r="FC95" i="6"/>
  <c r="FC24" i="6"/>
  <c r="FC107" i="6"/>
  <c r="FC9" i="6"/>
  <c r="FC111" i="6"/>
  <c r="FC112" i="6"/>
  <c r="FC32" i="6"/>
  <c r="FC99" i="6"/>
  <c r="FC26" i="6"/>
  <c r="FC61" i="6"/>
  <c r="FC12" i="6"/>
  <c r="FC38" i="6"/>
  <c r="FC78" i="6"/>
  <c r="FC33" i="6"/>
  <c r="FG74" i="6"/>
  <c r="FG66" i="6"/>
  <c r="FG37" i="6"/>
  <c r="FG110" i="6"/>
  <c r="FG91" i="6"/>
  <c r="FG24" i="6"/>
  <c r="FG112" i="6"/>
  <c r="FG78" i="6"/>
  <c r="FG33" i="6"/>
  <c r="FD7" i="6"/>
  <c r="FD27" i="6"/>
  <c r="FD76" i="6"/>
  <c r="FD70" i="6"/>
  <c r="FD21" i="6"/>
  <c r="FD56" i="6"/>
  <c r="FD45" i="6"/>
  <c r="FD60" i="6"/>
  <c r="FD48" i="6"/>
  <c r="FD72" i="6"/>
  <c r="FD53" i="6"/>
  <c r="FD92" i="6"/>
  <c r="FD90" i="6"/>
  <c r="FD113" i="6"/>
  <c r="FD11" i="6"/>
  <c r="FD39" i="6"/>
  <c r="FD42" i="6"/>
  <c r="FD23" i="6"/>
  <c r="FD85" i="6"/>
  <c r="FD96" i="6"/>
  <c r="FD31" i="6"/>
  <c r="FD14" i="6"/>
  <c r="FD43" i="6"/>
  <c r="FH63" i="6"/>
  <c r="FH46" i="6"/>
  <c r="FH114" i="6"/>
  <c r="FH109" i="6"/>
  <c r="EY45" i="6"/>
  <c r="EY60" i="6"/>
  <c r="EY48" i="6"/>
  <c r="EY72" i="6"/>
  <c r="EY53" i="6"/>
  <c r="EY92" i="6"/>
  <c r="EY90" i="6"/>
  <c r="EY87" i="6"/>
  <c r="EY113" i="6"/>
  <c r="EY50" i="6"/>
  <c r="EY11" i="6"/>
  <c r="EY82" i="6"/>
  <c r="EY39" i="6"/>
  <c r="EY42" i="6"/>
  <c r="EY23" i="6"/>
  <c r="EY85" i="6"/>
  <c r="EY96" i="6"/>
  <c r="EY71" i="6"/>
  <c r="EY31" i="6"/>
  <c r="EY14" i="6"/>
  <c r="EY43" i="6"/>
  <c r="EY7" i="6"/>
  <c r="EY27" i="6"/>
  <c r="EY76" i="6"/>
  <c r="EY70" i="6"/>
  <c r="EY21" i="6"/>
  <c r="EY56" i="6"/>
  <c r="EY89" i="6"/>
  <c r="FA46" i="6"/>
  <c r="FA64" i="6"/>
  <c r="FA59" i="6"/>
  <c r="FA73" i="6"/>
  <c r="FA102" i="6"/>
  <c r="FA115" i="6"/>
  <c r="FA10" i="6"/>
  <c r="FA103" i="6"/>
  <c r="FA113" i="6"/>
  <c r="FA50" i="6"/>
  <c r="FA11" i="6"/>
  <c r="FA82" i="6"/>
  <c r="FA39" i="6"/>
  <c r="FA42" i="6"/>
  <c r="FA23" i="6"/>
  <c r="FA85" i="6"/>
  <c r="FA96" i="6"/>
  <c r="FA71" i="6"/>
  <c r="FA31" i="6"/>
  <c r="FA14" i="6"/>
  <c r="FA43" i="6"/>
  <c r="FA7" i="6"/>
  <c r="FA27" i="6"/>
  <c r="FA76" i="6"/>
  <c r="FA70" i="6"/>
  <c r="FA21" i="6"/>
  <c r="FA56" i="6"/>
  <c r="FA89" i="6"/>
  <c r="FE7" i="6"/>
  <c r="FE76" i="6"/>
  <c r="FE21" i="6"/>
  <c r="FE56" i="6"/>
  <c r="FE89" i="6"/>
  <c r="FE60" i="6"/>
  <c r="FE92" i="6"/>
  <c r="FE87" i="6"/>
  <c r="FE50" i="6"/>
  <c r="FE82" i="6"/>
  <c r="FE42" i="6"/>
  <c r="FE85" i="6"/>
  <c r="FE96" i="6"/>
  <c r="FE71" i="6"/>
  <c r="FE14" i="6"/>
  <c r="FE43" i="6"/>
  <c r="FI104" i="6"/>
  <c r="FI30" i="6"/>
  <c r="EZ45" i="6"/>
  <c r="EZ60" i="6"/>
  <c r="EZ48" i="6"/>
  <c r="EZ72" i="6"/>
  <c r="EZ53" i="6"/>
  <c r="EZ92" i="6"/>
  <c r="EZ90" i="6"/>
  <c r="EZ87" i="6"/>
  <c r="EZ113" i="6"/>
  <c r="EZ50" i="6"/>
  <c r="EZ11" i="6"/>
  <c r="EZ82" i="6"/>
  <c r="EZ39" i="6"/>
  <c r="EZ42" i="6"/>
  <c r="EZ23" i="6"/>
  <c r="EZ85" i="6"/>
  <c r="EZ96" i="6"/>
  <c r="EZ71" i="6"/>
  <c r="EZ31" i="6"/>
  <c r="EZ14" i="6"/>
  <c r="EZ43" i="6"/>
  <c r="EZ7" i="6"/>
  <c r="EZ27" i="6"/>
  <c r="EZ76" i="6"/>
  <c r="EZ70" i="6"/>
  <c r="EZ21" i="6"/>
  <c r="EZ56" i="6"/>
  <c r="EZ89" i="6"/>
  <c r="FB7" i="6"/>
  <c r="FB27" i="6"/>
  <c r="FB76" i="6"/>
  <c r="FB21" i="6"/>
  <c r="FB89" i="6"/>
  <c r="FB49" i="6"/>
  <c r="FB6" i="6"/>
  <c r="FB109" i="6"/>
  <c r="FB30" i="6"/>
  <c r="FB63" i="6"/>
  <c r="FB46" i="6"/>
  <c r="FB114" i="6"/>
  <c r="FB74" i="6"/>
  <c r="FB37" i="6"/>
  <c r="FB23" i="6"/>
  <c r="FB85" i="6"/>
  <c r="FB96" i="6"/>
  <c r="FB82" i="6"/>
  <c r="FB42" i="6"/>
  <c r="FB102" i="6"/>
  <c r="FB115" i="6"/>
  <c r="FB10" i="6"/>
  <c r="FB103" i="6"/>
  <c r="FB61" i="6"/>
  <c r="FB12" i="6"/>
  <c r="FB38" i="6"/>
  <c r="FB78" i="6"/>
  <c r="FB33" i="6"/>
  <c r="FF45" i="6"/>
  <c r="FF48" i="6"/>
  <c r="FF53" i="6"/>
  <c r="FF90" i="6"/>
  <c r="FF113" i="6"/>
  <c r="FF39" i="6"/>
  <c r="FF23" i="6"/>
  <c r="FF96" i="6"/>
  <c r="FF31" i="6"/>
  <c r="FF14" i="6"/>
  <c r="FF43" i="6"/>
  <c r="CA45" i="6"/>
  <c r="CA60" i="6"/>
  <c r="CA48" i="6"/>
  <c r="CA72" i="6"/>
  <c r="CA53" i="6"/>
  <c r="CA92" i="6"/>
  <c r="CA90" i="6"/>
  <c r="CA87" i="6"/>
  <c r="CA113" i="6"/>
  <c r="CA50" i="6"/>
  <c r="CA11" i="6"/>
  <c r="CA82" i="6"/>
  <c r="CA39" i="6"/>
  <c r="CA42" i="6"/>
  <c r="CA23" i="6"/>
  <c r="CA85" i="6"/>
  <c r="CA96" i="6"/>
  <c r="CA71" i="6"/>
  <c r="CA31" i="6"/>
  <c r="CA14" i="6"/>
  <c r="CA43" i="6"/>
  <c r="CA7" i="6"/>
  <c r="CA27" i="6"/>
  <c r="CA76" i="6"/>
  <c r="CA70" i="6"/>
  <c r="CA21" i="6"/>
  <c r="CA56" i="6"/>
  <c r="CA89" i="6"/>
  <c r="FC116" i="6"/>
  <c r="FC22" i="6"/>
  <c r="FC80" i="6"/>
  <c r="FC18" i="6"/>
  <c r="FC101" i="6"/>
  <c r="FC117" i="6"/>
  <c r="FC49" i="6"/>
  <c r="FC6" i="6"/>
  <c r="FC58" i="6"/>
  <c r="FC75" i="6"/>
  <c r="FC67" i="6"/>
  <c r="FC36" i="6"/>
  <c r="FC88" i="6"/>
  <c r="FC34" i="6"/>
  <c r="FC44" i="6"/>
  <c r="FC106" i="6"/>
  <c r="FC13" i="6"/>
  <c r="FC69" i="6"/>
  <c r="FC35" i="6"/>
  <c r="FC17" i="6"/>
  <c r="FC81" i="6"/>
  <c r="FC108" i="6"/>
  <c r="FC105" i="6"/>
  <c r="FC79" i="6"/>
  <c r="FC65" i="6"/>
  <c r="FC16" i="6"/>
  <c r="FG68" i="6"/>
  <c r="ED117" i="6"/>
  <c r="FG117" i="6"/>
  <c r="FG67" i="6"/>
  <c r="FG36" i="6"/>
  <c r="ED88" i="6"/>
  <c r="FG88" i="6"/>
  <c r="ED13" i="6"/>
  <c r="FG13" i="6"/>
  <c r="FG69" i="6"/>
  <c r="FG35" i="6"/>
  <c r="FG17" i="6"/>
  <c r="FG16" i="6"/>
  <c r="EC8" i="2"/>
  <c r="GI8" i="2" s="1"/>
  <c r="EC9" i="2"/>
  <c r="GI9" i="2" s="1"/>
  <c r="EC5" i="2"/>
  <c r="GI5" i="2" s="1"/>
  <c r="S5" i="3"/>
  <c r="AR13" i="3"/>
  <c r="FB6" i="2" s="1"/>
  <c r="GE6" i="2" s="1"/>
  <c r="AM13" i="3"/>
  <c r="EW6" i="2" s="1"/>
  <c r="FZ6" i="2" s="1"/>
  <c r="AS13" i="3"/>
  <c r="FC6" i="2" s="1"/>
  <c r="GF6" i="2" s="1"/>
  <c r="AP13" i="3"/>
  <c r="EZ6" i="2" s="1"/>
  <c r="GC6" i="2" s="1"/>
  <c r="AO13" i="3"/>
  <c r="EY6" i="2" s="1"/>
  <c r="GB6" i="2" s="1"/>
  <c r="AT13" i="3"/>
  <c r="FD6" i="2" s="1"/>
  <c r="GG6" i="2" s="1"/>
  <c r="AK13" i="3"/>
  <c r="EU6" i="2" s="1"/>
  <c r="FX6" i="2" s="1"/>
  <c r="AQ13" i="3"/>
  <c r="FA6" i="2" s="1"/>
  <c r="GD6" i="2" s="1"/>
  <c r="AL13" i="3"/>
  <c r="EV6" i="2" s="1"/>
  <c r="FY6" i="2" s="1"/>
  <c r="D8" i="9"/>
  <c r="F6" i="9"/>
  <c r="BS18" i="3"/>
  <c r="J7" i="9"/>
  <c r="BP7" i="9" s="1"/>
  <c r="K5" i="9"/>
  <c r="F8" i="9"/>
  <c r="H8" i="9"/>
  <c r="L5" i="9"/>
  <c r="L8" i="9"/>
  <c r="D6" i="9"/>
  <c r="M5" i="9"/>
  <c r="BQ18" i="3"/>
  <c r="H7" i="9"/>
  <c r="BN7" i="9" s="1"/>
  <c r="I8" i="9"/>
  <c r="BV18" i="3"/>
  <c r="M7" i="9"/>
  <c r="BS7" i="9" s="1"/>
  <c r="J5" i="9"/>
  <c r="N5" i="9"/>
  <c r="N8" i="9"/>
  <c r="E5" i="9"/>
  <c r="G5" i="9"/>
  <c r="O6" i="9"/>
  <c r="O8" i="9"/>
  <c r="BW18" i="3"/>
  <c r="N7" i="9"/>
  <c r="BT7" i="9" s="1"/>
  <c r="K8" i="9"/>
  <c r="F5" i="9"/>
  <c r="BT18" i="3"/>
  <c r="K7" i="9"/>
  <c r="BQ7" i="9" s="1"/>
  <c r="BN18" i="3"/>
  <c r="E7" i="9"/>
  <c r="BK7" i="9" s="1"/>
  <c r="BR18" i="3"/>
  <c r="I7" i="9"/>
  <c r="BO7" i="9" s="1"/>
  <c r="J8" i="9"/>
  <c r="D7" i="9"/>
  <c r="BJ7" i="9" s="1"/>
  <c r="G6" i="9"/>
  <c r="BO18" i="3"/>
  <c r="F7" i="9"/>
  <c r="BL7" i="9" s="1"/>
  <c r="BP18" i="3"/>
  <c r="G7" i="9"/>
  <c r="BM7" i="9" s="1"/>
  <c r="BX18" i="3"/>
  <c r="O7" i="9"/>
  <c r="H5" i="9"/>
  <c r="D5" i="9"/>
  <c r="I6" i="9"/>
  <c r="E6" i="9"/>
  <c r="O5" i="9"/>
  <c r="K6" i="9"/>
  <c r="H6" i="9"/>
  <c r="L6" i="9"/>
  <c r="M6" i="9"/>
  <c r="M8" i="9"/>
  <c r="BU18" i="3"/>
  <c r="L7" i="9"/>
  <c r="BR7" i="9" s="1"/>
  <c r="I5" i="9"/>
  <c r="J6" i="9"/>
  <c r="N6" i="9"/>
  <c r="E8" i="9"/>
  <c r="G8" i="9"/>
  <c r="S34" i="3"/>
  <c r="BY34" i="3" s="1"/>
  <c r="S40" i="3"/>
  <c r="BY40" i="3" s="1"/>
  <c r="S38" i="3"/>
  <c r="BY38" i="3" s="1"/>
  <c r="S9" i="3"/>
  <c r="S6" i="3"/>
  <c r="BM24" i="3"/>
  <c r="S24" i="3"/>
  <c r="BY24" i="3" s="1"/>
  <c r="BM17" i="3"/>
  <c r="S17" i="3"/>
  <c r="BY17" i="3" s="1"/>
  <c r="S29" i="3"/>
  <c r="BY29" i="3" s="1"/>
  <c r="BM22" i="3"/>
  <c r="S22" i="3"/>
  <c r="BY22" i="3" s="1"/>
  <c r="S45" i="3"/>
  <c r="BY45" i="3" s="1"/>
  <c r="S44" i="3"/>
  <c r="BY44" i="3" s="1"/>
  <c r="S42" i="3"/>
  <c r="BY42" i="3" s="1"/>
  <c r="S33" i="3"/>
  <c r="BY33" i="3" s="1"/>
  <c r="S36" i="3"/>
  <c r="BY36" i="3" s="1"/>
  <c r="S12" i="3"/>
  <c r="BM23" i="3"/>
  <c r="S23" i="3"/>
  <c r="BY23" i="3" s="1"/>
  <c r="BM20" i="3"/>
  <c r="S20" i="3"/>
  <c r="BY20" i="3" s="1"/>
  <c r="S13" i="3"/>
  <c r="S25" i="3"/>
  <c r="BY25" i="3" s="1"/>
  <c r="S48" i="3"/>
  <c r="BY48" i="3" s="1"/>
  <c r="S31" i="3"/>
  <c r="BY31" i="3" s="1"/>
  <c r="S37" i="3"/>
  <c r="BY37" i="3" s="1"/>
  <c r="S39" i="3"/>
  <c r="BY39" i="3" s="1"/>
  <c r="S35" i="3"/>
  <c r="BY35" i="3" s="1"/>
  <c r="S11" i="3"/>
  <c r="S8" i="3"/>
  <c r="BQ13" i="3"/>
  <c r="BM18" i="3"/>
  <c r="S18" i="3"/>
  <c r="S30" i="3"/>
  <c r="BY30" i="3" s="1"/>
  <c r="BM19" i="3"/>
  <c r="S19" i="3"/>
  <c r="BY19" i="3" s="1"/>
  <c r="BM16" i="3"/>
  <c r="S16" i="3"/>
  <c r="BY16" i="3" s="1"/>
  <c r="S28" i="3"/>
  <c r="BY28" i="3" s="1"/>
  <c r="S46" i="3"/>
  <c r="BY46" i="3" s="1"/>
  <c r="S41" i="3"/>
  <c r="BY41" i="3" s="1"/>
  <c r="S32" i="3"/>
  <c r="BY32" i="3" s="1"/>
  <c r="S43" i="3"/>
  <c r="BY43" i="3" s="1"/>
  <c r="S10" i="3"/>
  <c r="S7" i="3"/>
  <c r="BM21" i="3"/>
  <c r="S21" i="3"/>
  <c r="BY21" i="3" s="1"/>
  <c r="BM14" i="3"/>
  <c r="S14" i="3"/>
  <c r="BY14" i="3" s="1"/>
  <c r="S26" i="3"/>
  <c r="BY26" i="3" s="1"/>
  <c r="BM15" i="3"/>
  <c r="S15" i="3"/>
  <c r="BY15" i="3" s="1"/>
  <c r="S27" i="3"/>
  <c r="BY27" i="3" s="1"/>
  <c r="S49" i="3"/>
  <c r="BY49" i="3" s="1"/>
  <c r="S47" i="3"/>
  <c r="BY47" i="3" s="1"/>
  <c r="FH24" i="6" l="1"/>
  <c r="FD47" i="6"/>
  <c r="FH93" i="6"/>
  <c r="FE68" i="6"/>
  <c r="FG49" i="6"/>
  <c r="FG44" i="6"/>
  <c r="FF85" i="6"/>
  <c r="FF82" i="6"/>
  <c r="FF87" i="6"/>
  <c r="FE39" i="6"/>
  <c r="FE113" i="6"/>
  <c r="FE53" i="6"/>
  <c r="FE45" i="6"/>
  <c r="FD82" i="6"/>
  <c r="FD87" i="6"/>
  <c r="FF115" i="6"/>
  <c r="FG43" i="6"/>
  <c r="FF11" i="6"/>
  <c r="FF70" i="6"/>
  <c r="FE72" i="6"/>
  <c r="FF73" i="6"/>
  <c r="FH17" i="6"/>
  <c r="FG42" i="6"/>
  <c r="FD18" i="6"/>
  <c r="FF71" i="6"/>
  <c r="FF42" i="6"/>
  <c r="FF50" i="6"/>
  <c r="FE31" i="6"/>
  <c r="FE23" i="6"/>
  <c r="FE11" i="6"/>
  <c r="FE48" i="6"/>
  <c r="FD71" i="6"/>
  <c r="FD50" i="6"/>
  <c r="FF103" i="6"/>
  <c r="FF59" i="6"/>
  <c r="FG39" i="6"/>
  <c r="FD80" i="6"/>
  <c r="CT105" i="6"/>
  <c r="CS81" i="6"/>
  <c r="CU16" i="6"/>
  <c r="FA16" i="6" s="1"/>
  <c r="CT16" i="6"/>
  <c r="EZ16" i="6" s="1"/>
  <c r="CS105" i="6"/>
  <c r="CS16" i="6"/>
  <c r="EY16" i="6" s="1"/>
  <c r="DA12" i="6"/>
  <c r="FG106" i="6"/>
  <c r="FF21" i="6"/>
  <c r="FG22" i="6"/>
  <c r="FF7" i="6"/>
  <c r="FF56" i="6"/>
  <c r="FG19" i="6"/>
  <c r="EM97" i="6"/>
  <c r="FZ77" i="6"/>
  <c r="DM77" i="6"/>
  <c r="EP77" i="6" s="1"/>
  <c r="FF60" i="6"/>
  <c r="FI109" i="6"/>
  <c r="FG32" i="6"/>
  <c r="FE80" i="6"/>
  <c r="FD75" i="6"/>
  <c r="CU17" i="6"/>
  <c r="CT106" i="6"/>
  <c r="CS34" i="6"/>
  <c r="CS106" i="6"/>
  <c r="CT26" i="6"/>
  <c r="DW26" i="6" s="1"/>
  <c r="CT78" i="6"/>
  <c r="EZ78" i="6" s="1"/>
  <c r="CS26" i="6"/>
  <c r="DV26" i="6" s="1"/>
  <c r="CS78" i="6"/>
  <c r="EY78" i="6" s="1"/>
  <c r="FF72" i="6"/>
  <c r="FG111" i="6"/>
  <c r="FH44" i="6"/>
  <c r="FD55" i="6"/>
  <c r="FD36" i="6"/>
  <c r="FD6" i="6"/>
  <c r="CW86" i="6"/>
  <c r="CV108" i="6"/>
  <c r="CV86" i="6"/>
  <c r="DY86" i="6" s="1"/>
  <c r="CU108" i="6"/>
  <c r="CU86" i="6"/>
  <c r="FH35" i="6"/>
  <c r="FH95" i="6"/>
  <c r="CT37" i="6"/>
  <c r="DW37" i="6" s="1"/>
  <c r="CS100" i="6"/>
  <c r="DV100" i="6" s="1"/>
  <c r="CS37" i="6"/>
  <c r="DV37" i="6" s="1"/>
  <c r="FG86" i="6"/>
  <c r="FG34" i="6"/>
  <c r="FF76" i="6"/>
  <c r="FG38" i="6"/>
  <c r="FG8" i="6"/>
  <c r="FF102" i="6"/>
  <c r="FH69" i="6"/>
  <c r="FI111" i="6"/>
  <c r="FD101" i="6"/>
  <c r="FD22" i="6"/>
  <c r="FG80" i="6"/>
  <c r="FF27" i="6"/>
  <c r="FH72" i="6"/>
  <c r="FG20" i="6"/>
  <c r="FI73" i="6"/>
  <c r="FH9" i="6"/>
  <c r="FD68" i="6"/>
  <c r="FD116" i="6"/>
  <c r="CW68" i="6"/>
  <c r="CV68" i="6"/>
  <c r="DY68" i="6" s="1"/>
  <c r="CU116" i="6"/>
  <c r="CU68" i="6"/>
  <c r="ER59" i="6"/>
  <c r="DO96" i="6"/>
  <c r="DM96" i="6"/>
  <c r="EP96" i="6" s="1"/>
  <c r="EO50" i="6"/>
  <c r="FI48" i="6"/>
  <c r="FH28" i="6"/>
  <c r="DP96" i="6"/>
  <c r="DL96" i="6"/>
  <c r="EO96" i="6" s="1"/>
  <c r="DH96" i="6"/>
  <c r="EK96" i="6" s="1"/>
  <c r="EQ85" i="6"/>
  <c r="EQ82" i="6"/>
  <c r="DP72" i="6"/>
  <c r="ES72" i="6" s="1"/>
  <c r="DP41" i="6"/>
  <c r="ES41" i="6" s="1"/>
  <c r="DM62" i="6"/>
  <c r="DI96" i="6"/>
  <c r="DJ96" i="6"/>
  <c r="EM96" i="6" s="1"/>
  <c r="DG96" i="6"/>
  <c r="EJ96" i="6" s="1"/>
  <c r="DJ62" i="6"/>
  <c r="EM62" i="6" s="1"/>
  <c r="DK62" i="6"/>
  <c r="ES94" i="6"/>
  <c r="DK41" i="6"/>
  <c r="EN41" i="6" s="1"/>
  <c r="EQ47" i="6"/>
  <c r="DP62" i="6"/>
  <c r="EP40" i="6"/>
  <c r="DK103" i="6"/>
  <c r="FQ103" i="6" s="1"/>
  <c r="EM11" i="6"/>
  <c r="DO72" i="6"/>
  <c r="FZ41" i="6"/>
  <c r="DO41" i="6"/>
  <c r="ER41" i="6" s="1"/>
  <c r="DI72" i="6"/>
  <c r="EL72" i="6" s="1"/>
  <c r="EQ115" i="6"/>
  <c r="DL72" i="6"/>
  <c r="EO72" i="6" s="1"/>
  <c r="EQ48" i="6"/>
  <c r="DI41" i="6"/>
  <c r="EL41" i="6" s="1"/>
  <c r="DH54" i="6"/>
  <c r="EK54" i="6" s="1"/>
  <c r="DN62" i="6"/>
  <c r="FT62" i="6" s="1"/>
  <c r="EQ46" i="6"/>
  <c r="DN114" i="6"/>
  <c r="FZ40" i="6"/>
  <c r="DF96" i="6"/>
  <c r="EI96" i="6" s="1"/>
  <c r="EN103" i="6"/>
  <c r="DN103" i="6"/>
  <c r="DG103" i="6"/>
  <c r="ES115" i="6"/>
  <c r="DP73" i="6"/>
  <c r="ES73" i="6" s="1"/>
  <c r="DL62" i="6"/>
  <c r="EO62" i="6" s="1"/>
  <c r="EJ47" i="6"/>
  <c r="FI91" i="6"/>
  <c r="FH47" i="6"/>
  <c r="FH49" i="6"/>
  <c r="FH75" i="6"/>
  <c r="CT86" i="6"/>
  <c r="FH67" i="6"/>
  <c r="FI15" i="6"/>
  <c r="FG116" i="6"/>
  <c r="FI103" i="6"/>
  <c r="FZ39" i="6"/>
  <c r="FT96" i="6"/>
  <c r="DM72" i="6"/>
  <c r="EP72" i="6" s="1"/>
  <c r="FX41" i="6"/>
  <c r="DJ41" i="6"/>
  <c r="FP41" i="6" s="1"/>
  <c r="EI113" i="6"/>
  <c r="DH40" i="6"/>
  <c r="EK40" i="6" s="1"/>
  <c r="DJ40" i="6"/>
  <c r="EM40" i="6" s="1"/>
  <c r="DG52" i="6"/>
  <c r="EJ52" i="6" s="1"/>
  <c r="DO77" i="6"/>
  <c r="FZ92" i="6"/>
  <c r="EL53" i="6"/>
  <c r="DK72" i="6"/>
  <c r="EN72" i="6" s="1"/>
  <c r="DL66" i="6"/>
  <c r="DJ66" i="6"/>
  <c r="FT66" i="6"/>
  <c r="DO33" i="6"/>
  <c r="ER33" i="6" s="1"/>
  <c r="DN33" i="6"/>
  <c r="EQ33" i="6" s="1"/>
  <c r="DF33" i="6"/>
  <c r="FS33" i="6"/>
  <c r="DK61" i="6"/>
  <c r="EN61" i="6" s="1"/>
  <c r="DN61" i="6"/>
  <c r="EQ61" i="6" s="1"/>
  <c r="DF61" i="6"/>
  <c r="EI61" i="6" s="1"/>
  <c r="EO32" i="6"/>
  <c r="DN112" i="6"/>
  <c r="EQ112" i="6" s="1"/>
  <c r="DF112" i="6"/>
  <c r="EI112" i="6" s="1"/>
  <c r="EL107" i="6"/>
  <c r="FX24" i="6"/>
  <c r="DL24" i="6"/>
  <c r="EO24" i="6" s="1"/>
  <c r="DF24" i="6"/>
  <c r="FS24" i="6"/>
  <c r="FX19" i="6"/>
  <c r="DN19" i="6"/>
  <c r="EQ19" i="6" s="1"/>
  <c r="DH19" i="6"/>
  <c r="EK19" i="6" s="1"/>
  <c r="DF19" i="6"/>
  <c r="EI19" i="6" s="1"/>
  <c r="FM19" i="6"/>
  <c r="FZ70" i="6"/>
  <c r="FZ43" i="6"/>
  <c r="DM43" i="6"/>
  <c r="EP43" i="6" s="1"/>
  <c r="DL43" i="6"/>
  <c r="DF43" i="6"/>
  <c r="EI43" i="6" s="1"/>
  <c r="DM66" i="6"/>
  <c r="DP66" i="6"/>
  <c r="DK66" i="6"/>
  <c r="EN66" i="6" s="1"/>
  <c r="FO66" i="6"/>
  <c r="EJ57" i="6"/>
  <c r="DK33" i="6"/>
  <c r="EN33" i="6" s="1"/>
  <c r="DI33" i="6"/>
  <c r="EL33" i="6" s="1"/>
  <c r="FR33" i="6"/>
  <c r="DP61" i="6"/>
  <c r="DI61" i="6"/>
  <c r="EL61" i="6" s="1"/>
  <c r="DJ61" i="6"/>
  <c r="FR61" i="6"/>
  <c r="EU26" i="6"/>
  <c r="DP112" i="6"/>
  <c r="DL112" i="6"/>
  <c r="DI112" i="6"/>
  <c r="EL112" i="6" s="1"/>
  <c r="FU112" i="6"/>
  <c r="FN112" i="6"/>
  <c r="EP111" i="6"/>
  <c r="DN24" i="6"/>
  <c r="EQ24" i="6" s="1"/>
  <c r="DI24" i="6"/>
  <c r="EL24" i="6" s="1"/>
  <c r="FN24" i="6"/>
  <c r="EQ8" i="6"/>
  <c r="DP19" i="6"/>
  <c r="DJ19" i="6"/>
  <c r="DM19" i="6"/>
  <c r="FR19" i="6"/>
  <c r="EQ76" i="6"/>
  <c r="EJ76" i="6"/>
  <c r="DP43" i="6"/>
  <c r="ES43" i="6" s="1"/>
  <c r="DH43" i="6"/>
  <c r="EK43" i="6" s="1"/>
  <c r="DJ43" i="6"/>
  <c r="FP43" i="6" s="1"/>
  <c r="FO43" i="6"/>
  <c r="DH66" i="6"/>
  <c r="EK66" i="6" s="1"/>
  <c r="DO66" i="6"/>
  <c r="ER66" i="6" s="1"/>
  <c r="DG66" i="6"/>
  <c r="DJ33" i="6"/>
  <c r="EM33" i="6" s="1"/>
  <c r="DH33" i="6"/>
  <c r="EK33" i="6" s="1"/>
  <c r="DG33" i="6"/>
  <c r="FM33" i="6" s="1"/>
  <c r="FV33" i="6"/>
  <c r="ES38" i="6"/>
  <c r="DM61" i="6"/>
  <c r="FS61" i="6" s="1"/>
  <c r="DO61" i="6"/>
  <c r="FU61" i="6" s="1"/>
  <c r="DG61" i="6"/>
  <c r="FM61" i="6" s="1"/>
  <c r="EM99" i="6"/>
  <c r="FZ112" i="6"/>
  <c r="DM112" i="6"/>
  <c r="FS112" i="6" s="1"/>
  <c r="DK112" i="6"/>
  <c r="EN112" i="6" s="1"/>
  <c r="DG112" i="6"/>
  <c r="EJ112" i="6" s="1"/>
  <c r="FP112" i="6"/>
  <c r="FZ24" i="6"/>
  <c r="DO24" i="6"/>
  <c r="ER24" i="6" s="1"/>
  <c r="DK24" i="6"/>
  <c r="EN24" i="6" s="1"/>
  <c r="DG24" i="6"/>
  <c r="FP24" i="6"/>
  <c r="ES91" i="6"/>
  <c r="FZ29" i="6"/>
  <c r="FZ19" i="6"/>
  <c r="DO19" i="6"/>
  <c r="DI19" i="6"/>
  <c r="FO19" i="6" s="1"/>
  <c r="DK19" i="6"/>
  <c r="EN19" i="6" s="1"/>
  <c r="ER56" i="6"/>
  <c r="ES27" i="6"/>
  <c r="EJ27" i="6"/>
  <c r="EU27" i="6"/>
  <c r="FX43" i="6"/>
  <c r="DO43" i="6"/>
  <c r="ER43" i="6" s="1"/>
  <c r="DN43" i="6"/>
  <c r="EQ43" i="6" s="1"/>
  <c r="DG43" i="6"/>
  <c r="DN73" i="6"/>
  <c r="EQ73" i="6" s="1"/>
  <c r="DH73" i="6"/>
  <c r="EK73" i="6" s="1"/>
  <c r="FI41" i="6"/>
  <c r="FG28" i="6"/>
  <c r="FH107" i="6"/>
  <c r="CT79" i="6"/>
  <c r="CS79" i="6"/>
  <c r="FH66" i="6"/>
  <c r="FI115" i="6"/>
  <c r="FH48" i="6"/>
  <c r="FI102" i="6"/>
  <c r="FH45" i="6"/>
  <c r="DF72" i="6"/>
  <c r="EI72" i="6" s="1"/>
  <c r="FT72" i="6"/>
  <c r="EL45" i="6"/>
  <c r="DH41" i="6"/>
  <c r="EK41" i="6" s="1"/>
  <c r="DF41" i="6"/>
  <c r="EI41" i="6" s="1"/>
  <c r="FM41" i="6"/>
  <c r="DI54" i="6"/>
  <c r="DF54" i="6"/>
  <c r="FM54" i="6"/>
  <c r="DH62" i="6"/>
  <c r="EK62" i="6" s="1"/>
  <c r="FM62" i="6"/>
  <c r="DG77" i="6"/>
  <c r="EJ77" i="6" s="1"/>
  <c r="FX114" i="6"/>
  <c r="DO114" i="6"/>
  <c r="ER114" i="6" s="1"/>
  <c r="DF114" i="6"/>
  <c r="EI114" i="6" s="1"/>
  <c r="DG114" i="6"/>
  <c r="EJ114" i="6" s="1"/>
  <c r="EL103" i="6"/>
  <c r="ER103" i="6"/>
  <c r="DK10" i="6"/>
  <c r="EN10" i="6" s="1"/>
  <c r="DN10" i="6"/>
  <c r="EQ10" i="6" s="1"/>
  <c r="DJ115" i="6"/>
  <c r="FX59" i="6"/>
  <c r="DM59" i="6"/>
  <c r="EP59" i="6" s="1"/>
  <c r="FR41" i="6"/>
  <c r="EU40" i="6"/>
  <c r="EQ114" i="6"/>
  <c r="DJ114" i="6"/>
  <c r="DP10" i="6"/>
  <c r="ES10" i="6" s="1"/>
  <c r="DI10" i="6"/>
  <c r="DO10" i="6"/>
  <c r="ER10" i="6" s="1"/>
  <c r="EU23" i="6"/>
  <c r="EI87" i="6"/>
  <c r="DH72" i="6"/>
  <c r="EK72" i="6" s="1"/>
  <c r="DG72" i="6"/>
  <c r="FM72" i="6" s="1"/>
  <c r="DM41" i="6"/>
  <c r="EP41" i="6" s="1"/>
  <c r="DI62" i="6"/>
  <c r="EM51" i="6"/>
  <c r="FZ114" i="6"/>
  <c r="DL114" i="6"/>
  <c r="FR114" i="6" s="1"/>
  <c r="DH114" i="6"/>
  <c r="EK114" i="6" s="1"/>
  <c r="ES102" i="6"/>
  <c r="FZ59" i="6"/>
  <c r="DP59" i="6"/>
  <c r="ES59" i="6" s="1"/>
  <c r="FT41" i="6"/>
  <c r="DG40" i="6"/>
  <c r="EJ40" i="6" s="1"/>
  <c r="DG46" i="6"/>
  <c r="EJ46" i="6" s="1"/>
  <c r="FX18" i="6"/>
  <c r="DP18" i="6"/>
  <c r="DH18" i="6"/>
  <c r="EK18" i="6" s="1"/>
  <c r="DF18" i="6"/>
  <c r="EI18" i="6" s="1"/>
  <c r="FM18" i="6"/>
  <c r="FS18" i="6"/>
  <c r="DM105" i="6"/>
  <c r="EP105" i="6" s="1"/>
  <c r="DN105" i="6"/>
  <c r="EQ105" i="6" s="1"/>
  <c r="DF105" i="6"/>
  <c r="EI105" i="6" s="1"/>
  <c r="DF81" i="6"/>
  <c r="EO69" i="6"/>
  <c r="ER34" i="6"/>
  <c r="EO34" i="6"/>
  <c r="EI34" i="6"/>
  <c r="FX6" i="6"/>
  <c r="DN6" i="6"/>
  <c r="EQ6" i="6" s="1"/>
  <c r="DH6" i="6"/>
  <c r="EK6" i="6" s="1"/>
  <c r="DF6" i="6"/>
  <c r="FM6" i="6"/>
  <c r="EL37" i="6"/>
  <c r="CT18" i="6"/>
  <c r="CS18" i="6"/>
  <c r="DL18" i="6"/>
  <c r="EO18" i="6" s="1"/>
  <c r="DN18" i="6"/>
  <c r="FT18" i="6" s="1"/>
  <c r="DI18" i="6"/>
  <c r="EL18" i="6" s="1"/>
  <c r="EP80" i="6"/>
  <c r="DH105" i="6"/>
  <c r="EK105" i="6" s="1"/>
  <c r="DJ105" i="6"/>
  <c r="EM105" i="6" s="1"/>
  <c r="FU105" i="6"/>
  <c r="FR105" i="6"/>
  <c r="EM106" i="6"/>
  <c r="DJ6" i="6"/>
  <c r="EM6" i="6" s="1"/>
  <c r="DM6" i="6"/>
  <c r="FS6" i="6" s="1"/>
  <c r="FU6" i="6"/>
  <c r="FR6" i="6"/>
  <c r="EQ49" i="6"/>
  <c r="FZ18" i="6"/>
  <c r="DJ18" i="6"/>
  <c r="EM18" i="6" s="1"/>
  <c r="DK18" i="6"/>
  <c r="EM22" i="6"/>
  <c r="FZ16" i="6"/>
  <c r="DP105" i="6"/>
  <c r="ES105" i="6" s="1"/>
  <c r="DI105" i="6"/>
  <c r="FO105" i="6" s="1"/>
  <c r="DG105" i="6"/>
  <c r="EJ105" i="6" s="1"/>
  <c r="FQ105" i="6"/>
  <c r="FZ13" i="6"/>
  <c r="FZ88" i="6"/>
  <c r="FZ6" i="6"/>
  <c r="DP6" i="6"/>
  <c r="ES6" i="6" s="1"/>
  <c r="DI6" i="6"/>
  <c r="DK6" i="6"/>
  <c r="EN6" i="6" s="1"/>
  <c r="FG29" i="6"/>
  <c r="DF10" i="6"/>
  <c r="EM115" i="6"/>
  <c r="ER73" i="6"/>
  <c r="DJ59" i="6"/>
  <c r="EM59" i="6" s="1"/>
  <c r="DN59" i="6"/>
  <c r="EQ59" i="6" s="1"/>
  <c r="DH59" i="6"/>
  <c r="EK59" i="6" s="1"/>
  <c r="CS35" i="6"/>
  <c r="FE70" i="6"/>
  <c r="FF47" i="6"/>
  <c r="FF36" i="6"/>
  <c r="FF49" i="6"/>
  <c r="CT25" i="6"/>
  <c r="DW25" i="6" s="1"/>
  <c r="CT110" i="6"/>
  <c r="DW110" i="6" s="1"/>
  <c r="CS25" i="6"/>
  <c r="DV25" i="6" s="1"/>
  <c r="FI39" i="6"/>
  <c r="FF84" i="6"/>
  <c r="FH105" i="6"/>
  <c r="FH98" i="6"/>
  <c r="CS110" i="6"/>
  <c r="DV110" i="6" s="1"/>
  <c r="FI57" i="6"/>
  <c r="FI49" i="6"/>
  <c r="DL56" i="6"/>
  <c r="EO56" i="6" s="1"/>
  <c r="DJ56" i="6"/>
  <c r="EM56" i="6" s="1"/>
  <c r="DH56" i="6"/>
  <c r="EK56" i="6" s="1"/>
  <c r="DM27" i="6"/>
  <c r="EP27" i="6" s="1"/>
  <c r="DK27" i="6"/>
  <c r="EN27" i="6" s="1"/>
  <c r="DI27" i="6"/>
  <c r="EL27" i="6" s="1"/>
  <c r="EP7" i="6"/>
  <c r="FT43" i="6"/>
  <c r="FM43" i="6"/>
  <c r="DP31" i="6"/>
  <c r="ES31" i="6" s="1"/>
  <c r="DH31" i="6"/>
  <c r="EK31" i="6" s="1"/>
  <c r="DJ31" i="6"/>
  <c r="EM31" i="6" s="1"/>
  <c r="FO31" i="6"/>
  <c r="EQ71" i="6"/>
  <c r="ER96" i="6"/>
  <c r="FM96" i="6"/>
  <c r="DO23" i="6"/>
  <c r="ER23" i="6" s="1"/>
  <c r="DK23" i="6"/>
  <c r="EN23" i="6" s="1"/>
  <c r="DL23" i="6"/>
  <c r="EO23" i="6" s="1"/>
  <c r="EP42" i="6"/>
  <c r="DP11" i="6"/>
  <c r="ES11" i="6" s="1"/>
  <c r="DL11" i="6"/>
  <c r="EO11" i="6" s="1"/>
  <c r="EJ50" i="6"/>
  <c r="EM50" i="6"/>
  <c r="EM113" i="6"/>
  <c r="FZ87" i="6"/>
  <c r="DP60" i="6"/>
  <c r="ES60" i="6" s="1"/>
  <c r="DH60" i="6"/>
  <c r="EK60" i="6" s="1"/>
  <c r="DL60" i="6"/>
  <c r="EO60" i="6" s="1"/>
  <c r="FO60" i="6"/>
  <c r="FS41" i="6"/>
  <c r="EI54" i="6"/>
  <c r="DL98" i="6"/>
  <c r="EO98" i="6" s="1"/>
  <c r="DO98" i="6"/>
  <c r="ER98" i="6" s="1"/>
  <c r="DJ98" i="6"/>
  <c r="EM98" i="6" s="1"/>
  <c r="DI94" i="6"/>
  <c r="EL94" i="6" s="1"/>
  <c r="DK94" i="6"/>
  <c r="EN94" i="6" s="1"/>
  <c r="FR94" i="6"/>
  <c r="DP51" i="6"/>
  <c r="ES51" i="6" s="1"/>
  <c r="DI51" i="6"/>
  <c r="EL51" i="6" s="1"/>
  <c r="ER77" i="6"/>
  <c r="DI104" i="6"/>
  <c r="EL104" i="6" s="1"/>
  <c r="EP109" i="6"/>
  <c r="FS114" i="6"/>
  <c r="ER46" i="6"/>
  <c r="DP63" i="6"/>
  <c r="ES63" i="6" s="1"/>
  <c r="DN63" i="6"/>
  <c r="EQ63" i="6" s="1"/>
  <c r="DI63" i="6"/>
  <c r="FU63" i="6"/>
  <c r="DL102" i="6"/>
  <c r="EO102" i="6" s="1"/>
  <c r="DH102" i="6"/>
  <c r="EK102" i="6" s="1"/>
  <c r="FO102" i="6"/>
  <c r="EP73" i="6"/>
  <c r="EO64" i="6"/>
  <c r="DN51" i="6"/>
  <c r="FT51" i="6" s="1"/>
  <c r="ES114" i="6"/>
  <c r="DK63" i="6"/>
  <c r="FQ63" i="6" s="1"/>
  <c r="DH63" i="6"/>
  <c r="EK63" i="6" s="1"/>
  <c r="DO102" i="6"/>
  <c r="ER102" i="6" s="1"/>
  <c r="DM102" i="6"/>
  <c r="EP102" i="6" s="1"/>
  <c r="DG102" i="6"/>
  <c r="FZ56" i="6"/>
  <c r="DP56" i="6"/>
  <c r="ES56" i="6" s="1"/>
  <c r="DK56" i="6"/>
  <c r="EN56" i="6" s="1"/>
  <c r="DF56" i="6"/>
  <c r="EI56" i="6" s="1"/>
  <c r="FM56" i="6"/>
  <c r="FS56" i="6"/>
  <c r="FZ27" i="6"/>
  <c r="DL27" i="6"/>
  <c r="DO27" i="6"/>
  <c r="ER27" i="6" s="1"/>
  <c r="DF27" i="6"/>
  <c r="EI27" i="6" s="1"/>
  <c r="FT27" i="6"/>
  <c r="EL14" i="6"/>
  <c r="FZ31" i="6"/>
  <c r="DM31" i="6"/>
  <c r="EP31" i="6" s="1"/>
  <c r="DL31" i="6"/>
  <c r="DF31" i="6"/>
  <c r="EI31" i="6" s="1"/>
  <c r="ES96" i="6"/>
  <c r="FO96" i="6"/>
  <c r="FZ23" i="6"/>
  <c r="DG23" i="6"/>
  <c r="EJ23" i="6" s="1"/>
  <c r="DI23" i="6"/>
  <c r="FO23" i="6" s="1"/>
  <c r="DF23" i="6"/>
  <c r="EI23" i="6" s="1"/>
  <c r="FT23" i="6"/>
  <c r="FS23" i="6"/>
  <c r="DO11" i="6"/>
  <c r="FU11" i="6" s="1"/>
  <c r="DI11" i="6"/>
  <c r="DF11" i="6"/>
  <c r="EI11" i="6" s="1"/>
  <c r="FM11" i="6"/>
  <c r="FU72" i="6"/>
  <c r="EL48" i="6"/>
  <c r="DJ60" i="6"/>
  <c r="EM60" i="6" s="1"/>
  <c r="DK60" i="6"/>
  <c r="EN60" i="6" s="1"/>
  <c r="DF60" i="6"/>
  <c r="EI60" i="6" s="1"/>
  <c r="FT60" i="6"/>
  <c r="EO47" i="6"/>
  <c r="EO55" i="6"/>
  <c r="DK98" i="6"/>
  <c r="DI98" i="6"/>
  <c r="FO98" i="6" s="1"/>
  <c r="DG98" i="6"/>
  <c r="EJ98" i="6" s="1"/>
  <c r="FS98" i="6"/>
  <c r="ES62" i="6"/>
  <c r="FO62" i="6"/>
  <c r="FQ62" i="6"/>
  <c r="EO40" i="6"/>
  <c r="DN94" i="6"/>
  <c r="EQ94" i="6" s="1"/>
  <c r="DO94" i="6"/>
  <c r="ER94" i="6" s="1"/>
  <c r="DF94" i="6"/>
  <c r="FL94" i="6" s="1"/>
  <c r="FS94" i="6"/>
  <c r="EL52" i="6"/>
  <c r="DL51" i="6"/>
  <c r="FR51" i="6" s="1"/>
  <c r="DK51" i="6"/>
  <c r="FQ51" i="6" s="1"/>
  <c r="DF51" i="6"/>
  <c r="FL51" i="6" s="1"/>
  <c r="EO77" i="6"/>
  <c r="DF104" i="6"/>
  <c r="EI104" i="6" s="1"/>
  <c r="FP104" i="6"/>
  <c r="FQ114" i="6"/>
  <c r="EL46" i="6"/>
  <c r="DL63" i="6"/>
  <c r="FR63" i="6" s="1"/>
  <c r="DJ63" i="6"/>
  <c r="EM63" i="6" s="1"/>
  <c r="DF63" i="6"/>
  <c r="EI63" i="6" s="1"/>
  <c r="FM63" i="6"/>
  <c r="FS63" i="6"/>
  <c r="EQ103" i="6"/>
  <c r="EJ103" i="6"/>
  <c r="EL10" i="6"/>
  <c r="ER115" i="6"/>
  <c r="DK102" i="6"/>
  <c r="EN102" i="6" s="1"/>
  <c r="DJ102" i="6"/>
  <c r="EM102" i="6" s="1"/>
  <c r="DF102" i="6"/>
  <c r="FL102" i="6" s="1"/>
  <c r="ER64" i="6"/>
  <c r="EL64" i="6"/>
  <c r="FG76" i="6"/>
  <c r="FZ83" i="6"/>
  <c r="DI114" i="6"/>
  <c r="EL114" i="6" s="1"/>
  <c r="DM10" i="6"/>
  <c r="DH10" i="6"/>
  <c r="EK10" i="6" s="1"/>
  <c r="DL59" i="6"/>
  <c r="FR59" i="6" s="1"/>
  <c r="DG59" i="6"/>
  <c r="FM59" i="6" s="1"/>
  <c r="DH46" i="6"/>
  <c r="EK46" i="6" s="1"/>
  <c r="EL63" i="6"/>
  <c r="DG115" i="6"/>
  <c r="EJ115" i="6" s="1"/>
  <c r="EM73" i="6"/>
  <c r="DF59" i="6"/>
  <c r="FL59" i="6" s="1"/>
  <c r="EJ64" i="6"/>
  <c r="FI66" i="6"/>
  <c r="FI10" i="6"/>
  <c r="FI59" i="6"/>
  <c r="FG7" i="6"/>
  <c r="FI80" i="6"/>
  <c r="FG31" i="6"/>
  <c r="DN64" i="6"/>
  <c r="EQ64" i="6" s="1"/>
  <c r="FH10" i="6"/>
  <c r="FI100" i="6"/>
  <c r="FI46" i="6"/>
  <c r="FG9" i="6"/>
  <c r="FG25" i="6"/>
  <c r="FF55" i="6"/>
  <c r="FG72" i="6"/>
  <c r="FI67" i="6"/>
  <c r="FH112" i="6"/>
  <c r="FH59" i="6"/>
  <c r="DJ64" i="6"/>
  <c r="EM64" i="6" s="1"/>
  <c r="FH14" i="6"/>
  <c r="FH73" i="6"/>
  <c r="FG60" i="6"/>
  <c r="FI58" i="6"/>
  <c r="CT22" i="6"/>
  <c r="CT101" i="6"/>
  <c r="CS22" i="6"/>
  <c r="EI10" i="6"/>
  <c r="FI105" i="6"/>
  <c r="FR10" i="6"/>
  <c r="FM102" i="6"/>
  <c r="FI33" i="6"/>
  <c r="FH74" i="6"/>
  <c r="FI43" i="6"/>
  <c r="FG79" i="6"/>
  <c r="FI22" i="6"/>
  <c r="EM72" i="6"/>
  <c r="DO60" i="6"/>
  <c r="FU60" i="6" s="1"/>
  <c r="DM60" i="6"/>
  <c r="FS60" i="6" s="1"/>
  <c r="DH94" i="6"/>
  <c r="EK94" i="6" s="1"/>
  <c r="DM51" i="6"/>
  <c r="FS51" i="6" s="1"/>
  <c r="FT102" i="6"/>
  <c r="FO59" i="6"/>
  <c r="FG14" i="6"/>
  <c r="FH37" i="6"/>
  <c r="FH96" i="6"/>
  <c r="FG26" i="6"/>
  <c r="FH76" i="6"/>
  <c r="FG27" i="6"/>
  <c r="FG99" i="6"/>
  <c r="FH94" i="6"/>
  <c r="FI116" i="6"/>
  <c r="FH85" i="6"/>
  <c r="FG61" i="6"/>
  <c r="FH7" i="6"/>
  <c r="FI37" i="6"/>
  <c r="FI31" i="6"/>
  <c r="FH54" i="6"/>
  <c r="FH23" i="6"/>
  <c r="DG60" i="6"/>
  <c r="FM60" i="6" s="1"/>
  <c r="DP98" i="6"/>
  <c r="ES98" i="6" s="1"/>
  <c r="DK73" i="6"/>
  <c r="EN73" i="6" s="1"/>
  <c r="BV13" i="3"/>
  <c r="DN101" i="6"/>
  <c r="EQ101" i="6" s="1"/>
  <c r="DL101" i="6"/>
  <c r="EO101" i="6" s="1"/>
  <c r="DJ101" i="6"/>
  <c r="EM101" i="6" s="1"/>
  <c r="ES18" i="6"/>
  <c r="DP22" i="6"/>
  <c r="ES22" i="6" s="1"/>
  <c r="DN22" i="6"/>
  <c r="DL22" i="6"/>
  <c r="EO22" i="6" s="1"/>
  <c r="EP116" i="6"/>
  <c r="EU116" i="6"/>
  <c r="DN65" i="6"/>
  <c r="DP65" i="6"/>
  <c r="DH65" i="6"/>
  <c r="EK65" i="6" s="1"/>
  <c r="EI81" i="6"/>
  <c r="DL35" i="6"/>
  <c r="EO35" i="6" s="1"/>
  <c r="DO35" i="6"/>
  <c r="ER35" i="6" s="1"/>
  <c r="DJ35" i="6"/>
  <c r="EM35" i="6" s="1"/>
  <c r="EJ69" i="6"/>
  <c r="DP67" i="6"/>
  <c r="DH67" i="6"/>
  <c r="DM67" i="6"/>
  <c r="EP67" i="6" s="1"/>
  <c r="FO67" i="6"/>
  <c r="FR67" i="6"/>
  <c r="DM110" i="6"/>
  <c r="DP110" i="6"/>
  <c r="FV110" i="6" s="1"/>
  <c r="DK110" i="6"/>
  <c r="EQ37" i="6"/>
  <c r="EM66" i="6"/>
  <c r="FM66" i="6"/>
  <c r="DO25" i="6"/>
  <c r="ER25" i="6" s="1"/>
  <c r="DJ25" i="6"/>
  <c r="EM25" i="6" s="1"/>
  <c r="DH25" i="6"/>
  <c r="EK25" i="6" s="1"/>
  <c r="DK38" i="6"/>
  <c r="EN38" i="6" s="1"/>
  <c r="DI38" i="6"/>
  <c r="EL38" i="6" s="1"/>
  <c r="FR38" i="6"/>
  <c r="DO99" i="6"/>
  <c r="ER99" i="6" s="1"/>
  <c r="DP99" i="6"/>
  <c r="ES99" i="6" s="1"/>
  <c r="DI99" i="6"/>
  <c r="EL99" i="6" s="1"/>
  <c r="FN99" i="6"/>
  <c r="EJ32" i="6"/>
  <c r="FL9" i="6"/>
  <c r="DL9" i="6"/>
  <c r="EO9" i="6" s="1"/>
  <c r="DG9" i="6"/>
  <c r="EJ9" i="6" s="1"/>
  <c r="FO9" i="6"/>
  <c r="FU9" i="6"/>
  <c r="EQ107" i="6"/>
  <c r="FM24" i="6"/>
  <c r="DJ91" i="6"/>
  <c r="EM91" i="6" s="1"/>
  <c r="DL91" i="6"/>
  <c r="EO91" i="6" s="1"/>
  <c r="EQ15" i="6"/>
  <c r="DP20" i="6"/>
  <c r="ES20" i="6" s="1"/>
  <c r="DJ20" i="6"/>
  <c r="EM20" i="6" s="1"/>
  <c r="DK20" i="6"/>
  <c r="EN20" i="6" s="1"/>
  <c r="FR20" i="6"/>
  <c r="EQ28" i="6"/>
  <c r="EU28" i="6"/>
  <c r="FI18" i="6"/>
  <c r="FH71" i="6"/>
  <c r="FH110" i="6"/>
  <c r="FI40" i="6"/>
  <c r="FI64" i="6"/>
  <c r="FH56" i="6"/>
  <c r="FH27" i="6"/>
  <c r="FG71" i="6"/>
  <c r="FH41" i="6"/>
  <c r="FH62" i="6"/>
  <c r="FH6" i="6"/>
  <c r="CT65" i="6"/>
  <c r="EZ65" i="6" s="1"/>
  <c r="CS65" i="6"/>
  <c r="EY65" i="6" s="1"/>
  <c r="CS86" i="6"/>
  <c r="EM54" i="6"/>
  <c r="DN98" i="6"/>
  <c r="FT98" i="6" s="1"/>
  <c r="DJ94" i="6"/>
  <c r="EM94" i="6" s="1"/>
  <c r="DM101" i="6"/>
  <c r="EP101" i="6" s="1"/>
  <c r="DP101" i="6"/>
  <c r="ES101" i="6" s="1"/>
  <c r="DG101" i="6"/>
  <c r="EJ101" i="6" s="1"/>
  <c r="FQ18" i="6"/>
  <c r="DH22" i="6"/>
  <c r="EK22" i="6" s="1"/>
  <c r="DM22" i="6"/>
  <c r="EP22" i="6" s="1"/>
  <c r="DI65" i="6"/>
  <c r="FO65" i="6" s="1"/>
  <c r="DM65" i="6"/>
  <c r="EP65" i="6" s="1"/>
  <c r="DF65" i="6"/>
  <c r="FL65" i="6" s="1"/>
  <c r="EO108" i="6"/>
  <c r="DP35" i="6"/>
  <c r="ES35" i="6" s="1"/>
  <c r="DK35" i="6"/>
  <c r="FQ35" i="6" s="1"/>
  <c r="DG35" i="6"/>
  <c r="EJ35" i="6" s="1"/>
  <c r="FT35" i="6"/>
  <c r="ER36" i="6"/>
  <c r="EL36" i="6"/>
  <c r="DJ67" i="6"/>
  <c r="EM67" i="6" s="1"/>
  <c r="DN67" i="6"/>
  <c r="EQ67" i="6" s="1"/>
  <c r="DF67" i="6"/>
  <c r="FO6" i="6"/>
  <c r="ER49" i="6"/>
  <c r="DL110" i="6"/>
  <c r="DJ110" i="6"/>
  <c r="FT110" i="6"/>
  <c r="ES66" i="6"/>
  <c r="FX25" i="6"/>
  <c r="DI25" i="6"/>
  <c r="FO25" i="6" s="1"/>
  <c r="DP25" i="6"/>
  <c r="ES25" i="6" s="1"/>
  <c r="DF25" i="6"/>
  <c r="EI25" i="6" s="1"/>
  <c r="FM25" i="6"/>
  <c r="FS25" i="6"/>
  <c r="DO38" i="6"/>
  <c r="ER38" i="6" s="1"/>
  <c r="DN38" i="6"/>
  <c r="EQ38" i="6" s="1"/>
  <c r="DF38" i="6"/>
  <c r="FL38" i="6" s="1"/>
  <c r="FS38" i="6"/>
  <c r="ES61" i="6"/>
  <c r="EM61" i="6"/>
  <c r="EO26" i="6"/>
  <c r="DL99" i="6"/>
  <c r="EO99" i="6" s="1"/>
  <c r="DK99" i="6"/>
  <c r="EN99" i="6" s="1"/>
  <c r="EO112" i="6"/>
  <c r="DN9" i="6"/>
  <c r="EQ9" i="6" s="1"/>
  <c r="DJ9" i="6"/>
  <c r="EM9" i="6" s="1"/>
  <c r="DH9" i="6"/>
  <c r="EK9" i="6" s="1"/>
  <c r="FU24" i="6"/>
  <c r="ER95" i="6"/>
  <c r="EK95" i="6"/>
  <c r="FX91" i="6"/>
  <c r="DM91" i="6"/>
  <c r="EP91" i="6" s="1"/>
  <c r="DH91" i="6"/>
  <c r="EK91" i="6" s="1"/>
  <c r="DF91" i="6"/>
  <c r="FL91" i="6" s="1"/>
  <c r="FT91" i="6"/>
  <c r="DN20" i="6"/>
  <c r="EQ20" i="6" s="1"/>
  <c r="DH20" i="6"/>
  <c r="EK20" i="6" s="1"/>
  <c r="DF20" i="6"/>
  <c r="EI20" i="6" s="1"/>
  <c r="FS20" i="6"/>
  <c r="ES19" i="6"/>
  <c r="EM19" i="6"/>
  <c r="FU19" i="6"/>
  <c r="FG18" i="6"/>
  <c r="FI42" i="6"/>
  <c r="FI68" i="6"/>
  <c r="FI81" i="6"/>
  <c r="FI114" i="6"/>
  <c r="FH43" i="6"/>
  <c r="FH102" i="6"/>
  <c r="FG95" i="6"/>
  <c r="FG57" i="6"/>
  <c r="FF98" i="6"/>
  <c r="FH97" i="6"/>
  <c r="FG96" i="6"/>
  <c r="FG48" i="6"/>
  <c r="FI71" i="6"/>
  <c r="FI75" i="6"/>
  <c r="FH32" i="6"/>
  <c r="FH84" i="6"/>
  <c r="CT17" i="6"/>
  <c r="CS17" i="6"/>
  <c r="FZ117" i="6"/>
  <c r="FZ80" i="6"/>
  <c r="DK80" i="6"/>
  <c r="EN80" i="6" s="1"/>
  <c r="DL80" i="6"/>
  <c r="EO80" i="6" s="1"/>
  <c r="DG80" i="6"/>
  <c r="EJ80" i="6" s="1"/>
  <c r="EQ22" i="6"/>
  <c r="FZ86" i="6"/>
  <c r="DL86" i="6"/>
  <c r="DO86" i="6"/>
  <c r="DG86" i="6"/>
  <c r="EJ86" i="6" s="1"/>
  <c r="FP86" i="6"/>
  <c r="DM108" i="6"/>
  <c r="EP108" i="6" s="1"/>
  <c r="DO108" i="6"/>
  <c r="ER108" i="6" s="1"/>
  <c r="DG108" i="6"/>
  <c r="EJ108" i="6" s="1"/>
  <c r="FV108" i="6"/>
  <c r="FZ17" i="6"/>
  <c r="DK106" i="6"/>
  <c r="EN106" i="6" s="1"/>
  <c r="DO106" i="6"/>
  <c r="ER106" i="6" s="1"/>
  <c r="DG106" i="6"/>
  <c r="EJ106" i="6" s="1"/>
  <c r="FV106" i="6"/>
  <c r="FZ36" i="6"/>
  <c r="DN36" i="6"/>
  <c r="EQ36" i="6" s="1"/>
  <c r="DK36" i="6"/>
  <c r="EN36" i="6" s="1"/>
  <c r="DG36" i="6"/>
  <c r="EJ36" i="6" s="1"/>
  <c r="FV36" i="6"/>
  <c r="EI6" i="6"/>
  <c r="DP49" i="6"/>
  <c r="ES49" i="6" s="1"/>
  <c r="DJ49" i="6"/>
  <c r="EM49" i="6" s="1"/>
  <c r="DK49" i="6"/>
  <c r="EN49" i="6" s="1"/>
  <c r="EO66" i="6"/>
  <c r="FG23" i="6"/>
  <c r="FG81" i="6"/>
  <c r="FG101" i="6"/>
  <c r="FI63" i="6"/>
  <c r="FE27" i="6"/>
  <c r="FH31" i="6"/>
  <c r="FH103" i="6"/>
  <c r="FH64" i="6"/>
  <c r="FG107" i="6"/>
  <c r="FG15" i="6"/>
  <c r="FG100" i="6"/>
  <c r="FF54" i="6"/>
  <c r="FF62" i="6"/>
  <c r="FI101" i="6"/>
  <c r="FI25" i="6"/>
  <c r="FH21" i="6"/>
  <c r="FG53" i="6"/>
  <c r="FG45" i="6"/>
  <c r="FF75" i="6"/>
  <c r="FI35" i="6"/>
  <c r="FI95" i="6"/>
  <c r="FI6" i="6"/>
  <c r="FE116" i="6"/>
  <c r="FH79" i="6"/>
  <c r="FH111" i="6"/>
  <c r="FH55" i="6"/>
  <c r="CT80" i="6"/>
  <c r="CS80" i="6"/>
  <c r="CS101" i="6"/>
  <c r="DK101" i="6"/>
  <c r="FQ101" i="6" s="1"/>
  <c r="EP10" i="6"/>
  <c r="DG10" i="6"/>
  <c r="FM10" i="6" s="1"/>
  <c r="FS66" i="6"/>
  <c r="FZ74" i="6"/>
  <c r="DI57" i="6"/>
  <c r="EL57" i="6" s="1"/>
  <c r="ER100" i="6"/>
  <c r="EM100" i="6"/>
  <c r="EI33" i="6"/>
  <c r="FZ78" i="6"/>
  <c r="DJ78" i="6"/>
  <c r="FP78" i="6" s="1"/>
  <c r="DH78" i="6"/>
  <c r="DG78" i="6"/>
  <c r="FZ26" i="6"/>
  <c r="DM26" i="6"/>
  <c r="EP26" i="6" s="1"/>
  <c r="DO26" i="6"/>
  <c r="ER26" i="6" s="1"/>
  <c r="DG26" i="6"/>
  <c r="EJ26" i="6" s="1"/>
  <c r="FV112" i="6"/>
  <c r="FZ111" i="6"/>
  <c r="DO111" i="6"/>
  <c r="ER111" i="6" s="1"/>
  <c r="DI111" i="6"/>
  <c r="EL111" i="6" s="1"/>
  <c r="DK111" i="6"/>
  <c r="EN111" i="6" s="1"/>
  <c r="FP111" i="6"/>
  <c r="EI24" i="6"/>
  <c r="DK95" i="6"/>
  <c r="EN95" i="6" s="1"/>
  <c r="DN95" i="6"/>
  <c r="EQ95" i="6" s="1"/>
  <c r="DI95" i="6"/>
  <c r="EL95" i="6" s="1"/>
  <c r="ES15" i="6"/>
  <c r="FZ8" i="6"/>
  <c r="DO8" i="6"/>
  <c r="ER8" i="6" s="1"/>
  <c r="DH8" i="6"/>
  <c r="EK8" i="6" s="1"/>
  <c r="DG8" i="6"/>
  <c r="EJ8" i="6" s="1"/>
  <c r="FP8" i="6"/>
  <c r="FV8" i="6"/>
  <c r="FS19" i="6"/>
  <c r="FX89" i="6"/>
  <c r="DI89" i="6"/>
  <c r="EL89" i="6" s="1"/>
  <c r="DN89" i="6"/>
  <c r="EQ89" i="6" s="1"/>
  <c r="FU89" i="6"/>
  <c r="DJ76" i="6"/>
  <c r="EM76" i="6" s="1"/>
  <c r="DH76" i="6"/>
  <c r="EK76" i="6" s="1"/>
  <c r="FV76" i="6"/>
  <c r="FR27" i="6"/>
  <c r="ES7" i="6"/>
  <c r="EU7" i="6"/>
  <c r="EO43" i="6"/>
  <c r="DO14" i="6"/>
  <c r="ER14" i="6" s="1"/>
  <c r="DN14" i="6"/>
  <c r="EQ14" i="6" s="1"/>
  <c r="DG14" i="6"/>
  <c r="EJ14" i="6" s="1"/>
  <c r="FR31" i="6"/>
  <c r="DP85" i="6"/>
  <c r="ES85" i="6" s="1"/>
  <c r="DJ85" i="6"/>
  <c r="EM85" i="6" s="1"/>
  <c r="DG85" i="6"/>
  <c r="EJ85" i="6" s="1"/>
  <c r="EM42" i="6"/>
  <c r="EU42" i="6"/>
  <c r="DM82" i="6"/>
  <c r="EP82" i="6" s="1"/>
  <c r="DO82" i="6"/>
  <c r="ER82" i="6" s="1"/>
  <c r="DI82" i="6"/>
  <c r="EL82" i="6" s="1"/>
  <c r="FO11" i="6"/>
  <c r="EU90" i="6"/>
  <c r="DO48" i="6"/>
  <c r="ER48" i="6" s="1"/>
  <c r="DM48" i="6"/>
  <c r="EP48" i="6" s="1"/>
  <c r="DG48" i="6"/>
  <c r="EJ48" i="6" s="1"/>
  <c r="DO47" i="6"/>
  <c r="ER47" i="6" s="1"/>
  <c r="DM47" i="6"/>
  <c r="EP47" i="6" s="1"/>
  <c r="EL54" i="6"/>
  <c r="DN55" i="6"/>
  <c r="EQ55" i="6" s="1"/>
  <c r="DM55" i="6"/>
  <c r="EP55" i="6" s="1"/>
  <c r="DF55" i="6"/>
  <c r="EI55" i="6" s="1"/>
  <c r="FQ98" i="6"/>
  <c r="FS62" i="6"/>
  <c r="FP114" i="6"/>
  <c r="FP46" i="6"/>
  <c r="FZ22" i="6"/>
  <c r="DK22" i="6"/>
  <c r="FQ22" i="6" s="1"/>
  <c r="DF98" i="6"/>
  <c r="FL98" i="6" s="1"/>
  <c r="DG94" i="6"/>
  <c r="FM94" i="6" s="1"/>
  <c r="DG51" i="6"/>
  <c r="FM51" i="6" s="1"/>
  <c r="EM10" i="6"/>
  <c r="DL115" i="6"/>
  <c r="EO115" i="6" s="1"/>
  <c r="DI115" i="6"/>
  <c r="FO115" i="6" s="1"/>
  <c r="FG108" i="6"/>
  <c r="FG6" i="6"/>
  <c r="FI72" i="6"/>
  <c r="FH100" i="6"/>
  <c r="FH106" i="6"/>
  <c r="FH77" i="6"/>
  <c r="FD54" i="6"/>
  <c r="FD62" i="6"/>
  <c r="FG21" i="6"/>
  <c r="FI17" i="6"/>
  <c r="FI21" i="6"/>
  <c r="FI23" i="6"/>
  <c r="FI24" i="6"/>
  <c r="FE101" i="6"/>
  <c r="FE22" i="6"/>
  <c r="FH29" i="6"/>
  <c r="FH26" i="6"/>
  <c r="CT69" i="6"/>
  <c r="CS69" i="6"/>
  <c r="ET117" i="6"/>
  <c r="FW117" i="6"/>
  <c r="EL117" i="6"/>
  <c r="FO117" i="6"/>
  <c r="FU117" i="6"/>
  <c r="ER117" i="6"/>
  <c r="FR117" i="6"/>
  <c r="EO117" i="6"/>
  <c r="BK101" i="6"/>
  <c r="DE101" i="6"/>
  <c r="FK101" i="6" s="1"/>
  <c r="FU101" i="6"/>
  <c r="FN101" i="6"/>
  <c r="DR101" i="6"/>
  <c r="EU101" i="6" s="1"/>
  <c r="DS101" i="6"/>
  <c r="EV101" i="6" s="1"/>
  <c r="DT101" i="6"/>
  <c r="DM68" i="6"/>
  <c r="EP68" i="6" s="1"/>
  <c r="DP68" i="6"/>
  <c r="ES68" i="6" s="1"/>
  <c r="DG68" i="6"/>
  <c r="EJ68" i="6" s="1"/>
  <c r="EN18" i="6"/>
  <c r="BK18" i="6"/>
  <c r="DE18" i="6"/>
  <c r="FP18" i="6"/>
  <c r="FV18" i="6"/>
  <c r="DN80" i="6"/>
  <c r="EQ80" i="6" s="1"/>
  <c r="DI80" i="6"/>
  <c r="EL80" i="6" s="1"/>
  <c r="DP80" i="6"/>
  <c r="ES80" i="6" s="1"/>
  <c r="FQ80" i="6"/>
  <c r="FR80" i="6"/>
  <c r="EI22" i="6"/>
  <c r="FU22" i="6"/>
  <c r="DR22" i="6"/>
  <c r="EU22" i="6" s="1"/>
  <c r="DS22" i="6"/>
  <c r="EV22" i="6" s="1"/>
  <c r="FX116" i="6"/>
  <c r="DK116" i="6"/>
  <c r="EN116" i="6" s="1"/>
  <c r="DI116" i="6"/>
  <c r="EL116" i="6" s="1"/>
  <c r="DG116" i="6"/>
  <c r="EJ116" i="6" s="1"/>
  <c r="FS116" i="6"/>
  <c r="FP16" i="6"/>
  <c r="EM16" i="6"/>
  <c r="EH16" i="6"/>
  <c r="FK16" i="6"/>
  <c r="ES16" i="6"/>
  <c r="FV16" i="6"/>
  <c r="DN86" i="6"/>
  <c r="DP86" i="6"/>
  <c r="FV86" i="6" s="1"/>
  <c r="DH86" i="6"/>
  <c r="FQ86" i="6"/>
  <c r="EM65" i="6"/>
  <c r="EN65" i="6"/>
  <c r="DE65" i="6"/>
  <c r="FK65" i="6" s="1"/>
  <c r="BK65" i="6"/>
  <c r="DR65" i="6"/>
  <c r="DS65" i="6"/>
  <c r="FY65" i="6" s="1"/>
  <c r="DT65" i="6"/>
  <c r="FZ65" i="6" s="1"/>
  <c r="FX79" i="6"/>
  <c r="EU79" i="6"/>
  <c r="EQ79" i="6"/>
  <c r="FT79" i="6"/>
  <c r="EJ79" i="6"/>
  <c r="FM79" i="6"/>
  <c r="FS79" i="6"/>
  <c r="EP79" i="6"/>
  <c r="EL105" i="6"/>
  <c r="FP105" i="6"/>
  <c r="FV105" i="6"/>
  <c r="DI108" i="6"/>
  <c r="EL108" i="6" s="1"/>
  <c r="DJ108" i="6"/>
  <c r="EM108" i="6" s="1"/>
  <c r="FR108" i="6"/>
  <c r="EV81" i="6"/>
  <c r="FY81" i="6"/>
  <c r="FL81" i="6"/>
  <c r="FP81" i="6"/>
  <c r="EM81" i="6"/>
  <c r="FQ81" i="6"/>
  <c r="EN81" i="6"/>
  <c r="ES81" i="6"/>
  <c r="FV81" i="6"/>
  <c r="ET17" i="6"/>
  <c r="FW17" i="6"/>
  <c r="EL17" i="6"/>
  <c r="FO17" i="6"/>
  <c r="EH17" i="6"/>
  <c r="FK17" i="6"/>
  <c r="EO17" i="6"/>
  <c r="FR17" i="6"/>
  <c r="EV35" i="6"/>
  <c r="FY35" i="6"/>
  <c r="EQ35" i="6"/>
  <c r="EI35" i="6"/>
  <c r="DE35" i="6"/>
  <c r="BK35" i="6"/>
  <c r="DO69" i="6"/>
  <c r="ER69" i="6" s="1"/>
  <c r="DI69" i="6"/>
  <c r="EL69" i="6" s="1"/>
  <c r="DK69" i="6"/>
  <c r="EN69" i="6" s="1"/>
  <c r="FM69" i="6"/>
  <c r="EM13" i="6"/>
  <c r="FP13" i="6"/>
  <c r="ER13" i="6"/>
  <c r="FU13" i="6"/>
  <c r="FV13" i="6"/>
  <c r="ES13" i="6"/>
  <c r="DL106" i="6"/>
  <c r="EO106" i="6" s="1"/>
  <c r="DN106" i="6"/>
  <c r="EQ106" i="6" s="1"/>
  <c r="DI106" i="6"/>
  <c r="EL106" i="6" s="1"/>
  <c r="EV44" i="6"/>
  <c r="FY44" i="6"/>
  <c r="EI44" i="6"/>
  <c r="FL44" i="6"/>
  <c r="EN44" i="6"/>
  <c r="FQ44" i="6"/>
  <c r="EK44" i="6"/>
  <c r="FN44" i="6"/>
  <c r="FX34" i="6"/>
  <c r="EU34" i="6"/>
  <c r="DN34" i="6"/>
  <c r="EQ34" i="6" s="1"/>
  <c r="DH34" i="6"/>
  <c r="EK34" i="6" s="1"/>
  <c r="DI34" i="6"/>
  <c r="EL34" i="6" s="1"/>
  <c r="FP88" i="6"/>
  <c r="EM88" i="6"/>
  <c r="EH88" i="6"/>
  <c r="FK88" i="6"/>
  <c r="ES88" i="6"/>
  <c r="FV88" i="6"/>
  <c r="DM36" i="6"/>
  <c r="EP36" i="6" s="1"/>
  <c r="DH36" i="6"/>
  <c r="EK36" i="6" s="1"/>
  <c r="FO36" i="6"/>
  <c r="FU36" i="6"/>
  <c r="FL67" i="6"/>
  <c r="EL67" i="6"/>
  <c r="EO67" i="6"/>
  <c r="BK67" i="6"/>
  <c r="DE67" i="6"/>
  <c r="FK67" i="6" s="1"/>
  <c r="FN67" i="6"/>
  <c r="DR67" i="6"/>
  <c r="DS67" i="6"/>
  <c r="DT67" i="6"/>
  <c r="FZ67" i="6" s="1"/>
  <c r="FX75" i="6"/>
  <c r="EU75" i="6"/>
  <c r="EQ75" i="6"/>
  <c r="FT75" i="6"/>
  <c r="EJ75" i="6"/>
  <c r="FM75" i="6"/>
  <c r="FS75" i="6"/>
  <c r="EP75" i="6"/>
  <c r="FZ58" i="6"/>
  <c r="DI58" i="6"/>
  <c r="EL58" i="6" s="1"/>
  <c r="DF58" i="6"/>
  <c r="EI58" i="6" s="1"/>
  <c r="FT58" i="6"/>
  <c r="EQ58" i="6"/>
  <c r="EP58" i="6"/>
  <c r="FS58" i="6"/>
  <c r="EL6" i="6"/>
  <c r="FP6" i="6"/>
  <c r="DL49" i="6"/>
  <c r="EO49" i="6" s="1"/>
  <c r="DM49" i="6"/>
  <c r="EP49" i="6" s="1"/>
  <c r="FU49" i="6"/>
  <c r="FO110" i="6"/>
  <c r="EL110" i="6"/>
  <c r="EQ110" i="6"/>
  <c r="EI110" i="6"/>
  <c r="DS110" i="6"/>
  <c r="FY110" i="6" s="1"/>
  <c r="DT110" i="6"/>
  <c r="DR110" i="6"/>
  <c r="FX110" i="6" s="1"/>
  <c r="EU37" i="6"/>
  <c r="FX37" i="6"/>
  <c r="DL37" i="6"/>
  <c r="EO37" i="6" s="1"/>
  <c r="DJ37" i="6"/>
  <c r="EM37" i="6" s="1"/>
  <c r="BK37" i="6"/>
  <c r="DE37" i="6"/>
  <c r="FK37" i="6" s="1"/>
  <c r="FT37" i="6"/>
  <c r="EJ66" i="6"/>
  <c r="FP66" i="6"/>
  <c r="FU66" i="6"/>
  <c r="FV66" i="6"/>
  <c r="FW74" i="6"/>
  <c r="ET74" i="6"/>
  <c r="EL74" i="6"/>
  <c r="FO74" i="6"/>
  <c r="FK74" i="6"/>
  <c r="EH74" i="6"/>
  <c r="FR74" i="6"/>
  <c r="EO74" i="6"/>
  <c r="FY57" i="6"/>
  <c r="EV57" i="6"/>
  <c r="DH57" i="6"/>
  <c r="EK57" i="6" s="1"/>
  <c r="FO57" i="6"/>
  <c r="EO57" i="6"/>
  <c r="FR57" i="6"/>
  <c r="EV25" i="6"/>
  <c r="FY25" i="6"/>
  <c r="EP25" i="6"/>
  <c r="EJ25" i="6"/>
  <c r="FQ25" i="6"/>
  <c r="EU25" i="6"/>
  <c r="DH100" i="6"/>
  <c r="EK100" i="6" s="1"/>
  <c r="DM100" i="6"/>
  <c r="EP100" i="6" s="1"/>
  <c r="BK100" i="6"/>
  <c r="DE100" i="6"/>
  <c r="FK100" i="6" s="1"/>
  <c r="EJ33" i="6"/>
  <c r="FP33" i="6"/>
  <c r="DP78" i="6"/>
  <c r="DK78" i="6"/>
  <c r="FQ78" i="6" s="1"/>
  <c r="DI78" i="6"/>
  <c r="FO78" i="6" s="1"/>
  <c r="FR78" i="6"/>
  <c r="EV38" i="6"/>
  <c r="FY38" i="6"/>
  <c r="EP38" i="6"/>
  <c r="EO38" i="6"/>
  <c r="DE38" i="6"/>
  <c r="BK38" i="6"/>
  <c r="FU38" i="6"/>
  <c r="EU12" i="6"/>
  <c r="FX12" i="6"/>
  <c r="EQ12" i="6"/>
  <c r="FT12" i="6"/>
  <c r="FM12" i="6"/>
  <c r="EJ12" i="6"/>
  <c r="FS12" i="6"/>
  <c r="EP12" i="6"/>
  <c r="EP61" i="6"/>
  <c r="ER61" i="6"/>
  <c r="FP61" i="6"/>
  <c r="FV61" i="6"/>
  <c r="DP26" i="6"/>
  <c r="ES26" i="6" s="1"/>
  <c r="DI26" i="6"/>
  <c r="EL26" i="6" s="1"/>
  <c r="DJ26" i="6"/>
  <c r="EM26" i="6" s="1"/>
  <c r="FU26" i="6"/>
  <c r="FR26" i="6"/>
  <c r="EK99" i="6"/>
  <c r="FM99" i="6"/>
  <c r="DT99" i="6"/>
  <c r="DR99" i="6"/>
  <c r="EU99" i="6" s="1"/>
  <c r="DS99" i="6"/>
  <c r="EV99" i="6" s="1"/>
  <c r="DO32" i="6"/>
  <c r="ER32" i="6" s="1"/>
  <c r="DI32" i="6"/>
  <c r="EL32" i="6" s="1"/>
  <c r="DK32" i="6"/>
  <c r="EN32" i="6" s="1"/>
  <c r="FM32" i="6"/>
  <c r="EP112" i="6"/>
  <c r="FR112" i="6"/>
  <c r="DP111" i="6"/>
  <c r="ES111" i="6" s="1"/>
  <c r="DN111" i="6"/>
  <c r="EQ111" i="6" s="1"/>
  <c r="DH111" i="6"/>
  <c r="EK111" i="6" s="1"/>
  <c r="FO111" i="6"/>
  <c r="FU111" i="6"/>
  <c r="EV9" i="6"/>
  <c r="FY9" i="6"/>
  <c r="ER9" i="6"/>
  <c r="EL9" i="6"/>
  <c r="EI9" i="6"/>
  <c r="FV9" i="6"/>
  <c r="DM107" i="6"/>
  <c r="EP107" i="6" s="1"/>
  <c r="DJ107" i="6"/>
  <c r="EM107" i="6" s="1"/>
  <c r="DH107" i="6"/>
  <c r="EK107" i="6" s="1"/>
  <c r="FT107" i="6"/>
  <c r="EJ24" i="6"/>
  <c r="DP95" i="6"/>
  <c r="ES95" i="6" s="1"/>
  <c r="DM95" i="6"/>
  <c r="EP95" i="6" s="1"/>
  <c r="DJ95" i="6"/>
  <c r="EM95" i="6" s="1"/>
  <c r="FO95" i="6"/>
  <c r="FU95" i="6"/>
  <c r="FN95" i="6"/>
  <c r="EV91" i="6"/>
  <c r="FY91" i="6"/>
  <c r="EQ91" i="6"/>
  <c r="BK91" i="6"/>
  <c r="DE91" i="6"/>
  <c r="FQ91" i="6"/>
  <c r="FN91" i="6"/>
  <c r="EU91" i="6"/>
  <c r="DM15" i="6"/>
  <c r="EP15" i="6" s="1"/>
  <c r="DH15" i="6"/>
  <c r="EK15" i="6" s="1"/>
  <c r="DF15" i="6"/>
  <c r="EI15" i="6" s="1"/>
  <c r="FT15" i="6"/>
  <c r="FP29" i="6"/>
  <c r="EM29" i="6"/>
  <c r="FK29" i="6"/>
  <c r="EH29" i="6"/>
  <c r="ES29" i="6"/>
  <c r="FV29" i="6"/>
  <c r="DI8" i="6"/>
  <c r="EL8" i="6" s="1"/>
  <c r="DL8" i="6"/>
  <c r="EO8" i="6" s="1"/>
  <c r="FP117" i="6"/>
  <c r="EM117" i="6"/>
  <c r="EH117" i="6"/>
  <c r="FK117" i="6"/>
  <c r="ES117" i="6"/>
  <c r="FV117" i="6"/>
  <c r="FR101" i="6"/>
  <c r="BK68" i="6"/>
  <c r="DE68" i="6"/>
  <c r="FK68" i="6" s="1"/>
  <c r="FU68" i="6"/>
  <c r="FN68" i="6"/>
  <c r="DR68" i="6"/>
  <c r="EU68" i="6" s="1"/>
  <c r="DS68" i="6"/>
  <c r="EV68" i="6" s="1"/>
  <c r="DT68" i="6"/>
  <c r="FZ68" i="6" s="1"/>
  <c r="FR22" i="6"/>
  <c r="FY116" i="6"/>
  <c r="EV116" i="6"/>
  <c r="BK116" i="6"/>
  <c r="DE116" i="6"/>
  <c r="FN116" i="6"/>
  <c r="EU16" i="6"/>
  <c r="FX16" i="6"/>
  <c r="FT16" i="6"/>
  <c r="EQ16" i="6"/>
  <c r="EJ16" i="6"/>
  <c r="FM16" i="6"/>
  <c r="EP16" i="6"/>
  <c r="FS16" i="6"/>
  <c r="FR86" i="6"/>
  <c r="EO86" i="6"/>
  <c r="ER86" i="6"/>
  <c r="FT65" i="6"/>
  <c r="EQ65" i="6"/>
  <c r="ES65" i="6"/>
  <c r="FY79" i="6"/>
  <c r="EV79" i="6"/>
  <c r="FL79" i="6"/>
  <c r="EI79" i="6"/>
  <c r="ER79" i="6"/>
  <c r="FU79" i="6"/>
  <c r="EK79" i="6"/>
  <c r="FN79" i="6"/>
  <c r="FT105" i="6"/>
  <c r="FS105" i="6"/>
  <c r="EQ81" i="6"/>
  <c r="FT81" i="6"/>
  <c r="FS81" i="6"/>
  <c r="EP81" i="6"/>
  <c r="EM17" i="6"/>
  <c r="FP17" i="6"/>
  <c r="FM17" i="6"/>
  <c r="EJ17" i="6"/>
  <c r="ES17" i="6"/>
  <c r="FV17" i="6"/>
  <c r="FR35" i="6"/>
  <c r="EI69" i="6"/>
  <c r="DS69" i="6"/>
  <c r="EV69" i="6" s="1"/>
  <c r="DT69" i="6"/>
  <c r="DR69" i="6"/>
  <c r="EU69" i="6" s="1"/>
  <c r="EU13" i="6"/>
  <c r="FX13" i="6"/>
  <c r="FT13" i="6"/>
  <c r="EQ13" i="6"/>
  <c r="EH13" i="6"/>
  <c r="FK13" i="6"/>
  <c r="EP13" i="6"/>
  <c r="FS13" i="6"/>
  <c r="FU106" i="6"/>
  <c r="ET44" i="6"/>
  <c r="FW44" i="6"/>
  <c r="FO44" i="6"/>
  <c r="EL44" i="6"/>
  <c r="ER44" i="6"/>
  <c r="FU44" i="6"/>
  <c r="FR44" i="6"/>
  <c r="EO44" i="6"/>
  <c r="FY34" i="6"/>
  <c r="EV34" i="6"/>
  <c r="DE34" i="6"/>
  <c r="FK34" i="6" s="1"/>
  <c r="BK34" i="6"/>
  <c r="EU88" i="6"/>
  <c r="FX88" i="6"/>
  <c r="EQ88" i="6"/>
  <c r="FT88" i="6"/>
  <c r="EJ88" i="6"/>
  <c r="FM88" i="6"/>
  <c r="FS88" i="6"/>
  <c r="EP88" i="6"/>
  <c r="ES67" i="6"/>
  <c r="EK67" i="6"/>
  <c r="FY75" i="6"/>
  <c r="EV75" i="6"/>
  <c r="EI75" i="6"/>
  <c r="FL75" i="6"/>
  <c r="FQ75" i="6"/>
  <c r="EN75" i="6"/>
  <c r="EK75" i="6"/>
  <c r="FN75" i="6"/>
  <c r="EU58" i="6"/>
  <c r="FX58" i="6"/>
  <c r="DE58" i="6"/>
  <c r="FK58" i="6" s="1"/>
  <c r="BK58" i="6"/>
  <c r="FN58" i="6"/>
  <c r="FT6" i="6"/>
  <c r="FV49" i="6"/>
  <c r="FS110" i="6"/>
  <c r="EP110" i="6"/>
  <c r="EN110" i="6"/>
  <c r="FQ110" i="6"/>
  <c r="EV37" i="6"/>
  <c r="FY37" i="6"/>
  <c r="EI37" i="6"/>
  <c r="BK66" i="6"/>
  <c r="DE66" i="6"/>
  <c r="FK66" i="6" s="1"/>
  <c r="FP74" i="6"/>
  <c r="EM74" i="6"/>
  <c r="FU74" i="6"/>
  <c r="ER74" i="6"/>
  <c r="FV74" i="6"/>
  <c r="ES74" i="6"/>
  <c r="BK57" i="6"/>
  <c r="DE57" i="6"/>
  <c r="ER57" i="6"/>
  <c r="FU57" i="6"/>
  <c r="ES57" i="6"/>
  <c r="FV57" i="6"/>
  <c r="EI100" i="6"/>
  <c r="DR100" i="6"/>
  <c r="EU100" i="6" s="1"/>
  <c r="DS100" i="6"/>
  <c r="EV100" i="6" s="1"/>
  <c r="DT100" i="6"/>
  <c r="FZ100" i="6" s="1"/>
  <c r="FT33" i="6"/>
  <c r="EK78" i="6"/>
  <c r="EJ78" i="6"/>
  <c r="FO38" i="6"/>
  <c r="FY12" i="6"/>
  <c r="EV12" i="6"/>
  <c r="FL12" i="6"/>
  <c r="EI12" i="6"/>
  <c r="EN12" i="6"/>
  <c r="FQ12" i="6"/>
  <c r="EK12" i="6"/>
  <c r="FN12" i="6"/>
  <c r="FT61" i="6"/>
  <c r="FO99" i="6"/>
  <c r="EI32" i="6"/>
  <c r="DS32" i="6"/>
  <c r="EV32" i="6" s="1"/>
  <c r="DT32" i="6"/>
  <c r="DR32" i="6"/>
  <c r="EU32" i="6" s="1"/>
  <c r="EU112" i="6"/>
  <c r="FX112" i="6"/>
  <c r="BK112" i="6"/>
  <c r="DE112" i="6"/>
  <c r="FK112" i="6" s="1"/>
  <c r="EI107" i="6"/>
  <c r="DR107" i="6"/>
  <c r="EU107" i="6" s="1"/>
  <c r="DS107" i="6"/>
  <c r="EV107" i="6" s="1"/>
  <c r="DT107" i="6"/>
  <c r="BK24" i="6"/>
  <c r="DE24" i="6"/>
  <c r="FR91" i="6"/>
  <c r="DE15" i="6"/>
  <c r="BK15" i="6"/>
  <c r="FQ15" i="6"/>
  <c r="DT15" i="6"/>
  <c r="DR15" i="6"/>
  <c r="EU15" i="6" s="1"/>
  <c r="DS15" i="6"/>
  <c r="EV15" i="6" s="1"/>
  <c r="EU29" i="6"/>
  <c r="FX29" i="6"/>
  <c r="FT29" i="6"/>
  <c r="EQ29" i="6"/>
  <c r="EJ29" i="6"/>
  <c r="FM29" i="6"/>
  <c r="EP29" i="6"/>
  <c r="FS29" i="6"/>
  <c r="FY28" i="6"/>
  <c r="EV28" i="6"/>
  <c r="BK28" i="6"/>
  <c r="DE28" i="6"/>
  <c r="FK28" i="6" s="1"/>
  <c r="FN28" i="6"/>
  <c r="DE89" i="6"/>
  <c r="FK89" i="6" s="1"/>
  <c r="BK89" i="6"/>
  <c r="FY56" i="6"/>
  <c r="EV56" i="6"/>
  <c r="FR56" i="6"/>
  <c r="ET21" i="6"/>
  <c r="FW21" i="6"/>
  <c r="FL21" i="6"/>
  <c r="EI21" i="6"/>
  <c r="FQ21" i="6"/>
  <c r="EN21" i="6"/>
  <c r="EK21" i="6"/>
  <c r="FN21" i="6"/>
  <c r="EQ70" i="6"/>
  <c r="FT70" i="6"/>
  <c r="EJ70" i="6"/>
  <c r="FM70" i="6"/>
  <c r="EP70" i="6"/>
  <c r="FS70" i="6"/>
  <c r="EU76" i="6"/>
  <c r="FX76" i="6"/>
  <c r="BK76" i="6"/>
  <c r="DE76" i="6"/>
  <c r="FY27" i="6"/>
  <c r="EV27" i="6"/>
  <c r="FO27" i="6"/>
  <c r="EI7" i="6"/>
  <c r="FS43" i="6"/>
  <c r="FM14" i="6"/>
  <c r="FY31" i="6"/>
  <c r="EV31" i="6"/>
  <c r="BK71" i="6"/>
  <c r="DE71" i="6"/>
  <c r="FK71" i="6" s="1"/>
  <c r="FQ71" i="6"/>
  <c r="DT71" i="6"/>
  <c r="FZ71" i="6" s="1"/>
  <c r="DR71" i="6"/>
  <c r="EU71" i="6" s="1"/>
  <c r="DS71" i="6"/>
  <c r="EV71" i="6" s="1"/>
  <c r="FS96" i="6"/>
  <c r="FY23" i="6"/>
  <c r="EV23" i="6"/>
  <c r="FR23" i="6"/>
  <c r="BK42" i="6"/>
  <c r="DE42" i="6"/>
  <c r="FT39" i="6"/>
  <c r="EQ39" i="6"/>
  <c r="FM39" i="6"/>
  <c r="EJ39" i="6"/>
  <c r="FS39" i="6"/>
  <c r="EP39" i="6"/>
  <c r="EU82" i="6"/>
  <c r="FX82" i="6"/>
  <c r="BK11" i="6"/>
  <c r="DE11" i="6"/>
  <c r="FR11" i="6"/>
  <c r="DS50" i="6"/>
  <c r="EV50" i="6" s="1"/>
  <c r="DT50" i="6"/>
  <c r="FZ50" i="6" s="1"/>
  <c r="DR50" i="6"/>
  <c r="EU50" i="6" s="1"/>
  <c r="EQ87" i="6"/>
  <c r="FT87" i="6"/>
  <c r="ER87" i="6"/>
  <c r="FU87" i="6"/>
  <c r="FN87" i="6"/>
  <c r="EK87" i="6"/>
  <c r="FQ90" i="6"/>
  <c r="EN90" i="6"/>
  <c r="EQ90" i="6"/>
  <c r="BK90" i="6"/>
  <c r="DE90" i="6"/>
  <c r="FK90" i="6" s="1"/>
  <c r="EQ92" i="6"/>
  <c r="FT92" i="6"/>
  <c r="FM92" i="6"/>
  <c r="EJ92" i="6"/>
  <c r="EP92" i="6"/>
  <c r="FS92" i="6"/>
  <c r="EU53" i="6"/>
  <c r="FX53" i="6"/>
  <c r="BK53" i="6"/>
  <c r="DE53" i="6"/>
  <c r="FT53" i="6"/>
  <c r="EQ53" i="6"/>
  <c r="FS72" i="6"/>
  <c r="FG75" i="6"/>
  <c r="FI108" i="6"/>
  <c r="FI60" i="6"/>
  <c r="FH30" i="6"/>
  <c r="FH57" i="6"/>
  <c r="FH99" i="6"/>
  <c r="FH51" i="6"/>
  <c r="FH34" i="6"/>
  <c r="FH8" i="6"/>
  <c r="FD41" i="6"/>
  <c r="FD98" i="6"/>
  <c r="FG85" i="6"/>
  <c r="FG82" i="6"/>
  <c r="FI96" i="6"/>
  <c r="FI9" i="6"/>
  <c r="FE18" i="6"/>
  <c r="FH91" i="6"/>
  <c r="CU117" i="6"/>
  <c r="FA117" i="6" s="1"/>
  <c r="CT116" i="6"/>
  <c r="CT68" i="6"/>
  <c r="CT117" i="6"/>
  <c r="EZ117" i="6" s="1"/>
  <c r="CS116" i="6"/>
  <c r="CS68" i="6"/>
  <c r="CS117" i="6"/>
  <c r="EY117" i="6" s="1"/>
  <c r="FX117" i="6"/>
  <c r="EU117" i="6"/>
  <c r="EQ117" i="6"/>
  <c r="FT117" i="6"/>
  <c r="EJ117" i="6"/>
  <c r="FM117" i="6"/>
  <c r="EP117" i="6"/>
  <c r="FS117" i="6"/>
  <c r="FZ101" i="6"/>
  <c r="EN101" i="6"/>
  <c r="DI101" i="6"/>
  <c r="EL101" i="6" s="1"/>
  <c r="DF101" i="6"/>
  <c r="EI101" i="6" s="1"/>
  <c r="FP101" i="6"/>
  <c r="FV101" i="6"/>
  <c r="DN68" i="6"/>
  <c r="EQ68" i="6" s="1"/>
  <c r="DL68" i="6"/>
  <c r="EO68" i="6" s="1"/>
  <c r="DJ68" i="6"/>
  <c r="EM68" i="6" s="1"/>
  <c r="EV18" i="6"/>
  <c r="FY18" i="6"/>
  <c r="FL18" i="6"/>
  <c r="EP18" i="6"/>
  <c r="EJ18" i="6"/>
  <c r="FU18" i="6"/>
  <c r="FN18" i="6"/>
  <c r="EU18" i="6"/>
  <c r="DH80" i="6"/>
  <c r="EK80" i="6" s="1"/>
  <c r="DJ80" i="6"/>
  <c r="EM80" i="6" s="1"/>
  <c r="BK80" i="6"/>
  <c r="DE80" i="6"/>
  <c r="FM80" i="6"/>
  <c r="FS80" i="6"/>
  <c r="DI22" i="6"/>
  <c r="EL22" i="6" s="1"/>
  <c r="DG22" i="6"/>
  <c r="EJ22" i="6" s="1"/>
  <c r="FP22" i="6"/>
  <c r="FV22" i="6"/>
  <c r="DL116" i="6"/>
  <c r="EO116" i="6" s="1"/>
  <c r="DO116" i="6"/>
  <c r="ER116" i="6" s="1"/>
  <c r="DJ116" i="6"/>
  <c r="EM116" i="6" s="1"/>
  <c r="FQ116" i="6"/>
  <c r="EV16" i="6"/>
  <c r="FY16" i="6"/>
  <c r="EI16" i="6"/>
  <c r="FL16" i="6"/>
  <c r="EN16" i="6"/>
  <c r="FQ16" i="6"/>
  <c r="EK16" i="6"/>
  <c r="FN16" i="6"/>
  <c r="DI86" i="6"/>
  <c r="DM86" i="6"/>
  <c r="FS86" i="6" s="1"/>
  <c r="DF86" i="6"/>
  <c r="FL86" i="6" s="1"/>
  <c r="DL65" i="6"/>
  <c r="DO65" i="6"/>
  <c r="DG65" i="6"/>
  <c r="FP65" i="6"/>
  <c r="FQ65" i="6"/>
  <c r="FV65" i="6"/>
  <c r="ET79" i="6"/>
  <c r="FW79" i="6"/>
  <c r="EL79" i="6"/>
  <c r="FO79" i="6"/>
  <c r="FQ79" i="6"/>
  <c r="EN79" i="6"/>
  <c r="EO79" i="6"/>
  <c r="FR79" i="6"/>
  <c r="ER105" i="6"/>
  <c r="EN105" i="6"/>
  <c r="EO105" i="6"/>
  <c r="DE105" i="6"/>
  <c r="BK105" i="6"/>
  <c r="FM105" i="6"/>
  <c r="FN105" i="6"/>
  <c r="DR105" i="6"/>
  <c r="EU105" i="6" s="1"/>
  <c r="DS105" i="6"/>
  <c r="EV105" i="6" s="1"/>
  <c r="DT105" i="6"/>
  <c r="FZ105" i="6" s="1"/>
  <c r="DK108" i="6"/>
  <c r="EN108" i="6" s="1"/>
  <c r="DN108" i="6"/>
  <c r="EQ108" i="6" s="1"/>
  <c r="DF108" i="6"/>
  <c r="EI108" i="6" s="1"/>
  <c r="FM108" i="6"/>
  <c r="BK81" i="6"/>
  <c r="DE81" i="6"/>
  <c r="EJ81" i="6"/>
  <c r="FM81" i="6"/>
  <c r="EK81" i="6"/>
  <c r="FN81" i="6"/>
  <c r="FX17" i="6"/>
  <c r="EU17" i="6"/>
  <c r="FT17" i="6"/>
  <c r="EQ17" i="6"/>
  <c r="ER17" i="6"/>
  <c r="FU17" i="6"/>
  <c r="EP17" i="6"/>
  <c r="FS17" i="6"/>
  <c r="FZ35" i="6"/>
  <c r="DM35" i="6"/>
  <c r="EP35" i="6" s="1"/>
  <c r="DH35" i="6"/>
  <c r="EK35" i="6" s="1"/>
  <c r="DI35" i="6"/>
  <c r="EL35" i="6" s="1"/>
  <c r="FU35" i="6"/>
  <c r="FV35" i="6"/>
  <c r="DP69" i="6"/>
  <c r="ES69" i="6" s="1"/>
  <c r="DM69" i="6"/>
  <c r="EP69" i="6" s="1"/>
  <c r="BK69" i="6"/>
  <c r="DE69" i="6"/>
  <c r="FO69" i="6"/>
  <c r="FR69" i="6"/>
  <c r="EV13" i="6"/>
  <c r="FY13" i="6"/>
  <c r="FL13" i="6"/>
  <c r="EI13" i="6"/>
  <c r="FM13" i="6"/>
  <c r="EJ13" i="6"/>
  <c r="EK13" i="6"/>
  <c r="FN13" i="6"/>
  <c r="DM106" i="6"/>
  <c r="EP106" i="6" s="1"/>
  <c r="DF106" i="6"/>
  <c r="EI106" i="6" s="1"/>
  <c r="BK106" i="6"/>
  <c r="DE106" i="6"/>
  <c r="FK106" i="6" s="1"/>
  <c r="FP106" i="6"/>
  <c r="FZ44" i="6"/>
  <c r="EM44" i="6"/>
  <c r="FP44" i="6"/>
  <c r="EH44" i="6"/>
  <c r="FK44" i="6"/>
  <c r="ES44" i="6"/>
  <c r="FV44" i="6"/>
  <c r="FL34" i="6"/>
  <c r="DG34" i="6"/>
  <c r="EJ34" i="6" s="1"/>
  <c r="DK34" i="6"/>
  <c r="EN34" i="6" s="1"/>
  <c r="FO34" i="6"/>
  <c r="FU34" i="6"/>
  <c r="FR34" i="6"/>
  <c r="EV88" i="6"/>
  <c r="FY88" i="6"/>
  <c r="FL88" i="6"/>
  <c r="EI88" i="6"/>
  <c r="ER88" i="6"/>
  <c r="FU88" i="6"/>
  <c r="EK88" i="6"/>
  <c r="FN88" i="6"/>
  <c r="FX36" i="6"/>
  <c r="EU36" i="6"/>
  <c r="DL36" i="6"/>
  <c r="EO36" i="6" s="1"/>
  <c r="DJ36" i="6"/>
  <c r="EM36" i="6" s="1"/>
  <c r="DF36" i="6"/>
  <c r="EI36" i="6" s="1"/>
  <c r="FT36" i="6"/>
  <c r="FM36" i="6"/>
  <c r="DK67" i="6"/>
  <c r="DO67" i="6"/>
  <c r="DG67" i="6"/>
  <c r="FM67" i="6" s="1"/>
  <c r="FV67" i="6"/>
  <c r="ET75" i="6"/>
  <c r="FW75" i="6"/>
  <c r="EL75" i="6"/>
  <c r="FO75" i="6"/>
  <c r="FU75" i="6"/>
  <c r="ER75" i="6"/>
  <c r="EO75" i="6"/>
  <c r="FR75" i="6"/>
  <c r="EV58" i="6"/>
  <c r="FY58" i="6"/>
  <c r="DK58" i="6"/>
  <c r="EN58" i="6" s="1"/>
  <c r="ER58" i="6"/>
  <c r="FU58" i="6"/>
  <c r="EO58" i="6"/>
  <c r="FR58" i="6"/>
  <c r="ER6" i="6"/>
  <c r="EO6" i="6"/>
  <c r="EJ6" i="6"/>
  <c r="BK6" i="6"/>
  <c r="DE6" i="6"/>
  <c r="FK6" i="6" s="1"/>
  <c r="FQ6" i="6"/>
  <c r="EU6" i="6"/>
  <c r="DG49" i="6"/>
  <c r="EJ49" i="6" s="1"/>
  <c r="DI49" i="6"/>
  <c r="EL49" i="6" s="1"/>
  <c r="DF49" i="6"/>
  <c r="EI49" i="6" s="1"/>
  <c r="FT49" i="6"/>
  <c r="FM49" i="6"/>
  <c r="FZ110" i="6"/>
  <c r="DH110" i="6"/>
  <c r="DO110" i="6"/>
  <c r="DG110" i="6"/>
  <c r="FM110" i="6" s="1"/>
  <c r="FP110" i="6"/>
  <c r="DM37" i="6"/>
  <c r="EP37" i="6" s="1"/>
  <c r="DP37" i="6"/>
  <c r="ES37" i="6" s="1"/>
  <c r="DK37" i="6"/>
  <c r="EN37" i="6" s="1"/>
  <c r="FO37" i="6"/>
  <c r="EL66" i="6"/>
  <c r="EQ66" i="6"/>
  <c r="EI66" i="6"/>
  <c r="FQ66" i="6"/>
  <c r="FN66" i="6"/>
  <c r="DR66" i="6"/>
  <c r="DS66" i="6"/>
  <c r="FY66" i="6" s="1"/>
  <c r="DT66" i="6"/>
  <c r="BL9" i="3" s="1"/>
  <c r="CO9" i="3" s="1"/>
  <c r="EU74" i="6"/>
  <c r="FX74" i="6"/>
  <c r="EQ74" i="6"/>
  <c r="FT74" i="6"/>
  <c r="EJ74" i="6"/>
  <c r="FM74" i="6"/>
  <c r="FS74" i="6"/>
  <c r="EP74" i="6"/>
  <c r="FZ57" i="6"/>
  <c r="DJ57" i="6"/>
  <c r="EM57" i="6" s="1"/>
  <c r="DF57" i="6"/>
  <c r="EI57" i="6" s="1"/>
  <c r="FT57" i="6"/>
  <c r="EQ57" i="6"/>
  <c r="FM57" i="6"/>
  <c r="EP57" i="6"/>
  <c r="FS57" i="6"/>
  <c r="FZ25" i="6"/>
  <c r="DN25" i="6"/>
  <c r="EQ25" i="6" s="1"/>
  <c r="DL25" i="6"/>
  <c r="EO25" i="6" s="1"/>
  <c r="DE25" i="6"/>
  <c r="FK25" i="6" s="1"/>
  <c r="BK25" i="6"/>
  <c r="FP25" i="6"/>
  <c r="FU25" i="6"/>
  <c r="FV25" i="6"/>
  <c r="DP100" i="6"/>
  <c r="ES100" i="6" s="1"/>
  <c r="DN100" i="6"/>
  <c r="EQ100" i="6" s="1"/>
  <c r="DL100" i="6"/>
  <c r="EO100" i="6" s="1"/>
  <c r="ES33" i="6"/>
  <c r="EP33" i="6"/>
  <c r="EO33" i="6"/>
  <c r="DE33" i="6"/>
  <c r="BK33" i="6"/>
  <c r="FQ33" i="6"/>
  <c r="FN33" i="6"/>
  <c r="DT33" i="6"/>
  <c r="FZ33" i="6" s="1"/>
  <c r="DR33" i="6"/>
  <c r="EU33" i="6" s="1"/>
  <c r="DS33" i="6"/>
  <c r="EV33" i="6" s="1"/>
  <c r="DO78" i="6"/>
  <c r="FU78" i="6" s="1"/>
  <c r="DN78" i="6"/>
  <c r="FT78" i="6" s="1"/>
  <c r="DF78" i="6"/>
  <c r="FL78" i="6" s="1"/>
  <c r="FM78" i="6"/>
  <c r="FZ38" i="6"/>
  <c r="DJ38" i="6"/>
  <c r="EM38" i="6" s="1"/>
  <c r="DH38" i="6"/>
  <c r="EK38" i="6" s="1"/>
  <c r="DG38" i="6"/>
  <c r="EJ38" i="6" s="1"/>
  <c r="FK38" i="6"/>
  <c r="FV38" i="6"/>
  <c r="ET12" i="6"/>
  <c r="FW12" i="6"/>
  <c r="FO12" i="6"/>
  <c r="EL12" i="6"/>
  <c r="FU12" i="6"/>
  <c r="ER12" i="6"/>
  <c r="FR12" i="6"/>
  <c r="EO12" i="6"/>
  <c r="FL61" i="6"/>
  <c r="EO61" i="6"/>
  <c r="DE61" i="6"/>
  <c r="FK61" i="6" s="1"/>
  <c r="BK61" i="6"/>
  <c r="FN61" i="6"/>
  <c r="DR61" i="6"/>
  <c r="EU61" i="6" s="1"/>
  <c r="DS61" i="6"/>
  <c r="EV61" i="6" s="1"/>
  <c r="DT61" i="6"/>
  <c r="FZ61" i="6" s="1"/>
  <c r="FX26" i="6"/>
  <c r="DK26" i="6"/>
  <c r="EN26" i="6" s="1"/>
  <c r="DN26" i="6"/>
  <c r="EQ26" i="6" s="1"/>
  <c r="DF26" i="6"/>
  <c r="EI26" i="6" s="1"/>
  <c r="FM26" i="6"/>
  <c r="FZ99" i="6"/>
  <c r="DN99" i="6"/>
  <c r="EQ99" i="6" s="1"/>
  <c r="DM99" i="6"/>
  <c r="EP99" i="6" s="1"/>
  <c r="DF99" i="6"/>
  <c r="EI99" i="6" s="1"/>
  <c r="FP99" i="6"/>
  <c r="FR99" i="6"/>
  <c r="DP32" i="6"/>
  <c r="ES32" i="6" s="1"/>
  <c r="DM32" i="6"/>
  <c r="EP32" i="6" s="1"/>
  <c r="BK32" i="6"/>
  <c r="DE32" i="6"/>
  <c r="FO32" i="6"/>
  <c r="FR32" i="6"/>
  <c r="EV112" i="6"/>
  <c r="FY112" i="6"/>
  <c r="FL112" i="6"/>
  <c r="ER112" i="6"/>
  <c r="EM112" i="6"/>
  <c r="EK112" i="6"/>
  <c r="FM112" i="6"/>
  <c r="EU111" i="6"/>
  <c r="FX111" i="6"/>
  <c r="DL111" i="6"/>
  <c r="EO111" i="6" s="1"/>
  <c r="DG111" i="6"/>
  <c r="EJ111" i="6" s="1"/>
  <c r="DF111" i="6"/>
  <c r="EI111" i="6" s="1"/>
  <c r="FT111" i="6"/>
  <c r="FS111" i="6"/>
  <c r="FZ9" i="6"/>
  <c r="DM9" i="6"/>
  <c r="EP9" i="6" s="1"/>
  <c r="DK9" i="6"/>
  <c r="EN9" i="6" s="1"/>
  <c r="BK9" i="6"/>
  <c r="DE9" i="6"/>
  <c r="FK9" i="6" s="1"/>
  <c r="FP9" i="6"/>
  <c r="FR9" i="6"/>
  <c r="DP107" i="6"/>
  <c r="ES107" i="6" s="1"/>
  <c r="DL107" i="6"/>
  <c r="EO107" i="6" s="1"/>
  <c r="DG107" i="6"/>
  <c r="EJ107" i="6" s="1"/>
  <c r="FO107" i="6"/>
  <c r="EV24" i="6"/>
  <c r="FY24" i="6"/>
  <c r="EP24" i="6"/>
  <c r="EM24" i="6"/>
  <c r="EK24" i="6"/>
  <c r="FQ24" i="6"/>
  <c r="FV24" i="6"/>
  <c r="EU24" i="6"/>
  <c r="DL95" i="6"/>
  <c r="EO95" i="6" s="1"/>
  <c r="DG95" i="6"/>
  <c r="EJ95" i="6" s="1"/>
  <c r="BK95" i="6"/>
  <c r="DE95" i="6"/>
  <c r="FK95" i="6" s="1"/>
  <c r="FQ95" i="6"/>
  <c r="FM95" i="6"/>
  <c r="FS95" i="6"/>
  <c r="FZ91" i="6"/>
  <c r="DO91" i="6"/>
  <c r="ER91" i="6" s="1"/>
  <c r="DI91" i="6"/>
  <c r="EL91" i="6" s="1"/>
  <c r="DG91" i="6"/>
  <c r="EJ91" i="6" s="1"/>
  <c r="FP91" i="6"/>
  <c r="FG105" i="6"/>
  <c r="FG58" i="6"/>
  <c r="FI53" i="6"/>
  <c r="FI45" i="6"/>
  <c r="FH104" i="6"/>
  <c r="FH25" i="6"/>
  <c r="FI38" i="6"/>
  <c r="FI69" i="6"/>
  <c r="FG56" i="6"/>
  <c r="FI85" i="6"/>
  <c r="FI107" i="6"/>
  <c r="FH86" i="6"/>
  <c r="FH15" i="6"/>
  <c r="FH20" i="6"/>
  <c r="FY117" i="6"/>
  <c r="EV117" i="6"/>
  <c r="FL117" i="6"/>
  <c r="EI117" i="6"/>
  <c r="EN117" i="6"/>
  <c r="FQ117" i="6"/>
  <c r="EK117" i="6"/>
  <c r="FN117" i="6"/>
  <c r="FT101" i="6"/>
  <c r="FM101" i="6"/>
  <c r="DK68" i="6"/>
  <c r="EN68" i="6" s="1"/>
  <c r="DI68" i="6"/>
  <c r="EL68" i="6" s="1"/>
  <c r="DF68" i="6"/>
  <c r="EI68" i="6" s="1"/>
  <c r="EQ18" i="6"/>
  <c r="FR18" i="6"/>
  <c r="EI80" i="6"/>
  <c r="FU80" i="6"/>
  <c r="DS80" i="6"/>
  <c r="DR80" i="6"/>
  <c r="BK22" i="6"/>
  <c r="DE22" i="6"/>
  <c r="FT22" i="6"/>
  <c r="FS22" i="6"/>
  <c r="FZ116" i="6"/>
  <c r="DP116" i="6"/>
  <c r="ES116" i="6" s="1"/>
  <c r="DN116" i="6"/>
  <c r="EQ116" i="6" s="1"/>
  <c r="DF116" i="6"/>
  <c r="EI116" i="6" s="1"/>
  <c r="FK116" i="6"/>
  <c r="ET16" i="6"/>
  <c r="FW16" i="6"/>
  <c r="EL16" i="6"/>
  <c r="FO16" i="6"/>
  <c r="ER16" i="6"/>
  <c r="FU16" i="6"/>
  <c r="FR16" i="6"/>
  <c r="EO16" i="6"/>
  <c r="EM86" i="6"/>
  <c r="EN86" i="6"/>
  <c r="BK86" i="6"/>
  <c r="DE86" i="6"/>
  <c r="FK86" i="6" s="1"/>
  <c r="FU86" i="6"/>
  <c r="FN86" i="6"/>
  <c r="DS86" i="6"/>
  <c r="FY86" i="6" s="1"/>
  <c r="DR86" i="6"/>
  <c r="FX86" i="6" s="1"/>
  <c r="FX65" i="6"/>
  <c r="EL65" i="6"/>
  <c r="FS65" i="6"/>
  <c r="FZ79" i="6"/>
  <c r="FP79" i="6"/>
  <c r="EM79" i="6"/>
  <c r="EH79" i="6"/>
  <c r="FK79" i="6"/>
  <c r="ES79" i="6"/>
  <c r="FV79" i="6"/>
  <c r="ES108" i="6"/>
  <c r="BK108" i="6"/>
  <c r="DE108" i="6"/>
  <c r="FN108" i="6"/>
  <c r="DT108" i="6"/>
  <c r="FZ108" i="6" s="1"/>
  <c r="DR108" i="6"/>
  <c r="EU108" i="6" s="1"/>
  <c r="DS108" i="6"/>
  <c r="EV108" i="6" s="1"/>
  <c r="EU81" i="6"/>
  <c r="FX81" i="6"/>
  <c r="EL81" i="6"/>
  <c r="FO81" i="6"/>
  <c r="FU81" i="6"/>
  <c r="ER81" i="6"/>
  <c r="EO81" i="6"/>
  <c r="FR81" i="6"/>
  <c r="FY17" i="6"/>
  <c r="EV17" i="6"/>
  <c r="EI17" i="6"/>
  <c r="FL17" i="6"/>
  <c r="EN17" i="6"/>
  <c r="FQ17" i="6"/>
  <c r="EK17" i="6"/>
  <c r="FN17" i="6"/>
  <c r="EU35" i="6"/>
  <c r="FX35" i="6"/>
  <c r="EN35" i="6"/>
  <c r="FK35" i="6"/>
  <c r="FZ69" i="6"/>
  <c r="DN69" i="6"/>
  <c r="EQ69" i="6" s="1"/>
  <c r="DJ69" i="6"/>
  <c r="EM69" i="6" s="1"/>
  <c r="DH69" i="6"/>
  <c r="EK69" i="6" s="1"/>
  <c r="FK69" i="6"/>
  <c r="ET13" i="6"/>
  <c r="FW13" i="6"/>
  <c r="EL13" i="6"/>
  <c r="FO13" i="6"/>
  <c r="EN13" i="6"/>
  <c r="FQ13" i="6"/>
  <c r="EO13" i="6"/>
  <c r="FR13" i="6"/>
  <c r="ES106" i="6"/>
  <c r="FN106" i="6"/>
  <c r="DR106" i="6"/>
  <c r="EU106" i="6" s="1"/>
  <c r="DS106" i="6"/>
  <c r="EV106" i="6" s="1"/>
  <c r="DT106" i="6"/>
  <c r="FZ106" i="6" s="1"/>
  <c r="EU44" i="6"/>
  <c r="FX44" i="6"/>
  <c r="EQ44" i="6"/>
  <c r="FT44" i="6"/>
  <c r="EJ44" i="6"/>
  <c r="FM44" i="6"/>
  <c r="EP44" i="6"/>
  <c r="FS44" i="6"/>
  <c r="FZ34" i="6"/>
  <c r="DP34" i="6"/>
  <c r="ES34" i="6" s="1"/>
  <c r="DM34" i="6"/>
  <c r="EP34" i="6" s="1"/>
  <c r="DJ34" i="6"/>
  <c r="EM34" i="6" s="1"/>
  <c r="ET88" i="6"/>
  <c r="FW88" i="6"/>
  <c r="EL88" i="6"/>
  <c r="FO88" i="6"/>
  <c r="FQ88" i="6"/>
  <c r="EN88" i="6"/>
  <c r="EO88" i="6"/>
  <c r="FR88" i="6"/>
  <c r="FY36" i="6"/>
  <c r="EV36" i="6"/>
  <c r="ES36" i="6"/>
  <c r="BK36" i="6"/>
  <c r="DE36" i="6"/>
  <c r="FN36" i="6"/>
  <c r="FX67" i="6"/>
  <c r="EI67" i="6"/>
  <c r="FT67" i="6"/>
  <c r="FS67" i="6"/>
  <c r="FZ75" i="6"/>
  <c r="FP75" i="6"/>
  <c r="EM75" i="6"/>
  <c r="EH75" i="6"/>
  <c r="FK75" i="6"/>
  <c r="FV75" i="6"/>
  <c r="ES75" i="6"/>
  <c r="DJ58" i="6"/>
  <c r="EM58" i="6" s="1"/>
  <c r="DG58" i="6"/>
  <c r="EJ58" i="6" s="1"/>
  <c r="ES58" i="6"/>
  <c r="FV58" i="6"/>
  <c r="FY6" i="6"/>
  <c r="EV6" i="6"/>
  <c r="FL6" i="6"/>
  <c r="DE49" i="6"/>
  <c r="BK49" i="6"/>
  <c r="FQ49" i="6"/>
  <c r="FN49" i="6"/>
  <c r="DT49" i="6"/>
  <c r="FZ49" i="6" s="1"/>
  <c r="DR49" i="6"/>
  <c r="EU49" i="6" s="1"/>
  <c r="DS49" i="6"/>
  <c r="EV49" i="6" s="1"/>
  <c r="FR110" i="6"/>
  <c r="EO110" i="6"/>
  <c r="EM110" i="6"/>
  <c r="BK110" i="6"/>
  <c r="DE110" i="6"/>
  <c r="FZ37" i="6"/>
  <c r="DH37" i="6"/>
  <c r="EK37" i="6" s="1"/>
  <c r="DO37" i="6"/>
  <c r="ER37" i="6" s="1"/>
  <c r="DG37" i="6"/>
  <c r="EJ37" i="6" s="1"/>
  <c r="FV37" i="6"/>
  <c r="EP66" i="6"/>
  <c r="FR66" i="6"/>
  <c r="EV74" i="6"/>
  <c r="FY74" i="6"/>
  <c r="EI74" i="6"/>
  <c r="FL74" i="6"/>
  <c r="FQ74" i="6"/>
  <c r="EN74" i="6"/>
  <c r="FN74" i="6"/>
  <c r="EK74" i="6"/>
  <c r="EU57" i="6"/>
  <c r="FX57" i="6"/>
  <c r="FQ57" i="6"/>
  <c r="FN57" i="6"/>
  <c r="EL25" i="6"/>
  <c r="DK100" i="6"/>
  <c r="EN100" i="6" s="1"/>
  <c r="DI100" i="6"/>
  <c r="EL100" i="6" s="1"/>
  <c r="DG100" i="6"/>
  <c r="EJ100" i="6" s="1"/>
  <c r="FP100" i="6"/>
  <c r="FU100" i="6"/>
  <c r="FL33" i="6"/>
  <c r="FO33" i="6"/>
  <c r="FU33" i="6"/>
  <c r="FS78" i="6"/>
  <c r="EP78" i="6"/>
  <c r="EO78" i="6"/>
  <c r="BK78" i="6"/>
  <c r="DE78" i="6"/>
  <c r="FN78" i="6"/>
  <c r="DR78" i="6"/>
  <c r="DS78" i="6"/>
  <c r="EU38" i="6"/>
  <c r="FX38" i="6"/>
  <c r="EI38" i="6"/>
  <c r="FZ12" i="6"/>
  <c r="EM12" i="6"/>
  <c r="FP12" i="6"/>
  <c r="EH12" i="6"/>
  <c r="FK12" i="6"/>
  <c r="FV12" i="6"/>
  <c r="ES12" i="6"/>
  <c r="FO61" i="6"/>
  <c r="FY26" i="6"/>
  <c r="EV26" i="6"/>
  <c r="BK26" i="6"/>
  <c r="DE26" i="6"/>
  <c r="FK26" i="6" s="1"/>
  <c r="FN26" i="6"/>
  <c r="FX99" i="6"/>
  <c r="DE99" i="6"/>
  <c r="FK99" i="6" s="1"/>
  <c r="BK99" i="6"/>
  <c r="FV99" i="6"/>
  <c r="FZ32" i="6"/>
  <c r="DN32" i="6"/>
  <c r="EQ32" i="6" s="1"/>
  <c r="DJ32" i="6"/>
  <c r="EM32" i="6" s="1"/>
  <c r="DH32" i="6"/>
  <c r="EK32" i="6" s="1"/>
  <c r="FK32" i="6"/>
  <c r="ES112" i="6"/>
  <c r="FY111" i="6"/>
  <c r="EV111" i="6"/>
  <c r="BK111" i="6"/>
  <c r="DE111" i="6"/>
  <c r="EM111" i="6"/>
  <c r="FQ111" i="6"/>
  <c r="EU9" i="6"/>
  <c r="FX9" i="6"/>
  <c r="FT9" i="6"/>
  <c r="FM9" i="6"/>
  <c r="FZ107" i="6"/>
  <c r="DO107" i="6"/>
  <c r="ER107" i="6" s="1"/>
  <c r="DK107" i="6"/>
  <c r="EN107" i="6" s="1"/>
  <c r="BK107" i="6"/>
  <c r="DE107" i="6"/>
  <c r="FP107" i="6"/>
  <c r="FL24" i="6"/>
  <c r="FO24" i="6"/>
  <c r="EI95" i="6"/>
  <c r="FT95" i="6"/>
  <c r="DR95" i="6"/>
  <c r="EU95" i="6" s="1"/>
  <c r="DS95" i="6"/>
  <c r="EV95" i="6" s="1"/>
  <c r="DT95" i="6"/>
  <c r="FZ95" i="6" s="1"/>
  <c r="EI91" i="6"/>
  <c r="FZ15" i="6"/>
  <c r="DO15" i="6"/>
  <c r="ER15" i="6" s="1"/>
  <c r="DI15" i="6"/>
  <c r="EL15" i="6" s="1"/>
  <c r="DG15" i="6"/>
  <c r="EJ15" i="6" s="1"/>
  <c r="FK15" i="6"/>
  <c r="FV15" i="6"/>
  <c r="ET29" i="6"/>
  <c r="FW29" i="6"/>
  <c r="EL29" i="6"/>
  <c r="FO29" i="6"/>
  <c r="ER29" i="6"/>
  <c r="FU29" i="6"/>
  <c r="EO29" i="6"/>
  <c r="FR29" i="6"/>
  <c r="FY8" i="6"/>
  <c r="EV8" i="6"/>
  <c r="ES8" i="6"/>
  <c r="EM8" i="6"/>
  <c r="BK8" i="6"/>
  <c r="DE8" i="6"/>
  <c r="FN8" i="6"/>
  <c r="FZ28" i="6"/>
  <c r="DO28" i="6"/>
  <c r="ER28" i="6" s="1"/>
  <c r="DJ28" i="6"/>
  <c r="EM28" i="6" s="1"/>
  <c r="DK28" i="6"/>
  <c r="EN28" i="6" s="1"/>
  <c r="EP19" i="6"/>
  <c r="ER89" i="6"/>
  <c r="FL20" i="6"/>
  <c r="EO20" i="6"/>
  <c r="EP20" i="6"/>
  <c r="DE20" i="6"/>
  <c r="FK20" i="6" s="1"/>
  <c r="BK20" i="6"/>
  <c r="FQ20" i="6"/>
  <c r="FN20" i="6"/>
  <c r="DR20" i="6"/>
  <c r="EU20" i="6" s="1"/>
  <c r="DS20" i="6"/>
  <c r="EV20" i="6" s="1"/>
  <c r="FX28" i="6"/>
  <c r="DG28" i="6"/>
  <c r="EJ28" i="6" s="1"/>
  <c r="DI28" i="6"/>
  <c r="EL28" i="6" s="1"/>
  <c r="DF28" i="6"/>
  <c r="EI28" i="6" s="1"/>
  <c r="FT28" i="6"/>
  <c r="ER19" i="6"/>
  <c r="FP19" i="6"/>
  <c r="FV19" i="6"/>
  <c r="EV89" i="6"/>
  <c r="FY89" i="6"/>
  <c r="DL89" i="6"/>
  <c r="DJ89" i="6"/>
  <c r="DH89" i="6"/>
  <c r="FO89" i="6"/>
  <c r="FL56" i="6"/>
  <c r="EP56" i="6"/>
  <c r="EJ56" i="6"/>
  <c r="FQ56" i="6"/>
  <c r="FN56" i="6"/>
  <c r="FZ21" i="6"/>
  <c r="FT21" i="6"/>
  <c r="EQ21" i="6"/>
  <c r="FM21" i="6"/>
  <c r="EJ21" i="6"/>
  <c r="FS21" i="6"/>
  <c r="EP21" i="6"/>
  <c r="EU70" i="6"/>
  <c r="FX70" i="6"/>
  <c r="EM70" i="6"/>
  <c r="FP70" i="6"/>
  <c r="ER70" i="6"/>
  <c r="FU70" i="6"/>
  <c r="FV70" i="6"/>
  <c r="ES70" i="6"/>
  <c r="EV76" i="6"/>
  <c r="FY76" i="6"/>
  <c r="DM76" i="6"/>
  <c r="EP76" i="6" s="1"/>
  <c r="DK76" i="6"/>
  <c r="EN76" i="6" s="1"/>
  <c r="DI76" i="6"/>
  <c r="EL76" i="6" s="1"/>
  <c r="FK76" i="6"/>
  <c r="EQ27" i="6"/>
  <c r="FQ27" i="6"/>
  <c r="FZ7" i="6"/>
  <c r="DI7" i="6"/>
  <c r="EL7" i="6" s="1"/>
  <c r="DG7" i="6"/>
  <c r="EJ7" i="6" s="1"/>
  <c r="BK7" i="6"/>
  <c r="DE7" i="6"/>
  <c r="FK7" i="6" s="1"/>
  <c r="FS7" i="6"/>
  <c r="EJ43" i="6"/>
  <c r="FU43" i="6"/>
  <c r="FV43" i="6"/>
  <c r="DP14" i="6"/>
  <c r="FV14" i="6" s="1"/>
  <c r="DH14" i="6"/>
  <c r="EK14" i="6" s="1"/>
  <c r="DJ14" i="6"/>
  <c r="EM14" i="6" s="1"/>
  <c r="FO14" i="6"/>
  <c r="FL31" i="6"/>
  <c r="EL31" i="6"/>
  <c r="BK31" i="6"/>
  <c r="DE31" i="6"/>
  <c r="FQ31" i="6"/>
  <c r="FN31" i="6"/>
  <c r="DO71" i="6"/>
  <c r="ER71" i="6" s="1"/>
  <c r="DM71" i="6"/>
  <c r="EP71" i="6" s="1"/>
  <c r="DF71" i="6"/>
  <c r="EI71" i="6" s="1"/>
  <c r="FT71" i="6"/>
  <c r="FU71" i="6"/>
  <c r="FS71" i="6"/>
  <c r="EL96" i="6"/>
  <c r="FP96" i="6"/>
  <c r="FU96" i="6"/>
  <c r="FV96" i="6"/>
  <c r="DO85" i="6"/>
  <c r="ER85" i="6" s="1"/>
  <c r="DL85" i="6"/>
  <c r="EO85" i="6" s="1"/>
  <c r="DH85" i="6"/>
  <c r="EK85" i="6" s="1"/>
  <c r="FL23" i="6"/>
  <c r="EP23" i="6"/>
  <c r="EQ23" i="6"/>
  <c r="DE23" i="6"/>
  <c r="BK23" i="6"/>
  <c r="FQ23" i="6"/>
  <c r="FZ42" i="6"/>
  <c r="DL42" i="6"/>
  <c r="EO42" i="6" s="1"/>
  <c r="DG42" i="6"/>
  <c r="EJ42" i="6" s="1"/>
  <c r="DF42" i="6"/>
  <c r="EI42" i="6" s="1"/>
  <c r="FS42" i="6"/>
  <c r="EU39" i="6"/>
  <c r="FX39" i="6"/>
  <c r="FP39" i="6"/>
  <c r="EM39" i="6"/>
  <c r="EH39" i="6"/>
  <c r="FK39" i="6"/>
  <c r="ES39" i="6"/>
  <c r="FV39" i="6"/>
  <c r="EV82" i="6"/>
  <c r="FY82" i="6"/>
  <c r="DL82" i="6"/>
  <c r="EO82" i="6" s="1"/>
  <c r="DK82" i="6"/>
  <c r="EN82" i="6" s="1"/>
  <c r="DJ82" i="6"/>
  <c r="EM82" i="6" s="1"/>
  <c r="FO82" i="6"/>
  <c r="FL11" i="6"/>
  <c r="EJ11" i="6"/>
  <c r="FQ11" i="6"/>
  <c r="DT11" i="6"/>
  <c r="FZ11" i="6" s="1"/>
  <c r="DR11" i="6"/>
  <c r="EU11" i="6" s="1"/>
  <c r="DS11" i="6"/>
  <c r="EV11" i="6" s="1"/>
  <c r="DN50" i="6"/>
  <c r="EQ50" i="6" s="1"/>
  <c r="DI50" i="6"/>
  <c r="EL50" i="6" s="1"/>
  <c r="DF50" i="6"/>
  <c r="EI50" i="6" s="1"/>
  <c r="FP50" i="6"/>
  <c r="FM50" i="6"/>
  <c r="EU113" i="6"/>
  <c r="FX113" i="6"/>
  <c r="DK113" i="6"/>
  <c r="EN113" i="6" s="1"/>
  <c r="DH113" i="6"/>
  <c r="EK113" i="6" s="1"/>
  <c r="FP113" i="6"/>
  <c r="EP113" i="6"/>
  <c r="FS113" i="6"/>
  <c r="EU87" i="6"/>
  <c r="FX87" i="6"/>
  <c r="EN87" i="6"/>
  <c r="FQ87" i="6"/>
  <c r="ES87" i="6"/>
  <c r="FV87" i="6"/>
  <c r="FZ90" i="6"/>
  <c r="DM90" i="6"/>
  <c r="DH90" i="6"/>
  <c r="DF90" i="6"/>
  <c r="FL90" i="6" s="1"/>
  <c r="FT90" i="6"/>
  <c r="EU92" i="6"/>
  <c r="FX92" i="6"/>
  <c r="FP92" i="6"/>
  <c r="EM92" i="6"/>
  <c r="FK92" i="6"/>
  <c r="EH92" i="6"/>
  <c r="FV92" i="6"/>
  <c r="ES92" i="6"/>
  <c r="FY53" i="6"/>
  <c r="EV53" i="6"/>
  <c r="DJ53" i="6"/>
  <c r="EM53" i="6" s="1"/>
  <c r="DF53" i="6"/>
  <c r="EI53" i="6" s="1"/>
  <c r="FS53" i="6"/>
  <c r="EP53" i="6"/>
  <c r="ER72" i="6"/>
  <c r="EJ72" i="6"/>
  <c r="FP72" i="6"/>
  <c r="FV72" i="6"/>
  <c r="DP48" i="6"/>
  <c r="ES48" i="6" s="1"/>
  <c r="DH48" i="6"/>
  <c r="EK48" i="6" s="1"/>
  <c r="DL48" i="6"/>
  <c r="EO48" i="6" s="1"/>
  <c r="FO48" i="6"/>
  <c r="EL60" i="6"/>
  <c r="EQ60" i="6"/>
  <c r="DE60" i="6"/>
  <c r="FK60" i="6" s="1"/>
  <c r="BK60" i="6"/>
  <c r="FQ60" i="6"/>
  <c r="FN60" i="6"/>
  <c r="DT60" i="6"/>
  <c r="FZ60" i="6" s="1"/>
  <c r="DR60" i="6"/>
  <c r="EU60" i="6" s="1"/>
  <c r="DS60" i="6"/>
  <c r="EV60" i="6" s="1"/>
  <c r="DJ45" i="6"/>
  <c r="EM45" i="6" s="1"/>
  <c r="DM45" i="6"/>
  <c r="EP45" i="6" s="1"/>
  <c r="DF45" i="6"/>
  <c r="EI45" i="6" s="1"/>
  <c r="BK41" i="6"/>
  <c r="DE41" i="6"/>
  <c r="FK41" i="6" s="1"/>
  <c r="DP47" i="6"/>
  <c r="ES47" i="6" s="1"/>
  <c r="DK47" i="6"/>
  <c r="EN47" i="6" s="1"/>
  <c r="DI47" i="6"/>
  <c r="EL47" i="6" s="1"/>
  <c r="FR47" i="6"/>
  <c r="FL54" i="6"/>
  <c r="DE54" i="6"/>
  <c r="FK54" i="6" s="1"/>
  <c r="BK54" i="6"/>
  <c r="FP54" i="6"/>
  <c r="ES54" i="6"/>
  <c r="FV54" i="6"/>
  <c r="DP55" i="6"/>
  <c r="ES55" i="6" s="1"/>
  <c r="DO55" i="6"/>
  <c r="ER55" i="6" s="1"/>
  <c r="DJ55" i="6"/>
  <c r="EM55" i="6" s="1"/>
  <c r="FR55" i="6"/>
  <c r="EP98" i="6"/>
  <c r="BK98" i="6"/>
  <c r="DE98" i="6"/>
  <c r="FK98" i="6" s="1"/>
  <c r="FU98" i="6"/>
  <c r="FN98" i="6"/>
  <c r="DT98" i="6"/>
  <c r="FZ98" i="6" s="1"/>
  <c r="DR98" i="6"/>
  <c r="EU98" i="6" s="1"/>
  <c r="DS98" i="6"/>
  <c r="EV98" i="6" s="1"/>
  <c r="EU84" i="6"/>
  <c r="FX84" i="6"/>
  <c r="EQ84" i="6"/>
  <c r="FT84" i="6"/>
  <c r="EJ84" i="6"/>
  <c r="FM84" i="6"/>
  <c r="EP84" i="6"/>
  <c r="FS84" i="6"/>
  <c r="EN62" i="6"/>
  <c r="EL62" i="6"/>
  <c r="FP62" i="6"/>
  <c r="FV62" i="6"/>
  <c r="FY40" i="6"/>
  <c r="EV40" i="6"/>
  <c r="DP40" i="6"/>
  <c r="ES40" i="6" s="1"/>
  <c r="DI40" i="6"/>
  <c r="EL40" i="6" s="1"/>
  <c r="DK40" i="6"/>
  <c r="EN40" i="6" s="1"/>
  <c r="FR40" i="6"/>
  <c r="EO94" i="6"/>
  <c r="EP94" i="6"/>
  <c r="DE94" i="6"/>
  <c r="FK94" i="6" s="1"/>
  <c r="BK94" i="6"/>
  <c r="FU94" i="6"/>
  <c r="DR94" i="6"/>
  <c r="EU94" i="6" s="1"/>
  <c r="DS94" i="6"/>
  <c r="EV94" i="6" s="1"/>
  <c r="DT94" i="6"/>
  <c r="FZ94" i="6" s="1"/>
  <c r="EU52" i="6"/>
  <c r="FX52" i="6"/>
  <c r="DJ52" i="6"/>
  <c r="EM52" i="6" s="1"/>
  <c r="FO52" i="6"/>
  <c r="EN52" i="6"/>
  <c r="FQ52" i="6"/>
  <c r="FR52" i="6"/>
  <c r="EO52" i="6"/>
  <c r="BK51" i="6"/>
  <c r="DE51" i="6"/>
  <c r="FK51" i="6" s="1"/>
  <c r="FU51" i="6"/>
  <c r="FN51" i="6"/>
  <c r="DR51" i="6"/>
  <c r="EU51" i="6" s="1"/>
  <c r="DS51" i="6"/>
  <c r="EV51" i="6" s="1"/>
  <c r="DT51" i="6"/>
  <c r="FZ51" i="6" s="1"/>
  <c r="DL97" i="6"/>
  <c r="EO97" i="6" s="1"/>
  <c r="DK97" i="6"/>
  <c r="EN97" i="6" s="1"/>
  <c r="DF97" i="6"/>
  <c r="EI97" i="6" s="1"/>
  <c r="FO83" i="6"/>
  <c r="EL83" i="6"/>
  <c r="FK83" i="6"/>
  <c r="EH83" i="6"/>
  <c r="FV83" i="6"/>
  <c r="ES83" i="6"/>
  <c r="FY77" i="6"/>
  <c r="EV77" i="6"/>
  <c r="DP77" i="6"/>
  <c r="ES77" i="6" s="1"/>
  <c r="DI77" i="6"/>
  <c r="EL77" i="6" s="1"/>
  <c r="DJ77" i="6"/>
  <c r="EM77" i="6" s="1"/>
  <c r="FU77" i="6"/>
  <c r="FR77" i="6"/>
  <c r="ET93" i="6"/>
  <c r="FW93" i="6"/>
  <c r="FL93" i="6"/>
  <c r="EI93" i="6"/>
  <c r="FT93" i="6"/>
  <c r="EQ93" i="6"/>
  <c r="EK93" i="6"/>
  <c r="FN93" i="6"/>
  <c r="EU30" i="6"/>
  <c r="FX30" i="6"/>
  <c r="EQ30" i="6"/>
  <c r="FT30" i="6"/>
  <c r="FM30" i="6"/>
  <c r="EJ30" i="6"/>
  <c r="EP30" i="6"/>
  <c r="FS30" i="6"/>
  <c r="EM104" i="6"/>
  <c r="FT104" i="6"/>
  <c r="EQ104" i="6"/>
  <c r="FN104" i="6"/>
  <c r="DL109" i="6"/>
  <c r="EO109" i="6" s="1"/>
  <c r="DF109" i="6"/>
  <c r="EI109" i="6" s="1"/>
  <c r="DG109" i="6"/>
  <c r="EJ109" i="6" s="1"/>
  <c r="FS109" i="6"/>
  <c r="EO114" i="6"/>
  <c r="FV114" i="6"/>
  <c r="DP46" i="6"/>
  <c r="ES46" i="6" s="1"/>
  <c r="DK46" i="6"/>
  <c r="EN46" i="6" s="1"/>
  <c r="BK46" i="6"/>
  <c r="DE46" i="6"/>
  <c r="FK46" i="6" s="1"/>
  <c r="FO46" i="6"/>
  <c r="FU46" i="6"/>
  <c r="ER63" i="6"/>
  <c r="EP63" i="6"/>
  <c r="BK63" i="6"/>
  <c r="DE63" i="6"/>
  <c r="FK63" i="6" s="1"/>
  <c r="EJ63" i="6"/>
  <c r="FN63" i="6"/>
  <c r="DT63" i="6"/>
  <c r="FZ63" i="6" s="1"/>
  <c r="DR63" i="6"/>
  <c r="EU63" i="6" s="1"/>
  <c r="DS63" i="6"/>
  <c r="EV63" i="6" s="1"/>
  <c r="DJ103" i="6"/>
  <c r="EM103" i="6" s="1"/>
  <c r="DL103" i="6"/>
  <c r="EO103" i="6" s="1"/>
  <c r="DF103" i="6"/>
  <c r="EI103" i="6" s="1"/>
  <c r="FT103" i="6"/>
  <c r="FM103" i="6"/>
  <c r="EJ10" i="6"/>
  <c r="FO10" i="6"/>
  <c r="DM115" i="6"/>
  <c r="EP115" i="6" s="1"/>
  <c r="DK115" i="6"/>
  <c r="EN115" i="6" s="1"/>
  <c r="FU115" i="6"/>
  <c r="FR115" i="6"/>
  <c r="EQ102" i="6"/>
  <c r="EL102" i="6"/>
  <c r="BK102" i="6"/>
  <c r="DE102" i="6"/>
  <c r="FK102" i="6" s="1"/>
  <c r="FQ102" i="6"/>
  <c r="FN102" i="6"/>
  <c r="DT102" i="6"/>
  <c r="FZ102" i="6" s="1"/>
  <c r="DR102" i="6"/>
  <c r="EU102" i="6" s="1"/>
  <c r="DS102" i="6"/>
  <c r="EV102" i="6" s="1"/>
  <c r="DG73" i="6"/>
  <c r="EJ73" i="6" s="1"/>
  <c r="DL73" i="6"/>
  <c r="EO73" i="6" s="1"/>
  <c r="DF73" i="6"/>
  <c r="EI73" i="6" s="1"/>
  <c r="FT73" i="6"/>
  <c r="FS73" i="6"/>
  <c r="EO59" i="6"/>
  <c r="FP59" i="6"/>
  <c r="DH64" i="6"/>
  <c r="EK64" i="6" s="1"/>
  <c r="FO64" i="6"/>
  <c r="FU64" i="6"/>
  <c r="FR64" i="6"/>
  <c r="FR60" i="6"/>
  <c r="BK45" i="6"/>
  <c r="DE45" i="6"/>
  <c r="FK45" i="6" s="1"/>
  <c r="FQ45" i="6"/>
  <c r="DR45" i="6"/>
  <c r="EU45" i="6" s="1"/>
  <c r="DS45" i="6"/>
  <c r="EV45" i="6" s="1"/>
  <c r="DT45" i="6"/>
  <c r="FZ45" i="6" s="1"/>
  <c r="BK47" i="6"/>
  <c r="DE47" i="6"/>
  <c r="EV54" i="6"/>
  <c r="FY54" i="6"/>
  <c r="FT54" i="6"/>
  <c r="EQ54" i="6"/>
  <c r="FS54" i="6"/>
  <c r="EP54" i="6"/>
  <c r="FR98" i="6"/>
  <c r="ET84" i="6"/>
  <c r="FW84" i="6"/>
  <c r="FL84" i="6"/>
  <c r="EI84" i="6"/>
  <c r="FU84" i="6"/>
  <c r="ER84" i="6"/>
  <c r="EK84" i="6"/>
  <c r="FN84" i="6"/>
  <c r="BK62" i="6"/>
  <c r="DE62" i="6"/>
  <c r="FP40" i="6"/>
  <c r="FO94" i="6"/>
  <c r="FQ94" i="6"/>
  <c r="ES52" i="6"/>
  <c r="FV52" i="6"/>
  <c r="FO51" i="6"/>
  <c r="DE97" i="6"/>
  <c r="FK97" i="6" s="1"/>
  <c r="BK97" i="6"/>
  <c r="FN97" i="6"/>
  <c r="DT97" i="6"/>
  <c r="FZ97" i="6" s="1"/>
  <c r="DR97" i="6"/>
  <c r="EU97" i="6" s="1"/>
  <c r="DS97" i="6"/>
  <c r="EV97" i="6" s="1"/>
  <c r="FX83" i="6"/>
  <c r="EU83" i="6"/>
  <c r="FP83" i="6"/>
  <c r="EM83" i="6"/>
  <c r="FM83" i="6"/>
  <c r="EJ83" i="6"/>
  <c r="EP83" i="6"/>
  <c r="FS83" i="6"/>
  <c r="EV93" i="6"/>
  <c r="FY93" i="6"/>
  <c r="EN93" i="6"/>
  <c r="FQ93" i="6"/>
  <c r="FU93" i="6"/>
  <c r="ER93" i="6"/>
  <c r="FR93" i="6"/>
  <c r="EO93" i="6"/>
  <c r="FW30" i="6"/>
  <c r="ET30" i="6"/>
  <c r="FL30" i="6"/>
  <c r="EI30" i="6"/>
  <c r="FQ30" i="6"/>
  <c r="EN30" i="6"/>
  <c r="FN30" i="6"/>
  <c r="EK30" i="6"/>
  <c r="FX104" i="6"/>
  <c r="EU104" i="6"/>
  <c r="EN104" i="6"/>
  <c r="FQ104" i="6"/>
  <c r="FU104" i="6"/>
  <c r="ER104" i="6"/>
  <c r="FR104" i="6"/>
  <c r="EO104" i="6"/>
  <c r="DE109" i="6"/>
  <c r="FK109" i="6" s="1"/>
  <c r="BK109" i="6"/>
  <c r="FQ109" i="6"/>
  <c r="DS109" i="6"/>
  <c r="EV109" i="6" s="1"/>
  <c r="DT109" i="6"/>
  <c r="FZ109" i="6" s="1"/>
  <c r="DR109" i="6"/>
  <c r="EU109" i="6" s="1"/>
  <c r="DE103" i="6"/>
  <c r="FK103" i="6" s="1"/>
  <c r="BK103" i="6"/>
  <c r="DS103" i="6"/>
  <c r="FY103" i="6" s="1"/>
  <c r="DT103" i="6"/>
  <c r="FZ103" i="6" s="1"/>
  <c r="DR103" i="6"/>
  <c r="FP10" i="6"/>
  <c r="FS10" i="6"/>
  <c r="FV115" i="6"/>
  <c r="FU102" i="6"/>
  <c r="FR102" i="6"/>
  <c r="BK73" i="6"/>
  <c r="DE73" i="6"/>
  <c r="FK73" i="6" s="1"/>
  <c r="FQ73" i="6"/>
  <c r="FN73" i="6"/>
  <c r="DS73" i="6"/>
  <c r="EV73" i="6" s="1"/>
  <c r="DT73" i="6"/>
  <c r="FZ73" i="6" s="1"/>
  <c r="DR73" i="6"/>
  <c r="EU73" i="6" s="1"/>
  <c r="EI59" i="6"/>
  <c r="FS59" i="6"/>
  <c r="FP64" i="6"/>
  <c r="FV64" i="6"/>
  <c r="FK91" i="6"/>
  <c r="FV91" i="6"/>
  <c r="DJ15" i="6"/>
  <c r="EM15" i="6" s="1"/>
  <c r="DL15" i="6"/>
  <c r="EO15" i="6" s="1"/>
  <c r="EV29" i="6"/>
  <c r="FY29" i="6"/>
  <c r="EI29" i="6"/>
  <c r="FL29" i="6"/>
  <c r="FQ29" i="6"/>
  <c r="EN29" i="6"/>
  <c r="FN29" i="6"/>
  <c r="EK29" i="6"/>
  <c r="EU8" i="6"/>
  <c r="FX8" i="6"/>
  <c r="DM8" i="6"/>
  <c r="EP8" i="6" s="1"/>
  <c r="DK8" i="6"/>
  <c r="EN8" i="6" s="1"/>
  <c r="DF8" i="6"/>
  <c r="EI8" i="6" s="1"/>
  <c r="FT8" i="6"/>
  <c r="FM8" i="6"/>
  <c r="FZ20" i="6"/>
  <c r="DO20" i="6"/>
  <c r="FU20" i="6" s="1"/>
  <c r="DI20" i="6"/>
  <c r="EL20" i="6" s="1"/>
  <c r="DG20" i="6"/>
  <c r="EJ20" i="6" s="1"/>
  <c r="FP20" i="6"/>
  <c r="DP28" i="6"/>
  <c r="ES28" i="6" s="1"/>
  <c r="DL28" i="6"/>
  <c r="EO28" i="6" s="1"/>
  <c r="DM28" i="6"/>
  <c r="EP28" i="6" s="1"/>
  <c r="EV19" i="6"/>
  <c r="FY19" i="6"/>
  <c r="FL19" i="6"/>
  <c r="EO19" i="6"/>
  <c r="EJ19" i="6"/>
  <c r="DE19" i="6"/>
  <c r="BK19" i="6"/>
  <c r="FQ19" i="6"/>
  <c r="FN19" i="6"/>
  <c r="EU19" i="6"/>
  <c r="FZ89" i="6"/>
  <c r="DP89" i="6"/>
  <c r="DK89" i="6"/>
  <c r="FQ89" i="6" s="1"/>
  <c r="DF89" i="6"/>
  <c r="FL89" i="6" s="1"/>
  <c r="FT89" i="6"/>
  <c r="FM89" i="6"/>
  <c r="FS89" i="6"/>
  <c r="EU56" i="6"/>
  <c r="FX56" i="6"/>
  <c r="DI56" i="6"/>
  <c r="EL56" i="6" s="1"/>
  <c r="DN56" i="6"/>
  <c r="EQ56" i="6" s="1"/>
  <c r="BK56" i="6"/>
  <c r="DE56" i="6"/>
  <c r="FP56" i="6"/>
  <c r="FU56" i="6"/>
  <c r="EV21" i="6"/>
  <c r="FY21" i="6"/>
  <c r="EL21" i="6"/>
  <c r="FO21" i="6"/>
  <c r="EH21" i="6"/>
  <c r="FK21" i="6"/>
  <c r="FR21" i="6"/>
  <c r="EO21" i="6"/>
  <c r="FW70" i="6"/>
  <c r="ET70" i="6"/>
  <c r="EI70" i="6"/>
  <c r="FL70" i="6"/>
  <c r="EN70" i="6"/>
  <c r="FQ70" i="6"/>
  <c r="FN70" i="6"/>
  <c r="EK70" i="6"/>
  <c r="FZ76" i="6"/>
  <c r="DL76" i="6"/>
  <c r="EO76" i="6" s="1"/>
  <c r="DO76" i="6"/>
  <c r="ER76" i="6" s="1"/>
  <c r="DF76" i="6"/>
  <c r="EI76" i="6" s="1"/>
  <c r="FT76" i="6"/>
  <c r="FM76" i="6"/>
  <c r="FS76" i="6"/>
  <c r="FX27" i="6"/>
  <c r="DJ27" i="6"/>
  <c r="EM27" i="6" s="1"/>
  <c r="DH27" i="6"/>
  <c r="EK27" i="6" s="1"/>
  <c r="BK27" i="6"/>
  <c r="DE27" i="6"/>
  <c r="FK27" i="6" s="1"/>
  <c r="FM27" i="6"/>
  <c r="FV27" i="6"/>
  <c r="EV7" i="6"/>
  <c r="FY7" i="6"/>
  <c r="DO7" i="6"/>
  <c r="ER7" i="6" s="1"/>
  <c r="DJ7" i="6"/>
  <c r="EM7" i="6" s="1"/>
  <c r="DK7" i="6"/>
  <c r="EN7" i="6" s="1"/>
  <c r="EL43" i="6"/>
  <c r="BK43" i="6"/>
  <c r="DE43" i="6"/>
  <c r="FK43" i="6" s="1"/>
  <c r="FQ43" i="6"/>
  <c r="FN43" i="6"/>
  <c r="EU43" i="6"/>
  <c r="DM14" i="6"/>
  <c r="EP14" i="6" s="1"/>
  <c r="DL14" i="6"/>
  <c r="EO14" i="6" s="1"/>
  <c r="DF14" i="6"/>
  <c r="EI14" i="6" s="1"/>
  <c r="FT14" i="6"/>
  <c r="FU14" i="6"/>
  <c r="EU31" i="6"/>
  <c r="FX31" i="6"/>
  <c r="DO31" i="6"/>
  <c r="ER31" i="6" s="1"/>
  <c r="DN31" i="6"/>
  <c r="EQ31" i="6" s="1"/>
  <c r="DG31" i="6"/>
  <c r="EJ31" i="6" s="1"/>
  <c r="FP31" i="6"/>
  <c r="FU31" i="6"/>
  <c r="FV31" i="6"/>
  <c r="DP71" i="6"/>
  <c r="ES71" i="6" s="1"/>
  <c r="DL71" i="6"/>
  <c r="EO71" i="6" s="1"/>
  <c r="DH71" i="6"/>
  <c r="EK71" i="6" s="1"/>
  <c r="FL96" i="6"/>
  <c r="EQ96" i="6"/>
  <c r="DE96" i="6"/>
  <c r="FK96" i="6" s="1"/>
  <c r="BK96" i="6"/>
  <c r="FQ96" i="6"/>
  <c r="FN96" i="6"/>
  <c r="DS96" i="6"/>
  <c r="EV96" i="6" s="1"/>
  <c r="DT96" i="6"/>
  <c r="FZ96" i="6" s="1"/>
  <c r="DR96" i="6"/>
  <c r="EU96" i="6" s="1"/>
  <c r="FZ85" i="6"/>
  <c r="DI85" i="6"/>
  <c r="EL85" i="6" s="1"/>
  <c r="DM85" i="6"/>
  <c r="EP85" i="6" s="1"/>
  <c r="DF85" i="6"/>
  <c r="EI85" i="6" s="1"/>
  <c r="FT85" i="6"/>
  <c r="FX23" i="6"/>
  <c r="DP23" i="6"/>
  <c r="ES23" i="6" s="1"/>
  <c r="DH23" i="6"/>
  <c r="EK23" i="6" s="1"/>
  <c r="DJ23" i="6"/>
  <c r="EM23" i="6" s="1"/>
  <c r="FU23" i="6"/>
  <c r="FV23" i="6"/>
  <c r="EV42" i="6"/>
  <c r="FY42" i="6"/>
  <c r="DP42" i="6"/>
  <c r="ES42" i="6" s="1"/>
  <c r="DN42" i="6"/>
  <c r="EQ42" i="6" s="1"/>
  <c r="DH42" i="6"/>
  <c r="EK42" i="6" s="1"/>
  <c r="ET39" i="6"/>
  <c r="FW39" i="6"/>
  <c r="FL39" i="6"/>
  <c r="EI39" i="6"/>
  <c r="FQ39" i="6"/>
  <c r="EN39" i="6"/>
  <c r="EK39" i="6"/>
  <c r="FN39" i="6"/>
  <c r="FZ82" i="6"/>
  <c r="DP82" i="6"/>
  <c r="ES82" i="6" s="1"/>
  <c r="DH82" i="6"/>
  <c r="EK82" i="6" s="1"/>
  <c r="DG82" i="6"/>
  <c r="EJ82" i="6" s="1"/>
  <c r="FT82" i="6"/>
  <c r="FS82" i="6"/>
  <c r="DN11" i="6"/>
  <c r="EQ11" i="6" s="1"/>
  <c r="DM11" i="6"/>
  <c r="EP11" i="6" s="1"/>
  <c r="DH11" i="6"/>
  <c r="EK11" i="6" s="1"/>
  <c r="FP11" i="6"/>
  <c r="FK11" i="6"/>
  <c r="FV11" i="6"/>
  <c r="FY50" i="6"/>
  <c r="DO50" i="6"/>
  <c r="ER50" i="6" s="1"/>
  <c r="DM50" i="6"/>
  <c r="EP50" i="6" s="1"/>
  <c r="BK50" i="6"/>
  <c r="DE50" i="6"/>
  <c r="FK50" i="6" s="1"/>
  <c r="FR50" i="6"/>
  <c r="FL113" i="6"/>
  <c r="DI113" i="6"/>
  <c r="EL113" i="6" s="1"/>
  <c r="EQ113" i="6"/>
  <c r="FT113" i="6"/>
  <c r="FU113" i="6"/>
  <c r="ER113" i="6"/>
  <c r="EO113" i="6"/>
  <c r="FR113" i="6"/>
  <c r="FL87" i="6"/>
  <c r="FO87" i="6"/>
  <c r="EL87" i="6"/>
  <c r="FR87" i="6"/>
  <c r="EO87" i="6"/>
  <c r="FY90" i="6"/>
  <c r="EV90" i="6"/>
  <c r="DP90" i="6"/>
  <c r="DJ90" i="6"/>
  <c r="DL90" i="6"/>
  <c r="FR90" i="6" s="1"/>
  <c r="ET92" i="6"/>
  <c r="FW92" i="6"/>
  <c r="EI92" i="6"/>
  <c r="FL92" i="6"/>
  <c r="FQ92" i="6"/>
  <c r="EN92" i="6"/>
  <c r="EK92" i="6"/>
  <c r="FN92" i="6"/>
  <c r="FZ53" i="6"/>
  <c r="DH53" i="6"/>
  <c r="EK53" i="6" s="1"/>
  <c r="FO53" i="6"/>
  <c r="ER53" i="6"/>
  <c r="FU53" i="6"/>
  <c r="FR53" i="6"/>
  <c r="EO53" i="6"/>
  <c r="FL72" i="6"/>
  <c r="EQ72" i="6"/>
  <c r="DE72" i="6"/>
  <c r="BK72" i="6"/>
  <c r="FQ72" i="6"/>
  <c r="FN72" i="6"/>
  <c r="DR72" i="6"/>
  <c r="EU72" i="6" s="1"/>
  <c r="DS72" i="6"/>
  <c r="EV72" i="6" s="1"/>
  <c r="DT72" i="6"/>
  <c r="DJ48" i="6"/>
  <c r="EM48" i="6" s="1"/>
  <c r="DK48" i="6"/>
  <c r="EN48" i="6" s="1"/>
  <c r="DF48" i="6"/>
  <c r="EI48" i="6" s="1"/>
  <c r="FT48" i="6"/>
  <c r="FM48" i="6"/>
  <c r="FS48" i="6"/>
  <c r="ER60" i="6"/>
  <c r="EP60" i="6"/>
  <c r="FP60" i="6"/>
  <c r="FV60" i="6"/>
  <c r="DP45" i="6"/>
  <c r="ES45" i="6" s="1"/>
  <c r="DH45" i="6"/>
  <c r="EK45" i="6" s="1"/>
  <c r="DN45" i="6"/>
  <c r="EQ45" i="6" s="1"/>
  <c r="FO45" i="6"/>
  <c r="FL41" i="6"/>
  <c r="EQ41" i="6"/>
  <c r="EO41" i="6"/>
  <c r="EJ41" i="6"/>
  <c r="FU41" i="6"/>
  <c r="FN41" i="6"/>
  <c r="EU41" i="6"/>
  <c r="DJ47" i="6"/>
  <c r="EM47" i="6" s="1"/>
  <c r="DH47" i="6"/>
  <c r="EK47" i="6" s="1"/>
  <c r="DF47" i="6"/>
  <c r="EI47" i="6" s="1"/>
  <c r="FT47" i="6"/>
  <c r="FM47" i="6"/>
  <c r="FS47" i="6"/>
  <c r="EJ54" i="6"/>
  <c r="ER54" i="6"/>
  <c r="FU54" i="6"/>
  <c r="FN54" i="6"/>
  <c r="DK55" i="6"/>
  <c r="EN55" i="6" s="1"/>
  <c r="DI55" i="6"/>
  <c r="EL55" i="6" s="1"/>
  <c r="DG55" i="6"/>
  <c r="EJ55" i="6" s="1"/>
  <c r="FT55" i="6"/>
  <c r="EQ98" i="6"/>
  <c r="EI98" i="6"/>
  <c r="FV98" i="6"/>
  <c r="FY84" i="6"/>
  <c r="EV84" i="6"/>
  <c r="EL84" i="6"/>
  <c r="FO84" i="6"/>
  <c r="FQ84" i="6"/>
  <c r="EN84" i="6"/>
  <c r="EO84" i="6"/>
  <c r="FR84" i="6"/>
  <c r="EJ62" i="6"/>
  <c r="EI62" i="6"/>
  <c r="FU62" i="6"/>
  <c r="FN62" i="6"/>
  <c r="DS62" i="6"/>
  <c r="EV62" i="6" s="1"/>
  <c r="DT62" i="6"/>
  <c r="FZ62" i="6" s="1"/>
  <c r="DR62" i="6"/>
  <c r="EU62" i="6" s="1"/>
  <c r="FX40" i="6"/>
  <c r="DN40" i="6"/>
  <c r="EQ40" i="6" s="1"/>
  <c r="DO40" i="6"/>
  <c r="ER40" i="6" s="1"/>
  <c r="DF40" i="6"/>
  <c r="EI40" i="6" s="1"/>
  <c r="FM40" i="6"/>
  <c r="FS40" i="6"/>
  <c r="FP94" i="6"/>
  <c r="FV94" i="6"/>
  <c r="FY52" i="6"/>
  <c r="EV52" i="6"/>
  <c r="DH52" i="6"/>
  <c r="EK52" i="6" s="1"/>
  <c r="DF52" i="6"/>
  <c r="EI52" i="6" s="1"/>
  <c r="FT52" i="6"/>
  <c r="EQ52" i="6"/>
  <c r="FM52" i="6"/>
  <c r="FS52" i="6"/>
  <c r="EP52" i="6"/>
  <c r="EQ51" i="6"/>
  <c r="EP51" i="6"/>
  <c r="FP51" i="6"/>
  <c r="DO97" i="6"/>
  <c r="ER97" i="6" s="1"/>
  <c r="DP97" i="6"/>
  <c r="ES97" i="6" s="1"/>
  <c r="DI97" i="6"/>
  <c r="EL97" i="6" s="1"/>
  <c r="FW83" i="6"/>
  <c r="ET83" i="6"/>
  <c r="FL83" i="6"/>
  <c r="EI83" i="6"/>
  <c r="EQ83" i="6"/>
  <c r="FT83" i="6"/>
  <c r="FN83" i="6"/>
  <c r="EK83" i="6"/>
  <c r="EU77" i="6"/>
  <c r="FX77" i="6"/>
  <c r="DK77" i="6"/>
  <c r="EN77" i="6" s="1"/>
  <c r="DN77" i="6"/>
  <c r="EQ77" i="6" s="1"/>
  <c r="DF77" i="6"/>
  <c r="EI77" i="6" s="1"/>
  <c r="FM77" i="6"/>
  <c r="FS77" i="6"/>
  <c r="FZ93" i="6"/>
  <c r="EL93" i="6"/>
  <c r="FO93" i="6"/>
  <c r="EH93" i="6"/>
  <c r="FK93" i="6"/>
  <c r="ES93" i="6"/>
  <c r="FV93" i="6"/>
  <c r="FY30" i="6"/>
  <c r="EV30" i="6"/>
  <c r="FO30" i="6"/>
  <c r="EL30" i="6"/>
  <c r="ER30" i="6"/>
  <c r="FU30" i="6"/>
  <c r="EO30" i="6"/>
  <c r="FR30" i="6"/>
  <c r="FL104" i="6"/>
  <c r="DG104" i="6"/>
  <c r="EJ104" i="6" s="1"/>
  <c r="FO104" i="6"/>
  <c r="ES104" i="6"/>
  <c r="FV104" i="6"/>
  <c r="DP109" i="6"/>
  <c r="ES109" i="6" s="1"/>
  <c r="DN109" i="6"/>
  <c r="EQ109" i="6" s="1"/>
  <c r="DJ109" i="6"/>
  <c r="EM109" i="6" s="1"/>
  <c r="EP114" i="6"/>
  <c r="EN114" i="6"/>
  <c r="BK114" i="6"/>
  <c r="DE114" i="6"/>
  <c r="FK114" i="6" s="1"/>
  <c r="FT114" i="6"/>
  <c r="FN114" i="6"/>
  <c r="EU114" i="6"/>
  <c r="DM46" i="6"/>
  <c r="EP46" i="6" s="1"/>
  <c r="DL46" i="6"/>
  <c r="EO46" i="6" s="1"/>
  <c r="DF46" i="6"/>
  <c r="EI46" i="6" s="1"/>
  <c r="FT46" i="6"/>
  <c r="FM46" i="6"/>
  <c r="FL63" i="6"/>
  <c r="EN63" i="6"/>
  <c r="FV63" i="6"/>
  <c r="DH103" i="6"/>
  <c r="DM103" i="6"/>
  <c r="FO103" i="6"/>
  <c r="FU103" i="6"/>
  <c r="FL10" i="6"/>
  <c r="EO10" i="6"/>
  <c r="DE10" i="6"/>
  <c r="FK10" i="6" s="1"/>
  <c r="BK10" i="6"/>
  <c r="FT10" i="6"/>
  <c r="FN10" i="6"/>
  <c r="DR10" i="6"/>
  <c r="EU10" i="6" s="1"/>
  <c r="DS10" i="6"/>
  <c r="EV10" i="6" s="1"/>
  <c r="DT10" i="6"/>
  <c r="FZ10" i="6" s="1"/>
  <c r="EL115" i="6"/>
  <c r="DF115" i="6"/>
  <c r="EI115" i="6" s="1"/>
  <c r="FP115" i="6"/>
  <c r="FM115" i="6"/>
  <c r="EJ102" i="6"/>
  <c r="FP102" i="6"/>
  <c r="FV102" i="6"/>
  <c r="DI73" i="6"/>
  <c r="EL73" i="6" s="1"/>
  <c r="FU73" i="6"/>
  <c r="EL59" i="6"/>
  <c r="BK59" i="6"/>
  <c r="DE59" i="6"/>
  <c r="FQ59" i="6"/>
  <c r="FN59" i="6"/>
  <c r="EU59" i="6"/>
  <c r="DF64" i="6"/>
  <c r="EI64" i="6" s="1"/>
  <c r="FT64" i="6"/>
  <c r="FM64" i="6"/>
  <c r="FS64" i="6"/>
  <c r="EP89" i="6"/>
  <c r="EJ89" i="6"/>
  <c r="EU89" i="6"/>
  <c r="EU21" i="6"/>
  <c r="FX21" i="6"/>
  <c r="FP21" i="6"/>
  <c r="EM21" i="6"/>
  <c r="ER21" i="6"/>
  <c r="FU21" i="6"/>
  <c r="ES21" i="6"/>
  <c r="FV21" i="6"/>
  <c r="FY70" i="6"/>
  <c r="EV70" i="6"/>
  <c r="FO70" i="6"/>
  <c r="EL70" i="6"/>
  <c r="FK70" i="6"/>
  <c r="EH70" i="6"/>
  <c r="EO70" i="6"/>
  <c r="FR70" i="6"/>
  <c r="ES76" i="6"/>
  <c r="FN76" i="6"/>
  <c r="EO27" i="6"/>
  <c r="FU27" i="6"/>
  <c r="FS27" i="6"/>
  <c r="FX7" i="6"/>
  <c r="DN7" i="6"/>
  <c r="EQ7" i="6" s="1"/>
  <c r="DL7" i="6"/>
  <c r="EO7" i="6" s="1"/>
  <c r="DH7" i="6"/>
  <c r="EK7" i="6" s="1"/>
  <c r="FV7" i="6"/>
  <c r="FY43" i="6"/>
  <c r="EV43" i="6"/>
  <c r="FR43" i="6"/>
  <c r="DE14" i="6"/>
  <c r="FK14" i="6" s="1"/>
  <c r="BK14" i="6"/>
  <c r="FQ14" i="6"/>
  <c r="DR14" i="6"/>
  <c r="EU14" i="6" s="1"/>
  <c r="DS14" i="6"/>
  <c r="EV14" i="6" s="1"/>
  <c r="DT14" i="6"/>
  <c r="FZ14" i="6" s="1"/>
  <c r="EO31" i="6"/>
  <c r="FS31" i="6"/>
  <c r="FX71" i="6"/>
  <c r="DI71" i="6"/>
  <c r="EL71" i="6" s="1"/>
  <c r="DJ71" i="6"/>
  <c r="EM71" i="6" s="1"/>
  <c r="DG71" i="6"/>
  <c r="EJ71" i="6" s="1"/>
  <c r="FR96" i="6"/>
  <c r="BK85" i="6"/>
  <c r="DE85" i="6"/>
  <c r="FQ85" i="6"/>
  <c r="DR85" i="6"/>
  <c r="EU85" i="6" s="1"/>
  <c r="DS85" i="6"/>
  <c r="EV85" i="6" s="1"/>
  <c r="FM23" i="6"/>
  <c r="FX42" i="6"/>
  <c r="DO42" i="6"/>
  <c r="ER42" i="6" s="1"/>
  <c r="DI42" i="6"/>
  <c r="EL42" i="6" s="1"/>
  <c r="DK42" i="6"/>
  <c r="EN42" i="6" s="1"/>
  <c r="FP42" i="6"/>
  <c r="FK42" i="6"/>
  <c r="FY39" i="6"/>
  <c r="EV39" i="6"/>
  <c r="EL39" i="6"/>
  <c r="FO39" i="6"/>
  <c r="ER39" i="6"/>
  <c r="FU39" i="6"/>
  <c r="FR39" i="6"/>
  <c r="EO39" i="6"/>
  <c r="EI82" i="6"/>
  <c r="BK82" i="6"/>
  <c r="DE82" i="6"/>
  <c r="ER11" i="6"/>
  <c r="EL11" i="6"/>
  <c r="FX50" i="6"/>
  <c r="DP50" i="6"/>
  <c r="ES50" i="6" s="1"/>
  <c r="DK50" i="6"/>
  <c r="EN50" i="6" s="1"/>
  <c r="DH50" i="6"/>
  <c r="EK50" i="6" s="1"/>
  <c r="FY113" i="6"/>
  <c r="EV113" i="6"/>
  <c r="DG113" i="6"/>
  <c r="EJ113" i="6" s="1"/>
  <c r="BK113" i="6"/>
  <c r="DE113" i="6"/>
  <c r="FK113" i="6" s="1"/>
  <c r="FV113" i="6"/>
  <c r="ES113" i="6"/>
  <c r="EV87" i="6"/>
  <c r="FY87" i="6"/>
  <c r="BK87" i="6"/>
  <c r="DE87" i="6"/>
  <c r="FK87" i="6" s="1"/>
  <c r="EM87" i="6"/>
  <c r="FP87" i="6"/>
  <c r="EJ87" i="6"/>
  <c r="FM87" i="6"/>
  <c r="FS87" i="6"/>
  <c r="EP87" i="6"/>
  <c r="FX90" i="6"/>
  <c r="DO90" i="6"/>
  <c r="DI90" i="6"/>
  <c r="DG90" i="6"/>
  <c r="FM90" i="6" s="1"/>
  <c r="EV92" i="6"/>
  <c r="FY92" i="6"/>
  <c r="EL92" i="6"/>
  <c r="FO92" i="6"/>
  <c r="FU92" i="6"/>
  <c r="ER92" i="6"/>
  <c r="EO92" i="6"/>
  <c r="FR92" i="6"/>
  <c r="DG53" i="6"/>
  <c r="EJ53" i="6" s="1"/>
  <c r="EN53" i="6"/>
  <c r="FQ53" i="6"/>
  <c r="FK53" i="6"/>
  <c r="ES53" i="6"/>
  <c r="FV53" i="6"/>
  <c r="FO72" i="6"/>
  <c r="FR72" i="6"/>
  <c r="BK48" i="6"/>
  <c r="DE48" i="6"/>
  <c r="FK48" i="6" s="1"/>
  <c r="DR48" i="6"/>
  <c r="EU48" i="6" s="1"/>
  <c r="DS48" i="6"/>
  <c r="EV48" i="6" s="1"/>
  <c r="DT48" i="6"/>
  <c r="FZ48" i="6" s="1"/>
  <c r="DO45" i="6"/>
  <c r="ER45" i="6" s="1"/>
  <c r="DG45" i="6"/>
  <c r="EJ45" i="6" s="1"/>
  <c r="DL45" i="6"/>
  <c r="EO45" i="6" s="1"/>
  <c r="EV41" i="6"/>
  <c r="FY41" i="6"/>
  <c r="FO41" i="6"/>
  <c r="FQ41" i="6"/>
  <c r="FU47" i="6"/>
  <c r="DR47" i="6"/>
  <c r="EU47" i="6" s="1"/>
  <c r="DS47" i="6"/>
  <c r="EV47" i="6" s="1"/>
  <c r="DT47" i="6"/>
  <c r="FZ47" i="6" s="1"/>
  <c r="FX54" i="6"/>
  <c r="EU54" i="6"/>
  <c r="FO54" i="6"/>
  <c r="EN54" i="6"/>
  <c r="FQ54" i="6"/>
  <c r="FR54" i="6"/>
  <c r="EO54" i="6"/>
  <c r="BK55" i="6"/>
  <c r="DE55" i="6"/>
  <c r="FK55" i="6" s="1"/>
  <c r="FN55" i="6"/>
  <c r="DR55" i="6"/>
  <c r="EU55" i="6" s="1"/>
  <c r="DS55" i="6"/>
  <c r="EV55" i="6" s="1"/>
  <c r="DT55" i="6"/>
  <c r="FZ55" i="6" s="1"/>
  <c r="EN98" i="6"/>
  <c r="EL98" i="6"/>
  <c r="FM98" i="6"/>
  <c r="FZ84" i="6"/>
  <c r="EM84" i="6"/>
  <c r="FP84" i="6"/>
  <c r="EH84" i="6"/>
  <c r="FK84" i="6"/>
  <c r="FV84" i="6"/>
  <c r="ES84" i="6"/>
  <c r="EP62" i="6"/>
  <c r="EQ62" i="6"/>
  <c r="FR62" i="6"/>
  <c r="BK40" i="6"/>
  <c r="DE40" i="6"/>
  <c r="FK40" i="6" s="1"/>
  <c r="FN40" i="6"/>
  <c r="EI94" i="6"/>
  <c r="FT94" i="6"/>
  <c r="BK52" i="6"/>
  <c r="DE52" i="6"/>
  <c r="FK52" i="6" s="1"/>
  <c r="ER52" i="6"/>
  <c r="FU52" i="6"/>
  <c r="EO51" i="6"/>
  <c r="EN51" i="6"/>
  <c r="EI51" i="6"/>
  <c r="DN97" i="6"/>
  <c r="EQ97" i="6" s="1"/>
  <c r="DM97" i="6"/>
  <c r="EP97" i="6" s="1"/>
  <c r="DG97" i="6"/>
  <c r="EJ97" i="6" s="1"/>
  <c r="FP97" i="6"/>
  <c r="EV83" i="6"/>
  <c r="FY83" i="6"/>
  <c r="FQ83" i="6"/>
  <c r="EN83" i="6"/>
  <c r="ER83" i="6"/>
  <c r="FU83" i="6"/>
  <c r="EO83" i="6"/>
  <c r="FR83" i="6"/>
  <c r="DE77" i="6"/>
  <c r="BK77" i="6"/>
  <c r="FN77" i="6"/>
  <c r="FX93" i="6"/>
  <c r="EU93" i="6"/>
  <c r="EM93" i="6"/>
  <c r="FP93" i="6"/>
  <c r="EJ93" i="6"/>
  <c r="FM93" i="6"/>
  <c r="FS93" i="6"/>
  <c r="EP93" i="6"/>
  <c r="FZ30" i="6"/>
  <c r="FP30" i="6"/>
  <c r="EM30" i="6"/>
  <c r="FK30" i="6"/>
  <c r="EH30" i="6"/>
  <c r="FV30" i="6"/>
  <c r="ES30" i="6"/>
  <c r="EV104" i="6"/>
  <c r="FY104" i="6"/>
  <c r="BK104" i="6"/>
  <c r="DE104" i="6"/>
  <c r="FS104" i="6"/>
  <c r="EP104" i="6"/>
  <c r="DO109" i="6"/>
  <c r="ER109" i="6" s="1"/>
  <c r="DH109" i="6"/>
  <c r="EK109" i="6" s="1"/>
  <c r="DI109" i="6"/>
  <c r="EL109" i="6" s="1"/>
  <c r="EV114" i="6"/>
  <c r="FY114" i="6"/>
  <c r="FL114" i="6"/>
  <c r="EM114" i="6"/>
  <c r="FU114" i="6"/>
  <c r="EM46" i="6"/>
  <c r="FN46" i="6"/>
  <c r="DR46" i="6"/>
  <c r="EU46" i="6" s="1"/>
  <c r="DS46" i="6"/>
  <c r="EV46" i="6" s="1"/>
  <c r="EO63" i="6"/>
  <c r="FO63" i="6"/>
  <c r="FV103" i="6"/>
  <c r="FQ10" i="6"/>
  <c r="FU10" i="6"/>
  <c r="BK115" i="6"/>
  <c r="DE115" i="6"/>
  <c r="FT115" i="6"/>
  <c r="FN115" i="6"/>
  <c r="DR115" i="6"/>
  <c r="EU115" i="6" s="1"/>
  <c r="DS115" i="6"/>
  <c r="EV115" i="6" s="1"/>
  <c r="DT115" i="6"/>
  <c r="FZ115" i="6" s="1"/>
  <c r="EI102" i="6"/>
  <c r="FS102" i="6"/>
  <c r="FP73" i="6"/>
  <c r="FV73" i="6"/>
  <c r="EV59" i="6"/>
  <c r="FY59" i="6"/>
  <c r="FU59" i="6"/>
  <c r="BK64" i="6"/>
  <c r="DE64" i="6"/>
  <c r="FK64" i="6" s="1"/>
  <c r="FQ64" i="6"/>
  <c r="DR64" i="6"/>
  <c r="EU64" i="6" s="1"/>
  <c r="DS64" i="6"/>
  <c r="EV64" i="6" s="1"/>
  <c r="DT64" i="6"/>
  <c r="FZ64" i="6" s="1"/>
  <c r="FI79" i="6"/>
  <c r="FI74" i="6"/>
  <c r="FI61" i="6"/>
  <c r="FH52" i="6"/>
  <c r="FI76" i="6"/>
  <c r="FI26" i="6"/>
  <c r="FI27" i="6"/>
  <c r="FI86" i="6"/>
  <c r="FI99" i="6"/>
  <c r="FH40" i="6"/>
  <c r="FH81" i="6"/>
  <c r="FI110" i="6"/>
  <c r="FI7" i="6"/>
  <c r="ED65" i="6"/>
  <c r="AS6" i="3"/>
  <c r="EE89" i="6"/>
  <c r="AT8" i="3"/>
  <c r="BW8" i="3" s="1"/>
  <c r="ED92" i="6"/>
  <c r="AS7" i="3"/>
  <c r="BV7" i="3" s="1"/>
  <c r="EB89" i="6"/>
  <c r="AQ8" i="3"/>
  <c r="BT8" i="3" s="1"/>
  <c r="EA92" i="6"/>
  <c r="AP7" i="3"/>
  <c r="BS7" i="3" s="1"/>
  <c r="DZ117" i="6"/>
  <c r="AO9" i="3"/>
  <c r="BR9" i="3" s="1"/>
  <c r="DY117" i="6"/>
  <c r="AN9" i="3"/>
  <c r="BQ9" i="3" s="1"/>
  <c r="AX49" i="6"/>
  <c r="CR49" i="6"/>
  <c r="AX6" i="6"/>
  <c r="CR6" i="6"/>
  <c r="AX58" i="6"/>
  <c r="CR58" i="6"/>
  <c r="AX75" i="6"/>
  <c r="CR75" i="6"/>
  <c r="AX67" i="6"/>
  <c r="CR67" i="6"/>
  <c r="AX36" i="6"/>
  <c r="CR36" i="6"/>
  <c r="AX88" i="6"/>
  <c r="CR88" i="6"/>
  <c r="AX95" i="6"/>
  <c r="CR95" i="6"/>
  <c r="AX24" i="6"/>
  <c r="CR24" i="6"/>
  <c r="AX107" i="6"/>
  <c r="CR107" i="6"/>
  <c r="AX9" i="6"/>
  <c r="CR9" i="6"/>
  <c r="AX111" i="6"/>
  <c r="CR111" i="6"/>
  <c r="AX112" i="6"/>
  <c r="CR112" i="6"/>
  <c r="AX32" i="6"/>
  <c r="CR32" i="6"/>
  <c r="AX23" i="6"/>
  <c r="CR23" i="6"/>
  <c r="AX85" i="6"/>
  <c r="CR85" i="6"/>
  <c r="AX96" i="6"/>
  <c r="CR96" i="6"/>
  <c r="AX71" i="6"/>
  <c r="CR71" i="6"/>
  <c r="AX31" i="6"/>
  <c r="CR31" i="6"/>
  <c r="AX14" i="6"/>
  <c r="CR14" i="6"/>
  <c r="AX43" i="6"/>
  <c r="CR43" i="6"/>
  <c r="AX62" i="6"/>
  <c r="CR62" i="6"/>
  <c r="AX84" i="6"/>
  <c r="CR84" i="6"/>
  <c r="AX98" i="6"/>
  <c r="CR98" i="6"/>
  <c r="AX55" i="6"/>
  <c r="CR55" i="6"/>
  <c r="AX54" i="6"/>
  <c r="CR54" i="6"/>
  <c r="AX47" i="6"/>
  <c r="CR47" i="6"/>
  <c r="AX41" i="6"/>
  <c r="CR41" i="6"/>
  <c r="FG40" i="6"/>
  <c r="FG97" i="6"/>
  <c r="FG30" i="6"/>
  <c r="FG46" i="6"/>
  <c r="FG115" i="6"/>
  <c r="FG64" i="6"/>
  <c r="FG55" i="6"/>
  <c r="FC40" i="6"/>
  <c r="FC97" i="6"/>
  <c r="FC30" i="6"/>
  <c r="FC46" i="6"/>
  <c r="FC115" i="6"/>
  <c r="FC64" i="6"/>
  <c r="FC55" i="6"/>
  <c r="FF33" i="6"/>
  <c r="FF61" i="6"/>
  <c r="FF112" i="6"/>
  <c r="FF24" i="6"/>
  <c r="FF29" i="6"/>
  <c r="FF19" i="6"/>
  <c r="FF74" i="6"/>
  <c r="FB105" i="6"/>
  <c r="FB72" i="6"/>
  <c r="FB26" i="6"/>
  <c r="FB50" i="6"/>
  <c r="FB9" i="6"/>
  <c r="FB68" i="6"/>
  <c r="EZ110" i="6"/>
  <c r="EZ57" i="6"/>
  <c r="EZ26" i="6"/>
  <c r="EZ111" i="6"/>
  <c r="EZ95" i="6"/>
  <c r="EZ8" i="6"/>
  <c r="FI32" i="6"/>
  <c r="FI47" i="6"/>
  <c r="FI84" i="6"/>
  <c r="FI51" i="6"/>
  <c r="FI14" i="6"/>
  <c r="FI113" i="6"/>
  <c r="FI8" i="6"/>
  <c r="FE33" i="6"/>
  <c r="FE61" i="6"/>
  <c r="FE112" i="6"/>
  <c r="FE24" i="6"/>
  <c r="FE29" i="6"/>
  <c r="FE19" i="6"/>
  <c r="FE74" i="6"/>
  <c r="FA110" i="6"/>
  <c r="FA57" i="6"/>
  <c r="FA26" i="6"/>
  <c r="FA111" i="6"/>
  <c r="FA90" i="6"/>
  <c r="FA48" i="6"/>
  <c r="EY110" i="6"/>
  <c r="EY57" i="6"/>
  <c r="EY26" i="6"/>
  <c r="EY111" i="6"/>
  <c r="EY95" i="6"/>
  <c r="EY8" i="6"/>
  <c r="FH33" i="6"/>
  <c r="FH82" i="6"/>
  <c r="FH87" i="6"/>
  <c r="FH80" i="6"/>
  <c r="FH83" i="6"/>
  <c r="FH53" i="6"/>
  <c r="FD38" i="6"/>
  <c r="FD99" i="6"/>
  <c r="FD9" i="6"/>
  <c r="FD91" i="6"/>
  <c r="FD20" i="6"/>
  <c r="FD37" i="6"/>
  <c r="FD25" i="6"/>
  <c r="EE78" i="6"/>
  <c r="AT12" i="3"/>
  <c r="BW12" i="3" s="1"/>
  <c r="EE92" i="6"/>
  <c r="AT7" i="3"/>
  <c r="BW7" i="3" s="1"/>
  <c r="EE90" i="6"/>
  <c r="AT9" i="3"/>
  <c r="BW9" i="3" s="1"/>
  <c r="EC89" i="6"/>
  <c r="AR8" i="3"/>
  <c r="BU8" i="3" s="1"/>
  <c r="EB92" i="6"/>
  <c r="AQ7" i="3"/>
  <c r="BT7" i="3" s="1"/>
  <c r="EB90" i="6"/>
  <c r="AQ9" i="3"/>
  <c r="BT9" i="3" s="1"/>
  <c r="EA89" i="6"/>
  <c r="AP8" i="3"/>
  <c r="BS8" i="3" s="1"/>
  <c r="AX64" i="6"/>
  <c r="CR64" i="6"/>
  <c r="AX59" i="6"/>
  <c r="CR59" i="6"/>
  <c r="AX73" i="6"/>
  <c r="CR73" i="6"/>
  <c r="AX102" i="6"/>
  <c r="CR102" i="6"/>
  <c r="AX115" i="6"/>
  <c r="CR115" i="6"/>
  <c r="AX10" i="6"/>
  <c r="CR10" i="6"/>
  <c r="AX103" i="6"/>
  <c r="CR103" i="6"/>
  <c r="AX34" i="6"/>
  <c r="CR34" i="6"/>
  <c r="AX44" i="6"/>
  <c r="CR44" i="6"/>
  <c r="AX106" i="6"/>
  <c r="CR106" i="6"/>
  <c r="AX13" i="6"/>
  <c r="CR13" i="6"/>
  <c r="AX69" i="6"/>
  <c r="CR69" i="6"/>
  <c r="AX35" i="6"/>
  <c r="CR35" i="6"/>
  <c r="AX17" i="6"/>
  <c r="CR17" i="6"/>
  <c r="DW78" i="6"/>
  <c r="AL12" i="3"/>
  <c r="BO12" i="3" s="1"/>
  <c r="DV78" i="6"/>
  <c r="AK12" i="3"/>
  <c r="BN12" i="3" s="1"/>
  <c r="AX99" i="6"/>
  <c r="CR99" i="6"/>
  <c r="AX26" i="6"/>
  <c r="CR26" i="6"/>
  <c r="AX61" i="6"/>
  <c r="CR61" i="6"/>
  <c r="AX12" i="6"/>
  <c r="CR12" i="6"/>
  <c r="AX38" i="6"/>
  <c r="CR38" i="6"/>
  <c r="AX78" i="6"/>
  <c r="CR78" i="6"/>
  <c r="AX33" i="6"/>
  <c r="CR33" i="6"/>
  <c r="DW89" i="6"/>
  <c r="AL8" i="3"/>
  <c r="BO8" i="3" s="1"/>
  <c r="DV89" i="6"/>
  <c r="AK8" i="3"/>
  <c r="BN8" i="3" s="1"/>
  <c r="AX7" i="6"/>
  <c r="CR7" i="6"/>
  <c r="AX27" i="6"/>
  <c r="CR27" i="6"/>
  <c r="AX76" i="6"/>
  <c r="CR76" i="6"/>
  <c r="AX70" i="6"/>
  <c r="CR70" i="6"/>
  <c r="AX21" i="6"/>
  <c r="CR21" i="6"/>
  <c r="AX56" i="6"/>
  <c r="CR56" i="6"/>
  <c r="AX89" i="6"/>
  <c r="CR89" i="6"/>
  <c r="FG94" i="6"/>
  <c r="FG83" i="6"/>
  <c r="FG104" i="6"/>
  <c r="FG63" i="6"/>
  <c r="FG102" i="6"/>
  <c r="FG41" i="6"/>
  <c r="FG98" i="6"/>
  <c r="FC94" i="6"/>
  <c r="FC83" i="6"/>
  <c r="FC104" i="6"/>
  <c r="FC63" i="6"/>
  <c r="FC102" i="6"/>
  <c r="FC41" i="6"/>
  <c r="FC98" i="6"/>
  <c r="FF26" i="6"/>
  <c r="FF111" i="6"/>
  <c r="FF95" i="6"/>
  <c r="FF8" i="6"/>
  <c r="FF110" i="6"/>
  <c r="FF57" i="6"/>
  <c r="FB86" i="6"/>
  <c r="FB90" i="6"/>
  <c r="FB17" i="6"/>
  <c r="FB99" i="6"/>
  <c r="FB113" i="6"/>
  <c r="FB73" i="6"/>
  <c r="FB80" i="6"/>
  <c r="EZ37" i="6"/>
  <c r="EZ25" i="6"/>
  <c r="EZ38" i="6"/>
  <c r="EZ99" i="6"/>
  <c r="EZ9" i="6"/>
  <c r="EZ91" i="6"/>
  <c r="EZ20" i="6"/>
  <c r="FI112" i="6"/>
  <c r="FI54" i="6"/>
  <c r="FI62" i="6"/>
  <c r="FI97" i="6"/>
  <c r="FI82" i="6"/>
  <c r="FI87" i="6"/>
  <c r="FI20" i="6"/>
  <c r="FE26" i="6"/>
  <c r="FE111" i="6"/>
  <c r="FE95" i="6"/>
  <c r="FE8" i="6"/>
  <c r="FE110" i="6"/>
  <c r="FE57" i="6"/>
  <c r="FA37" i="6"/>
  <c r="FA25" i="6"/>
  <c r="FA38" i="6"/>
  <c r="FA99" i="6"/>
  <c r="FA9" i="6"/>
  <c r="FA60" i="6"/>
  <c r="EY37" i="6"/>
  <c r="EY25" i="6"/>
  <c r="EY38" i="6"/>
  <c r="EY99" i="6"/>
  <c r="EY9" i="6"/>
  <c r="EY91" i="6"/>
  <c r="EY20" i="6"/>
  <c r="FH78" i="6"/>
  <c r="FH61" i="6"/>
  <c r="FH11" i="6"/>
  <c r="FH90" i="6"/>
  <c r="FH101" i="6"/>
  <c r="FH22" i="6"/>
  <c r="FH58" i="6"/>
  <c r="FH60" i="6"/>
  <c r="FD12" i="6"/>
  <c r="FD32" i="6"/>
  <c r="FD107" i="6"/>
  <c r="FD15" i="6"/>
  <c r="FD28" i="6"/>
  <c r="FD66" i="6"/>
  <c r="FD100" i="6"/>
  <c r="EF78" i="6"/>
  <c r="AU12" i="3"/>
  <c r="BX12" i="3" s="1"/>
  <c r="EE65" i="6"/>
  <c r="AT6" i="3"/>
  <c r="EE16" i="6"/>
  <c r="AT5" i="3"/>
  <c r="EF89" i="6"/>
  <c r="AU8" i="3"/>
  <c r="BX8" i="3" s="1"/>
  <c r="EF92" i="6"/>
  <c r="AU7" i="3"/>
  <c r="BX7" i="3" s="1"/>
  <c r="EF90" i="6"/>
  <c r="AU9" i="3"/>
  <c r="BX9" i="3" s="1"/>
  <c r="ED89" i="6"/>
  <c r="AS8" i="3"/>
  <c r="BV8" i="3" s="1"/>
  <c r="EC92" i="6"/>
  <c r="AR7" i="3"/>
  <c r="BU7" i="3" s="1"/>
  <c r="EC90" i="6"/>
  <c r="AR9" i="3"/>
  <c r="BU9" i="3" s="1"/>
  <c r="EC78" i="6"/>
  <c r="AR12" i="3"/>
  <c r="BU12" i="3" s="1"/>
  <c r="EB78" i="6"/>
  <c r="AQ12" i="3"/>
  <c r="BT12" i="3" s="1"/>
  <c r="EA78" i="6"/>
  <c r="AP12" i="3"/>
  <c r="BS12" i="3" s="1"/>
  <c r="DZ92" i="6"/>
  <c r="AO7" i="3"/>
  <c r="BR7" i="3" s="1"/>
  <c r="DY92" i="6"/>
  <c r="AN7" i="3"/>
  <c r="BQ7" i="3" s="1"/>
  <c r="DX92" i="6"/>
  <c r="AM7" i="3"/>
  <c r="BP7" i="3" s="1"/>
  <c r="DZ78" i="6"/>
  <c r="AO12" i="3"/>
  <c r="BR12" i="3" s="1"/>
  <c r="DY78" i="6"/>
  <c r="AN12" i="3"/>
  <c r="BQ12" i="3" s="1"/>
  <c r="DX78" i="6"/>
  <c r="AM12" i="3"/>
  <c r="BP12" i="3" s="1"/>
  <c r="DZ89" i="6"/>
  <c r="AO8" i="3"/>
  <c r="BR8" i="3" s="1"/>
  <c r="DY89" i="6"/>
  <c r="AN8" i="3"/>
  <c r="BQ8" i="3" s="1"/>
  <c r="DX89" i="6"/>
  <c r="AM8" i="3"/>
  <c r="BP8" i="3" s="1"/>
  <c r="DW92" i="6"/>
  <c r="AL7" i="3"/>
  <c r="BO7" i="3" s="1"/>
  <c r="DV92" i="6"/>
  <c r="AK7" i="3"/>
  <c r="BN7" i="3" s="1"/>
  <c r="AX45" i="6"/>
  <c r="CR45" i="6"/>
  <c r="AX60" i="6"/>
  <c r="CR60" i="6"/>
  <c r="AX48" i="6"/>
  <c r="CR48" i="6"/>
  <c r="AX72" i="6"/>
  <c r="CR72" i="6"/>
  <c r="AX53" i="6"/>
  <c r="CR53" i="6"/>
  <c r="AX92" i="6"/>
  <c r="CR92" i="6"/>
  <c r="AX90" i="6"/>
  <c r="CR90" i="6"/>
  <c r="AX63" i="6"/>
  <c r="CR63" i="6"/>
  <c r="AX46" i="6"/>
  <c r="CR46" i="6"/>
  <c r="AX114" i="6"/>
  <c r="CR114" i="6"/>
  <c r="AX109" i="6"/>
  <c r="CR109" i="6"/>
  <c r="AX104" i="6"/>
  <c r="CR104" i="6"/>
  <c r="AX30" i="6"/>
  <c r="CR30" i="6"/>
  <c r="AX93" i="6"/>
  <c r="CR93" i="6"/>
  <c r="DX16" i="6"/>
  <c r="AM5" i="3"/>
  <c r="DW65" i="6"/>
  <c r="AL6" i="3"/>
  <c r="DW16" i="6"/>
  <c r="AL5" i="3"/>
  <c r="DV65" i="6"/>
  <c r="AK6" i="3"/>
  <c r="DV16" i="6"/>
  <c r="AK5" i="3"/>
  <c r="AX81" i="6"/>
  <c r="CR81" i="6"/>
  <c r="AX108" i="6"/>
  <c r="CR108" i="6"/>
  <c r="AX105" i="6"/>
  <c r="CR105" i="6"/>
  <c r="AX79" i="6"/>
  <c r="CR79" i="6"/>
  <c r="AX65" i="6"/>
  <c r="CR65" i="6"/>
  <c r="AX86" i="6"/>
  <c r="CR86" i="6"/>
  <c r="AX16" i="6"/>
  <c r="CR16" i="6"/>
  <c r="AX100" i="6"/>
  <c r="CR100" i="6"/>
  <c r="AX25" i="6"/>
  <c r="CR25" i="6"/>
  <c r="AX57" i="6"/>
  <c r="CR57" i="6"/>
  <c r="AX74" i="6"/>
  <c r="CR74" i="6"/>
  <c r="AX66" i="6"/>
  <c r="CR66" i="6"/>
  <c r="AX37" i="6"/>
  <c r="CR37" i="6"/>
  <c r="AX110" i="6"/>
  <c r="CR110" i="6"/>
  <c r="FG52" i="6"/>
  <c r="FG77" i="6"/>
  <c r="FG109" i="6"/>
  <c r="FG103" i="6"/>
  <c r="FG73" i="6"/>
  <c r="FG47" i="6"/>
  <c r="FG84" i="6"/>
  <c r="FC52" i="6"/>
  <c r="FC77" i="6"/>
  <c r="FC109" i="6"/>
  <c r="FC103" i="6"/>
  <c r="FC73" i="6"/>
  <c r="FC47" i="6"/>
  <c r="FC84" i="6"/>
  <c r="FF38" i="6"/>
  <c r="FF99" i="6"/>
  <c r="FF9" i="6"/>
  <c r="FF91" i="6"/>
  <c r="FF20" i="6"/>
  <c r="FF37" i="6"/>
  <c r="FF25" i="6"/>
  <c r="FB92" i="6"/>
  <c r="FB69" i="6"/>
  <c r="FB41" i="6"/>
  <c r="FB87" i="6"/>
  <c r="FB59" i="6"/>
  <c r="FB25" i="6"/>
  <c r="EZ66" i="6"/>
  <c r="EZ100" i="6"/>
  <c r="EZ12" i="6"/>
  <c r="EZ32" i="6"/>
  <c r="EZ107" i="6"/>
  <c r="EZ15" i="6"/>
  <c r="EZ28" i="6"/>
  <c r="FI89" i="6"/>
  <c r="FI55" i="6"/>
  <c r="FI94" i="6"/>
  <c r="FI83" i="6"/>
  <c r="FI11" i="6"/>
  <c r="FI36" i="6"/>
  <c r="FI28" i="6"/>
  <c r="FE38" i="6"/>
  <c r="FE99" i="6"/>
  <c r="FE9" i="6"/>
  <c r="FE91" i="6"/>
  <c r="FE20" i="6"/>
  <c r="FE37" i="6"/>
  <c r="FE25" i="6"/>
  <c r="FA66" i="6"/>
  <c r="FA100" i="6"/>
  <c r="FA12" i="6"/>
  <c r="FA32" i="6"/>
  <c r="FA107" i="6"/>
  <c r="FA53" i="6"/>
  <c r="FA45" i="6"/>
  <c r="EY66" i="6"/>
  <c r="EY100" i="6"/>
  <c r="EY12" i="6"/>
  <c r="EY32" i="6"/>
  <c r="EY107" i="6"/>
  <c r="EY15" i="6"/>
  <c r="EY28" i="6"/>
  <c r="FH38" i="6"/>
  <c r="FH42" i="6"/>
  <c r="FH50" i="6"/>
  <c r="FH92" i="6"/>
  <c r="FH68" i="6"/>
  <c r="FH116" i="6"/>
  <c r="FH19" i="6"/>
  <c r="FD33" i="6"/>
  <c r="FD61" i="6"/>
  <c r="FD112" i="6"/>
  <c r="FD24" i="6"/>
  <c r="FD29" i="6"/>
  <c r="FD19" i="6"/>
  <c r="FD74" i="6"/>
  <c r="EF65" i="6"/>
  <c r="AU6" i="3"/>
  <c r="EF16" i="6"/>
  <c r="AU5" i="3"/>
  <c r="ED78" i="6"/>
  <c r="AS12" i="3"/>
  <c r="BV12" i="3" s="1"/>
  <c r="ED90" i="6"/>
  <c r="AS9" i="3"/>
  <c r="BV9" i="3" s="1"/>
  <c r="ED16" i="6"/>
  <c r="AS5" i="3"/>
  <c r="EC65" i="6"/>
  <c r="AR6" i="3"/>
  <c r="EC16" i="6"/>
  <c r="AR5" i="3"/>
  <c r="EB65" i="6"/>
  <c r="AQ6" i="3"/>
  <c r="EB16" i="6"/>
  <c r="AQ5" i="3"/>
  <c r="EA65" i="6"/>
  <c r="AP6" i="3"/>
  <c r="EA90" i="6"/>
  <c r="AP9" i="3"/>
  <c r="BS9" i="3" s="1"/>
  <c r="EA16" i="6"/>
  <c r="AP5" i="3"/>
  <c r="DZ65" i="6"/>
  <c r="AO6" i="3"/>
  <c r="DZ16" i="6"/>
  <c r="AO5" i="3"/>
  <c r="DY65" i="6"/>
  <c r="AN6" i="3"/>
  <c r="DY16" i="6"/>
  <c r="AN5" i="3"/>
  <c r="DX65" i="6"/>
  <c r="AM6" i="3"/>
  <c r="AX19" i="6"/>
  <c r="CR19" i="6"/>
  <c r="AX28" i="6"/>
  <c r="CR28" i="6"/>
  <c r="AX20" i="6"/>
  <c r="CR20" i="6"/>
  <c r="AX8" i="6"/>
  <c r="CR8" i="6"/>
  <c r="AX29" i="6"/>
  <c r="CR29" i="6"/>
  <c r="AX15" i="6"/>
  <c r="CR15" i="6"/>
  <c r="AX91" i="6"/>
  <c r="CR91" i="6"/>
  <c r="AX87" i="6"/>
  <c r="CR87" i="6"/>
  <c r="AX113" i="6"/>
  <c r="CR113" i="6"/>
  <c r="AX50" i="6"/>
  <c r="CR50" i="6"/>
  <c r="AX11" i="6"/>
  <c r="CR11" i="6"/>
  <c r="AX82" i="6"/>
  <c r="CR82" i="6"/>
  <c r="AX39" i="6"/>
  <c r="CR39" i="6"/>
  <c r="AX42" i="6"/>
  <c r="CR42" i="6"/>
  <c r="AX77" i="6"/>
  <c r="CR77" i="6"/>
  <c r="AX83" i="6"/>
  <c r="CR83" i="6"/>
  <c r="AX97" i="6"/>
  <c r="CR97" i="6"/>
  <c r="AX51" i="6"/>
  <c r="CR51" i="6"/>
  <c r="AX52" i="6"/>
  <c r="CR52" i="6"/>
  <c r="AX94" i="6"/>
  <c r="CR94" i="6"/>
  <c r="AX40" i="6"/>
  <c r="CR40" i="6"/>
  <c r="DX117" i="6"/>
  <c r="AM9" i="3"/>
  <c r="BP9" i="3" s="1"/>
  <c r="DW117" i="6"/>
  <c r="AL9" i="3"/>
  <c r="BO9" i="3" s="1"/>
  <c r="DV117" i="6"/>
  <c r="AK9" i="3"/>
  <c r="BN9" i="3" s="1"/>
  <c r="AX116" i="6"/>
  <c r="CR116" i="6"/>
  <c r="AX22" i="6"/>
  <c r="CR22" i="6"/>
  <c r="AX80" i="6"/>
  <c r="CR80" i="6"/>
  <c r="AX18" i="6"/>
  <c r="CR18" i="6"/>
  <c r="EX18" i="6" s="1"/>
  <c r="AX68" i="6"/>
  <c r="CR68" i="6"/>
  <c r="AX101" i="6"/>
  <c r="CR101" i="6"/>
  <c r="AX117" i="6"/>
  <c r="CR117" i="6"/>
  <c r="FG51" i="6"/>
  <c r="FG93" i="6"/>
  <c r="FG114" i="6"/>
  <c r="FG10" i="6"/>
  <c r="FG59" i="6"/>
  <c r="FG54" i="6"/>
  <c r="FG62" i="6"/>
  <c r="FC51" i="6"/>
  <c r="FC93" i="6"/>
  <c r="FC114" i="6"/>
  <c r="FC10" i="6"/>
  <c r="FC59" i="6"/>
  <c r="FC54" i="6"/>
  <c r="FC62" i="6"/>
  <c r="FF12" i="6"/>
  <c r="FF32" i="6"/>
  <c r="FF107" i="6"/>
  <c r="FF15" i="6"/>
  <c r="FF28" i="6"/>
  <c r="FF66" i="6"/>
  <c r="FF100" i="6"/>
  <c r="FB79" i="6"/>
  <c r="FB53" i="6"/>
  <c r="FB106" i="6"/>
  <c r="FB54" i="6"/>
  <c r="FB112" i="6"/>
  <c r="FB64" i="6"/>
  <c r="FB100" i="6"/>
  <c r="EZ74" i="6"/>
  <c r="EZ33" i="6"/>
  <c r="EZ61" i="6"/>
  <c r="EZ112" i="6"/>
  <c r="EZ24" i="6"/>
  <c r="EZ29" i="6"/>
  <c r="EZ19" i="6"/>
  <c r="FI56" i="6"/>
  <c r="FI98" i="6"/>
  <c r="FI52" i="6"/>
  <c r="FI77" i="6"/>
  <c r="FI50" i="6"/>
  <c r="FI29" i="6"/>
  <c r="FI19" i="6"/>
  <c r="FE12" i="6"/>
  <c r="FE32" i="6"/>
  <c r="FE107" i="6"/>
  <c r="FE15" i="6"/>
  <c r="FE28" i="6"/>
  <c r="FE66" i="6"/>
  <c r="FE100" i="6"/>
  <c r="FA74" i="6"/>
  <c r="FA33" i="6"/>
  <c r="FA61" i="6"/>
  <c r="FA112" i="6"/>
  <c r="FA24" i="6"/>
  <c r="FA72" i="6"/>
  <c r="FA87" i="6"/>
  <c r="EY74" i="6"/>
  <c r="EY33" i="6"/>
  <c r="EY61" i="6"/>
  <c r="EY112" i="6"/>
  <c r="EY24" i="6"/>
  <c r="EY29" i="6"/>
  <c r="EY19" i="6"/>
  <c r="FH39" i="6"/>
  <c r="FH113" i="6"/>
  <c r="FH18" i="6"/>
  <c r="FH115" i="6"/>
  <c r="FH108" i="6"/>
  <c r="FD78" i="6"/>
  <c r="FD26" i="6"/>
  <c r="FD111" i="6"/>
  <c r="FD95" i="6"/>
  <c r="FD8" i="6"/>
  <c r="FD110" i="6"/>
  <c r="FD57" i="6"/>
  <c r="BT13" i="3"/>
  <c r="BU13" i="3"/>
  <c r="BO13" i="3"/>
  <c r="BS13" i="3"/>
  <c r="BR13" i="3"/>
  <c r="BP13" i="3"/>
  <c r="BU7" i="9"/>
  <c r="AU13" i="3"/>
  <c r="AJ13" i="3"/>
  <c r="BM13" i="3" s="1"/>
  <c r="BN13" i="3"/>
  <c r="BW13" i="3"/>
  <c r="P5" i="9"/>
  <c r="BY18" i="3"/>
  <c r="P7" i="9"/>
  <c r="BV7" i="9" s="1"/>
  <c r="P6" i="9"/>
  <c r="P8" i="9"/>
  <c r="AX10" i="3" l="1"/>
  <c r="FM28" i="6"/>
  <c r="FL55" i="6"/>
  <c r="FP98" i="6"/>
  <c r="FY71" i="6"/>
  <c r="FL43" i="6"/>
  <c r="FV56" i="6"/>
  <c r="EJ59" i="6"/>
  <c r="FV41" i="6"/>
  <c r="FT20" i="6"/>
  <c r="FO112" i="6"/>
  <c r="EP6" i="6"/>
  <c r="FU108" i="6"/>
  <c r="FL105" i="6"/>
  <c r="FO18" i="6"/>
  <c r="FS26" i="6"/>
  <c r="FP67" i="6"/>
  <c r="FT80" i="6"/>
  <c r="FT112" i="6"/>
  <c r="FQ38" i="6"/>
  <c r="ES110" i="6"/>
  <c r="FO106" i="6"/>
  <c r="FR24" i="6"/>
  <c r="EJ61" i="6"/>
  <c r="FM35" i="6"/>
  <c r="FN22" i="6"/>
  <c r="EM41" i="6"/>
  <c r="BA10" i="3"/>
  <c r="EJ94" i="6"/>
  <c r="FV20" i="6"/>
  <c r="FT59" i="6"/>
  <c r="FM114" i="6"/>
  <c r="FV10" i="6"/>
  <c r="FP63" i="6"/>
  <c r="FL60" i="6"/>
  <c r="FL27" i="6"/>
  <c r="EL19" i="6"/>
  <c r="FS101" i="6"/>
  <c r="FQ112" i="6"/>
  <c r="FN6" i="6"/>
  <c r="FM86" i="6"/>
  <c r="FM85" i="6"/>
  <c r="FT19" i="6"/>
  <c r="FU99" i="6"/>
  <c r="FP49" i="6"/>
  <c r="FU8" i="6"/>
  <c r="FV6" i="6"/>
  <c r="FN65" i="6"/>
  <c r="FT24" i="6"/>
  <c r="EM43" i="6"/>
  <c r="FM73" i="6"/>
  <c r="BB10" i="3"/>
  <c r="EL23" i="6"/>
  <c r="FT63" i="6"/>
  <c r="FV51" i="6"/>
  <c r="EJ60" i="6"/>
  <c r="FV59" i="6"/>
  <c r="FO114" i="6"/>
  <c r="FN94" i="6"/>
  <c r="FU48" i="6"/>
  <c r="FS91" i="6"/>
  <c r="EI65" i="6"/>
  <c r="FX22" i="6"/>
  <c r="FQ61" i="6"/>
  <c r="FU69" i="6"/>
  <c r="FP35" i="6"/>
  <c r="FO116" i="6"/>
  <c r="DV81" i="6"/>
  <c r="EY81" i="6"/>
  <c r="DW105" i="6"/>
  <c r="EZ105" i="6"/>
  <c r="DV105" i="6"/>
  <c r="EY105" i="6"/>
  <c r="ED12" i="6"/>
  <c r="FG12" i="6"/>
  <c r="FQ77" i="6"/>
  <c r="FM7" i="6"/>
  <c r="FN64" i="6"/>
  <c r="FX45" i="6"/>
  <c r="FO15" i="6"/>
  <c r="FV47" i="6"/>
  <c r="EN22" i="6"/>
  <c r="FO58" i="6"/>
  <c r="FP85" i="6"/>
  <c r="FV111" i="6"/>
  <c r="FR106" i="6"/>
  <c r="FQ76" i="6"/>
  <c r="FY60" i="6"/>
  <c r="FU55" i="6"/>
  <c r="BE8" i="3"/>
  <c r="CH8" i="3" s="1"/>
  <c r="FR42" i="6"/>
  <c r="FU15" i="6"/>
  <c r="FN85" i="6"/>
  <c r="DY108" i="6"/>
  <c r="FB108" i="6"/>
  <c r="DV106" i="6"/>
  <c r="EY106" i="6"/>
  <c r="DX86" i="6"/>
  <c r="FA86" i="6"/>
  <c r="DZ86" i="6"/>
  <c r="FC86" i="6"/>
  <c r="DV34" i="6"/>
  <c r="EY34" i="6"/>
  <c r="DX108" i="6"/>
  <c r="FA108" i="6"/>
  <c r="DW106" i="6"/>
  <c r="EZ106" i="6"/>
  <c r="DX17" i="6"/>
  <c r="FA17" i="6"/>
  <c r="DZ68" i="6"/>
  <c r="FC68" i="6"/>
  <c r="DX68" i="6"/>
  <c r="FA68" i="6"/>
  <c r="DX116" i="6"/>
  <c r="FA116" i="6"/>
  <c r="FX102" i="6"/>
  <c r="FQ82" i="6"/>
  <c r="FV42" i="6"/>
  <c r="FL73" i="6"/>
  <c r="FX94" i="6"/>
  <c r="FY109" i="6"/>
  <c r="EM78" i="6"/>
  <c r="FN25" i="6"/>
  <c r="FQ106" i="6"/>
  <c r="FS11" i="6"/>
  <c r="FQ26" i="6"/>
  <c r="FS36" i="6"/>
  <c r="FQ69" i="6"/>
  <c r="FL53" i="6"/>
  <c r="FX60" i="6"/>
  <c r="FN48" i="6"/>
  <c r="FY97" i="6"/>
  <c r="FV107" i="6"/>
  <c r="FS35" i="6"/>
  <c r="DW86" i="6"/>
  <c r="EZ86" i="6"/>
  <c r="FY72" i="6"/>
  <c r="FQ46" i="6"/>
  <c r="FR109" i="6"/>
  <c r="FR97" i="6"/>
  <c r="FX98" i="6"/>
  <c r="FP45" i="6"/>
  <c r="FR103" i="6"/>
  <c r="BD10" i="3"/>
  <c r="FT50" i="6"/>
  <c r="DW79" i="6"/>
  <c r="EZ79" i="6"/>
  <c r="DV79" i="6"/>
  <c r="EY79" i="6"/>
  <c r="FV40" i="6"/>
  <c r="FS85" i="6"/>
  <c r="FP95" i="6"/>
  <c r="FQ32" i="6"/>
  <c r="FV26" i="6"/>
  <c r="FV45" i="6"/>
  <c r="FM91" i="6"/>
  <c r="FL106" i="6"/>
  <c r="FS9" i="6"/>
  <c r="FP116" i="6"/>
  <c r="FN47" i="6"/>
  <c r="FL111" i="6"/>
  <c r="FV55" i="6"/>
  <c r="FL97" i="6"/>
  <c r="FP55" i="6"/>
  <c r="FX63" i="6"/>
  <c r="FV97" i="6"/>
  <c r="FX51" i="6"/>
  <c r="FO50" i="6"/>
  <c r="FL85" i="6"/>
  <c r="FM22" i="6"/>
  <c r="FS49" i="6"/>
  <c r="FP76" i="6"/>
  <c r="FL48" i="6"/>
  <c r="FO113" i="6"/>
  <c r="FV71" i="6"/>
  <c r="FY63" i="6"/>
  <c r="FL45" i="6"/>
  <c r="FP37" i="6"/>
  <c r="FV85" i="6"/>
  <c r="FP108" i="6"/>
  <c r="FL77" i="6"/>
  <c r="FL14" i="6"/>
  <c r="FL103" i="6"/>
  <c r="FQ97" i="6"/>
  <c r="FY45" i="6"/>
  <c r="FX11" i="6"/>
  <c r="FU85" i="6"/>
  <c r="FO7" i="6"/>
  <c r="FY51" i="6"/>
  <c r="FN15" i="6"/>
  <c r="FN34" i="6"/>
  <c r="FV80" i="6"/>
  <c r="FV34" i="6"/>
  <c r="DV18" i="6"/>
  <c r="EY18" i="6"/>
  <c r="DW18" i="6"/>
  <c r="EZ18" i="6"/>
  <c r="FV100" i="6"/>
  <c r="FY62" i="6"/>
  <c r="FU28" i="6"/>
  <c r="FT99" i="6"/>
  <c r="FL26" i="6"/>
  <c r="FR73" i="6"/>
  <c r="FV48" i="6"/>
  <c r="FP68" i="6"/>
  <c r="FR28" i="6"/>
  <c r="FP27" i="6"/>
  <c r="BC10" i="3"/>
  <c r="BF10" i="3"/>
  <c r="FY10" i="6"/>
  <c r="EJ51" i="6"/>
  <c r="FS55" i="6"/>
  <c r="FO28" i="6"/>
  <c r="FM38" i="6"/>
  <c r="FV69" i="6"/>
  <c r="FN80" i="6"/>
  <c r="FX101" i="6"/>
  <c r="FL58" i="6"/>
  <c r="FQ99" i="6"/>
  <c r="AY10" i="3"/>
  <c r="FV109" i="6"/>
  <c r="FN52" i="6"/>
  <c r="FV46" i="6"/>
  <c r="FN111" i="6"/>
  <c r="FT38" i="6"/>
  <c r="FQ36" i="6"/>
  <c r="FM106" i="6"/>
  <c r="FR37" i="6"/>
  <c r="FS108" i="6"/>
  <c r="FN107" i="6"/>
  <c r="FP26" i="6"/>
  <c r="FN100" i="6"/>
  <c r="FN9" i="6"/>
  <c r="FL15" i="6"/>
  <c r="FU82" i="6"/>
  <c r="FV95" i="6"/>
  <c r="FV68" i="6"/>
  <c r="FU32" i="6"/>
  <c r="FL25" i="6"/>
  <c r="DV35" i="6"/>
  <c r="EY35" i="6"/>
  <c r="FT31" i="6"/>
  <c r="FY96" i="6"/>
  <c r="AW10" i="3"/>
  <c r="FN82" i="6"/>
  <c r="FP109" i="6"/>
  <c r="FL40" i="6"/>
  <c r="FL47" i="6"/>
  <c r="FL76" i="6"/>
  <c r="FY73" i="6"/>
  <c r="DV22" i="6"/>
  <c r="EY22" i="6"/>
  <c r="DW101" i="6"/>
  <c r="EZ101" i="6"/>
  <c r="DW22" i="6"/>
  <c r="EZ22" i="6"/>
  <c r="FP103" i="6"/>
  <c r="FM104" i="6"/>
  <c r="FM31" i="6"/>
  <c r="AY8" i="3"/>
  <c r="CB8" i="3" s="1"/>
  <c r="FS115" i="6"/>
  <c r="FV77" i="6"/>
  <c r="FP7" i="6"/>
  <c r="FT56" i="6"/>
  <c r="FN14" i="6"/>
  <c r="FY94" i="6"/>
  <c r="FL46" i="6"/>
  <c r="FU40" i="6"/>
  <c r="FQ48" i="6"/>
  <c r="FT11" i="6"/>
  <c r="FP58" i="6"/>
  <c r="FO8" i="6"/>
  <c r="FR49" i="6"/>
  <c r="FR68" i="6"/>
  <c r="FO97" i="6"/>
  <c r="FS14" i="6"/>
  <c r="FP77" i="6"/>
  <c r="FP52" i="6"/>
  <c r="FS99" i="6"/>
  <c r="FY98" i="6"/>
  <c r="FP69" i="6"/>
  <c r="FY102" i="6"/>
  <c r="FL109" i="6"/>
  <c r="FV32" i="6"/>
  <c r="FT25" i="6"/>
  <c r="FS68" i="6"/>
  <c r="FR100" i="6"/>
  <c r="FO77" i="6"/>
  <c r="FR82" i="6"/>
  <c r="FP53" i="6"/>
  <c r="FM68" i="6"/>
  <c r="DV86" i="6"/>
  <c r="EY86" i="6"/>
  <c r="FM109" i="6"/>
  <c r="FS45" i="6"/>
  <c r="FR85" i="6"/>
  <c r="FY20" i="6"/>
  <c r="FP34" i="6"/>
  <c r="FV116" i="6"/>
  <c r="FY15" i="6"/>
  <c r="FO80" i="6"/>
  <c r="DV101" i="6"/>
  <c r="EY101" i="6"/>
  <c r="DV17" i="6"/>
  <c r="EY17" i="6"/>
  <c r="FP71" i="6"/>
  <c r="FR48" i="6"/>
  <c r="FR107" i="6"/>
  <c r="FY100" i="6"/>
  <c r="FY68" i="6"/>
  <c r="FR8" i="6"/>
  <c r="DV80" i="6"/>
  <c r="EY80" i="6"/>
  <c r="DW17" i="6"/>
  <c r="EZ17" i="6"/>
  <c r="FM55" i="6"/>
  <c r="FU50" i="6"/>
  <c r="FR71" i="6"/>
  <c r="FS8" i="6"/>
  <c r="FQ47" i="6"/>
  <c r="FU37" i="6"/>
  <c r="FP38" i="6"/>
  <c r="FY33" i="6"/>
  <c r="FS106" i="6"/>
  <c r="DW80" i="6"/>
  <c r="EZ80" i="6"/>
  <c r="DQ104" i="6"/>
  <c r="EH104" i="6"/>
  <c r="FV50" i="6"/>
  <c r="FX64" i="6"/>
  <c r="DQ59" i="6"/>
  <c r="EH59" i="6"/>
  <c r="FX115" i="6"/>
  <c r="FS46" i="6"/>
  <c r="FU109" i="6"/>
  <c r="FK104" i="6"/>
  <c r="FU45" i="6"/>
  <c r="BL12" i="3"/>
  <c r="CO12" i="3" s="1"/>
  <c r="FP90" i="6"/>
  <c r="BB9" i="3"/>
  <c r="CE9" i="3" s="1"/>
  <c r="EM90" i="6"/>
  <c r="FM82" i="6"/>
  <c r="FO42" i="6"/>
  <c r="FP23" i="6"/>
  <c r="FO71" i="6"/>
  <c r="FR7" i="6"/>
  <c r="EN89" i="6"/>
  <c r="BC8" i="3"/>
  <c r="CF8" i="3" s="1"/>
  <c r="EH73" i="6"/>
  <c r="DQ73" i="6"/>
  <c r="EU103" i="6"/>
  <c r="BJ10" i="3"/>
  <c r="FU97" i="6"/>
  <c r="FP47" i="6"/>
  <c r="FQ115" i="6"/>
  <c r="FY115" i="6"/>
  <c r="FX103" i="6"/>
  <c r="FR46" i="6"/>
  <c r="FO40" i="6"/>
  <c r="FS90" i="6"/>
  <c r="BE9" i="3"/>
  <c r="CH9" i="3" s="1"/>
  <c r="EP90" i="6"/>
  <c r="FS50" i="6"/>
  <c r="FM42" i="6"/>
  <c r="FO85" i="6"/>
  <c r="FY85" i="6"/>
  <c r="EH31" i="6"/>
  <c r="DQ31" i="6"/>
  <c r="DQ7" i="6"/>
  <c r="EH7" i="6"/>
  <c r="FO76" i="6"/>
  <c r="BG8" i="3"/>
  <c r="CJ8" i="3" s="1"/>
  <c r="FP28" i="6"/>
  <c r="FY95" i="6"/>
  <c r="DQ107" i="6"/>
  <c r="EH107" i="6"/>
  <c r="FP32" i="6"/>
  <c r="BK12" i="3"/>
  <c r="CN12" i="3" s="1"/>
  <c r="EV78" i="6"/>
  <c r="DQ78" i="6"/>
  <c r="EH78" i="6"/>
  <c r="AW12" i="3"/>
  <c r="BZ12" i="3" s="1"/>
  <c r="BE12" i="3"/>
  <c r="CH12" i="3" s="1"/>
  <c r="FY78" i="6"/>
  <c r="BB11" i="3"/>
  <c r="CE11" i="3" s="1"/>
  <c r="DQ49" i="6"/>
  <c r="EH49" i="6"/>
  <c r="BB7" i="3"/>
  <c r="CE7" i="3" s="1"/>
  <c r="EH36" i="6"/>
  <c r="DQ36" i="6"/>
  <c r="FY108" i="6"/>
  <c r="BA6" i="3"/>
  <c r="BK5" i="3"/>
  <c r="EV86" i="6"/>
  <c r="BB5" i="3"/>
  <c r="BJ8" i="3"/>
  <c r="CM8" i="3" s="1"/>
  <c r="EU80" i="6"/>
  <c r="FM111" i="6"/>
  <c r="FT26" i="6"/>
  <c r="EI78" i="6"/>
  <c r="AX12" i="3"/>
  <c r="CA12" i="3" s="1"/>
  <c r="BJ9" i="3"/>
  <c r="CM9" i="3" s="1"/>
  <c r="EU66" i="6"/>
  <c r="AY11" i="3"/>
  <c r="CB11" i="3" s="1"/>
  <c r="EJ110" i="6"/>
  <c r="EJ67" i="6"/>
  <c r="AY7" i="3"/>
  <c r="CB7" i="3" s="1"/>
  <c r="DQ105" i="6"/>
  <c r="EH105" i="6"/>
  <c r="FY105" i="6"/>
  <c r="AY6" i="3"/>
  <c r="EJ65" i="6"/>
  <c r="BA5" i="3"/>
  <c r="EL86" i="6"/>
  <c r="FQ68" i="6"/>
  <c r="FN53" i="6"/>
  <c r="FN113" i="6"/>
  <c r="FY11" i="6"/>
  <c r="FN42" i="6"/>
  <c r="FL42" i="6"/>
  <c r="BF8" i="3"/>
  <c r="CI8" i="3" s="1"/>
  <c r="FR95" i="6"/>
  <c r="DQ24" i="6"/>
  <c r="EH24" i="6"/>
  <c r="FY107" i="6"/>
  <c r="FN32" i="6"/>
  <c r="FX33" i="6"/>
  <c r="FR25" i="6"/>
  <c r="DQ57" i="6"/>
  <c r="EH57" i="6"/>
  <c r="FN37" i="6"/>
  <c r="FK49" i="6"/>
  <c r="FN69" i="6"/>
  <c r="BF6" i="3"/>
  <c r="FL116" i="6"/>
  <c r="FO22" i="6"/>
  <c r="FP80" i="6"/>
  <c r="FL68" i="6"/>
  <c r="FL8" i="6"/>
  <c r="FS15" i="6"/>
  <c r="FX107" i="6"/>
  <c r="FR111" i="6"/>
  <c r="FT32" i="6"/>
  <c r="FX32" i="6"/>
  <c r="FY99" i="6"/>
  <c r="FV78" i="6"/>
  <c r="ES78" i="6"/>
  <c r="BH12" i="3"/>
  <c r="CK12" i="3" s="1"/>
  <c r="FT100" i="6"/>
  <c r="FK57" i="6"/>
  <c r="FM37" i="6"/>
  <c r="BJ11" i="3"/>
  <c r="CM11" i="3" s="1"/>
  <c r="EU110" i="6"/>
  <c r="AX11" i="3"/>
  <c r="CA11" i="3" s="1"/>
  <c r="BK7" i="3"/>
  <c r="CN7" i="3" s="1"/>
  <c r="EV67" i="6"/>
  <c r="AW7" i="3"/>
  <c r="BZ7" i="3" s="1"/>
  <c r="DQ67" i="6"/>
  <c r="EH67" i="6"/>
  <c r="BA7" i="3"/>
  <c r="CD7" i="3" s="1"/>
  <c r="FR36" i="6"/>
  <c r="FT69" i="6"/>
  <c r="FX69" i="6"/>
  <c r="DQ35" i="6"/>
  <c r="EH35" i="6"/>
  <c r="FO108" i="6"/>
  <c r="AZ5" i="3"/>
  <c r="EK86" i="6"/>
  <c r="FT116" i="6"/>
  <c r="DQ101" i="6"/>
  <c r="EH101" i="6"/>
  <c r="DV69" i="6"/>
  <c r="EY69" i="6"/>
  <c r="DQ115" i="6"/>
  <c r="EH115" i="6"/>
  <c r="DQ48" i="6"/>
  <c r="EH48" i="6"/>
  <c r="EJ90" i="6"/>
  <c r="AY9" i="3"/>
  <c r="CB9" i="3" s="1"/>
  <c r="FO109" i="6"/>
  <c r="FV90" i="6"/>
  <c r="BH9" i="3"/>
  <c r="CK9" i="3" s="1"/>
  <c r="ES90" i="6"/>
  <c r="FV89" i="6"/>
  <c r="ES89" i="6"/>
  <c r="BH8" i="3"/>
  <c r="CK8" i="3" s="1"/>
  <c r="ER20" i="6"/>
  <c r="BG10" i="3"/>
  <c r="BL10" i="3"/>
  <c r="FX62" i="6"/>
  <c r="DQ47" i="6"/>
  <c r="EH47" i="6"/>
  <c r="DQ45" i="6"/>
  <c r="EH45" i="6"/>
  <c r="FP48" i="6"/>
  <c r="FK59" i="6"/>
  <c r="DQ102" i="6"/>
  <c r="EH102" i="6"/>
  <c r="FS97" i="6"/>
  <c r="DQ51" i="6"/>
  <c r="EH51" i="6"/>
  <c r="DQ98" i="6"/>
  <c r="EH98" i="6"/>
  <c r="DQ54" i="6"/>
  <c r="EH54" i="6"/>
  <c r="FY48" i="6"/>
  <c r="FT42" i="6"/>
  <c r="DQ23" i="6"/>
  <c r="EH23" i="6"/>
  <c r="FR14" i="6"/>
  <c r="FN27" i="6"/>
  <c r="FN89" i="6"/>
  <c r="AZ8" i="3"/>
  <c r="CC8" i="3" s="1"/>
  <c r="EK89" i="6"/>
  <c r="FM20" i="6"/>
  <c r="FQ8" i="6"/>
  <c r="DQ99" i="6"/>
  <c r="EH99" i="6"/>
  <c r="DQ26" i="6"/>
  <c r="EH26" i="6"/>
  <c r="BJ12" i="3"/>
  <c r="CM12" i="3" s="1"/>
  <c r="EU78" i="6"/>
  <c r="BF7" i="3"/>
  <c r="CI7" i="3" s="1"/>
  <c r="DQ108" i="6"/>
  <c r="EH108" i="6"/>
  <c r="AX6" i="3"/>
  <c r="BC5" i="3"/>
  <c r="DQ22" i="6"/>
  <c r="EH22" i="6"/>
  <c r="BK8" i="3"/>
  <c r="CN8" i="3" s="1"/>
  <c r="EV80" i="6"/>
  <c r="FY80" i="6"/>
  <c r="FM107" i="6"/>
  <c r="BF12" i="3"/>
  <c r="CI12" i="3" s="1"/>
  <c r="EQ78" i="6"/>
  <c r="FO100" i="6"/>
  <c r="ER110" i="6"/>
  <c r="BG11" i="3"/>
  <c r="CJ11" i="3" s="1"/>
  <c r="BG7" i="3"/>
  <c r="CJ7" i="3" s="1"/>
  <c r="ER67" i="6"/>
  <c r="DQ106" i="6"/>
  <c r="EH106" i="6"/>
  <c r="FX106" i="6"/>
  <c r="EH69" i="6"/>
  <c r="DQ69" i="6"/>
  <c r="EH81" i="6"/>
  <c r="DQ81" i="6"/>
  <c r="FT108" i="6"/>
  <c r="FX108" i="6"/>
  <c r="FU65" i="6"/>
  <c r="BG6" i="3"/>
  <c r="ER65" i="6"/>
  <c r="FO68" i="6"/>
  <c r="DW68" i="6"/>
  <c r="EZ68" i="6"/>
  <c r="FX48" i="6"/>
  <c r="DQ90" i="6"/>
  <c r="EH90" i="6"/>
  <c r="AW9" i="3"/>
  <c r="BZ9" i="3" s="1"/>
  <c r="BC9" i="3"/>
  <c r="CF9" i="3" s="1"/>
  <c r="FQ113" i="6"/>
  <c r="FN50" i="6"/>
  <c r="FV82" i="6"/>
  <c r="FQ42" i="6"/>
  <c r="FX85" i="6"/>
  <c r="DQ71" i="6"/>
  <c r="EH71" i="6"/>
  <c r="FK31" i="6"/>
  <c r="FN7" i="6"/>
  <c r="FU76" i="6"/>
  <c r="FL28" i="6"/>
  <c r="FO20" i="6"/>
  <c r="FU91" i="6"/>
  <c r="DQ112" i="6"/>
  <c r="EH112" i="6"/>
  <c r="AY12" i="3"/>
  <c r="CB12" i="3" s="1"/>
  <c r="FQ100" i="6"/>
  <c r="DQ66" i="6"/>
  <c r="EH66" i="6"/>
  <c r="FQ37" i="6"/>
  <c r="BH11" i="3"/>
  <c r="CK11" i="3" s="1"/>
  <c r="FQ58" i="6"/>
  <c r="FQ34" i="6"/>
  <c r="FO35" i="6"/>
  <c r="FX105" i="6"/>
  <c r="BH6" i="3"/>
  <c r="AY5" i="3"/>
  <c r="BD5" i="3"/>
  <c r="FU116" i="6"/>
  <c r="FM15" i="6"/>
  <c r="DQ100" i="6"/>
  <c r="EH100" i="6"/>
  <c r="FX100" i="6"/>
  <c r="BL11" i="3"/>
  <c r="CO11" i="3" s="1"/>
  <c r="BA11" i="3"/>
  <c r="CD11" i="3" s="1"/>
  <c r="FL49" i="6"/>
  <c r="FM58" i="6"/>
  <c r="BJ7" i="3"/>
  <c r="CM7" i="3" s="1"/>
  <c r="EU67" i="6"/>
  <c r="FL36" i="6"/>
  <c r="FS34" i="6"/>
  <c r="FN35" i="6"/>
  <c r="BL6" i="3"/>
  <c r="FM65" i="6"/>
  <c r="BC6" i="3"/>
  <c r="ES86" i="6"/>
  <c r="BH5" i="3"/>
  <c r="EH18" i="6"/>
  <c r="DQ18" i="6"/>
  <c r="DW69" i="6"/>
  <c r="EZ69" i="6"/>
  <c r="DQ77" i="6"/>
  <c r="EH77" i="6"/>
  <c r="EH40" i="6"/>
  <c r="DQ40" i="6"/>
  <c r="DQ55" i="6"/>
  <c r="EH55" i="6"/>
  <c r="EL90" i="6"/>
  <c r="BA9" i="3"/>
  <c r="CD9" i="3" s="1"/>
  <c r="DQ82" i="6"/>
  <c r="EH82" i="6"/>
  <c r="FO73" i="6"/>
  <c r="EP103" i="6"/>
  <c r="BE10" i="3"/>
  <c r="FX46" i="6"/>
  <c r="EH114" i="6"/>
  <c r="DQ114" i="6"/>
  <c r="FT77" i="6"/>
  <c r="FT40" i="6"/>
  <c r="FX47" i="6"/>
  <c r="DQ72" i="6"/>
  <c r="EH72" i="6"/>
  <c r="FO90" i="6"/>
  <c r="EH96" i="6"/>
  <c r="DQ96" i="6"/>
  <c r="DQ56" i="6"/>
  <c r="EH56" i="6"/>
  <c r="EV103" i="6"/>
  <c r="BK10" i="3"/>
  <c r="DQ103" i="6"/>
  <c r="EH103" i="6"/>
  <c r="DQ109" i="6"/>
  <c r="EH109" i="6"/>
  <c r="FK77" i="6"/>
  <c r="DQ97" i="6"/>
  <c r="EH97" i="6"/>
  <c r="FL64" i="6"/>
  <c r="FS103" i="6"/>
  <c r="FT109" i="6"/>
  <c r="FX109" i="6"/>
  <c r="FM97" i="6"/>
  <c r="DQ94" i="6"/>
  <c r="EH94" i="6"/>
  <c r="FQ55" i="6"/>
  <c r="FO47" i="6"/>
  <c r="FY47" i="6"/>
  <c r="DQ41" i="6"/>
  <c r="EH41" i="6"/>
  <c r="FM45" i="6"/>
  <c r="DQ60" i="6"/>
  <c r="EH60" i="6"/>
  <c r="FM53" i="6"/>
  <c r="EI90" i="6"/>
  <c r="AX9" i="3"/>
  <c r="CA9" i="3" s="1"/>
  <c r="FM113" i="6"/>
  <c r="FN11" i="6"/>
  <c r="FN23" i="6"/>
  <c r="FX96" i="6"/>
  <c r="ES14" i="6"/>
  <c r="BH10" i="3"/>
  <c r="FU7" i="6"/>
  <c r="FR76" i="6"/>
  <c r="FP89" i="6"/>
  <c r="EM89" i="6"/>
  <c r="BB8" i="3"/>
  <c r="CE8" i="3" s="1"/>
  <c r="FV28" i="6"/>
  <c r="DQ8" i="6"/>
  <c r="EH8" i="6"/>
  <c r="FP15" i="6"/>
  <c r="FU107" i="6"/>
  <c r="EH111" i="6"/>
  <c r="DQ111" i="6"/>
  <c r="BD12" i="3"/>
  <c r="CG12" i="3" s="1"/>
  <c r="DQ110" i="6"/>
  <c r="EH110" i="6"/>
  <c r="AW11" i="3"/>
  <c r="BZ11" i="3" s="1"/>
  <c r="BE6" i="3"/>
  <c r="DQ9" i="6"/>
  <c r="EH9" i="6"/>
  <c r="DQ32" i="6"/>
  <c r="EH32" i="6"/>
  <c r="FY61" i="6"/>
  <c r="BG12" i="3"/>
  <c r="CJ12" i="3" s="1"/>
  <c r="ER78" i="6"/>
  <c r="EH33" i="6"/>
  <c r="DQ33" i="6"/>
  <c r="EH25" i="6"/>
  <c r="DQ25" i="6"/>
  <c r="FK110" i="6"/>
  <c r="FN110" i="6"/>
  <c r="AZ11" i="3"/>
  <c r="CC11" i="3" s="1"/>
  <c r="EK110" i="6"/>
  <c r="FX49" i="6"/>
  <c r="EH6" i="6"/>
  <c r="DQ6" i="6"/>
  <c r="EN67" i="6"/>
  <c r="BC7" i="3"/>
  <c r="CF7" i="3" s="1"/>
  <c r="BD6" i="3"/>
  <c r="EO65" i="6"/>
  <c r="EI86" i="6"/>
  <c r="AX5" i="3"/>
  <c r="FR116" i="6"/>
  <c r="FK22" i="6"/>
  <c r="EH80" i="6"/>
  <c r="DQ80" i="6"/>
  <c r="FX80" i="6"/>
  <c r="DV68" i="6"/>
  <c r="EY68" i="6"/>
  <c r="DW116" i="6"/>
  <c r="EZ116" i="6"/>
  <c r="FQ50" i="6"/>
  <c r="EH11" i="6"/>
  <c r="DQ11" i="6"/>
  <c r="FK82" i="6"/>
  <c r="DQ42" i="6"/>
  <c r="EH42" i="6"/>
  <c r="FP14" i="6"/>
  <c r="FQ7" i="6"/>
  <c r="FK56" i="6"/>
  <c r="BA8" i="3"/>
  <c r="CD8" i="3" s="1"/>
  <c r="FQ28" i="6"/>
  <c r="BL5" i="3"/>
  <c r="EH15" i="6"/>
  <c r="DQ15" i="6"/>
  <c r="FO91" i="6"/>
  <c r="FQ107" i="6"/>
  <c r="BB12" i="3"/>
  <c r="CE12" i="3" s="1"/>
  <c r="BC11" i="3"/>
  <c r="CF11" i="3" s="1"/>
  <c r="FU67" i="6"/>
  <c r="AZ7" i="3"/>
  <c r="CC7" i="3" s="1"/>
  <c r="FK36" i="6"/>
  <c r="FR65" i="6"/>
  <c r="DQ116" i="6"/>
  <c r="EH116" i="6"/>
  <c r="DQ68" i="6"/>
  <c r="EH68" i="6"/>
  <c r="FX15" i="6"/>
  <c r="DQ91" i="6"/>
  <c r="EH91" i="6"/>
  <c r="FS107" i="6"/>
  <c r="FQ9" i="6"/>
  <c r="FS32" i="6"/>
  <c r="DQ38" i="6"/>
  <c r="EH38" i="6"/>
  <c r="BA12" i="3"/>
  <c r="CD12" i="3" s="1"/>
  <c r="EL78" i="6"/>
  <c r="FK33" i="6"/>
  <c r="FS100" i="6"/>
  <c r="FZ66" i="6"/>
  <c r="DQ37" i="6"/>
  <c r="EH37" i="6"/>
  <c r="BK11" i="3"/>
  <c r="CN11" i="3" s="1"/>
  <c r="EV110" i="6"/>
  <c r="BF11" i="3"/>
  <c r="CI11" i="3" s="1"/>
  <c r="FO49" i="6"/>
  <c r="FY49" i="6"/>
  <c r="FM34" i="6"/>
  <c r="FS69" i="6"/>
  <c r="BK6" i="3"/>
  <c r="EV65" i="6"/>
  <c r="BB6" i="3"/>
  <c r="FT86" i="6"/>
  <c r="BF5" i="3"/>
  <c r="EQ86" i="6"/>
  <c r="FY22" i="6"/>
  <c r="FT68" i="6"/>
  <c r="FX68" i="6"/>
  <c r="FL101" i="6"/>
  <c r="DQ64" i="6"/>
  <c r="EH64" i="6"/>
  <c r="DQ52" i="6"/>
  <c r="EH52" i="6"/>
  <c r="FU90" i="6"/>
  <c r="ER90" i="6"/>
  <c r="BG9" i="3"/>
  <c r="CJ9" i="3" s="1"/>
  <c r="DQ87" i="6"/>
  <c r="EH87" i="6"/>
  <c r="EH113" i="6"/>
  <c r="DQ113" i="6"/>
  <c r="DQ85" i="6"/>
  <c r="EH85" i="6"/>
  <c r="FM71" i="6"/>
  <c r="DQ14" i="6"/>
  <c r="EH14" i="6"/>
  <c r="DQ10" i="6"/>
  <c r="EH10" i="6"/>
  <c r="EK103" i="6"/>
  <c r="AZ10" i="3"/>
  <c r="FX55" i="6"/>
  <c r="FR45" i="6"/>
  <c r="EO90" i="6"/>
  <c r="BD9" i="3"/>
  <c r="CG9" i="3" s="1"/>
  <c r="DQ50" i="6"/>
  <c r="EH50" i="6"/>
  <c r="FU42" i="6"/>
  <c r="DQ43" i="6"/>
  <c r="EH43" i="6"/>
  <c r="DQ27" i="6"/>
  <c r="EH27" i="6"/>
  <c r="EI89" i="6"/>
  <c r="AX8" i="3"/>
  <c r="CA8" i="3" s="1"/>
  <c r="DQ19" i="6"/>
  <c r="EH19" i="6"/>
  <c r="FR15" i="6"/>
  <c r="FK115" i="6"/>
  <c r="FX10" i="6"/>
  <c r="FN103" i="6"/>
  <c r="FN109" i="6"/>
  <c r="FL52" i="6"/>
  <c r="EH62" i="6"/>
  <c r="DQ62" i="6"/>
  <c r="FK47" i="6"/>
  <c r="FN45" i="6"/>
  <c r="FY64" i="6"/>
  <c r="FX73" i="6"/>
  <c r="FL115" i="6"/>
  <c r="DQ63" i="6"/>
  <c r="EH63" i="6"/>
  <c r="DQ46" i="6"/>
  <c r="EH46" i="6"/>
  <c r="FY46" i="6"/>
  <c r="FT97" i="6"/>
  <c r="FX97" i="6"/>
  <c r="FQ40" i="6"/>
  <c r="FK62" i="6"/>
  <c r="FO55" i="6"/>
  <c r="FY55" i="6"/>
  <c r="FT45" i="6"/>
  <c r="FK72" i="6"/>
  <c r="FX72" i="6"/>
  <c r="FN90" i="6"/>
  <c r="AZ9" i="3"/>
  <c r="CC9" i="3" s="1"/>
  <c r="EK90" i="6"/>
  <c r="FK85" i="6"/>
  <c r="FY14" i="6"/>
  <c r="FT7" i="6"/>
  <c r="FR89" i="6"/>
  <c r="BD8" i="3"/>
  <c r="CG8" i="3" s="1"/>
  <c r="EO89" i="6"/>
  <c r="FK19" i="6"/>
  <c r="FS28" i="6"/>
  <c r="DQ20" i="6"/>
  <c r="EH20" i="6"/>
  <c r="FX20" i="6"/>
  <c r="BD11" i="3"/>
  <c r="CG11" i="3" s="1"/>
  <c r="AX7" i="3"/>
  <c r="CA7" i="3" s="1"/>
  <c r="FY106" i="6"/>
  <c r="BJ5" i="3"/>
  <c r="EU86" i="6"/>
  <c r="AW5" i="3"/>
  <c r="DQ86" i="6"/>
  <c r="EH86" i="6"/>
  <c r="DQ95" i="6"/>
  <c r="EH95" i="6"/>
  <c r="FX95" i="6"/>
  <c r="DQ61" i="6"/>
  <c r="EH61" i="6"/>
  <c r="FX78" i="6"/>
  <c r="BK9" i="3"/>
  <c r="CN9" i="3" s="1"/>
  <c r="EV66" i="6"/>
  <c r="BE5" i="3"/>
  <c r="EP86" i="6"/>
  <c r="DV116" i="6"/>
  <c r="EY116" i="6"/>
  <c r="FZ72" i="6"/>
  <c r="DQ53" i="6"/>
  <c r="EH53" i="6"/>
  <c r="BF9" i="3"/>
  <c r="CI9" i="3" s="1"/>
  <c r="FL50" i="6"/>
  <c r="FP82" i="6"/>
  <c r="FK23" i="6"/>
  <c r="FN71" i="6"/>
  <c r="FL71" i="6"/>
  <c r="FX14" i="6"/>
  <c r="DQ76" i="6"/>
  <c r="EH76" i="6"/>
  <c r="FO56" i="6"/>
  <c r="DQ89" i="6"/>
  <c r="EH89" i="6"/>
  <c r="AW8" i="3"/>
  <c r="BZ8" i="3" s="1"/>
  <c r="EH28" i="6"/>
  <c r="DQ28" i="6"/>
  <c r="FK8" i="6"/>
  <c r="FK111" i="6"/>
  <c r="FY32" i="6"/>
  <c r="FX61" i="6"/>
  <c r="FK78" i="6"/>
  <c r="AZ12" i="3"/>
  <c r="CC12" i="3" s="1"/>
  <c r="FP57" i="6"/>
  <c r="FX66" i="6"/>
  <c r="BE11" i="3"/>
  <c r="CH11" i="3" s="1"/>
  <c r="DQ58" i="6"/>
  <c r="EH58" i="6"/>
  <c r="BE7" i="3"/>
  <c r="CH7" i="3" s="1"/>
  <c r="BH7" i="3"/>
  <c r="CK7" i="3" s="1"/>
  <c r="FP36" i="6"/>
  <c r="EH34" i="6"/>
  <c r="DQ34" i="6"/>
  <c r="FY69" i="6"/>
  <c r="FK81" i="6"/>
  <c r="FK108" i="6"/>
  <c r="FK105" i="6"/>
  <c r="AZ6" i="3"/>
  <c r="BG5" i="3"/>
  <c r="FK80" i="6"/>
  <c r="FO101" i="6"/>
  <c r="FK24" i="6"/>
  <c r="FK107" i="6"/>
  <c r="FL99" i="6"/>
  <c r="FO26" i="6"/>
  <c r="FN38" i="6"/>
  <c r="BC12" i="3"/>
  <c r="CF12" i="3" s="1"/>
  <c r="EN78" i="6"/>
  <c r="FM100" i="6"/>
  <c r="FL57" i="6"/>
  <c r="FS37" i="6"/>
  <c r="FU110" i="6"/>
  <c r="BL7" i="3"/>
  <c r="CO7" i="3" s="1"/>
  <c r="FQ67" i="6"/>
  <c r="BD7" i="3"/>
  <c r="CG7" i="3" s="1"/>
  <c r="FY67" i="6"/>
  <c r="FT34" i="6"/>
  <c r="FT106" i="6"/>
  <c r="FQ108" i="6"/>
  <c r="FL108" i="6"/>
  <c r="BJ6" i="3"/>
  <c r="EU65" i="6"/>
  <c r="EH65" i="6"/>
  <c r="AW6" i="3"/>
  <c r="DQ65" i="6"/>
  <c r="FO86" i="6"/>
  <c r="FM116" i="6"/>
  <c r="FK18" i="6"/>
  <c r="FY101" i="6"/>
  <c r="DD101" i="6"/>
  <c r="DU101" i="6"/>
  <c r="EW101" i="6"/>
  <c r="EX101" i="6"/>
  <c r="DD22" i="6"/>
  <c r="DU22" i="6"/>
  <c r="EW22" i="6"/>
  <c r="EX22" i="6"/>
  <c r="DD51" i="6"/>
  <c r="DU51" i="6"/>
  <c r="EW51" i="6"/>
  <c r="EX51" i="6"/>
  <c r="DD42" i="6"/>
  <c r="DU42" i="6"/>
  <c r="EW42" i="6"/>
  <c r="EX42" i="6"/>
  <c r="AJ8" i="9"/>
  <c r="BM8" i="9" s="1"/>
  <c r="BP6" i="3"/>
  <c r="AL8" i="9"/>
  <c r="BO8" i="9" s="1"/>
  <c r="BR6" i="3"/>
  <c r="AN6" i="9"/>
  <c r="BQ6" i="9" s="1"/>
  <c r="BT5" i="3"/>
  <c r="AP6" i="9"/>
  <c r="BS6" i="9" s="1"/>
  <c r="BV5" i="3"/>
  <c r="AR8" i="9"/>
  <c r="BU8" i="9" s="1"/>
  <c r="BX6" i="3"/>
  <c r="DD66" i="6"/>
  <c r="DU66" i="6"/>
  <c r="EW66" i="6"/>
  <c r="EX66" i="6"/>
  <c r="DD57" i="6"/>
  <c r="DU57" i="6"/>
  <c r="EW57" i="6"/>
  <c r="EX57" i="6"/>
  <c r="DD100" i="6"/>
  <c r="DU100" i="6"/>
  <c r="EW100" i="6"/>
  <c r="EX100" i="6"/>
  <c r="DD86" i="6"/>
  <c r="DU86" i="6"/>
  <c r="EW86" i="6"/>
  <c r="EX86" i="6"/>
  <c r="DD79" i="6"/>
  <c r="DU79" i="6"/>
  <c r="EW79" i="6"/>
  <c r="EX79" i="6"/>
  <c r="DD108" i="6"/>
  <c r="DU108" i="6"/>
  <c r="EW108" i="6"/>
  <c r="EX108" i="6"/>
  <c r="AI6" i="9"/>
  <c r="BL6" i="9" s="1"/>
  <c r="BO5" i="3"/>
  <c r="DD30" i="6"/>
  <c r="DU30" i="6"/>
  <c r="EW30" i="6"/>
  <c r="EX30" i="6"/>
  <c r="DD78" i="6"/>
  <c r="DU78" i="6"/>
  <c r="EW78" i="6"/>
  <c r="AJ12" i="3"/>
  <c r="EX78" i="6"/>
  <c r="DD12" i="6"/>
  <c r="DU12" i="6"/>
  <c r="EW12" i="6"/>
  <c r="EX12" i="6"/>
  <c r="DD26" i="6"/>
  <c r="DU26" i="6"/>
  <c r="EW26" i="6"/>
  <c r="EX26" i="6"/>
  <c r="DD17" i="6"/>
  <c r="DU17" i="6"/>
  <c r="EW17" i="6"/>
  <c r="EX17" i="6"/>
  <c r="DD69" i="6"/>
  <c r="DU69" i="6"/>
  <c r="EW69" i="6"/>
  <c r="EX69" i="6"/>
  <c r="DD106" i="6"/>
  <c r="DU106" i="6"/>
  <c r="EW106" i="6"/>
  <c r="EX106" i="6"/>
  <c r="DD34" i="6"/>
  <c r="DU34" i="6"/>
  <c r="EW34" i="6"/>
  <c r="EX34" i="6"/>
  <c r="DD10" i="6"/>
  <c r="DU10" i="6"/>
  <c r="EW10" i="6"/>
  <c r="EX10" i="6"/>
  <c r="DD102" i="6"/>
  <c r="DU102" i="6"/>
  <c r="EW102" i="6"/>
  <c r="EX102" i="6"/>
  <c r="DD59" i="6"/>
  <c r="DU59" i="6"/>
  <c r="EW59" i="6"/>
  <c r="EX59" i="6"/>
  <c r="DD47" i="6"/>
  <c r="DU47" i="6"/>
  <c r="EW47" i="6"/>
  <c r="EX47" i="6"/>
  <c r="DD55" i="6"/>
  <c r="DU55" i="6"/>
  <c r="EW55" i="6"/>
  <c r="EX55" i="6"/>
  <c r="DD84" i="6"/>
  <c r="DU84" i="6"/>
  <c r="EW84" i="6"/>
  <c r="EX84" i="6"/>
  <c r="DD43" i="6"/>
  <c r="DU43" i="6"/>
  <c r="EW43" i="6"/>
  <c r="EX43" i="6"/>
  <c r="DD31" i="6"/>
  <c r="DU31" i="6"/>
  <c r="EW31" i="6"/>
  <c r="EX31" i="6"/>
  <c r="DD96" i="6"/>
  <c r="DU96" i="6"/>
  <c r="EW96" i="6"/>
  <c r="EX96" i="6"/>
  <c r="DD23" i="6"/>
  <c r="DU23" i="6"/>
  <c r="EW23" i="6"/>
  <c r="EX23" i="6"/>
  <c r="DD112" i="6"/>
  <c r="DU112" i="6"/>
  <c r="EW112" i="6"/>
  <c r="EX112" i="6"/>
  <c r="DD9" i="6"/>
  <c r="DU9" i="6"/>
  <c r="EW9" i="6"/>
  <c r="EX9" i="6"/>
  <c r="DD24" i="6"/>
  <c r="DU24" i="6"/>
  <c r="EW24" i="6"/>
  <c r="EX24" i="6"/>
  <c r="DD88" i="6"/>
  <c r="DU88" i="6"/>
  <c r="EW88" i="6"/>
  <c r="EX88" i="6"/>
  <c r="DD67" i="6"/>
  <c r="DU67" i="6"/>
  <c r="EW67" i="6"/>
  <c r="EX67" i="6"/>
  <c r="DD58" i="6"/>
  <c r="DU58" i="6"/>
  <c r="EW58" i="6"/>
  <c r="EX58" i="6"/>
  <c r="DD49" i="6"/>
  <c r="DU49" i="6"/>
  <c r="EW49" i="6"/>
  <c r="EX49" i="6"/>
  <c r="DD18" i="6"/>
  <c r="DU18" i="6"/>
  <c r="EW18" i="6"/>
  <c r="DD94" i="6"/>
  <c r="DU94" i="6"/>
  <c r="EW94" i="6"/>
  <c r="EX94" i="6"/>
  <c r="DD83" i="6"/>
  <c r="DU83" i="6"/>
  <c r="EW83" i="6"/>
  <c r="EX83" i="6"/>
  <c r="DD82" i="6"/>
  <c r="DU82" i="6"/>
  <c r="EW82" i="6"/>
  <c r="EX82" i="6"/>
  <c r="DD50" i="6"/>
  <c r="DU50" i="6"/>
  <c r="EW50" i="6"/>
  <c r="EX50" i="6"/>
  <c r="DD87" i="6"/>
  <c r="DU87" i="6"/>
  <c r="EW87" i="6"/>
  <c r="EX87" i="6"/>
  <c r="DD15" i="6"/>
  <c r="DU15" i="6"/>
  <c r="EW15" i="6"/>
  <c r="EX15" i="6"/>
  <c r="DD8" i="6"/>
  <c r="DU8" i="6"/>
  <c r="EW8" i="6"/>
  <c r="EX8" i="6"/>
  <c r="DD28" i="6"/>
  <c r="DU28" i="6"/>
  <c r="EW28" i="6"/>
  <c r="EX28" i="6"/>
  <c r="AK8" i="9"/>
  <c r="BN8" i="9" s="1"/>
  <c r="BQ6" i="3"/>
  <c r="AO6" i="9"/>
  <c r="BR6" i="9" s="1"/>
  <c r="BU5" i="3"/>
  <c r="DD110" i="6"/>
  <c r="DU110" i="6"/>
  <c r="EW110" i="6"/>
  <c r="EX110" i="6"/>
  <c r="AH6" i="9"/>
  <c r="BK6" i="9" s="1"/>
  <c r="BN5" i="3"/>
  <c r="AJ6" i="9"/>
  <c r="BM6" i="9" s="1"/>
  <c r="BP5" i="3"/>
  <c r="DD109" i="6"/>
  <c r="DU109" i="6"/>
  <c r="EW109" i="6"/>
  <c r="EX109" i="6"/>
  <c r="DD46" i="6"/>
  <c r="DU46" i="6"/>
  <c r="EW46" i="6"/>
  <c r="EX46" i="6"/>
  <c r="DD90" i="6"/>
  <c r="DU90" i="6"/>
  <c r="EW90" i="6"/>
  <c r="EX90" i="6"/>
  <c r="DD53" i="6"/>
  <c r="DU53" i="6"/>
  <c r="EW53" i="6"/>
  <c r="EX53" i="6"/>
  <c r="DD48" i="6"/>
  <c r="DU48" i="6"/>
  <c r="EW48" i="6"/>
  <c r="EX48" i="6"/>
  <c r="DD45" i="6"/>
  <c r="DU45" i="6"/>
  <c r="EW45" i="6"/>
  <c r="EX45" i="6"/>
  <c r="AQ8" i="9"/>
  <c r="BT8" i="9" s="1"/>
  <c r="BW6" i="3"/>
  <c r="DD89" i="6"/>
  <c r="DU89" i="6"/>
  <c r="EW89" i="6"/>
  <c r="AJ8" i="3"/>
  <c r="EX89" i="6"/>
  <c r="DD21" i="6"/>
  <c r="DU21" i="6"/>
  <c r="EW21" i="6"/>
  <c r="EX21" i="6"/>
  <c r="DD76" i="6"/>
  <c r="DU76" i="6"/>
  <c r="EW76" i="6"/>
  <c r="EX76" i="6"/>
  <c r="DD7" i="6"/>
  <c r="DU7" i="6"/>
  <c r="EW7" i="6"/>
  <c r="EX7" i="6"/>
  <c r="DD117" i="6"/>
  <c r="DU117" i="6"/>
  <c r="EW117" i="6"/>
  <c r="AJ9" i="3"/>
  <c r="EX117" i="6"/>
  <c r="DD68" i="6"/>
  <c r="DU68" i="6"/>
  <c r="EW68" i="6"/>
  <c r="EX68" i="6"/>
  <c r="DD80" i="6"/>
  <c r="DU80" i="6"/>
  <c r="EW80" i="6"/>
  <c r="EX80" i="6"/>
  <c r="DD116" i="6"/>
  <c r="DU116" i="6"/>
  <c r="EW116" i="6"/>
  <c r="EX116" i="6"/>
  <c r="DD40" i="6"/>
  <c r="DU40" i="6"/>
  <c r="EW40" i="6"/>
  <c r="EX40" i="6"/>
  <c r="DD97" i="6"/>
  <c r="DU97" i="6"/>
  <c r="EW97" i="6"/>
  <c r="EX97" i="6"/>
  <c r="DD39" i="6"/>
  <c r="DU39" i="6"/>
  <c r="EW39" i="6"/>
  <c r="EX39" i="6"/>
  <c r="DD113" i="6"/>
  <c r="DU113" i="6"/>
  <c r="EW113" i="6"/>
  <c r="EX113" i="6"/>
  <c r="DD29" i="6"/>
  <c r="DU29" i="6"/>
  <c r="EW29" i="6"/>
  <c r="EX29" i="6"/>
  <c r="DD19" i="6"/>
  <c r="DU19" i="6"/>
  <c r="EW19" i="6"/>
  <c r="EX19" i="6"/>
  <c r="AL6" i="9"/>
  <c r="BO6" i="9" s="1"/>
  <c r="BR5" i="3"/>
  <c r="AM8" i="9"/>
  <c r="BP8" i="9" s="1"/>
  <c r="BS6" i="3"/>
  <c r="AO8" i="9"/>
  <c r="BR8" i="9" s="1"/>
  <c r="BU6" i="3"/>
  <c r="AR6" i="9"/>
  <c r="BU6" i="9" s="1"/>
  <c r="BX5" i="3"/>
  <c r="DD74" i="6"/>
  <c r="DU74" i="6"/>
  <c r="EW74" i="6"/>
  <c r="EX74" i="6"/>
  <c r="DD16" i="6"/>
  <c r="DU16" i="6"/>
  <c r="EW16" i="6"/>
  <c r="AJ5" i="3"/>
  <c r="EX16" i="6"/>
  <c r="DD105" i="6"/>
  <c r="DU105" i="6"/>
  <c r="EW105" i="6"/>
  <c r="EX105" i="6"/>
  <c r="AH8" i="9"/>
  <c r="BK8" i="9" s="1"/>
  <c r="BN6" i="3"/>
  <c r="DD93" i="6"/>
  <c r="DU93" i="6"/>
  <c r="EW93" i="6"/>
  <c r="EX93" i="6"/>
  <c r="DD114" i="6"/>
  <c r="DU114" i="6"/>
  <c r="EW114" i="6"/>
  <c r="EX114" i="6"/>
  <c r="DD92" i="6"/>
  <c r="DU92" i="6"/>
  <c r="EW92" i="6"/>
  <c r="AJ7" i="3"/>
  <c r="EX92" i="6"/>
  <c r="DD60" i="6"/>
  <c r="DU60" i="6"/>
  <c r="EW60" i="6"/>
  <c r="EX60" i="6"/>
  <c r="DD33" i="6"/>
  <c r="DU33" i="6"/>
  <c r="EW33" i="6"/>
  <c r="EX33" i="6"/>
  <c r="DD38" i="6"/>
  <c r="DU38" i="6"/>
  <c r="EW38" i="6"/>
  <c r="EX38" i="6"/>
  <c r="DD61" i="6"/>
  <c r="DU61" i="6"/>
  <c r="EW61" i="6"/>
  <c r="EX61" i="6"/>
  <c r="DD99" i="6"/>
  <c r="DU99" i="6"/>
  <c r="EW99" i="6"/>
  <c r="EX99" i="6"/>
  <c r="DD35" i="6"/>
  <c r="DU35" i="6"/>
  <c r="EW35" i="6"/>
  <c r="EX35" i="6"/>
  <c r="DD13" i="6"/>
  <c r="DU13" i="6"/>
  <c r="EW13" i="6"/>
  <c r="EX13" i="6"/>
  <c r="DD44" i="6"/>
  <c r="DU44" i="6"/>
  <c r="EW44" i="6"/>
  <c r="EX44" i="6"/>
  <c r="DD103" i="6"/>
  <c r="DU103" i="6"/>
  <c r="EW103" i="6"/>
  <c r="EX103" i="6"/>
  <c r="DD115" i="6"/>
  <c r="DU115" i="6"/>
  <c r="EW115" i="6"/>
  <c r="EX115" i="6"/>
  <c r="DD73" i="6"/>
  <c r="DU73" i="6"/>
  <c r="EW73" i="6"/>
  <c r="EX73" i="6"/>
  <c r="DD64" i="6"/>
  <c r="DU64" i="6"/>
  <c r="EW64" i="6"/>
  <c r="EX64" i="6"/>
  <c r="DD41" i="6"/>
  <c r="DU41" i="6"/>
  <c r="EW41" i="6"/>
  <c r="EX41" i="6"/>
  <c r="DD54" i="6"/>
  <c r="DU54" i="6"/>
  <c r="EW54" i="6"/>
  <c r="EX54" i="6"/>
  <c r="DD98" i="6"/>
  <c r="DU98" i="6"/>
  <c r="EW98" i="6"/>
  <c r="EX98" i="6"/>
  <c r="DD62" i="6"/>
  <c r="DU62" i="6"/>
  <c r="EW62" i="6"/>
  <c r="EX62" i="6"/>
  <c r="DD14" i="6"/>
  <c r="DU14" i="6"/>
  <c r="EW14" i="6"/>
  <c r="EX14" i="6"/>
  <c r="DD71" i="6"/>
  <c r="DU71" i="6"/>
  <c r="EW71" i="6"/>
  <c r="EX71" i="6"/>
  <c r="DD85" i="6"/>
  <c r="DU85" i="6"/>
  <c r="EW85" i="6"/>
  <c r="EX85" i="6"/>
  <c r="DD32" i="6"/>
  <c r="DU32" i="6"/>
  <c r="EW32" i="6"/>
  <c r="EX32" i="6"/>
  <c r="DD111" i="6"/>
  <c r="DU111" i="6"/>
  <c r="EW111" i="6"/>
  <c r="EX111" i="6"/>
  <c r="DD107" i="6"/>
  <c r="DU107" i="6"/>
  <c r="EW107" i="6"/>
  <c r="EX107" i="6"/>
  <c r="DD95" i="6"/>
  <c r="DU95" i="6"/>
  <c r="EW95" i="6"/>
  <c r="EX95" i="6"/>
  <c r="DD36" i="6"/>
  <c r="DU36" i="6"/>
  <c r="EW36" i="6"/>
  <c r="EX36" i="6"/>
  <c r="DD75" i="6"/>
  <c r="DU75" i="6"/>
  <c r="EW75" i="6"/>
  <c r="EX75" i="6"/>
  <c r="DD6" i="6"/>
  <c r="DU6" i="6"/>
  <c r="EW6" i="6"/>
  <c r="EX6" i="6"/>
  <c r="AP8" i="9"/>
  <c r="BS8" i="9" s="1"/>
  <c r="BV6" i="3"/>
  <c r="DD52" i="6"/>
  <c r="DU52" i="6"/>
  <c r="EW52" i="6"/>
  <c r="EX52" i="6"/>
  <c r="DD77" i="6"/>
  <c r="DU77" i="6"/>
  <c r="EW77" i="6"/>
  <c r="EX77" i="6"/>
  <c r="DD11" i="6"/>
  <c r="DU11" i="6"/>
  <c r="EW11" i="6"/>
  <c r="EX11" i="6"/>
  <c r="DD91" i="6"/>
  <c r="DU91" i="6"/>
  <c r="EW91" i="6"/>
  <c r="EX91" i="6"/>
  <c r="DD20" i="6"/>
  <c r="DU20" i="6"/>
  <c r="EW20" i="6"/>
  <c r="EX20" i="6"/>
  <c r="AK6" i="9"/>
  <c r="BN6" i="9" s="1"/>
  <c r="BQ5" i="3"/>
  <c r="AM6" i="9"/>
  <c r="BP6" i="9" s="1"/>
  <c r="BS5" i="3"/>
  <c r="AN8" i="9"/>
  <c r="BQ8" i="9" s="1"/>
  <c r="BT6" i="3"/>
  <c r="DD37" i="6"/>
  <c r="DU37" i="6"/>
  <c r="EW37" i="6"/>
  <c r="EX37" i="6"/>
  <c r="DD25" i="6"/>
  <c r="DU25" i="6"/>
  <c r="EW25" i="6"/>
  <c r="EX25" i="6"/>
  <c r="DD65" i="6"/>
  <c r="DU65" i="6"/>
  <c r="EW65" i="6"/>
  <c r="AJ6" i="3"/>
  <c r="EX65" i="6"/>
  <c r="DD81" i="6"/>
  <c r="DU81" i="6"/>
  <c r="EW81" i="6"/>
  <c r="EX81" i="6"/>
  <c r="AI8" i="9"/>
  <c r="BL8" i="9" s="1"/>
  <c r="BO6" i="3"/>
  <c r="DD104" i="6"/>
  <c r="DU104" i="6"/>
  <c r="EW104" i="6"/>
  <c r="EX104" i="6"/>
  <c r="DD63" i="6"/>
  <c r="DU63" i="6"/>
  <c r="EW63" i="6"/>
  <c r="EX63" i="6"/>
  <c r="DD72" i="6"/>
  <c r="DU72" i="6"/>
  <c r="EW72" i="6"/>
  <c r="EX72" i="6"/>
  <c r="AQ6" i="9"/>
  <c r="BT6" i="9" s="1"/>
  <c r="BW5" i="3"/>
  <c r="DD56" i="6"/>
  <c r="DU56" i="6"/>
  <c r="EW56" i="6"/>
  <c r="EX56" i="6"/>
  <c r="DD70" i="6"/>
  <c r="DU70" i="6"/>
  <c r="EW70" i="6"/>
  <c r="EX70" i="6"/>
  <c r="DD27" i="6"/>
  <c r="DU27" i="6"/>
  <c r="EW27" i="6"/>
  <c r="EX27" i="6"/>
  <c r="CF10" i="3"/>
  <c r="CE10" i="3"/>
  <c r="CI10" i="3"/>
  <c r="CD10" i="3"/>
  <c r="CB10" i="3"/>
  <c r="FI7" i="2"/>
  <c r="GL7" i="2" s="1"/>
  <c r="CG10" i="3"/>
  <c r="CA10" i="3"/>
  <c r="BZ10" i="3"/>
  <c r="FE6" i="2"/>
  <c r="GH6" i="2" s="1"/>
  <c r="BX13" i="3"/>
  <c r="AV13" i="3"/>
  <c r="ET6" i="2"/>
  <c r="FW6" i="2" s="1"/>
  <c r="AK10" i="3"/>
  <c r="BN10" i="3" s="1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AT11" i="3"/>
  <c r="BW11" i="3" s="1"/>
  <c r="AU10" i="3"/>
  <c r="AN11" i="3"/>
  <c r="BQ11" i="3" s="1"/>
  <c r="AP10" i="3"/>
  <c r="AJ10" i="3"/>
  <c r="AJ11" i="3"/>
  <c r="FL7" i="2" l="1"/>
  <c r="GO7" i="2" s="1"/>
  <c r="FH7" i="2"/>
  <c r="GK7" i="2" s="1"/>
  <c r="FG7" i="2"/>
  <c r="GJ7" i="2" s="1"/>
  <c r="FP7" i="2"/>
  <c r="GS7" i="2" s="1"/>
  <c r="BI10" i="3"/>
  <c r="FK7" i="2"/>
  <c r="GN7" i="2" s="1"/>
  <c r="AX5" i="9"/>
  <c r="CA5" i="9" s="1"/>
  <c r="FN7" i="2"/>
  <c r="GQ7" i="2" s="1"/>
  <c r="CJ5" i="3"/>
  <c r="BD6" i="9"/>
  <c r="CG6" i="9" s="1"/>
  <c r="FQ7" i="2"/>
  <c r="GT7" i="2" s="1"/>
  <c r="ET58" i="6"/>
  <c r="FW58" i="6"/>
  <c r="ET61" i="6"/>
  <c r="FW61" i="6"/>
  <c r="BG6" i="9"/>
  <c r="CJ6" i="9" s="1"/>
  <c r="CM5" i="3"/>
  <c r="FT7" i="2"/>
  <c r="GW7" i="2" s="1"/>
  <c r="ET43" i="6"/>
  <c r="FW43" i="6"/>
  <c r="AW5" i="9"/>
  <c r="BZ5" i="9" s="1"/>
  <c r="CC10" i="3"/>
  <c r="ET85" i="6"/>
  <c r="FW85" i="6"/>
  <c r="ET87" i="6"/>
  <c r="FW87" i="6"/>
  <c r="CE6" i="3"/>
  <c r="AY8" i="9"/>
  <c r="CB8" i="9" s="1"/>
  <c r="ET116" i="6"/>
  <c r="FW116" i="6"/>
  <c r="ET11" i="6"/>
  <c r="FW11" i="6"/>
  <c r="ET80" i="6"/>
  <c r="FW80" i="6"/>
  <c r="AU6" i="9"/>
  <c r="BX6" i="9" s="1"/>
  <c r="CA5" i="3"/>
  <c r="CH6" i="3"/>
  <c r="BB8" i="9"/>
  <c r="CE8" i="9" s="1"/>
  <c r="BH5" i="9"/>
  <c r="CK5" i="9" s="1"/>
  <c r="CN10" i="3"/>
  <c r="ET96" i="6"/>
  <c r="FW96" i="6"/>
  <c r="ET72" i="6"/>
  <c r="FW72" i="6"/>
  <c r="ET114" i="6"/>
  <c r="FW114" i="6"/>
  <c r="ET40" i="6"/>
  <c r="FW40" i="6"/>
  <c r="AY5" i="9"/>
  <c r="CB5" i="9" s="1"/>
  <c r="CK6" i="3"/>
  <c r="BE8" i="9"/>
  <c r="CH8" i="9" s="1"/>
  <c r="ET66" i="6"/>
  <c r="FW66" i="6"/>
  <c r="ET112" i="6"/>
  <c r="FW112" i="6"/>
  <c r="ET71" i="6"/>
  <c r="FW71" i="6"/>
  <c r="CA6" i="3"/>
  <c r="AU8" i="9"/>
  <c r="BX8" i="9" s="1"/>
  <c r="ET98" i="6"/>
  <c r="FW98" i="6"/>
  <c r="ET115" i="6"/>
  <c r="FW115" i="6"/>
  <c r="CC5" i="3"/>
  <c r="AW6" i="9"/>
  <c r="BZ6" i="9" s="1"/>
  <c r="FJ7" i="2"/>
  <c r="GM7" i="2" s="1"/>
  <c r="ET24" i="6"/>
  <c r="FW24" i="6"/>
  <c r="CB6" i="3"/>
  <c r="AV8" i="9"/>
  <c r="BY8" i="9" s="1"/>
  <c r="CE5" i="3"/>
  <c r="AY6" i="9"/>
  <c r="CB6" i="9" s="1"/>
  <c r="ET107" i="6"/>
  <c r="FW107" i="6"/>
  <c r="ET59" i="6"/>
  <c r="FW59" i="6"/>
  <c r="ET104" i="6"/>
  <c r="FW104" i="6"/>
  <c r="CC6" i="3"/>
  <c r="AW8" i="9"/>
  <c r="BZ8" i="9" s="1"/>
  <c r="ET76" i="6"/>
  <c r="FW76" i="6"/>
  <c r="ET86" i="6"/>
  <c r="BI5" i="3"/>
  <c r="FW86" i="6"/>
  <c r="ET46" i="6"/>
  <c r="FW46" i="6"/>
  <c r="ET62" i="6"/>
  <c r="FW62" i="6"/>
  <c r="ET14" i="6"/>
  <c r="FW14" i="6"/>
  <c r="ET113" i="6"/>
  <c r="FW113" i="6"/>
  <c r="ET52" i="6"/>
  <c r="FW52" i="6"/>
  <c r="ET15" i="6"/>
  <c r="FW15" i="6"/>
  <c r="ET25" i="6"/>
  <c r="FW25" i="6"/>
  <c r="ET32" i="6"/>
  <c r="FW32" i="6"/>
  <c r="ET111" i="6"/>
  <c r="FW111" i="6"/>
  <c r="BE5" i="9"/>
  <c r="CH5" i="9" s="1"/>
  <c r="CK10" i="3"/>
  <c r="ET109" i="6"/>
  <c r="FW109" i="6"/>
  <c r="AT5" i="9"/>
  <c r="BW5" i="9" s="1"/>
  <c r="ET18" i="6"/>
  <c r="FW18" i="6"/>
  <c r="CF6" i="3"/>
  <c r="AZ8" i="9"/>
  <c r="CC8" i="9" s="1"/>
  <c r="ET90" i="6"/>
  <c r="BI9" i="3"/>
  <c r="CL9" i="3" s="1"/>
  <c r="FW90" i="6"/>
  <c r="ET69" i="6"/>
  <c r="FW69" i="6"/>
  <c r="ET106" i="6"/>
  <c r="FW106" i="6"/>
  <c r="ET99" i="6"/>
  <c r="FW99" i="6"/>
  <c r="ET102" i="6"/>
  <c r="FW102" i="6"/>
  <c r="ET45" i="6"/>
  <c r="FW45" i="6"/>
  <c r="BI5" i="9"/>
  <c r="CL5" i="9" s="1"/>
  <c r="CO10" i="3"/>
  <c r="AU5" i="9"/>
  <c r="BX5" i="9" s="1"/>
  <c r="ET101" i="6"/>
  <c r="FW101" i="6"/>
  <c r="BI7" i="3"/>
  <c r="CL7" i="3" s="1"/>
  <c r="ET67" i="6"/>
  <c r="FW67" i="6"/>
  <c r="CI6" i="3"/>
  <c r="BC8" i="9"/>
  <c r="CF8" i="9" s="1"/>
  <c r="ET36" i="6"/>
  <c r="FW36" i="6"/>
  <c r="ET49" i="6"/>
  <c r="FW49" i="6"/>
  <c r="ET73" i="6"/>
  <c r="FW73" i="6"/>
  <c r="BC5" i="9"/>
  <c r="CF5" i="9" s="1"/>
  <c r="FM7" i="2"/>
  <c r="GP7" i="2" s="1"/>
  <c r="BI6" i="3"/>
  <c r="ET65" i="6"/>
  <c r="FW65" i="6"/>
  <c r="BG8" i="9"/>
  <c r="CJ8" i="9" s="1"/>
  <c r="CM6" i="3"/>
  <c r="ET34" i="6"/>
  <c r="FW34" i="6"/>
  <c r="ET28" i="6"/>
  <c r="FW28" i="6"/>
  <c r="ET89" i="6"/>
  <c r="BI8" i="3"/>
  <c r="CL8" i="3" s="1"/>
  <c r="FW89" i="6"/>
  <c r="ET53" i="6"/>
  <c r="FW53" i="6"/>
  <c r="BZ5" i="3"/>
  <c r="AT6" i="9"/>
  <c r="BW6" i="9" s="1"/>
  <c r="ET20" i="6"/>
  <c r="FW20" i="6"/>
  <c r="ET19" i="6"/>
  <c r="FW19" i="6"/>
  <c r="ET27" i="6"/>
  <c r="FW27" i="6"/>
  <c r="CI5" i="3"/>
  <c r="BC6" i="9"/>
  <c r="CF6" i="9" s="1"/>
  <c r="BH8" i="9"/>
  <c r="CK8" i="9" s="1"/>
  <c r="CN6" i="3"/>
  <c r="ET38" i="6"/>
  <c r="FW38" i="6"/>
  <c r="ET68" i="6"/>
  <c r="FW68" i="6"/>
  <c r="ET42" i="6"/>
  <c r="FW42" i="6"/>
  <c r="ET6" i="6"/>
  <c r="FW6" i="6"/>
  <c r="ET8" i="6"/>
  <c r="FW8" i="6"/>
  <c r="ET41" i="6"/>
  <c r="FW41" i="6"/>
  <c r="ET97" i="6"/>
  <c r="FW97" i="6"/>
  <c r="AV5" i="9"/>
  <c r="BY5" i="9" s="1"/>
  <c r="CG5" i="3"/>
  <c r="BA6" i="9"/>
  <c r="CD6" i="9" s="1"/>
  <c r="ET22" i="6"/>
  <c r="FW22" i="6"/>
  <c r="ET108" i="6"/>
  <c r="FW108" i="6"/>
  <c r="ET23" i="6"/>
  <c r="FW23" i="6"/>
  <c r="ET54" i="6"/>
  <c r="FW54" i="6"/>
  <c r="ET51" i="6"/>
  <c r="FW51" i="6"/>
  <c r="BD5" i="9"/>
  <c r="CG5" i="9" s="1"/>
  <c r="CJ10" i="3"/>
  <c r="ET48" i="6"/>
  <c r="FW48" i="6"/>
  <c r="ET57" i="6"/>
  <c r="FW57" i="6"/>
  <c r="CD5" i="3"/>
  <c r="AX6" i="9"/>
  <c r="CA6" i="9" s="1"/>
  <c r="BH6" i="9"/>
  <c r="CK6" i="9" s="1"/>
  <c r="CN5" i="3"/>
  <c r="FU7" i="2"/>
  <c r="GX7" i="2" s="1"/>
  <c r="ET7" i="6"/>
  <c r="FW7" i="6"/>
  <c r="AZ5" i="9"/>
  <c r="CC5" i="9" s="1"/>
  <c r="BZ6" i="3"/>
  <c r="AT8" i="9"/>
  <c r="BW8" i="9" s="1"/>
  <c r="CH5" i="3"/>
  <c r="BB6" i="9"/>
  <c r="CE6" i="9" s="1"/>
  <c r="FO7" i="2"/>
  <c r="GR7" i="2" s="1"/>
  <c r="ET95" i="6"/>
  <c r="FW95" i="6"/>
  <c r="ET63" i="6"/>
  <c r="FW63" i="6"/>
  <c r="ET50" i="6"/>
  <c r="FW50" i="6"/>
  <c r="ET10" i="6"/>
  <c r="FW10" i="6"/>
  <c r="ET64" i="6"/>
  <c r="FW64" i="6"/>
  <c r="ET37" i="6"/>
  <c r="FW37" i="6"/>
  <c r="ET91" i="6"/>
  <c r="FW91" i="6"/>
  <c r="BI6" i="9"/>
  <c r="CL6" i="9" s="1"/>
  <c r="CO5" i="3"/>
  <c r="FV7" i="2"/>
  <c r="GY7" i="2" s="1"/>
  <c r="CG6" i="3"/>
  <c r="BA8" i="9"/>
  <c r="CD8" i="9" s="1"/>
  <c r="ET33" i="6"/>
  <c r="FW33" i="6"/>
  <c r="ET9" i="6"/>
  <c r="FW9" i="6"/>
  <c r="BI11" i="3"/>
  <c r="CL11" i="3" s="1"/>
  <c r="ET110" i="6"/>
  <c r="FW110" i="6"/>
  <c r="ET60" i="6"/>
  <c r="FW60" i="6"/>
  <c r="ET94" i="6"/>
  <c r="FW94" i="6"/>
  <c r="ET103" i="6"/>
  <c r="FW103" i="6"/>
  <c r="ET56" i="6"/>
  <c r="FW56" i="6"/>
  <c r="BB5" i="9"/>
  <c r="CE5" i="9" s="1"/>
  <c r="CH10" i="3"/>
  <c r="ET82" i="6"/>
  <c r="FW82" i="6"/>
  <c r="ET55" i="6"/>
  <c r="FW55" i="6"/>
  <c r="ET77" i="6"/>
  <c r="FW77" i="6"/>
  <c r="CK5" i="3"/>
  <c r="BE6" i="9"/>
  <c r="CH6" i="9" s="1"/>
  <c r="FR7" i="2"/>
  <c r="GU7" i="2" s="1"/>
  <c r="BI8" i="9"/>
  <c r="CL8" i="9" s="1"/>
  <c r="CO6" i="3"/>
  <c r="ET100" i="6"/>
  <c r="FW100" i="6"/>
  <c r="CB5" i="3"/>
  <c r="AV6" i="9"/>
  <c r="BY6" i="9" s="1"/>
  <c r="CJ6" i="3"/>
  <c r="BD8" i="9"/>
  <c r="CG8" i="9" s="1"/>
  <c r="ET81" i="6"/>
  <c r="FW81" i="6"/>
  <c r="CF5" i="3"/>
  <c r="AZ6" i="9"/>
  <c r="CC6" i="9" s="1"/>
  <c r="ET26" i="6"/>
  <c r="FW26" i="6"/>
  <c r="ET47" i="6"/>
  <c r="FW47" i="6"/>
  <c r="ET35" i="6"/>
  <c r="FW35" i="6"/>
  <c r="ET105" i="6"/>
  <c r="FW105" i="6"/>
  <c r="CD6" i="3"/>
  <c r="AX8" i="9"/>
  <c r="CA8" i="9" s="1"/>
  <c r="ET78" i="6"/>
  <c r="BI12" i="3"/>
  <c r="CL12" i="3" s="1"/>
  <c r="FW78" i="6"/>
  <c r="ET31" i="6"/>
  <c r="FW31" i="6"/>
  <c r="BG5" i="9"/>
  <c r="CJ5" i="9" s="1"/>
  <c r="CM10" i="3"/>
  <c r="BA5" i="9"/>
  <c r="CD5" i="9" s="1"/>
  <c r="EG65" i="6"/>
  <c r="FJ65" i="6"/>
  <c r="EG25" i="6"/>
  <c r="FJ25" i="6"/>
  <c r="EG37" i="6"/>
  <c r="FJ37" i="6"/>
  <c r="EG105" i="6"/>
  <c r="FJ105" i="6"/>
  <c r="EG89" i="6"/>
  <c r="FJ89" i="6"/>
  <c r="AV12" i="3"/>
  <c r="BY12" i="3" s="1"/>
  <c r="BM12" i="3"/>
  <c r="EG72" i="6"/>
  <c r="FJ72" i="6"/>
  <c r="EG63" i="6"/>
  <c r="FJ63" i="6"/>
  <c r="EG104" i="6"/>
  <c r="FJ104" i="6"/>
  <c r="AV6" i="3"/>
  <c r="BY6" i="3" s="1"/>
  <c r="AG8" i="9"/>
  <c r="BM6" i="3"/>
  <c r="EG6" i="6"/>
  <c r="FJ6" i="6"/>
  <c r="EG75" i="6"/>
  <c r="FJ75" i="6"/>
  <c r="EG36" i="6"/>
  <c r="FJ36" i="6"/>
  <c r="EG95" i="6"/>
  <c r="FJ95" i="6"/>
  <c r="EG107" i="6"/>
  <c r="FJ107" i="6"/>
  <c r="EG111" i="6"/>
  <c r="FJ111" i="6"/>
  <c r="EG32" i="6"/>
  <c r="FJ32" i="6"/>
  <c r="EG85" i="6"/>
  <c r="FJ85" i="6"/>
  <c r="EG71" i="6"/>
  <c r="FJ71" i="6"/>
  <c r="EG14" i="6"/>
  <c r="FJ14" i="6"/>
  <c r="EG62" i="6"/>
  <c r="FJ62" i="6"/>
  <c r="EG98" i="6"/>
  <c r="FJ98" i="6"/>
  <c r="EG54" i="6"/>
  <c r="FJ54" i="6"/>
  <c r="EG41" i="6"/>
  <c r="FJ41" i="6"/>
  <c r="EG64" i="6"/>
  <c r="FJ64" i="6"/>
  <c r="EG73" i="6"/>
  <c r="FJ73" i="6"/>
  <c r="EG115" i="6"/>
  <c r="FJ115" i="6"/>
  <c r="EG103" i="6"/>
  <c r="FJ103" i="6"/>
  <c r="EG44" i="6"/>
  <c r="FJ44" i="6"/>
  <c r="EG13" i="6"/>
  <c r="FJ13" i="6"/>
  <c r="EG35" i="6"/>
  <c r="FJ35" i="6"/>
  <c r="EG99" i="6"/>
  <c r="FJ99" i="6"/>
  <c r="EG61" i="6"/>
  <c r="FJ61" i="6"/>
  <c r="EG38" i="6"/>
  <c r="FJ38" i="6"/>
  <c r="EG33" i="6"/>
  <c r="FJ33" i="6"/>
  <c r="EG60" i="6"/>
  <c r="FJ60" i="6"/>
  <c r="EG16" i="6"/>
  <c r="FJ16" i="6"/>
  <c r="EG74" i="6"/>
  <c r="FJ74" i="6"/>
  <c r="EG19" i="6"/>
  <c r="FJ19" i="6"/>
  <c r="EG29" i="6"/>
  <c r="FJ29" i="6"/>
  <c r="EG113" i="6"/>
  <c r="FJ113" i="6"/>
  <c r="EG39" i="6"/>
  <c r="FJ39" i="6"/>
  <c r="EG97" i="6"/>
  <c r="FJ97" i="6"/>
  <c r="EG40" i="6"/>
  <c r="FJ40" i="6"/>
  <c r="EG116" i="6"/>
  <c r="FJ116" i="6"/>
  <c r="EG80" i="6"/>
  <c r="FJ80" i="6"/>
  <c r="EG68" i="6"/>
  <c r="FJ68" i="6"/>
  <c r="AV8" i="3"/>
  <c r="BY8" i="3" s="1"/>
  <c r="BM8" i="3"/>
  <c r="EG108" i="6"/>
  <c r="FJ108" i="6"/>
  <c r="EG79" i="6"/>
  <c r="FJ79" i="6"/>
  <c r="EG86" i="6"/>
  <c r="FJ86" i="6"/>
  <c r="EG100" i="6"/>
  <c r="FJ100" i="6"/>
  <c r="EG57" i="6"/>
  <c r="FJ57" i="6"/>
  <c r="EG66" i="6"/>
  <c r="FJ66" i="6"/>
  <c r="EG20" i="6"/>
  <c r="FJ20" i="6"/>
  <c r="EG91" i="6"/>
  <c r="FJ91" i="6"/>
  <c r="EG11" i="6"/>
  <c r="FJ11" i="6"/>
  <c r="EG77" i="6"/>
  <c r="FJ77" i="6"/>
  <c r="EG52" i="6"/>
  <c r="FJ52" i="6"/>
  <c r="EG92" i="6"/>
  <c r="FJ92" i="6"/>
  <c r="EG114" i="6"/>
  <c r="FJ114" i="6"/>
  <c r="EG93" i="6"/>
  <c r="FJ93" i="6"/>
  <c r="AV5" i="3"/>
  <c r="BY5" i="3" s="1"/>
  <c r="AG6" i="9"/>
  <c r="BM5" i="3"/>
  <c r="EG117" i="6"/>
  <c r="FJ117" i="6"/>
  <c r="EG45" i="6"/>
  <c r="FJ45" i="6"/>
  <c r="EG48" i="6"/>
  <c r="FJ48" i="6"/>
  <c r="EG53" i="6"/>
  <c r="FJ53" i="6"/>
  <c r="EG90" i="6"/>
  <c r="FJ90" i="6"/>
  <c r="EG46" i="6"/>
  <c r="FJ46" i="6"/>
  <c r="EG109" i="6"/>
  <c r="FJ109" i="6"/>
  <c r="EG110" i="6"/>
  <c r="FJ110" i="6"/>
  <c r="EG28" i="6"/>
  <c r="FJ28" i="6"/>
  <c r="EG8" i="6"/>
  <c r="FJ8" i="6"/>
  <c r="EG15" i="6"/>
  <c r="FJ15" i="6"/>
  <c r="EG87" i="6"/>
  <c r="FJ87" i="6"/>
  <c r="EG50" i="6"/>
  <c r="FJ50" i="6"/>
  <c r="EG82" i="6"/>
  <c r="FJ82" i="6"/>
  <c r="EG83" i="6"/>
  <c r="FJ83" i="6"/>
  <c r="EG94" i="6"/>
  <c r="FJ94" i="6"/>
  <c r="EG18" i="6"/>
  <c r="FJ18" i="6"/>
  <c r="EG49" i="6"/>
  <c r="FJ49" i="6"/>
  <c r="EG58" i="6"/>
  <c r="FJ58" i="6"/>
  <c r="EG67" i="6"/>
  <c r="FJ67" i="6"/>
  <c r="EG88" i="6"/>
  <c r="FJ88" i="6"/>
  <c r="EG24" i="6"/>
  <c r="FJ24" i="6"/>
  <c r="EG9" i="6"/>
  <c r="FJ9" i="6"/>
  <c r="EG112" i="6"/>
  <c r="FJ112" i="6"/>
  <c r="EG23" i="6"/>
  <c r="FJ23" i="6"/>
  <c r="EG96" i="6"/>
  <c r="FJ96" i="6"/>
  <c r="EG31" i="6"/>
  <c r="FJ31" i="6"/>
  <c r="EG43" i="6"/>
  <c r="FJ43" i="6"/>
  <c r="EG84" i="6"/>
  <c r="FJ84" i="6"/>
  <c r="EG55" i="6"/>
  <c r="FJ55" i="6"/>
  <c r="EG47" i="6"/>
  <c r="FJ47" i="6"/>
  <c r="EG59" i="6"/>
  <c r="FJ59" i="6"/>
  <c r="EG102" i="6"/>
  <c r="FJ102" i="6"/>
  <c r="EG10" i="6"/>
  <c r="FJ10" i="6"/>
  <c r="EG34" i="6"/>
  <c r="FJ34" i="6"/>
  <c r="EG106" i="6"/>
  <c r="FJ106" i="6"/>
  <c r="EG69" i="6"/>
  <c r="FJ69" i="6"/>
  <c r="EG17" i="6"/>
  <c r="FJ17" i="6"/>
  <c r="EG26" i="6"/>
  <c r="FJ26" i="6"/>
  <c r="EG12" i="6"/>
  <c r="FJ12" i="6"/>
  <c r="EG27" i="6"/>
  <c r="FJ27" i="6"/>
  <c r="EG70" i="6"/>
  <c r="FJ70" i="6"/>
  <c r="EG56" i="6"/>
  <c r="FJ56" i="6"/>
  <c r="EG81" i="6"/>
  <c r="FJ81" i="6"/>
  <c r="AV7" i="3"/>
  <c r="BY7" i="3" s="1"/>
  <c r="BM7" i="3"/>
  <c r="AV9" i="3"/>
  <c r="BY9" i="3" s="1"/>
  <c r="BM9" i="3"/>
  <c r="EG7" i="6"/>
  <c r="FJ7" i="6"/>
  <c r="EG76" i="6"/>
  <c r="FJ76" i="6"/>
  <c r="EG21" i="6"/>
  <c r="FJ21" i="6"/>
  <c r="EG78" i="6"/>
  <c r="FJ78" i="6"/>
  <c r="EG30" i="6"/>
  <c r="FJ30" i="6"/>
  <c r="EG42" i="6"/>
  <c r="FJ42" i="6"/>
  <c r="EG51" i="6"/>
  <c r="FJ51" i="6"/>
  <c r="EG22" i="6"/>
  <c r="FJ22" i="6"/>
  <c r="EG101" i="6"/>
  <c r="FJ101" i="6"/>
  <c r="CL10" i="3"/>
  <c r="BY13" i="3"/>
  <c r="FF6" i="2"/>
  <c r="GI6" i="2" s="1"/>
  <c r="AL5" i="9"/>
  <c r="BO5" i="9" s="1"/>
  <c r="AR5" i="9"/>
  <c r="AM5" i="9"/>
  <c r="BP5" i="9" s="1"/>
  <c r="AP5" i="9"/>
  <c r="BS5" i="9" s="1"/>
  <c r="AG5" i="9"/>
  <c r="BJ5" i="9" s="1"/>
  <c r="AN5" i="9"/>
  <c r="BQ5" i="9" s="1"/>
  <c r="AO5" i="9"/>
  <c r="BR5" i="9" s="1"/>
  <c r="AK5" i="9"/>
  <c r="BN5" i="9" s="1"/>
  <c r="AQ5" i="9"/>
  <c r="BT5" i="9" s="1"/>
  <c r="AI5" i="9"/>
  <c r="BL5" i="9" s="1"/>
  <c r="AJ5" i="9"/>
  <c r="BM5" i="9" s="1"/>
  <c r="AH5" i="9"/>
  <c r="BK5" i="9" s="1"/>
  <c r="ET7" i="2"/>
  <c r="FW7" i="2" s="1"/>
  <c r="BS10" i="3"/>
  <c r="EZ7" i="2"/>
  <c r="GC7" i="2" s="1"/>
  <c r="BQ10" i="3"/>
  <c r="EX7" i="2"/>
  <c r="GA7" i="2" s="1"/>
  <c r="BR10" i="3"/>
  <c r="EY7" i="2"/>
  <c r="GB7" i="2" s="1"/>
  <c r="BW10" i="3"/>
  <c r="FD7" i="2"/>
  <c r="GG7" i="2" s="1"/>
  <c r="BV10" i="3"/>
  <c r="FC7" i="2"/>
  <c r="GF7" i="2" s="1"/>
  <c r="BO10" i="3"/>
  <c r="EV7" i="2"/>
  <c r="FY7" i="2" s="1"/>
  <c r="BX10" i="3"/>
  <c r="FE7" i="2"/>
  <c r="GH7" i="2" s="1"/>
  <c r="BP10" i="3"/>
  <c r="EW7" i="2"/>
  <c r="FZ7" i="2" s="1"/>
  <c r="EU7" i="2"/>
  <c r="FX7" i="2" s="1"/>
  <c r="BT10" i="3"/>
  <c r="FA7" i="2"/>
  <c r="GD7" i="2" s="1"/>
  <c r="BU10" i="3"/>
  <c r="FB7" i="2"/>
  <c r="GE7" i="2" s="1"/>
  <c r="BM10" i="3"/>
  <c r="AV10" i="3"/>
  <c r="BM11" i="3"/>
  <c r="AV11" i="3"/>
  <c r="BY11" i="3" s="1"/>
  <c r="FS7" i="2" l="1"/>
  <c r="GV7" i="2" s="1"/>
  <c r="BF8" i="9"/>
  <c r="CI8" i="9" s="1"/>
  <c r="CL6" i="3"/>
  <c r="BF6" i="9"/>
  <c r="CI6" i="9" s="1"/>
  <c r="CL5" i="3"/>
  <c r="BF5" i="9"/>
  <c r="CI5" i="9" s="1"/>
  <c r="AS8" i="9"/>
  <c r="BV8" i="9" s="1"/>
  <c r="BJ8" i="9"/>
  <c r="AS6" i="9"/>
  <c r="BV6" i="9" s="1"/>
  <c r="BJ6" i="9"/>
  <c r="BU5" i="9"/>
  <c r="AS5" i="9"/>
  <c r="BY10" i="3"/>
  <c r="FF7" i="2"/>
  <c r="GI7" i="2" s="1"/>
  <c r="BV5" i="9" l="1"/>
</calcChain>
</file>

<file path=xl/comments1.xml><?xml version="1.0" encoding="utf-8"?>
<comments xmlns="http://schemas.openxmlformats.org/spreadsheetml/2006/main">
  <authors>
    <author>Morey, Scott</author>
  </authors>
  <commentList>
    <comment ref="J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Z3" authorId="0">
      <text>
        <r>
          <rPr>
            <b/>
            <sz val="9"/>
            <color indexed="81"/>
            <rFont val="Tahoma"/>
            <family val="2"/>
          </rPr>
          <t xml:space="preserve">Hits Remaining: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L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<sst xmlns="http://schemas.openxmlformats.org/spreadsheetml/2006/main" count="1469" uniqueCount="671">
  <si>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</si>
  <si>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</si>
  <si>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</si>
  <si>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</si>
  <si>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</si>
  <si>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</si>
  <si>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</si>
  <si>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</si>
  <si>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</si>
  <si>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</si>
  <si>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</si>
  <si>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</si>
  <si>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</si>
  <si>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</si>
  <si>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</si>
  <si>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</si>
  <si>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</si>
  <si>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</si>
  <si>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</si>
  <si>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</si>
  <si>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</si>
  <si>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</si>
  <si>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</si>
  <si>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</si>
  <si>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</si>
  <si>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</si>
  <si>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Value</t>
  </si>
  <si>
    <t>Tonnage Range Bucket Size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</si>
  <si>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</si>
  <si>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</si>
  <si>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</si>
  <si>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</si>
  <si>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</si>
  <si>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</si>
  <si>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</si>
  <si>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</si>
  <si>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</si>
  <si>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</si>
  <si>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</si>
  <si>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</si>
  <si>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</si>
  <si>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</si>
  <si>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</si>
  <si>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</si>
  <si>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</si>
  <si>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</si>
  <si>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</si>
  <si>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</si>
  <si>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</si>
  <si>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</si>
  <si>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</si>
  <si>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</si>
  <si>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</si>
  <si>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</si>
  <si>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</si>
  <si>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</si>
  <si>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</si>
  <si>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</si>
  <si>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</si>
  <si>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</si>
  <si>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</si>
  <si>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</si>
  <si>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</si>
  <si>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</si>
  <si>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</si>
  <si>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</si>
  <si>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</si>
  <si>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</si>
  <si>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</si>
  <si>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</si>
  <si>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</si>
  <si>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</si>
  <si>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</si>
  <si>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</si>
  <si>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</si>
  <si>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</si>
  <si>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</si>
  <si>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</si>
  <si>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</si>
  <si>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</si>
  <si>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</si>
  <si>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</si>
  <si>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</si>
  <si>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</si>
  <si>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</si>
  <si>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</si>
  <si>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</si>
  <si>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</si>
  <si>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</si>
  <si>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</si>
  <si>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</si>
  <si>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</si>
  <si>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</si>
  <si>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</si>
  <si>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</si>
  <si>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</si>
  <si>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2015.10</t>
  </si>
  <si>
    <t>Hrs Planned</t>
  </si>
  <si>
    <t>Period Hours Planned (totals for this plant)</t>
  </si>
  <si>
    <t>Annualized Volume</t>
  </si>
  <si>
    <t>Press Util</t>
  </si>
  <si>
    <t>SetupHrs</t>
  </si>
  <si>
    <t>SetupsPerMo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</si>
  <si>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</si>
  <si>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</si>
  <si>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</si>
  <si>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</si>
  <si>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</si>
  <si>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</si>
  <si>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</si>
  <si>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</si>
  <si>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</si>
  <si>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</si>
  <si>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</si>
  <si>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</si>
  <si>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</si>
  <si>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</si>
  <si>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</si>
  <si>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</si>
  <si>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</si>
  <si>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</si>
  <si>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</si>
  <si>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</si>
  <si>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</si>
  <si>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</si>
  <si>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</si>
  <si>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</si>
  <si>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</si>
  <si>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</si>
  <si>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</si>
  <si>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</si>
  <si>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</si>
  <si>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</si>
  <si>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</si>
  <si>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</si>
  <si>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</si>
  <si>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</si>
  <si>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</si>
  <si>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</si>
  <si>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</si>
  <si>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</si>
  <si>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</si>
  <si>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</si>
  <si>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</si>
  <si>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</si>
  <si>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</si>
  <si>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</si>
  <si>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</si>
  <si>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</si>
  <si>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</si>
  <si>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</si>
  <si>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</si>
  <si>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</si>
  <si>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</si>
  <si>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</si>
  <si>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</si>
  <si>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</si>
  <si>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</si>
  <si>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</si>
  <si>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</si>
  <si>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</si>
  <si>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Press Util%</t>
  </si>
  <si>
    <t>PRESSES</t>
  </si>
  <si>
    <t>PLANTS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</si>
  <si>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</si>
  <si>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</si>
  <si>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</si>
  <si>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</si>
  <si>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</si>
  <si>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</si>
  <si>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</si>
  <si>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</si>
  <si>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</si>
  <si>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</si>
  <si>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</si>
  <si>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</si>
  <si>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</si>
  <si>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</si>
  <si>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</si>
  <si>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</si>
  <si>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</si>
  <si>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</si>
  <si>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</si>
  <si>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</si>
  <si>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</si>
  <si>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</si>
  <si>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</si>
  <si>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</si>
  <si>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</si>
  <si>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</si>
  <si>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</si>
  <si>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</si>
  <si>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</si>
  <si>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</si>
  <si>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</si>
  <si>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</si>
  <si>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</si>
  <si>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</si>
  <si>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</si>
  <si>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</si>
  <si>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</si>
  <si>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</si>
  <si>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</si>
  <si>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</si>
  <si>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</si>
  <si>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</si>
  <si>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</si>
  <si>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</si>
  <si>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</si>
  <si>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</si>
  <si>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</si>
  <si>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</si>
  <si>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</si>
  <si>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</si>
  <si>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</si>
  <si>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</si>
  <si>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</si>
  <si>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</si>
  <si>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</si>
  <si>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</si>
  <si>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</si>
  <si>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</si>
  <si>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</si>
  <si>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</si>
  <si>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</si>
  <si>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</si>
  <si>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</si>
  <si>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</si>
  <si>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</si>
  <si>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</si>
  <si>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</si>
  <si>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</si>
  <si>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</si>
  <si>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</si>
  <si>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</si>
  <si>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</si>
  <si>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</si>
  <si>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</si>
  <si>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</si>
  <si>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</si>
  <si>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</si>
  <si>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</si>
  <si>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</si>
  <si>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</si>
  <si>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</si>
  <si>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</si>
  <si>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</si>
  <si>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</si>
  <si>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</si>
  <si>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</si>
  <si>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</si>
  <si>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</si>
  <si>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</si>
  <si>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</si>
  <si>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</si>
  <si>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</si>
  <si>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</si>
  <si>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</si>
  <si>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</si>
  <si>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</si>
  <si>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</si>
  <si>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</si>
  <si>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</si>
  <si>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</si>
  <si>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</si>
  <si>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</si>
  <si>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</si>
  <si>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</si>
  <si>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</si>
  <si>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</si>
  <si>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</si>
  <si>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</si>
  <si>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</si>
  <si>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</si>
  <si>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</si>
  <si>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</si>
  <si>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</si>
  <si>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</si>
  <si>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</si>
  <si>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</si>
  <si>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</si>
  <si>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</si>
  <si>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</si>
  <si>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</si>
  <si>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</si>
  <si>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</si>
  <si>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</si>
  <si>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</si>
  <si>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</si>
  <si>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</si>
  <si>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</si>
  <si>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</si>
  <si>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</si>
  <si>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</si>
  <si>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</si>
  <si>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</si>
  <si>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</si>
  <si>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</si>
  <si>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</si>
  <si>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</si>
  <si>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</si>
  <si>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</si>
  <si>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</si>
  <si>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</si>
  <si>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</si>
  <si>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</si>
  <si>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</si>
  <si>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</si>
  <si>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</si>
  <si>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</si>
  <si>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</si>
  <si>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</si>
  <si>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</si>
  <si>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</si>
  <si>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</si>
  <si>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</si>
  <si>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</si>
  <si>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</si>
  <si>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</si>
  <si>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</si>
  <si>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</si>
  <si>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</si>
  <si>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</si>
  <si>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</si>
  <si>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</si>
  <si>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</si>
  <si>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</si>
  <si>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</si>
  <si>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</si>
  <si>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</si>
  <si>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</si>
  <si>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</si>
  <si>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</si>
  <si>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</si>
  <si>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</si>
  <si>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</si>
  <si>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</si>
  <si>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</si>
  <si>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</si>
  <si>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</si>
  <si>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</si>
  <si>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</si>
  <si>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</si>
  <si>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</si>
  <si>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</si>
  <si>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</si>
  <si>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</si>
  <si>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</si>
  <si>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</si>
  <si>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</si>
  <si>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</si>
  <si>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</si>
  <si>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</si>
  <si>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</si>
  <si>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</si>
  <si>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</si>
  <si>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</si>
  <si>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</si>
  <si>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</si>
  <si>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</si>
  <si>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</si>
  <si>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</si>
  <si>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</si>
  <si>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</si>
  <si>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</si>
  <si>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</si>
  <si>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</si>
  <si>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</si>
  <si>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</si>
  <si>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</si>
  <si>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</si>
  <si>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</si>
  <si>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</si>
  <si>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</si>
  <si>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</si>
  <si>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</si>
  <si>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</si>
  <si>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</si>
  <si>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</si>
  <si>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</si>
  <si>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</si>
  <si>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</si>
  <si>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</si>
  <si>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</si>
  <si>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</si>
  <si>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</si>
  <si>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</si>
  <si>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</si>
  <si>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</si>
  <si>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</si>
  <si>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</si>
  <si>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</si>
  <si>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</si>
  <si>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</si>
  <si>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</si>
  <si>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</si>
  <si>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</si>
  <si>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</si>
  <si>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</si>
  <si>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</si>
  <si>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</si>
  <si>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</si>
  <si>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</si>
  <si>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</si>
  <si>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</si>
  <si>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</si>
  <si>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</si>
  <si>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</si>
  <si>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</si>
  <si>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</si>
  <si>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</si>
  <si>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</si>
  <si>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</si>
  <si>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</si>
  <si>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</si>
  <si>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</si>
  <si>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</si>
  <si>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</si>
  <si>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</si>
  <si>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</si>
  <si>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</si>
  <si>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To Do</t>
  </si>
  <si>
    <t>Start / End of Prod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</si>
  <si>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</si>
  <si>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</si>
  <si>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</si>
  <si>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</si>
  <si>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</si>
  <si>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</si>
  <si>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</si>
  <si>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</si>
  <si>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</si>
  <si>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</si>
  <si>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</si>
  <si>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</si>
  <si>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</si>
  <si>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</si>
  <si>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</si>
  <si>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</si>
  <si>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>Hits Available - Year 2</t>
  </si>
  <si>
    <t>Part View Options</t>
  </si>
  <si>
    <t>Tonnage View Options</t>
  </si>
  <si>
    <t>Select a View below, or Right-Click in the below to sort.</t>
  </si>
  <si>
    <t>Order</t>
  </si>
  <si>
    <t>Plant Utilization - Year 1</t>
  </si>
  <si>
    <t>Plant Utilization - Year 2</t>
  </si>
  <si>
    <t>Annual Plant Util%</t>
  </si>
  <si>
    <t>Press Count</t>
  </si>
  <si>
    <t>Select a View below, or Right-Click in the table to sort.</t>
  </si>
  <si>
    <t>DieWt</t>
  </si>
  <si>
    <t>t2015.01</t>
  </si>
  <si>
    <t>t2015.02</t>
  </si>
  <si>
    <t>t2015.03</t>
  </si>
  <si>
    <t>t2015.04</t>
  </si>
  <si>
    <t>t2015.05</t>
  </si>
  <si>
    <t>t2015.06</t>
  </si>
  <si>
    <t>t2015.07</t>
  </si>
  <si>
    <t>t2015.08</t>
  </si>
  <si>
    <t>t2015.09</t>
  </si>
  <si>
    <t>t2015.10</t>
  </si>
  <si>
    <t>t2015.11</t>
  </si>
  <si>
    <t>t2015.12</t>
  </si>
  <si>
    <t>t2015.FY</t>
  </si>
  <si>
    <t>t2016.01</t>
  </si>
  <si>
    <t>t2016.02</t>
  </si>
  <si>
    <t>t2016.03</t>
  </si>
  <si>
    <t>t2016.04</t>
  </si>
  <si>
    <t>t2016.05</t>
  </si>
  <si>
    <t>t2016.06</t>
  </si>
  <si>
    <t>t2016.07</t>
  </si>
  <si>
    <t>t2016.08</t>
  </si>
  <si>
    <t>t2016.09</t>
  </si>
  <si>
    <t>t2016.10</t>
  </si>
  <si>
    <t>t2016.11</t>
  </si>
  <si>
    <t>t2016.12</t>
  </si>
  <si>
    <t>t2016.FY</t>
  </si>
  <si>
    <t>t2017</t>
  </si>
  <si>
    <t>t2018</t>
  </si>
  <si>
    <t>t2019</t>
  </si>
  <si>
    <t>Total Plant Hrs Avail</t>
  </si>
  <si>
    <t>Import Data again</t>
  </si>
  <si>
    <t>Presses Tab Views and menus</t>
  </si>
  <si>
    <t>Presses Protection tested</t>
  </si>
  <si>
    <t>Turn on context and protection</t>
  </si>
  <si>
    <t>Send to Curt</t>
  </si>
  <si>
    <t>Press View Options</t>
  </si>
  <si>
    <t>StrokesPerHr</t>
  </si>
  <si>
    <t>PartsPerStroke</t>
  </si>
  <si>
    <t>Issues</t>
  </si>
  <si>
    <t>ToolType</t>
  </si>
  <si>
    <t>Customer</t>
  </si>
  <si>
    <t>Location</t>
  </si>
  <si>
    <t>CustPN</t>
  </si>
  <si>
    <t>Program</t>
  </si>
  <si>
    <t xml:space="preserve">M29089         </t>
  </si>
  <si>
    <t>Lear</t>
  </si>
  <si>
    <t>75006R</t>
  </si>
  <si>
    <t>Magna</t>
  </si>
  <si>
    <t>75006L</t>
  </si>
  <si>
    <t xml:space="preserve">M75006         </t>
  </si>
  <si>
    <t xml:space="preserve">M37269         </t>
  </si>
  <si>
    <t>JCI</t>
  </si>
  <si>
    <t>M29175</t>
  </si>
  <si>
    <t>Ramos/Rochester Hills</t>
  </si>
  <si>
    <t>37607b</t>
  </si>
  <si>
    <t>M37607</t>
  </si>
  <si>
    <t>37608b</t>
  </si>
  <si>
    <t>M37608</t>
  </si>
  <si>
    <t xml:space="preserve">M37222         </t>
  </si>
  <si>
    <t>M37114</t>
  </si>
  <si>
    <t>37220L</t>
  </si>
  <si>
    <t>M37132</t>
  </si>
  <si>
    <t>37220R</t>
  </si>
  <si>
    <t>TBD</t>
  </si>
  <si>
    <t xml:space="preserve">M37223         </t>
  </si>
  <si>
    <t>37221L</t>
  </si>
  <si>
    <t xml:space="preserve">M37221         </t>
  </si>
  <si>
    <t>37221R</t>
  </si>
  <si>
    <t>M29360</t>
  </si>
  <si>
    <t>Whitby</t>
  </si>
  <si>
    <t>M29201</t>
  </si>
  <si>
    <t xml:space="preserve">M37452         </t>
  </si>
  <si>
    <t>37325L</t>
  </si>
  <si>
    <t xml:space="preserve">M37325         </t>
  </si>
  <si>
    <t>MIG (Manufacturers Industrial Group)</t>
  </si>
  <si>
    <t>37324L</t>
  </si>
  <si>
    <t>M37324</t>
  </si>
  <si>
    <t>37323L</t>
  </si>
  <si>
    <t xml:space="preserve">M37323         </t>
  </si>
  <si>
    <t>IMA Detroit</t>
  </si>
  <si>
    <t>M50849</t>
  </si>
  <si>
    <t>Club Car</t>
  </si>
  <si>
    <t>M29166</t>
  </si>
  <si>
    <t>75069s</t>
  </si>
  <si>
    <t>29169L</t>
  </si>
  <si>
    <t>M29169</t>
  </si>
  <si>
    <t>75070s</t>
  </si>
  <si>
    <t>37260L</t>
  </si>
  <si>
    <t xml:space="preserve">M37260         </t>
  </si>
  <si>
    <t>Southview</t>
  </si>
  <si>
    <t>M36018</t>
  </si>
  <si>
    <t>Arvin Meritor</t>
  </si>
  <si>
    <t>Merritor</t>
  </si>
  <si>
    <t>29255s</t>
  </si>
  <si>
    <t>M29255</t>
  </si>
  <si>
    <t>Ramos</t>
  </si>
  <si>
    <t>M29254</t>
  </si>
  <si>
    <t>Rochester Hills</t>
  </si>
  <si>
    <t>38255L</t>
  </si>
  <si>
    <t>77035L</t>
  </si>
  <si>
    <t xml:space="preserve">M77035         </t>
  </si>
  <si>
    <t>HMI</t>
  </si>
  <si>
    <t xml:space="preserve">M77034         </t>
  </si>
  <si>
    <t xml:space="preserve">M77041         </t>
  </si>
  <si>
    <t xml:space="preserve">M77033         </t>
  </si>
  <si>
    <t xml:space="preserve">M77038         </t>
  </si>
  <si>
    <t xml:space="preserve">M77040         </t>
  </si>
  <si>
    <t>37322L</t>
  </si>
  <si>
    <t xml:space="preserve">M37322         </t>
  </si>
  <si>
    <t>M29170</t>
  </si>
  <si>
    <t>502322s</t>
  </si>
  <si>
    <t xml:space="preserve">M460           </t>
  </si>
  <si>
    <t>562421s</t>
  </si>
  <si>
    <t xml:space="preserve">M2061          </t>
  </si>
  <si>
    <t>38180L</t>
  </si>
  <si>
    <t>M38180</t>
  </si>
  <si>
    <t>M38181</t>
  </si>
  <si>
    <t>29191Ls</t>
  </si>
  <si>
    <t>M29191</t>
  </si>
  <si>
    <t>29188L</t>
  </si>
  <si>
    <t>M29188</t>
  </si>
  <si>
    <t>29196s</t>
  </si>
  <si>
    <t>M29196</t>
  </si>
  <si>
    <t>M29194</t>
  </si>
  <si>
    <t>M29161</t>
  </si>
  <si>
    <t>Ajax, possible Lear Italy</t>
  </si>
  <si>
    <t>663122s</t>
  </si>
  <si>
    <t xml:space="preserve">M2055          </t>
  </si>
  <si>
    <t>77004L</t>
  </si>
  <si>
    <t xml:space="preserve">M77004         </t>
  </si>
  <si>
    <t xml:space="preserve">M77003         </t>
  </si>
  <si>
    <t>M77005</t>
  </si>
  <si>
    <t>77007s</t>
  </si>
  <si>
    <t xml:space="preserve">M77007         </t>
  </si>
  <si>
    <t>84321LS</t>
  </si>
  <si>
    <t xml:space="preserve">M84321         </t>
  </si>
  <si>
    <t>Continental Teves</t>
  </si>
  <si>
    <t>84321RS</t>
  </si>
  <si>
    <t xml:space="preserve">M77015         </t>
  </si>
  <si>
    <t xml:space="preserve">M77014         </t>
  </si>
  <si>
    <t>77016L</t>
  </si>
  <si>
    <t xml:space="preserve">M77016         </t>
  </si>
  <si>
    <t>29187s</t>
  </si>
  <si>
    <t>M29187</t>
  </si>
  <si>
    <t>29198S</t>
  </si>
  <si>
    <t>M29198</t>
  </si>
  <si>
    <t>M29176</t>
  </si>
  <si>
    <t>M29203</t>
  </si>
  <si>
    <t>Ajax</t>
  </si>
  <si>
    <t xml:space="preserve">M37451         </t>
  </si>
  <si>
    <t>M29185</t>
  </si>
  <si>
    <t>M29184</t>
  </si>
  <si>
    <t>29164L</t>
  </si>
  <si>
    <t>M29164</t>
  </si>
  <si>
    <t>Tlahuac</t>
  </si>
  <si>
    <t>29165L</t>
  </si>
  <si>
    <t>M29165</t>
  </si>
  <si>
    <t>M97054</t>
  </si>
  <si>
    <t>Ford</t>
  </si>
  <si>
    <t>M29181</t>
  </si>
  <si>
    <t>569021s</t>
  </si>
  <si>
    <t xml:space="preserve">M2071          </t>
  </si>
  <si>
    <t>M75065</t>
  </si>
  <si>
    <t>M29244</t>
  </si>
  <si>
    <t>29235L</t>
  </si>
  <si>
    <t>37, needs 54 for nut spools</t>
  </si>
  <si>
    <t>M29235</t>
  </si>
  <si>
    <t>29243R</t>
  </si>
  <si>
    <t>M29240</t>
  </si>
  <si>
    <t>M29242</t>
  </si>
  <si>
    <t>559121s</t>
  </si>
  <si>
    <t xml:space="preserve">M3019          </t>
  </si>
  <si>
    <t>M29180</t>
  </si>
  <si>
    <t>IMA Detroit, Lear Ramos</t>
  </si>
  <si>
    <t>37103/432</t>
  </si>
  <si>
    <t xml:space="preserve">M37103         </t>
  </si>
  <si>
    <t>CNI Inc.</t>
  </si>
  <si>
    <t>97024Rs</t>
  </si>
  <si>
    <t>M97024</t>
  </si>
  <si>
    <t>557121s</t>
  </si>
  <si>
    <t xml:space="preserve">M5100          </t>
  </si>
  <si>
    <t>557022s</t>
  </si>
  <si>
    <t xml:space="preserve">M3022          </t>
  </si>
  <si>
    <t>557122s</t>
  </si>
  <si>
    <t>556421s</t>
  </si>
  <si>
    <t xml:space="preserve">M3016          </t>
  </si>
  <si>
    <t>556521s</t>
  </si>
  <si>
    <t>M29163</t>
  </si>
  <si>
    <t>M97056</t>
  </si>
  <si>
    <t>M37959</t>
  </si>
  <si>
    <t>Shelbyville</t>
  </si>
  <si>
    <t xml:space="preserve">M37960         </t>
  </si>
  <si>
    <t>29317L</t>
  </si>
  <si>
    <t>M29317</t>
  </si>
  <si>
    <t>29159L</t>
  </si>
  <si>
    <t>M29159</t>
  </si>
  <si>
    <t>M29160</t>
  </si>
  <si>
    <t>M37275</t>
  </si>
  <si>
    <t>37357L</t>
  </si>
  <si>
    <t xml:space="preserve">M37357         </t>
  </si>
  <si>
    <t>29243L</t>
  </si>
  <si>
    <t>M29243</t>
  </si>
  <si>
    <t>M29236</t>
  </si>
  <si>
    <t>M29245</t>
  </si>
  <si>
    <t>652021s</t>
  </si>
  <si>
    <t xml:space="preserve">M103           </t>
  </si>
  <si>
    <t>97023s</t>
  </si>
  <si>
    <t>M97023</t>
  </si>
  <si>
    <t>557721s</t>
  </si>
  <si>
    <t xml:space="preserve">M3021          </t>
  </si>
  <si>
    <t xml:space="preserve">M37274         </t>
  </si>
  <si>
    <t>29317R</t>
  </si>
  <si>
    <t>M29316</t>
  </si>
  <si>
    <t>M97051</t>
  </si>
  <si>
    <t>M75056</t>
  </si>
  <si>
    <t>M97046</t>
  </si>
  <si>
    <t>M97044</t>
  </si>
  <si>
    <t>A</t>
  </si>
  <si>
    <t>OEM</t>
  </si>
  <si>
    <t>Hits Available - Year 1</t>
  </si>
  <si>
    <t>Hits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</si>
</sst>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  <font>
      <b/>
      <sz val="14"/>
      <color rgb="FFFFFF00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  <xf numFmtId="0" fontId="7" fillId="17" borderId="0" applyNumberFormat="0" applyBorder="0" applyAlignment="0" applyProtection="0"/>
  </cellStyleXfs>
  <cellXfs count="102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0" fontId="0" fillId="0" borderId="3" xfId="0" applyFont="1" applyBorder="1"/>
    <xf numFmtId="0" fontId="0" fillId="0" borderId="0" xfId="0" applyFont="1" applyBorder="1"/>
    <xf numFmtId="0" fontId="16" fillId="0" borderId="0" xfId="8" applyFill="1"/>
    <xf numFmtId="2" fontId="0" fillId="0" borderId="0" xfId="0" applyNumberFormat="1" applyFill="1"/>
    <xf numFmtId="49" fontId="16" fillId="0" borderId="0" xfId="8" applyNumberFormat="1" applyFill="1"/>
    <xf numFmtId="49" fontId="24" fillId="8" borderId="0" xfId="8" applyNumberFormat="1" applyFont="1" applyAlignment="1">
      <alignment vertical="top"/>
    </xf>
    <xf numFmtId="3" fontId="0" fillId="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3" fontId="0" fillId="0" borderId="0" xfId="6" applyNumberFormat="1" applyFont="1" applyFill="1" applyProtection="1">
      <protection locked="0"/>
    </xf>
    <xf numFmtId="2" fontId="0" fillId="0" borderId="0" xfId="6" applyNumberFormat="1" applyFont="1" applyFill="1" applyProtection="1">
      <protection locked="0"/>
    </xf>
    <xf numFmtId="165" fontId="0" fillId="0" borderId="0" xfId="6" applyNumberFormat="1" applyFont="1" applyFill="1" applyProtection="1">
      <protection locked="0"/>
    </xf>
    <xf numFmtId="49" fontId="0" fillId="0" borderId="0" xfId="6" applyNumberFormat="1" applyFont="1" applyFill="1" applyProtection="1">
      <protection locked="0"/>
    </xf>
    <xf numFmtId="166" fontId="0" fillId="0" borderId="0" xfId="6" applyNumberFormat="1" applyFont="1" applyFill="1" applyProtection="1">
      <protection locked="0"/>
    </xf>
    <xf numFmtId="164" fontId="0" fillId="0" borderId="0" xfId="6" applyNumberFormat="1" applyFont="1" applyFill="1" applyProtection="1">
      <protection locked="0"/>
    </xf>
    <xf numFmtId="164" fontId="19" fillId="0" borderId="0" xfId="6" applyNumberFormat="1" applyFont="1" applyFill="1" applyProtection="1">
      <protection locked="0"/>
    </xf>
    <xf numFmtId="0" fontId="0" fillId="0" borderId="0" xfId="0" applyProtection="1"/>
    <xf numFmtId="0" fontId="11" fillId="11" borderId="0" xfId="1" applyFont="1" applyFill="1" applyAlignment="1">
      <alignment horizontal="left"/>
    </xf>
    <xf numFmtId="1" fontId="0" fillId="0" borderId="0" xfId="0" applyNumberFormat="1"/>
    <xf numFmtId="0" fontId="7" fillId="17" borderId="0" xfId="13" applyAlignment="1">
      <alignment horizontal="right"/>
    </xf>
    <xf numFmtId="0" fontId="7" fillId="17" borderId="0" xfId="13"/>
    <xf numFmtId="0" fontId="7" fillId="17" borderId="0" xfId="13" applyAlignment="1">
      <alignment horizontal="left"/>
    </xf>
    <xf numFmtId="0" fontId="7" fillId="15" borderId="0" xfId="5" applyFill="1"/>
    <xf numFmtId="0" fontId="17" fillId="0" borderId="0" xfId="11"/>
    <xf numFmtId="0" fontId="0" fillId="0" borderId="4" xfId="0" applyFont="1" applyBorder="1"/>
    <xf numFmtId="1" fontId="0" fillId="0" borderId="5" xfId="0" applyNumberFormat="1" applyFont="1" applyBorder="1"/>
    <xf numFmtId="49" fontId="0" fillId="0" borderId="4" xfId="0" applyNumberFormat="1" applyFont="1" applyBorder="1"/>
    <xf numFmtId="0" fontId="0" fillId="0" borderId="6" xfId="0" applyBorder="1"/>
    <xf numFmtId="49" fontId="0" fillId="0" borderId="0" xfId="0" applyNumberFormat="1" applyFont="1" applyBorder="1"/>
    <xf numFmtId="0" fontId="0" fillId="0" borderId="7" xfId="0" applyBorder="1"/>
    <xf numFmtId="1" fontId="0" fillId="0" borderId="0" xfId="0" applyNumberFormat="1" applyFont="1" applyBorder="1"/>
    <xf numFmtId="0" fontId="1" fillId="2" borderId="0" xfId="1" applyAlignment="1">
      <alignment horizontal="left"/>
    </xf>
    <xf numFmtId="0" fontId="3" fillId="4" borderId="0" xfId="3" applyAlignment="1">
      <alignment horizontal="left"/>
    </xf>
  </cellXfs>
  <cellStyles count="14">
    <cellStyle name="Accent1" xfId="5" builtinId="29"/>
    <cellStyle name="Accent3" xfId="9" builtinId="37"/>
    <cellStyle name="Accent4" xfId="10" builtinId="41"/>
    <cellStyle name="Accent5" xfId="13" builtinId="45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69">
    <dxf>
      <numFmt numFmtId="30" formatCode="@"/>
    </dxf>
    <dxf>
      <numFmt numFmtId="30" formatCode="@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fill>
        <patternFill patternType="none">
          <fgColor indexed="64"/>
          <bgColor indexed="65"/>
        </patternFill>
      </fill>
      <protection locked="0" hidden="0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  <dxf>
      <numFmt numFmtId="1" formatCode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protection locked="1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68"/>
      <tableStyleElement type="headerRow" dxfId="467"/>
      <tableStyleElement type="totalRow" dxfId="466"/>
      <tableStyleElement type="firstColumn" dxfId="465"/>
      <tableStyleElement type="lastColumn" dxfId="464"/>
      <tableStyleElement type="firstRowStripe" dxfId="463"/>
      <tableStyleElement type="firstColumnStripe" dxfId="462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Plants!$FW$5:$GI$5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Plants!$FW$6:$GI$6</c:f>
              <c:numCache>
                <c:formatCode>0.0%</c:formatCode>
                <c:ptCount val="12"/>
                <c:pt idx="0">
                  <c:v>3.3645564168819982E-2</c:v>
                </c:pt>
                <c:pt idx="1">
                  <c:v>3.3645564168819982E-2</c:v>
                </c:pt>
                <c:pt idx="2">
                  <c:v>3.3645564168819982E-2</c:v>
                </c:pt>
                <c:pt idx="3">
                  <c:v>3.3645564168819982E-2</c:v>
                </c:pt>
                <c:pt idx="4">
                  <c:v>3.3645564168819982E-2</c:v>
                </c:pt>
                <c:pt idx="5">
                  <c:v>3.3645564168819982E-2</c:v>
                </c:pt>
                <c:pt idx="6">
                  <c:v>3.3645564168819982E-2</c:v>
                </c:pt>
                <c:pt idx="7">
                  <c:v>3.3645564168819982E-2</c:v>
                </c:pt>
                <c:pt idx="8">
                  <c:v>3.3645564168819982E-2</c:v>
                </c:pt>
                <c:pt idx="9">
                  <c:v>3.3645564168819982E-2</c:v>
                </c:pt>
                <c:pt idx="10">
                  <c:v>3.3645564168819982E-2</c:v>
                </c:pt>
                <c:pt idx="11">
                  <c:v>3.3645564168819982E-2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Plants!$FW$7:$GI$7</c:f>
              <c:numCache>
                <c:formatCode>0.0%</c:formatCode>
                <c:ptCount val="12"/>
                <c:pt idx="0">
                  <c:v>0.58463529339296938</c:v>
                </c:pt>
                <c:pt idx="1">
                  <c:v>0.58463529339296938</c:v>
                </c:pt>
                <c:pt idx="2">
                  <c:v>0.55539422196439803</c:v>
                </c:pt>
                <c:pt idx="3">
                  <c:v>0.58463529339296938</c:v>
                </c:pt>
                <c:pt idx="4">
                  <c:v>0.58463529339296938</c:v>
                </c:pt>
                <c:pt idx="5">
                  <c:v>0.55539422196439803</c:v>
                </c:pt>
                <c:pt idx="6">
                  <c:v>0.58140675110192719</c:v>
                </c:pt>
                <c:pt idx="7">
                  <c:v>0.58140675110192719</c:v>
                </c:pt>
                <c:pt idx="8">
                  <c:v>0.55279067967335582</c:v>
                </c:pt>
                <c:pt idx="9">
                  <c:v>0.57034584846289949</c:v>
                </c:pt>
                <c:pt idx="10">
                  <c:v>0.57034584846289949</c:v>
                </c:pt>
                <c:pt idx="11">
                  <c:v>0.54244406274861379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Plants!$FW$8:$GI$8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Plants!$FW$9:$GI$9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815488"/>
        <c:axId val="154825472"/>
      </c:barChart>
      <c:catAx>
        <c:axId val="154815488"/>
        <c:scaling>
          <c:orientation val="minMax"/>
        </c:scaling>
        <c:delete val="0"/>
        <c:axPos val="b"/>
        <c:majorTickMark val="none"/>
        <c:minorTickMark val="none"/>
        <c:tickLblPos val="nextTo"/>
        <c:crossAx val="154825472"/>
        <c:crosses val="autoZero"/>
        <c:auto val="1"/>
        <c:lblAlgn val="ctr"/>
        <c:lblOffset val="100"/>
        <c:noMultiLvlLbl val="0"/>
      </c:catAx>
      <c:valAx>
        <c:axId val="154825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5481548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sel="3" val="0"/>
</file>

<file path=xl/ctrlProps/ctrlProp3.xml><?xml version="1.0" encoding="utf-8"?>
<formControlPr xmlns="http://schemas.microsoft.com/office/spreadsheetml/2009/9/main" objectType="Drop" dropLines="15" dropStyle="combo" dx="16" fmlaRange="r_PressViews" noThreeD="1" val="0"/>
</file>

<file path=xl/ctrlProps/ctrlProp4.xml><?xml version="1.0" encoding="utf-8"?>
<formControlPr xmlns="http://schemas.microsoft.com/office/spreadsheetml/2009/9/main" objectType="Drop" dropLines="15" dropStyle="combo" dx="16" fmlaRange="r_PartViews" noThreeD="1" sel="1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Lines="15" dropStyle="combo" dx="16" fmlaRange="r_TonnageViews" noThreeD="1" sel="0" val="0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0</xdr:rowOff>
        </xdr:from>
        <xdr:to>
          <xdr:col>2</xdr:col>
          <xdr:colOff>647700</xdr:colOff>
          <xdr:row>1</xdr:row>
          <xdr:rowOff>200025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228600</xdr:rowOff>
        </xdr:from>
        <xdr:to>
          <xdr:col>2</xdr:col>
          <xdr:colOff>581025</xdr:colOff>
          <xdr:row>1</xdr:row>
          <xdr:rowOff>466725</xdr:rowOff>
        </xdr:to>
        <xdr:sp macro="" textlink="">
          <xdr:nvSpPr>
            <xdr:cNvPr id="12290" name="DropDownPressViews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257175</xdr:rowOff>
        </xdr:from>
        <xdr:to>
          <xdr:col>1</xdr:col>
          <xdr:colOff>542925</xdr:colOff>
          <xdr:row>3</xdr:row>
          <xdr:rowOff>9525</xdr:rowOff>
        </xdr:to>
        <xdr:sp macro="" textlink="">
          <xdr:nvSpPr>
            <xdr:cNvPr id="6160" name="DropDownPartViews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533400</xdr:colOff>
          <xdr:row>0</xdr:row>
          <xdr:rowOff>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Die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533400</xdr:colOff>
          <xdr:row>0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Mfg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</xdr:row>
          <xdr:rowOff>19050</xdr:rowOff>
        </xdr:from>
        <xdr:to>
          <xdr:col>2</xdr:col>
          <xdr:colOff>590550</xdr:colOff>
          <xdr:row>2</xdr:row>
          <xdr:rowOff>209550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542925</xdr:rowOff>
        </xdr:from>
        <xdr:to>
          <xdr:col>1</xdr:col>
          <xdr:colOff>571500</xdr:colOff>
          <xdr:row>1</xdr:row>
          <xdr:rowOff>771525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Die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809625</xdr:rowOff>
        </xdr:from>
        <xdr:to>
          <xdr:col>1</xdr:col>
          <xdr:colOff>571500</xdr:colOff>
          <xdr:row>1</xdr:row>
          <xdr:rowOff>1038225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Mfg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1066800</xdr:rowOff>
        </xdr:from>
        <xdr:to>
          <xdr:col>1</xdr:col>
          <xdr:colOff>581025</xdr:colOff>
          <xdr:row>1</xdr:row>
          <xdr:rowOff>1295400</xdr:rowOff>
        </xdr:to>
        <xdr:sp macro="" textlink="">
          <xdr:nvSpPr>
            <xdr:cNvPr id="6192" name="Button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Cust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28575</xdr:rowOff>
        </xdr:from>
        <xdr:to>
          <xdr:col>2</xdr:col>
          <xdr:colOff>323850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238125</xdr:rowOff>
        </xdr:from>
        <xdr:to>
          <xdr:col>2</xdr:col>
          <xdr:colOff>114300</xdr:colOff>
          <xdr:row>1</xdr:row>
          <xdr:rowOff>438150</xdr:rowOff>
        </xdr:to>
        <xdr:sp macro="" textlink="">
          <xdr:nvSpPr>
            <xdr:cNvPr id="9219" name="DropDownTonnageView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740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GY9" totalsRowShown="0" headerRowCellStyle="Bad">
  <autoFilter ref="A4:GY9"/>
  <sortState ref="A5:GY9">
    <sortCondition ref="A4:A9"/>
  </sortState>
  <tableColumns count="207">
    <tableColumn id="1" name="Plant"/>
    <tableColumn id="2" name="OperHrsPerDay" dataDxfId="461"/>
    <tableColumn id="4" name="OEE%" dataDxfId="460"/>
    <tableColumn id="177" name="Press Count" dataDxfId="459" dataCellStyle="Percent">
      <calculatedColumnFormula>COUNTIF(r_Press_Plants,t_Plants[[#This Row],[Plant]])</calculatedColumnFormula>
    </tableColumn>
    <tableColumn id="5" name="d2015.01" dataDxfId="458"/>
    <tableColumn id="6" name="d2015.02" dataDxfId="457"/>
    <tableColumn id="7" name="d2015.03" dataDxfId="456"/>
    <tableColumn id="17" name="d2015.04" dataDxfId="455"/>
    <tableColumn id="18" name="d2015.05" dataDxfId="454"/>
    <tableColumn id="19" name="d2015.06" dataDxfId="453"/>
    <tableColumn id="20" name="d2015.07" dataDxfId="452"/>
    <tableColumn id="21" name="d2015.08" dataDxfId="451"/>
    <tableColumn id="22" name="d2015.09" dataDxfId="450"/>
    <tableColumn id="23" name="d2015.10" dataDxfId="449"/>
    <tableColumn id="24" name="d2015.11" dataDxfId="448"/>
    <tableColumn id="25" name="d2015.12" dataDxfId="447"/>
    <tableColumn id="26" name="d2015.FY" dataDxfId="446">
      <calculatedColumnFormula>SUM(t_Plants[[#This Row],[d2015.01]:[d2015.12]])</calculatedColumnFormula>
    </tableColumn>
    <tableColumn id="13" name="d2016.01" dataDxfId="445"/>
    <tableColumn id="46" name="d2016.02" dataDxfId="444"/>
    <tableColumn id="84" name="d2016.03" dataDxfId="443"/>
    <tableColumn id="85" name="d2016.04" dataDxfId="442"/>
    <tableColumn id="86" name="d2016.05" dataDxfId="441"/>
    <tableColumn id="87" name="d2016.06" dataDxfId="440"/>
    <tableColumn id="88" name="d2016.07" dataDxfId="439"/>
    <tableColumn id="89" name="d2016.08" dataDxfId="438"/>
    <tableColumn id="90" name="d2016.09" dataDxfId="437"/>
    <tableColumn id="91" name="d2016.10" dataDxfId="436"/>
    <tableColumn id="92" name="d2016.11" dataDxfId="435"/>
    <tableColumn id="93" name="d2016.12" dataDxfId="434"/>
    <tableColumn id="94" name="d2016.FY" dataDxfId="433">
      <calculatedColumnFormula>SUM(t_Plants[[#This Row],[d2016.01]:[d2016.12]])</calculatedColumnFormula>
    </tableColumn>
    <tableColumn id="95" name="d2017" dataDxfId="432">
      <calculatedColumnFormula>t_Plants[[#This Row],[d2016.FY]]</calculatedColumnFormula>
    </tableColumn>
    <tableColumn id="96" name="d2018" dataDxfId="431">
      <calculatedColumnFormula>t_Plants[[#This Row],[d2016.FY]]</calculatedColumnFormula>
    </tableColumn>
    <tableColumn id="97" name="d2019" dataDxfId="430">
      <calculatedColumnFormula>t_Plants[[#This Row],[d2016.FY]]</calculatedColumnFormula>
    </tableColumn>
    <tableColumn id="8" name="o2015.01" dataDxfId="429"/>
    <tableColumn id="9" name="o2015.02" dataDxfId="428"/>
    <tableColumn id="10" name="o2015.03" dataDxfId="427"/>
    <tableColumn id="27" name="o2015.04" dataDxfId="426"/>
    <tableColumn id="28" name="o2015.05" dataDxfId="425"/>
    <tableColumn id="29" name="o2015.06" dataDxfId="424"/>
    <tableColumn id="30" name="o2015.07" dataDxfId="423"/>
    <tableColumn id="31" name="o2015.08" dataDxfId="422"/>
    <tableColumn id="32" name="o2015.09" dataDxfId="421"/>
    <tableColumn id="33" name="o2015.10" dataDxfId="420"/>
    <tableColumn id="34" name="o2015.11" dataDxfId="419"/>
    <tableColumn id="35" name="o2015.12" dataDxfId="418"/>
    <tableColumn id="36" name="o2015.FY" dataDxfId="417">
      <calculatedColumnFormula>SUM(t_Plants[[#This Row],[o2015.01]:[o2015.12]])</calculatedColumnFormula>
    </tableColumn>
    <tableColumn id="98" name="o2016.01" dataDxfId="416"/>
    <tableColumn id="99" name="o2016.02" dataDxfId="415"/>
    <tableColumn id="100" name="o2016.03" dataDxfId="414"/>
    <tableColumn id="101" name="o2016.04" dataDxfId="413"/>
    <tableColumn id="102" name="o2016.05" dataDxfId="412"/>
    <tableColumn id="103" name="o2016.06" dataDxfId="411"/>
    <tableColumn id="104" name="o2016.07" dataDxfId="410"/>
    <tableColumn id="105" name="o2016.08" dataDxfId="409"/>
    <tableColumn id="106" name="o2016.09" dataDxfId="408"/>
    <tableColumn id="107" name="o2016.10" dataDxfId="407"/>
    <tableColumn id="108" name="o2016.11" dataDxfId="406"/>
    <tableColumn id="109" name="o2016.12" dataDxfId="405"/>
    <tableColumn id="110" name="o2016.FY" dataDxfId="404">
      <calculatedColumnFormula>SUM(t_Plants[[#This Row],[o2016.01]:[o2016.12]])</calculatedColumnFormula>
    </tableColumn>
    <tableColumn id="113" name="o2017" dataDxfId="403">
      <calculatedColumnFormula>t_Plants[[#This Row],[o2016.FY]]</calculatedColumnFormula>
    </tableColumn>
    <tableColumn id="114" name="o2018" dataDxfId="402">
      <calculatedColumnFormula>t_Plants[[#This Row],[o2016.FY]]</calculatedColumnFormula>
    </tableColumn>
    <tableColumn id="112" name="o2019" dataDxfId="401">
      <calculatedColumnFormula>t_Plants[[#This Row],[o2016.FY]]</calculatedColumnFormula>
    </tableColumn>
    <tableColumn id="3" name="a2015.01" dataDxfId="400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99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98">
      <calculatedColumnFormula>SUM(t_Plants[[#This Row],[a2016.01]:[a2016.12]])</calculatedColumnFormula>
    </tableColumn>
    <tableColumn id="128" name="a2017" dataDxfId="397">
      <calculatedColumnFormula>t_Plants[[#This Row],[a2016.FY]]</calculatedColumnFormula>
    </tableColumn>
    <tableColumn id="130" name="a2018" dataDxfId="396">
      <calculatedColumnFormula>t_Plants[[#This Row],[a2016.FY]]</calculatedColumnFormula>
    </tableColumn>
    <tableColumn id="129" name="a2019" dataDxfId="395">
      <calculatedColumnFormula>t_Plants[[#This Row],[a2016.FY]]</calculatedColumnFormula>
    </tableColumn>
    <tableColumn id="11" name="h2015.01" dataDxfId="394">
      <calculatedColumnFormula>t_Plants[[#This Row],[a2015.01]]*t_Plants[[OperHrsPerDay]:[OperHrsPerDay]]</calculatedColumnFormula>
    </tableColumn>
    <tableColumn id="12" name="h2015.02" dataDxfId="393">
      <calculatedColumnFormula>t_Plants[[#This Row],[a2015.02]]*t_Plants[[OperHrsPerDay]:[OperHrsPerDay]]</calculatedColumnFormula>
    </tableColumn>
    <tableColumn id="47" name="h2015.03" dataDxfId="392">
      <calculatedColumnFormula>t_Plants[[#This Row],[a2015.03]]*t_Plants[[OperHrsPerDay]:[OperHrsPerDay]]</calculatedColumnFormula>
    </tableColumn>
    <tableColumn id="48" name="h2015.04" dataDxfId="391">
      <calculatedColumnFormula>t_Plants[[#This Row],[a2015.04]]*t_Plants[[OperHrsPerDay]:[OperHrsPerDay]]</calculatedColumnFormula>
    </tableColumn>
    <tableColumn id="49" name="h2015.05" dataDxfId="390">
      <calculatedColumnFormula>t_Plants[[#This Row],[a2015.05]]*t_Plants[[OperHrsPerDay]:[OperHrsPerDay]]</calculatedColumnFormula>
    </tableColumn>
    <tableColumn id="50" name="h2015.06" dataDxfId="389">
      <calculatedColumnFormula>t_Plants[[#This Row],[a2015.06]]*t_Plants[[OperHrsPerDay]:[OperHrsPerDay]]</calculatedColumnFormula>
    </tableColumn>
    <tableColumn id="51" name="h2015.07" dataDxfId="388">
      <calculatedColumnFormula>t_Plants[[#This Row],[a2015.07]]*t_Plants[[OperHrsPerDay]:[OperHrsPerDay]]</calculatedColumnFormula>
    </tableColumn>
    <tableColumn id="52" name="h2015.08" dataDxfId="387">
      <calculatedColumnFormula>t_Plants[[#This Row],[a2015.08]]*t_Plants[[OperHrsPerDay]:[OperHrsPerDay]]</calculatedColumnFormula>
    </tableColumn>
    <tableColumn id="53" name="h2015.09" dataDxfId="386">
      <calculatedColumnFormula>t_Plants[[#This Row],[a2015.09]]*t_Plants[[OperHrsPerDay]:[OperHrsPerDay]]</calculatedColumnFormula>
    </tableColumn>
    <tableColumn id="54" name="h2015.10" dataDxfId="385">
      <calculatedColumnFormula>t_Plants[[#This Row],[a2015.10]]*t_Plants[[OperHrsPerDay]:[OperHrsPerDay]]</calculatedColumnFormula>
    </tableColumn>
    <tableColumn id="55" name="h2015.11" dataDxfId="384">
      <calculatedColumnFormula>t_Plants[[#This Row],[a2015.11]]*t_Plants[[OperHrsPerDay]:[OperHrsPerDay]]</calculatedColumnFormula>
    </tableColumn>
    <tableColumn id="56" name="h2015.12" dataDxfId="383">
      <calculatedColumnFormula>t_Plants[[#This Row],[a2015.12]]*t_Plants[[OperHrsPerDay]:[OperHrsPerDay]]</calculatedColumnFormula>
    </tableColumn>
    <tableColumn id="57" name="h2015.FY" dataDxfId="382">
      <calculatedColumnFormula>SUM(t_Plants[[#This Row],[h2015.01]:[h2015.12]])</calculatedColumnFormula>
    </tableColumn>
    <tableColumn id="162" name="h2016.01" dataDxfId="381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179" name="t2015.01" dataDxfId="380">
      <calculatedColumnFormula>t_Plants[[#This Row],[h2015.01]]*t_Plants[[Press Count]:[Press Count]]</calculatedColumnFormula>
    </tableColumn>
    <tableColumn id="180" name="t2015.02">
      <calculatedColumnFormula>t_Plants[[#This Row],[h2015.02]]*t_Plants[[Press Count]:[Press Count]]</calculatedColumnFormula>
    </tableColumn>
    <tableColumn id="181" name="t2015.03">
      <calculatedColumnFormula>t_Plants[[#This Row],[h2015.03]]*t_Plants[[Press Count]:[Press Count]]</calculatedColumnFormula>
    </tableColumn>
    <tableColumn id="182" name="t2015.04">
      <calculatedColumnFormula>t_Plants[[#This Row],[h2015.04]]*t_Plants[[Press Count]:[Press Count]]</calculatedColumnFormula>
    </tableColumn>
    <tableColumn id="183" name="t2015.05">
      <calculatedColumnFormula>t_Plants[[#This Row],[h2015.05]]*t_Plants[[Press Count]:[Press Count]]</calculatedColumnFormula>
    </tableColumn>
    <tableColumn id="184" name="t2015.06">
      <calculatedColumnFormula>t_Plants[[#This Row],[h2015.06]]*t_Plants[[Press Count]:[Press Count]]</calculatedColumnFormula>
    </tableColumn>
    <tableColumn id="185" name="t2015.07">
      <calculatedColumnFormula>t_Plants[[#This Row],[h2015.07]]*t_Plants[[Press Count]:[Press Count]]</calculatedColumnFormula>
    </tableColumn>
    <tableColumn id="186" name="t2015.08">
      <calculatedColumnFormula>t_Plants[[#This Row],[h2015.08]]*t_Plants[[Press Count]:[Press Count]]</calculatedColumnFormula>
    </tableColumn>
    <tableColumn id="187" name="t2015.09">
      <calculatedColumnFormula>t_Plants[[#This Row],[h2015.09]]*t_Plants[[Press Count]:[Press Count]]</calculatedColumnFormula>
    </tableColumn>
    <tableColumn id="188" name="t2015.10">
      <calculatedColumnFormula>t_Plants[[#This Row],[h2015.10]]*t_Plants[[Press Count]:[Press Count]]</calculatedColumnFormula>
    </tableColumn>
    <tableColumn id="189" name="t2015.11">
      <calculatedColumnFormula>t_Plants[[#This Row],[h2015.11]]*t_Plants[[Press Count]:[Press Count]]</calculatedColumnFormula>
    </tableColumn>
    <tableColumn id="190" name="t2015.12">
      <calculatedColumnFormula>t_Plants[[#This Row],[h2015.12]]*t_Plants[[Press Count]:[Press Count]]</calculatedColumnFormula>
    </tableColumn>
    <tableColumn id="191" name="t2015.FY">
      <calculatedColumnFormula>t_Plants[[#This Row],[h2015.FY]]*t_Plants[[Press Count]:[Press Count]]</calculatedColumnFormula>
    </tableColumn>
    <tableColumn id="192" name="t2016.01">
      <calculatedColumnFormula>t_Plants[[#This Row],[h2016.01]]*t_Plants[[Press Count]:[Press Count]]</calculatedColumnFormula>
    </tableColumn>
    <tableColumn id="193" name="t2016.02">
      <calculatedColumnFormula>t_Plants[[#This Row],[h2016.02]]*t_Plants[[Press Count]:[Press Count]]</calculatedColumnFormula>
    </tableColumn>
    <tableColumn id="194" name="t2016.03">
      <calculatedColumnFormula>t_Plants[[#This Row],[h2016.03]]*t_Plants[[Press Count]:[Press Count]]</calculatedColumnFormula>
    </tableColumn>
    <tableColumn id="195" name="t2016.04">
      <calculatedColumnFormula>t_Plants[[#This Row],[h2016.04]]*t_Plants[[Press Count]:[Press Count]]</calculatedColumnFormula>
    </tableColumn>
    <tableColumn id="196" name="t2016.05">
      <calculatedColumnFormula>t_Plants[[#This Row],[h2016.05]]*t_Plants[[Press Count]:[Press Count]]</calculatedColumnFormula>
    </tableColumn>
    <tableColumn id="197" name="t2016.06">
      <calculatedColumnFormula>t_Plants[[#This Row],[h2016.06]]*t_Plants[[Press Count]:[Press Count]]</calculatedColumnFormula>
    </tableColumn>
    <tableColumn id="198" name="t2016.07">
      <calculatedColumnFormula>t_Plants[[#This Row],[h2016.07]]*t_Plants[[Press Count]:[Press Count]]</calculatedColumnFormula>
    </tableColumn>
    <tableColumn id="199" name="t2016.08">
      <calculatedColumnFormula>t_Plants[[#This Row],[h2016.08]]*t_Plants[[Press Count]:[Press Count]]</calculatedColumnFormula>
    </tableColumn>
    <tableColumn id="200" name="t2016.09">
      <calculatedColumnFormula>t_Plants[[#This Row],[h2016.09]]*t_Plants[[Press Count]:[Press Count]]</calculatedColumnFormula>
    </tableColumn>
    <tableColumn id="201" name="t2016.10">
      <calculatedColumnFormula>t_Plants[[#This Row],[h2016.10]]*t_Plants[[Press Count]:[Press Count]]</calculatedColumnFormula>
    </tableColumn>
    <tableColumn id="202" name="t2016.11">
      <calculatedColumnFormula>t_Plants[[#This Row],[h2016.11]]*t_Plants[[Press Count]:[Press Count]]</calculatedColumnFormula>
    </tableColumn>
    <tableColumn id="203" name="t2016.12">
      <calculatedColumnFormula>t_Plants[[#This Row],[h2016.12]]*t_Plants[[Press Count]:[Press Count]]</calculatedColumnFormula>
    </tableColumn>
    <tableColumn id="204" name="t2016.FY">
      <calculatedColumnFormula>t_Plants[[#This Row],[h2016.FY]]*t_Plants[[Press Count]:[Press Count]]</calculatedColumnFormula>
    </tableColumn>
    <tableColumn id="205" name="t2017">
      <calculatedColumnFormula>t_Plants[[#This Row],[h2017]]*t_Plants[[Press Count]:[Press Count]]</calculatedColumnFormula>
    </tableColumn>
    <tableColumn id="206" name="t2018">
      <calculatedColumnFormula>t_Plants[[#This Row],[h2018]]*t_Plants[[Press Count]:[Press Count]]</calculatedColumnFormula>
    </tableColumn>
    <tableColumn id="207" name="t2019">
      <calculatedColumnFormula>t_Plants[[#This Row],[h2019]]*t_Plants[[Press Count]:[Press Count]]</calculatedColumnFormula>
    </tableColumn>
    <tableColumn id="71" name="p2015.01" dataDxfId="379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78">
      <calculatedColumnFormula>SUMIF(r_Press_Plants,t_Plants[[Plant]:[Plant]],t_Presses[hp2016.01])</calculatedColumnFormula>
    </tableColumn>
    <tableColumn id="131" name="p2016.02" dataDxfId="377">
      <calculatedColumnFormula>SUMIF(r_Press_Plants,t_Plants[[Plant]:[Plant]],t_Presses[hp2016.02])</calculatedColumnFormula>
    </tableColumn>
    <tableColumn id="132" name="p2016.03" dataDxfId="376">
      <calculatedColumnFormula>SUMIF(r_Press_Plants,t_Plants[[Plant]:[Plant]],t_Presses[hp2016.03])</calculatedColumnFormula>
    </tableColumn>
    <tableColumn id="133" name="p2016.04" dataDxfId="375">
      <calculatedColumnFormula>SUMIF(r_Press_Plants,t_Plants[[Plant]:[Plant]],t_Presses[hp2016.04])</calculatedColumnFormula>
    </tableColumn>
    <tableColumn id="134" name="p2016.05" dataDxfId="374">
      <calculatedColumnFormula>SUMIF(r_Press_Plants,t_Plants[[Plant]:[Plant]],t_Presses[hp2016.05])</calculatedColumnFormula>
    </tableColumn>
    <tableColumn id="135" name="p2016.06" dataDxfId="373">
      <calculatedColumnFormula>SUMIF(r_Press_Plants,t_Plants[[Plant]:[Plant]],t_Presses[hp2016.06])</calculatedColumnFormula>
    </tableColumn>
    <tableColumn id="136" name="p2016.07" dataDxfId="372">
      <calculatedColumnFormula>SUMIF(r_Press_Plants,t_Plants[[Plant]:[Plant]],t_Presses[hp2016.07])</calculatedColumnFormula>
    </tableColumn>
    <tableColumn id="137" name="p2016.08" dataDxfId="371">
      <calculatedColumnFormula>SUMIF(r_Press_Plants,t_Plants[[Plant]:[Plant]],t_Presses[hp2016.08])</calculatedColumnFormula>
    </tableColumn>
    <tableColumn id="138" name="p2016.09" dataDxfId="370">
      <calculatedColumnFormula>SUMIF(r_Press_Plants,t_Plants[[Plant]:[Plant]],t_Presses[hp2016.09])</calculatedColumnFormula>
    </tableColumn>
    <tableColumn id="139" name="p2016.10" dataDxfId="369">
      <calculatedColumnFormula>SUMIF(r_Press_Plants,t_Plants[[Plant]:[Plant]],t_Presses[hp2016.10])</calculatedColumnFormula>
    </tableColumn>
    <tableColumn id="140" name="p2016.11" dataDxfId="368">
      <calculatedColumnFormula>SUMIF(r_Press_Plants,t_Plants[[Plant]:[Plant]],t_Presses[hp2016.11])</calculatedColumnFormula>
    </tableColumn>
    <tableColumn id="141" name="p2016.12" dataDxfId="367">
      <calculatedColumnFormula>SUMIF(r_Press_Plants,t_Plants[[Plant]:[Plant]],t_Presses[hp2016.12])</calculatedColumnFormula>
    </tableColumn>
    <tableColumn id="142" name="p2016.FY" dataDxfId="366">
      <calculatedColumnFormula>SUMIF(r_Press_Plants,t_Plants[[Plant]:[Plant]],t_Presses[hp2016.FY])</calculatedColumnFormula>
    </tableColumn>
    <tableColumn id="143" name="p2017" dataDxfId="365">
      <calculatedColumnFormula>SUMIF(r_Press_Plants,t_Plants[[Plant]:[Plant]],t_Presses[hp2017])</calculatedColumnFormula>
    </tableColumn>
    <tableColumn id="144" name="p2018" dataDxfId="364">
      <calculatedColumnFormula>SUMIF(r_Press_Plants,t_Plants[[Plant]:[Plant]],t_Presses[hp2018])</calculatedColumnFormula>
    </tableColumn>
    <tableColumn id="145" name="p2019" dataDxfId="363">
      <calculatedColumnFormula>SUMIF(r_Press_Plants,t_Plants[[Plant]:[Plant]],t_Presses[hp2019])</calculatedColumnFormula>
    </tableColumn>
    <tableColumn id="58" name="2015.01" dataDxfId="362">
      <calculatedColumnFormula>IF(t_Plants[[#This Row],[t2015.01]]&gt;0,t_Plants[[#This Row],[p2015.01]]/t_Plants[[#This Row],[t2015.01]],0)</calculatedColumnFormula>
    </tableColumn>
    <tableColumn id="59" name="2015.02" dataDxfId="361" dataCellStyle="Percent">
      <calculatedColumnFormula>IF(t_Plants[[#This Row],[t2015.02]]&gt;0,t_Plants[[#This Row],[p2015.02]]/t_Plants[[#This Row],[t2015.02]],0)</calculatedColumnFormula>
    </tableColumn>
    <tableColumn id="60" name="2015.03" dataDxfId="360" dataCellStyle="Percent">
      <calculatedColumnFormula>IF(t_Plants[[#This Row],[t2015.03]]&gt;0,t_Plants[[#This Row],[p2015.03]]/t_Plants[[#This Row],[t2015.03]],0)</calculatedColumnFormula>
    </tableColumn>
    <tableColumn id="61" name="2015.04" dataDxfId="359" dataCellStyle="Percent">
      <calculatedColumnFormula>IF(t_Plants[[#This Row],[t2015.04]]&gt;0,t_Plants[[#This Row],[p2015.04]]/t_Plants[[#This Row],[t2015.04]],0)</calculatedColumnFormula>
    </tableColumn>
    <tableColumn id="62" name="2015.05" dataDxfId="358" dataCellStyle="Percent">
      <calculatedColumnFormula>IF(t_Plants[[#This Row],[t2015.05]]&gt;0,t_Plants[[#This Row],[p2015.05]]/t_Plants[[#This Row],[t2015.05]],0)</calculatedColumnFormula>
    </tableColumn>
    <tableColumn id="63" name="2015.06" dataDxfId="357" dataCellStyle="Percent">
      <calculatedColumnFormula>IF(t_Plants[[#This Row],[t2015.06]]&gt;0,t_Plants[[#This Row],[p2015.06]]/t_Plants[[#This Row],[t2015.06]],0)</calculatedColumnFormula>
    </tableColumn>
    <tableColumn id="64" name="2015.07" dataDxfId="356" dataCellStyle="Percent">
      <calculatedColumnFormula>IF(t_Plants[[#This Row],[t2015.07]]&gt;0,t_Plants[[#This Row],[p2015.07]]/t_Plants[[#This Row],[t2015.07]],0)</calculatedColumnFormula>
    </tableColumn>
    <tableColumn id="65" name="2015.08" dataDxfId="355" dataCellStyle="Percent">
      <calculatedColumnFormula>IF(t_Plants[[#This Row],[t2015.08]]&gt;0,t_Plants[[#This Row],[p2015.08]]/t_Plants[[#This Row],[t2015.08]],0)</calculatedColumnFormula>
    </tableColumn>
    <tableColumn id="66" name="2015.09" dataDxfId="354" dataCellStyle="Percent">
      <calculatedColumnFormula>IF(t_Plants[[#This Row],[t2015.09]]&gt;0,t_Plants[[#This Row],[p2015.09]]/t_Plants[[#This Row],[t2015.09]],0)</calculatedColumnFormula>
    </tableColumn>
    <tableColumn id="67" name="2015.10" dataDxfId="353" dataCellStyle="Percent">
      <calculatedColumnFormula>IF(t_Plants[[#This Row],[t2015.10]]&gt;0,t_Plants[[#This Row],[p2015.10]]/t_Plants[[#This Row],[t2015.10]],0)</calculatedColumnFormula>
    </tableColumn>
    <tableColumn id="68" name="2015.11" dataDxfId="352" dataCellStyle="Percent">
      <calculatedColumnFormula>IF(t_Plants[[#This Row],[t2015.11]]&gt;0,t_Plants[[#This Row],[p2015.11]]/t_Plants[[#This Row],[t2015.11]],0)</calculatedColumnFormula>
    </tableColumn>
    <tableColumn id="69" name="2015.12" dataDxfId="351" dataCellStyle="Percent">
      <calculatedColumnFormula>IF(t_Plants[[#This Row],[t2015.12]]&gt;0,t_Plants[[#This Row],[p2015.12]]/t_Plants[[#This Row],[t2015.12]],0)</calculatedColumnFormula>
    </tableColumn>
    <tableColumn id="70" name="2015" dataDxfId="350" dataCellStyle="Percent">
      <calculatedColumnFormula>IF(t_Plants[[#This Row],[t2015.FY]]&gt;0,t_Plants[[#This Row],[p2015.FY]]/t_Plants[[#This Row],[t2015.FY]],0)</calculatedColumnFormula>
    </tableColumn>
    <tableColumn id="146" name="2016.01" dataDxfId="349" dataCellStyle="Percent">
      <calculatedColumnFormula>IF(t_Plants[[#This Row],[t2016.01]]&gt;0,t_Plants[[#This Row],[p2016.01]]/t_Plants[[#This Row],[t2016.01]],0)</calculatedColumnFormula>
    </tableColumn>
    <tableColumn id="147" name="2016.02" dataDxfId="348" dataCellStyle="Percent">
      <calculatedColumnFormula>IF(t_Plants[[#This Row],[t2016.02]]&gt;0,t_Plants[[#This Row],[p2016.02]]/t_Plants[[#This Row],[t2016.02]],0)</calculatedColumnFormula>
    </tableColumn>
    <tableColumn id="148" name="2016.03" dataDxfId="347" dataCellStyle="Percent">
      <calculatedColumnFormula>IF(t_Plants[[#This Row],[t2016.03]]&gt;0,t_Plants[[#This Row],[p2016.03]]/t_Plants[[#This Row],[t2016.03]],0)</calculatedColumnFormula>
    </tableColumn>
    <tableColumn id="149" name="2016.04" dataDxfId="346" dataCellStyle="Percent">
      <calculatedColumnFormula>IF(t_Plants[[#This Row],[t2016.04]]&gt;0,t_Plants[[#This Row],[p2016.04]]/t_Plants[[#This Row],[t2016.04]],0)</calculatedColumnFormula>
    </tableColumn>
    <tableColumn id="150" name="2016.05" dataDxfId="345" dataCellStyle="Percent">
      <calculatedColumnFormula>IF(t_Plants[[#This Row],[t2016.05]]&gt;0,t_Plants[[#This Row],[p2016.05]]/t_Plants[[#This Row],[t2016.05]],0)</calculatedColumnFormula>
    </tableColumn>
    <tableColumn id="151" name="2016.06" dataDxfId="344" dataCellStyle="Percent">
      <calculatedColumnFormula>IF(t_Plants[[#This Row],[t2016.06]]&gt;0,t_Plants[[#This Row],[p2016.06]]/t_Plants[[#This Row],[t2016.06]],0)</calculatedColumnFormula>
    </tableColumn>
    <tableColumn id="152" name="2016.07" dataDxfId="343" dataCellStyle="Percent">
      <calculatedColumnFormula>IF(t_Plants[[#This Row],[t2016.07]]&gt;0,t_Plants[[#This Row],[p2016.07]]/t_Plants[[#This Row],[t2016.07]],0)</calculatedColumnFormula>
    </tableColumn>
    <tableColumn id="153" name="2016.08" dataDxfId="342" dataCellStyle="Percent">
      <calculatedColumnFormula>IF(t_Plants[[#This Row],[t2016.08]]&gt;0,t_Plants[[#This Row],[p2016.08]]/t_Plants[[#This Row],[t2016.08]],0)</calculatedColumnFormula>
    </tableColumn>
    <tableColumn id="154" name="2016.09" dataDxfId="341" dataCellStyle="Percent">
      <calculatedColumnFormula>IF(t_Plants[[#This Row],[t2016.09]]&gt;0,t_Plants[[#This Row],[p2016.09]]/t_Plants[[#This Row],[t2016.09]],0)</calculatedColumnFormula>
    </tableColumn>
    <tableColumn id="155" name="2016.10" dataDxfId="340" dataCellStyle="Percent">
      <calculatedColumnFormula>IF(t_Plants[[#This Row],[t2016.10]]&gt;0,t_Plants[[#This Row],[p2016.10]]/t_Plants[[#This Row],[t2016.10]],0)</calculatedColumnFormula>
    </tableColumn>
    <tableColumn id="156" name="2016.11" dataDxfId="339" dataCellStyle="Percent">
      <calculatedColumnFormula>IF(t_Plants[[#This Row],[t2016.11]]&gt;0,t_Plants[[#This Row],[p2016.11]]/t_Plants[[#This Row],[t2016.11]],0)</calculatedColumnFormula>
    </tableColumn>
    <tableColumn id="157" name="2016.12" dataDxfId="338" dataCellStyle="Percent">
      <calculatedColumnFormula>IF(t_Plants[[#This Row],[t2016.12]]&gt;0,t_Plants[[#This Row],[p2016.12]]/t_Plants[[#This Row],[t2016.12]],0)</calculatedColumnFormula>
    </tableColumn>
    <tableColumn id="158" name="2016" dataDxfId="337" dataCellStyle="Percent">
      <calculatedColumnFormula>IF(t_Plants[[#This Row],[t2016.FY]]&gt;0,t_Plants[[#This Row],[p2016.FY]]/t_Plants[[#This Row],[t2016.FY]],0)</calculatedColumnFormula>
    </tableColumn>
    <tableColumn id="159" name="2017" dataDxfId="336" dataCellStyle="Percent">
      <calculatedColumnFormula>IF(t_Plants[[#This Row],[t2017]]&gt;0,t_Plants[[#This Row],[p2017]]/t_Plants[[#This Row],[t2017]],0)</calculatedColumnFormula>
    </tableColumn>
    <tableColumn id="160" name="2018" dataDxfId="335" dataCellStyle="Percent">
      <calculatedColumnFormula>IF(t_Plants[[#This Row],[t2018]]&gt;0,t_Plants[[#This Row],[p2018]]/t_Plants[[#This Row],[t2018]],0)</calculatedColumnFormula>
    </tableColumn>
    <tableColumn id="161" name="2019" dataDxfId="334" dataCellStyle="Percent">
      <calculatedColumnFormula>IF(t_Plants[[#This Row],[t2019]]&gt;0,t_Plants[[#This Row],[p2019]]/t_Plants[[#This Row],[t2019]],0)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_Presses" displayName="t_Presses" ref="A4:CO50" totalsRowShown="0" headerRowCellStyle="Neutral">
  <autoFilter ref="A4:CO50">
    <filterColumn colId="1">
      <filters>
        <filter val="Plainfield"/>
      </filters>
    </filterColumn>
  </autoFilter>
  <tableColumns count="93">
    <tableColumn id="1" name="PRESS" dataDxfId="333"/>
    <tableColumn id="2" name="Plant"/>
    <tableColumn id="36" name="Type"/>
    <tableColumn id="3" name="Tonnage"/>
    <tableColumn id="4" name="Range" dataDxfId="332">
      <calculatedColumnFormula>CONCATENATE(FLOOR(D5,v_TRBS),"-",FLOOR(D5,v_TRBS)+v_TRBS-1)</calculatedColumnFormula>
    </tableColumn>
    <tableColumn id="5" name="PressOEE" dataDxfId="331" dataCellStyle="Percent"/>
    <tableColumn id="7" name="ha2015.01" dataDxfId="330">
      <calculatedColumnFormula>VLOOKUP(t_Presses[[Plant]:[Plant]],t_Plants[],Plants!CN$1,FALSE)</calculatedColumnFormula>
    </tableColumn>
    <tableColumn id="8" name="ha2015.02">
      <calculatedColumnFormula>VLOOKUP(t_Presses[[Plant]:[Plant]],t_Plants[],Plants!CO$1,FALSE)</calculatedColumnFormula>
    </tableColumn>
    <tableColumn id="9" name="ha2015.03" dataDxfId="329">
      <calculatedColumnFormula>VLOOKUP(t_Presses[[Plant]:[Plant]],t_Plants[],Plants!CP$1,FALSE)</calculatedColumnFormula>
    </tableColumn>
    <tableColumn id="16" name="ha2015.04" dataDxfId="328">
      <calculatedColumnFormula>VLOOKUP(t_Presses[[Plant]:[Plant]],t_Plants[],Plants!CQ$1,FALSE)</calculatedColumnFormula>
    </tableColumn>
    <tableColumn id="17" name="ha2015.05" dataDxfId="327">
      <calculatedColumnFormula>VLOOKUP(t_Presses[[Plant]:[Plant]],t_Plants[],Plants!CR$1,FALSE)</calculatedColumnFormula>
    </tableColumn>
    <tableColumn id="18" name="ha2015.06" dataDxfId="326">
      <calculatedColumnFormula>VLOOKUP(t_Presses[[Plant]:[Plant]],t_Plants[],Plants!CS$1,FALSE)</calculatedColumnFormula>
    </tableColumn>
    <tableColumn id="19" name="ha2015.07" dataDxfId="325">
      <calculatedColumnFormula>VLOOKUP(t_Presses[[Plant]:[Plant]],t_Plants[],Plants!CT$1,FALSE)</calculatedColumnFormula>
    </tableColumn>
    <tableColumn id="20" name="ha2015.08" dataDxfId="324">
      <calculatedColumnFormula>VLOOKUP(t_Presses[[Plant]:[Plant]],t_Plants[],Plants!CU$1,FALSE)</calculatedColumnFormula>
    </tableColumn>
    <tableColumn id="21" name="ha2015.09" dataDxfId="323">
      <calculatedColumnFormula>VLOOKUP(t_Presses[[Plant]:[Plant]],t_Plants[],Plants!CV$1,FALSE)</calculatedColumnFormula>
    </tableColumn>
    <tableColumn id="22" name="ha2015.10" dataDxfId="322">
      <calculatedColumnFormula>VLOOKUP(t_Presses[[Plant]:[Plant]],t_Plants[],Plants!CW$1,FALSE)</calculatedColumnFormula>
    </tableColumn>
    <tableColumn id="23" name="ha2015.11" dataDxfId="321">
      <calculatedColumnFormula>VLOOKUP(t_Presses[[Plant]:[Plant]],t_Plants[],Plants!CX$1,FALSE)</calculatedColumnFormula>
    </tableColumn>
    <tableColumn id="24" name="ha2015.12" dataDxfId="320">
      <calculatedColumnFormula>VLOOKUP(t_Presses[[Plant]:[Plant]],t_Plants[],Plants!CY$1,FALSE)</calculatedColumnFormula>
    </tableColumn>
    <tableColumn id="25" name="ha2015.FY" dataDxfId="319">
      <calculatedColumnFormula>SUM(t_Presses[[#This Row],[ha2015.01]:[ha2015.12]])</calculatedColumnFormula>
    </tableColumn>
    <tableColumn id="6" name="ha2016.01" dataDxfId="318"/>
    <tableColumn id="47" name="ha2016.02" dataDxfId="317"/>
    <tableColumn id="48" name="ha2016.03" dataDxfId="316"/>
    <tableColumn id="49" name="ha2016.04" dataDxfId="315"/>
    <tableColumn id="50" name="ha2016.05" dataDxfId="314"/>
    <tableColumn id="51" name="ha2016.06" dataDxfId="313"/>
    <tableColumn id="52" name="ha2016.07" dataDxfId="312"/>
    <tableColumn id="53" name="ha2016.08" dataDxfId="311"/>
    <tableColumn id="54" name="ha2016.09" dataDxfId="310"/>
    <tableColumn id="55" name="ha2016.10" dataDxfId="309"/>
    <tableColumn id="56" name="ha2016.11" dataDxfId="308"/>
    <tableColumn id="57" name="ha2016.12" dataDxfId="307"/>
    <tableColumn id="58" name="ha2016.FY" dataDxfId="306">
      <calculatedColumnFormula>SUM(t_Presses[[#This Row],[ha2016.01]:[ha2016.12]])</calculatedColumnFormula>
    </tableColumn>
    <tableColumn id="59" name="ha2017" dataDxfId="305"/>
    <tableColumn id="60" name="ha2018" dataDxfId="304"/>
    <tableColumn id="61" name="ha2019" dataDxfId="303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302">
      <calculatedColumnFormula>SUM(t_Presses[[#This Row],[hp2015.01]:[hp2015.12]])</calculatedColumnFormula>
    </tableColumn>
    <tableColumn id="63" name="hp2016.01" dataDxfId="301" dataCellStyle="Comma">
      <calculatedColumnFormula>SUMIF(r_PartPresses,t_Presses[[PRESS]:[PRESS]],t_Parts[hp2016.01])</calculatedColumnFormula>
    </tableColumn>
    <tableColumn id="64" name="hp2016.02" dataDxfId="300" dataCellStyle="Comma"/>
    <tableColumn id="65" name="hp2016.03" dataDxfId="299" dataCellStyle="Comma"/>
    <tableColumn id="66" name="hp2016.04" dataDxfId="298" dataCellStyle="Comma"/>
    <tableColumn id="67" name="hp2016.05" dataDxfId="297" dataCellStyle="Comma"/>
    <tableColumn id="68" name="hp2016.06" dataDxfId="296" dataCellStyle="Comma"/>
    <tableColumn id="69" name="hp2016.07" dataDxfId="295" dataCellStyle="Comma"/>
    <tableColumn id="70" name="hp2016.08" dataDxfId="294" dataCellStyle="Comma"/>
    <tableColumn id="71" name="hp2016.09" dataDxfId="293" dataCellStyle="Comma"/>
    <tableColumn id="72" name="hp2016.10" dataDxfId="292" dataCellStyle="Comma"/>
    <tableColumn id="73" name="hp2016.11" dataDxfId="291" dataCellStyle="Comma"/>
    <tableColumn id="74" name="hp2016.12" dataDxfId="290" dataCellStyle="Comma"/>
    <tableColumn id="75" name="hp2016.FY" dataDxfId="289" dataCellStyle="Comma"/>
    <tableColumn id="76" name="hp2017" dataDxfId="288" dataCellStyle="Comma"/>
    <tableColumn id="77" name="hp2018" dataDxfId="287" dataCellStyle="Comma"/>
    <tableColumn id="78" name="hp2019" dataDxfId="286" dataCellStyle="Comma"/>
    <tableColumn id="13" name="2015.01" dataDxfId="285" dataCellStyle="Percent">
      <calculatedColumnFormula>t_Presses[[#This Row],[hp2015.01]]/t_Presses[[#This Row],[ha2015.01]]</calculatedColumnFormula>
    </tableColumn>
    <tableColumn id="14" name="2015.02" dataDxfId="284" dataCellStyle="Percent">
      <calculatedColumnFormula>t_Presses[[#This Row],[hp2015.02]]/t_Presses[[#This Row],[ha2015.02]]</calculatedColumnFormula>
    </tableColumn>
    <tableColumn id="15" name="2015.03" dataDxfId="283" dataCellStyle="Percent"/>
    <tableColumn id="37" name="2015.04" dataDxfId="282" dataCellStyle="Percent"/>
    <tableColumn id="38" name="2015.05" dataDxfId="281" dataCellStyle="Percent"/>
    <tableColumn id="39" name="2015.06" dataDxfId="280" dataCellStyle="Percent"/>
    <tableColumn id="40" name="2015.07" dataDxfId="279" dataCellStyle="Percent"/>
    <tableColumn id="41" name="2015.08" dataDxfId="278" dataCellStyle="Percent"/>
    <tableColumn id="42" name="2015.09" dataDxfId="277" dataCellStyle="Percent"/>
    <tableColumn id="43" name="2015.10" dataDxfId="276" dataCellStyle="Percent"/>
    <tableColumn id="44" name="2015.11" dataDxfId="275" dataCellStyle="Percent"/>
    <tableColumn id="45" name="2015.12" dataDxfId="274" dataCellStyle="Percent"/>
    <tableColumn id="46" name="2015.FY" dataDxfId="273" dataCellStyle="Percent"/>
    <tableColumn id="80" name="2016.01" dataDxfId="272" dataCellStyle="Percent">
      <calculatedColumnFormula>t_Presses[[#This Row],[hp2016.01]]/t_Presses[[#This Row],[ha2016.01]]</calculatedColumnFormula>
    </tableColumn>
    <tableColumn id="81" name="2016.02" dataDxfId="271" dataCellStyle="Percent"/>
    <tableColumn id="82" name="2016.03" dataDxfId="270" dataCellStyle="Percent"/>
    <tableColumn id="83" name="2016.04" dataDxfId="269" dataCellStyle="Percent"/>
    <tableColumn id="84" name="2016.05" dataDxfId="268" dataCellStyle="Percent"/>
    <tableColumn id="85" name="2016.06" dataDxfId="267" dataCellStyle="Percent"/>
    <tableColumn id="86" name="2016.07" dataDxfId="266" dataCellStyle="Percent"/>
    <tableColumn id="87" name="2016.08" dataDxfId="265" dataCellStyle="Percent"/>
    <tableColumn id="88" name="2016.09" dataDxfId="264" dataCellStyle="Percent"/>
    <tableColumn id="89" name="2016.10" dataDxfId="263" dataCellStyle="Percent"/>
    <tableColumn id="90" name="2016.11" dataDxfId="262" dataCellStyle="Percent"/>
    <tableColumn id="91" name="2016.12" dataDxfId="261" dataCellStyle="Percent"/>
    <tableColumn id="92" name="2016.FY" dataDxfId="260" dataCellStyle="Percent">
      <calculatedColumnFormula>t_Presses[[#This Row],[hp2016.FY]]/t_Presses[[#This Row],[ha2016.FY]]</calculatedColumnFormula>
    </tableColumn>
    <tableColumn id="93" name="2017" dataDxfId="259" dataCellStyle="Percent"/>
    <tableColumn id="94" name="2018" dataDxfId="258" dataCellStyle="Percent"/>
    <tableColumn id="95" name="2019" dataDxfId="257" dataCellStyle="Percent"/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3" name="t_Parts" displayName="t_Parts" ref="A5:FZ117" totalsRowShown="0" headerRowDxfId="183" dataDxfId="182" headerRowCellStyle="Neutral">
  <autoFilter ref="A5:FZ117"/>
  <sortState ref="A6:FZ118">
    <sortCondition descending="1" ref="A5:A118"/>
  </sortState>
  <tableColumns count="182">
    <tableColumn id="1" name="PartNo" dataDxfId="181"/>
    <tableColumn id="176" name="Issues" dataDxfId="180"/>
    <tableColumn id="2" name="Press" dataDxfId="179"/>
    <tableColumn id="9" name="PartsPerStroke" dataDxfId="178"/>
    <tableColumn id="10" name="StrokesPerHr" dataDxfId="177"/>
    <tableColumn id="71" name="SetupHrs" dataDxfId="176"/>
    <tableColumn id="72" name="SetupsPerMo" dataDxfId="175"/>
    <tableColumn id="12" name="SOP" dataDxfId="1" dataCellStyle="Normal"/>
    <tableColumn id="13" name="EOP" dataDxfId="0" dataCellStyle="Normal"/>
    <tableColumn id="14" name="2015vol" dataDxfId="174"/>
    <tableColumn id="15" name="2016vol" dataDxfId="173"/>
    <tableColumn id="16" name="2017vol" dataDxfId="172"/>
    <tableColumn id="17" name="2018vol" dataDxfId="171"/>
    <tableColumn id="18" name="2019vol" dataDxfId="170"/>
    <tableColumn id="79" name="DieFB" dataDxfId="169" dataCellStyle="Percent"/>
    <tableColumn id="80" name="DieLR" dataDxfId="168" dataCellStyle="Percent"/>
    <tableColumn id="81" name="DieShutHt" dataDxfId="3" dataCellStyle="Percent"/>
    <tableColumn id="175" name="DieWt" dataDxfId="167"/>
    <tableColumn id="74" name="ActTonnage" dataDxfId="4" dataCellStyle="Percent"/>
    <tableColumn id="75" name="FeedHt" dataDxfId="166" dataCellStyle="Percent"/>
    <tableColumn id="177" name="ToolType" dataDxfId="165"/>
    <tableColumn id="76" name="SteelPN" dataDxfId="164" dataCellStyle="Percent"/>
    <tableColumn id="77" name="BlankWt" dataDxfId="163" dataCellStyle="Percent"/>
    <tableColumn id="179" name="Customer" dataDxfId="162"/>
    <tableColumn id="178" name="Location" dataDxfId="161"/>
    <tableColumn id="180" name="CustPN" dataDxfId="160"/>
    <tableColumn id="182" name="OEM" dataDxfId="2"/>
    <tableColumn id="181" name="Program" dataDxfId="159"/>
    <tableColumn id="11" name="Routing" dataDxfId="158" dataCellStyle="Percent"/>
    <tableColumn id="3" name="Plant" dataDxfId="157">
      <calculatedColumnFormula>VLOOKUP(t_Parts[[#This Row],[Press]],t_Presses[],Press!B$1,FALSE)</calculatedColumnFormula>
    </tableColumn>
    <tableColumn id="4" name="T Range" dataDxfId="156">
      <calculatedColumnFormula>VLOOKUP(t_Parts[[#This Row],[Press]],t_Presses[],Press!E$1,FALSE)</calculatedColumnFormula>
    </tableColumn>
    <tableColumn id="6" name="PlantOEE" dataDxfId="155" dataCellStyle="Percent">
      <calculatedColumnFormula>VLOOKUP(t_Parts[[#This Row],[Plant]],t_Plants[],Plants!C$1,FALSE)</calculatedColumnFormula>
    </tableColumn>
    <tableColumn id="5" name="PressOEE" dataDxfId="154" dataCellStyle="Percent">
      <calculatedColumnFormula>VLOOKUP(t_Parts[[#This Row],[Press]],t_Presses[],Press!F$1,FALSE)</calculatedColumnFormula>
    </tableColumn>
    <tableColumn id="7" name="PartOEE" dataDxfId="153" dataCellStyle="Percent"/>
    <tableColumn id="8" name="UseOEE" dataDxfId="152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51">
      <calculatedColumnFormula>t_Parts[[#This Row],[SetupsPerMo]]*t_Parts[[#This Row],[SetupHrs]]</calculatedColumnFormula>
    </tableColumn>
    <tableColumn id="73" name="NetPPH" dataDxfId="150">
      <calculatedColumnFormula>(t_Parts[[#This Row],[PartsPerStroke]]*t_Parts[[#This Row],[StrokesPerHr]])*t_Parts[[#This Row],[UseOEE]]</calculatedColumnFormula>
    </tableColumn>
    <tableColumn id="19" name="pv2015.01" dataDxfId="149">
      <calculatedColumnFormula>IF(AND(AL$3&gt;=VALUE(t_Parts[[SOP]:[SOP]]),AL$3&lt;=VALUE(t_Parts[[EOP]:[EOP]])),  (t_Parts[[2015vol]:[2015vol]]/VLOOKUP(t_Parts[[Plant]:[Plant]],t_Plants[],Plants!$BW$1, FALSE))*VLOOKUP(t_Parts[[Plant]:[Plant]],t_Plants[],Plants!BK$1,FALSE),0)</calculatedColumnFormula>
    </tableColumn>
    <tableColumn id="20" name="pv2015.02" dataDxfId="148">
      <calculatedColumnFormula>IF(AND(AM$3&gt;=VALUE(t_Parts[[SOP]:[SOP]]),AM$3&lt;=VALUE(t_Parts[[EOP]:[EOP]])),  (t_Parts[[2015vol]:[2015vol]]/VLOOKUP(t_Parts[[Plant]:[Plant]],t_Plants[],Plants!$BW$1, FALSE))*VLOOKUP(t_Parts[[Plant]:[Plant]],t_Plants[],Plants!BL$1,FALSE),0)</calculatedColumnFormula>
    </tableColumn>
    <tableColumn id="21" name="pv2015.03" dataDxfId="147">
      <calculatedColumnFormula>IF(AND(AN$3&gt;=VALUE(t_Parts[[SOP]:[SOP]]),AN$3&lt;=VALUE(t_Parts[[EOP]:[EOP]])),  (t_Parts[[2015vol]:[2015vol]]/VLOOKUP(t_Parts[[Plant]:[Plant]],t_Plants[],Plants!$BW$1, FALSE))*VLOOKUP(t_Parts[[Plant]:[Plant]],t_Plants[],Plants!BM$1,FALSE),0)</calculatedColumnFormula>
    </tableColumn>
    <tableColumn id="22" name="pv2015.04" dataDxfId="146">
      <calculatedColumnFormula>IF(AND(AO$3&gt;=VALUE(t_Parts[[SOP]:[SOP]]),AO$3&lt;=VALUE(t_Parts[[EOP]:[EOP]])),  (t_Parts[[2015vol]:[2015vol]]/VLOOKUP(t_Parts[[Plant]:[Plant]],t_Plants[],Plants!$BW$1, FALSE))*VLOOKUP(t_Parts[[Plant]:[Plant]],t_Plants[],Plants!BN$1,FALSE),0)</calculatedColumnFormula>
    </tableColumn>
    <tableColumn id="23" name="pv2015.05" dataDxfId="145">
      <calculatedColumnFormula>IF(AND(AP$3&gt;=VALUE(t_Parts[[SOP]:[SOP]]),AP$3&lt;=VALUE(t_Parts[[EOP]:[EOP]])),  (t_Parts[[2015vol]:[2015vol]]/VLOOKUP(t_Parts[[Plant]:[Plant]],t_Plants[],Plants!$BW$1, FALSE))*VLOOKUP(t_Parts[[Plant]:[Plant]],t_Plants[],Plants!BO$1,FALSE),0)</calculatedColumnFormula>
    </tableColumn>
    <tableColumn id="24" name="pv2015.06" dataDxfId="144">
      <calculatedColumnFormula>IF(AND(AQ$3&gt;=VALUE(t_Parts[[SOP]:[SOP]]),AQ$3&lt;=VALUE(t_Parts[[EOP]:[EOP]])),  (t_Parts[[2015vol]:[2015vol]]/VLOOKUP(t_Parts[[Plant]:[Plant]],t_Plants[],Plants!$BW$1, FALSE))*VLOOKUP(t_Parts[[Plant]:[Plant]],t_Plants[],Plants!BP$1,FALSE),0)</calculatedColumnFormula>
    </tableColumn>
    <tableColumn id="25" name="pv2015.07" dataDxfId="143">
      <calculatedColumnFormula>IF(AND(AR$3&gt;=VALUE(t_Parts[[SOP]:[SOP]]),AR$3&lt;=VALUE(t_Parts[[EOP]:[EOP]])),  (t_Parts[[2015vol]:[2015vol]]/VLOOKUP(t_Parts[[Plant]:[Plant]],t_Plants[],Plants!$BW$1, FALSE))*VLOOKUP(t_Parts[[Plant]:[Plant]],t_Plants[],Plants!BQ$1,FALSE),0)</calculatedColumnFormula>
    </tableColumn>
    <tableColumn id="26" name="pv2015.08" dataDxfId="142">
      <calculatedColumnFormula>IF(AND(AS$3&gt;=VALUE(t_Parts[[SOP]:[SOP]]),AS$3&lt;=VALUE(t_Parts[[EOP]:[EOP]])),  (t_Parts[[2015vol]:[2015vol]]/VLOOKUP(t_Parts[[Plant]:[Plant]],t_Plants[],Plants!$BW$1, FALSE))*VLOOKUP(t_Parts[[Plant]:[Plant]],t_Plants[],Plants!BR$1,FALSE),0)</calculatedColumnFormula>
    </tableColumn>
    <tableColumn id="27" name="pv2015.09" dataDxfId="141">
      <calculatedColumnFormula>IF(AND(AT$3&gt;=VALUE(t_Parts[[SOP]:[SOP]]),AT$3&lt;=VALUE(t_Parts[[EOP]:[EOP]])),  (t_Parts[[2015vol]:[2015vol]]/VLOOKUP(t_Parts[[Plant]:[Plant]],t_Plants[],Plants!$BW$1, FALSE))*VLOOKUP(t_Parts[[Plant]:[Plant]],t_Plants[],Plants!BS$1,FALSE),0)</calculatedColumnFormula>
    </tableColumn>
    <tableColumn id="28" name="pv2015.10" dataDxfId="140">
      <calculatedColumnFormula>IF(AND(AU$3&gt;=VALUE(t_Parts[[SOP]:[SOP]]),AU$3&lt;=VALUE(t_Parts[[EOP]:[EOP]])),  (t_Parts[[2015vol]:[2015vol]]/VLOOKUP(t_Parts[[Plant]:[Plant]],t_Plants[],Plants!$BW$1, FALSE))*VLOOKUP(t_Parts[[Plant]:[Plant]],t_Plants[],Plants!BT$1,FALSE),0)</calculatedColumnFormula>
    </tableColumn>
    <tableColumn id="29" name="pv2015.11" dataDxfId="139">
      <calculatedColumnFormula>IF(AND(AV$3&gt;=VALUE(t_Parts[[SOP]:[SOP]]),AV$3&lt;=VALUE(t_Parts[[EOP]:[EOP]])),  (t_Parts[[2015vol]:[2015vol]]/VLOOKUP(t_Parts[[Plant]:[Plant]],t_Plants[],Plants!$BW$1, FALSE))*VLOOKUP(t_Parts[[Plant]:[Plant]],t_Plants[],Plants!BU$1,FALSE),0)</calculatedColumnFormula>
    </tableColumn>
    <tableColumn id="30" name="pv2015.12" dataDxfId="138">
      <calculatedColumnFormula>IF(AND(AW$3&gt;=VALUE(t_Parts[[SOP]:[SOP]]),AW$3&lt;=VALUE(t_Parts[[EOP]:[EOP]])),  (t_Parts[[2015vol]:[2015vol]]/VLOOKUP(t_Parts[[Plant]:[Plant]],t_Plants[],Plants!$BW$1, FALSE))*VLOOKUP(t_Parts[[Plant]:[Plant]],t_Plants[],Plants!BV$1,FALSE),0)</calculatedColumnFormula>
    </tableColumn>
    <tableColumn id="31" name="pv2015.FY" dataDxfId="137">
      <calculatedColumnFormula>SUM(t_Parts[[#This Row],[pv2015.01]:[pv2015.12]])</calculatedColumnFormula>
    </tableColumn>
    <tableColumn id="82" name="pv2016.01" dataDxfId="136">
      <calculatedColumnFormula>IF(AND(AY$3&gt;=VALUE(t_Parts[[SOP]:[SOP]]),AY$3&lt;=VALUE(t_Parts[[EOP]:[EOP]])),  (t_Parts[[2016vol]:[2016vol]]/VLOOKUP(t_Parts[[Plant]:[Plant]],t_Plants[],Plants!$CJ$1, FALSE))*VLOOKUP(t_Parts[[Plant]:[Plant]],t_Plants[],Plants!BX$1,FALSE),0)</calculatedColumnFormula>
    </tableColumn>
    <tableColumn id="83" name="pv2016.02" dataDxfId="135">
      <calculatedColumnFormula>IF(AND(AZ$3&gt;=VALUE(t_Parts[[SOP]:[SOP]]),AZ$3&lt;=VALUE(t_Parts[[EOP]:[EOP]])),  (t_Parts[[2016vol]:[2016vol]]/VLOOKUP(t_Parts[[Plant]:[Plant]],t_Plants[],Plants!$CJ$1, FALSE))*VLOOKUP(t_Parts[[Plant]:[Plant]],t_Plants[],Plants!BY$1,FALSE),0)</calculatedColumnFormula>
    </tableColumn>
    <tableColumn id="84" name="pv2016.03" dataDxfId="134">
      <calculatedColumnFormula>IF(AND(BA$3&gt;=VALUE(t_Parts[[SOP]:[SOP]]),BA$3&lt;=VALUE(t_Parts[[EOP]:[EOP]])),  (t_Parts[[2016vol]:[2016vol]]/VLOOKUP(t_Parts[[Plant]:[Plant]],t_Plants[],Plants!$CJ$1, FALSE))*VLOOKUP(t_Parts[[Plant]:[Plant]],t_Plants[],Plants!BZ$1,FALSE),0)</calculatedColumnFormula>
    </tableColumn>
    <tableColumn id="85" name="pv2016.04" dataDxfId="133">
      <calculatedColumnFormula>IF(AND(BB$3&gt;=VALUE(t_Parts[[SOP]:[SOP]]),BB$3&lt;=VALUE(t_Parts[[EOP]:[EOP]])),  (t_Parts[[2016vol]:[2016vol]]/VLOOKUP(t_Parts[[Plant]:[Plant]],t_Plants[],Plants!$CJ$1, FALSE))*VLOOKUP(t_Parts[[Plant]:[Plant]],t_Plants[],Plants!CA$1,FALSE),0)</calculatedColumnFormula>
    </tableColumn>
    <tableColumn id="86" name="pv2016.05" dataDxfId="132">
      <calculatedColumnFormula>IF(AND(BC$3&gt;=VALUE(t_Parts[[SOP]:[SOP]]),BC$3&lt;=VALUE(t_Parts[[EOP]:[EOP]])),  (t_Parts[[2016vol]:[2016vol]]/VLOOKUP(t_Parts[[Plant]:[Plant]],t_Plants[],Plants!$CJ$1, FALSE))*VLOOKUP(t_Parts[[Plant]:[Plant]],t_Plants[],Plants!CB$1,FALSE),0)</calculatedColumnFormula>
    </tableColumn>
    <tableColumn id="87" name="pv2016.06" dataDxfId="131">
      <calculatedColumnFormula>IF(AND(BD$3&gt;=VALUE(t_Parts[[SOP]:[SOP]]),BD$3&lt;=VALUE(t_Parts[[EOP]:[EOP]])),  (t_Parts[[2016vol]:[2016vol]]/VLOOKUP(t_Parts[[Plant]:[Plant]],t_Plants[],Plants!$CJ$1, FALSE))*VLOOKUP(t_Parts[[Plant]:[Plant]],t_Plants[],Plants!CC$1,FALSE),0)</calculatedColumnFormula>
    </tableColumn>
    <tableColumn id="88" name="pv2016.07" dataDxfId="130">
      <calculatedColumnFormula>IF(AND(BE$3&gt;=VALUE(t_Parts[[SOP]:[SOP]]),BE$3&lt;=VALUE(t_Parts[[EOP]:[EOP]])),  (t_Parts[[2016vol]:[2016vol]]/VLOOKUP(t_Parts[[Plant]:[Plant]],t_Plants[],Plants!$CJ$1, FALSE))*VLOOKUP(t_Parts[[Plant]:[Plant]],t_Plants[],Plants!CD$1,FALSE),0)</calculatedColumnFormula>
    </tableColumn>
    <tableColumn id="89" name="pv2016.08" dataDxfId="129">
      <calculatedColumnFormula>IF(AND(BF$3&gt;=VALUE(t_Parts[[SOP]:[SOP]]),BF$3&lt;=VALUE(t_Parts[[EOP]:[EOP]])),  (t_Parts[[2016vol]:[2016vol]]/VLOOKUP(t_Parts[[Plant]:[Plant]],t_Plants[],Plants!$CJ$1, FALSE))*VLOOKUP(t_Parts[[Plant]:[Plant]],t_Plants[],Plants!CE$1,FALSE),0)</calculatedColumnFormula>
    </tableColumn>
    <tableColumn id="90" name="pv2016.09" dataDxfId="128">
      <calculatedColumnFormula>IF(AND(BG$3&gt;=VALUE(t_Parts[[SOP]:[SOP]]),BG$3&lt;=VALUE(t_Parts[[EOP]:[EOP]])),  (t_Parts[[2016vol]:[2016vol]]/VLOOKUP(t_Parts[[Plant]:[Plant]],t_Plants[],Plants!$CJ$1, FALSE))*VLOOKUP(t_Parts[[Plant]:[Plant]],t_Plants[],Plants!CF$1,FALSE),0)</calculatedColumnFormula>
    </tableColumn>
    <tableColumn id="91" name="pv2016.10" dataDxfId="127">
      <calculatedColumnFormula>IF(AND(BH$3&gt;=VALUE(t_Parts[[SOP]:[SOP]]),BH$3&lt;=VALUE(t_Parts[[EOP]:[EOP]])),  (t_Parts[[2016vol]:[2016vol]]/VLOOKUP(t_Parts[[Plant]:[Plant]],t_Plants[],Plants!$CJ$1, FALSE))*VLOOKUP(t_Parts[[Plant]:[Plant]],t_Plants[],Plants!CG$1,FALSE),0)</calculatedColumnFormula>
    </tableColumn>
    <tableColumn id="92" name="pv2016.11" dataDxfId="126">
      <calculatedColumnFormula>IF(AND(BI$3&gt;=VALUE(t_Parts[[SOP]:[SOP]]),BI$3&lt;=VALUE(t_Parts[[EOP]:[EOP]])),  (t_Parts[[2016vol]:[2016vol]]/VLOOKUP(t_Parts[[Plant]:[Plant]],t_Plants[],Plants!$CJ$1, FALSE))*VLOOKUP(t_Parts[[Plant]:[Plant]],t_Plants[],Plants!CH$1,FALSE),0)</calculatedColumnFormula>
    </tableColumn>
    <tableColumn id="93" name="pv2016.12" dataDxfId="125">
      <calculatedColumnFormula>IF(AND(BJ$3&gt;=VALUE(t_Parts[[SOP]:[SOP]]),BJ$3&lt;=VALUE(t_Parts[[EOP]:[EOP]])),  (t_Parts[[2016vol]:[2016vol]]/VLOOKUP(t_Parts[[Plant]:[Plant]],t_Plants[],Plants!$CJ$1, FALSE))*VLOOKUP(t_Parts[[Plant]:[Plant]],t_Plants[],Plants!CI$1,FALSE),0)</calculatedColumnFormula>
    </tableColumn>
    <tableColumn id="94" name="pv2016.FY" dataDxfId="124">
      <calculatedColumnFormula>SUM(t_Parts[[#This Row],[pv2016.01]:[pv2016.12]])</calculatedColumnFormula>
    </tableColumn>
    <tableColumn id="95" name="pv2017" dataDxfId="123">
      <calculatedColumnFormula>t_Parts[[#This Row],[2017vol]]</calculatedColumnFormula>
    </tableColumn>
    <tableColumn id="97" name="pv2018" dataDxfId="122">
      <calculatedColumnFormula>t_Parts[[#This Row],[2018vol]]</calculatedColumnFormula>
    </tableColumn>
    <tableColumn id="96" name="pv2019" dataDxfId="121">
      <calculatedColumnFormula>t_Parts[[#This Row],[2019vol]]</calculatedColumnFormula>
    </tableColumn>
    <tableColumn id="32" name="ha2015.01" dataDxfId="120">
      <calculatedColumnFormula>VLOOKUP(t_Parts[[Plant]:[Plant]],t_Plants[],Plants!CN$1,FALSE)</calculatedColumnFormula>
    </tableColumn>
    <tableColumn id="33" name="ha2015.02" dataDxfId="119">
      <calculatedColumnFormula>VLOOKUP(t_Parts[[Plant]:[Plant]],t_Plants[],Plants!CO$1,FALSE)</calculatedColumnFormula>
    </tableColumn>
    <tableColumn id="34" name="ha2015.03" dataDxfId="118">
      <calculatedColumnFormula>VLOOKUP(t_Parts[[Plant]:[Plant]],t_Plants[],Plants!CP$1,FALSE)</calculatedColumnFormula>
    </tableColumn>
    <tableColumn id="35" name="ha2015.04" dataDxfId="117">
      <calculatedColumnFormula>VLOOKUP(t_Parts[[Plant]:[Plant]],t_Plants[],Plants!CQ$1,FALSE)</calculatedColumnFormula>
    </tableColumn>
    <tableColumn id="36" name="ha2015.05" dataDxfId="116">
      <calculatedColumnFormula>VLOOKUP(t_Parts[[Plant]:[Plant]],t_Plants[],Plants!CR$1,FALSE)</calculatedColumnFormula>
    </tableColumn>
    <tableColumn id="37" name="ha2015.06" dataDxfId="115">
      <calculatedColumnFormula>VLOOKUP(t_Parts[[Plant]:[Plant]],t_Plants[],Plants!CS$1,FALSE)</calculatedColumnFormula>
    </tableColumn>
    <tableColumn id="38" name="ha2015.07" dataDxfId="114">
      <calculatedColumnFormula>VLOOKUP(t_Parts[[Plant]:[Plant]],t_Plants[],Plants!CT$1,FALSE)</calculatedColumnFormula>
    </tableColumn>
    <tableColumn id="39" name="ha2015.08" dataDxfId="113">
      <calculatedColumnFormula>VLOOKUP(t_Parts[[Plant]:[Plant]],t_Plants[],Plants!CU$1,FALSE)</calculatedColumnFormula>
    </tableColumn>
    <tableColumn id="40" name="ha2015.09" dataDxfId="112">
      <calculatedColumnFormula>VLOOKUP(t_Parts[[Plant]:[Plant]],t_Plants[],Plants!CV$1,FALSE)</calculatedColumnFormula>
    </tableColumn>
    <tableColumn id="41" name="ha2015.10" dataDxfId="111">
      <calculatedColumnFormula>VLOOKUP(t_Parts[[Plant]:[Plant]],t_Plants[],Plants!CW$1,FALSE)</calculatedColumnFormula>
    </tableColumn>
    <tableColumn id="42" name="ha2015.11" dataDxfId="110">
      <calculatedColumnFormula>VLOOKUP(t_Parts[[Plant]:[Plant]],t_Plants[],Plants!CX$1,FALSE)</calculatedColumnFormula>
    </tableColumn>
    <tableColumn id="43" name="ha2015.12" dataDxfId="109">
      <calculatedColumnFormula>VLOOKUP(t_Parts[[Plant]:[Plant]],t_Plants[],Plants!CY$1,FALSE)</calculatedColumnFormula>
    </tableColumn>
    <tableColumn id="44" name="ha2015.FY" dataDxfId="108">
      <calculatedColumnFormula>SUM(t_Parts[[#This Row],[ha2015.01]:[ha2015.12]])</calculatedColumnFormula>
    </tableColumn>
    <tableColumn id="98" name="ha2016.01" dataDxfId="107">
      <calculatedColumnFormula>VLOOKUP(t_Parts[[Plant]:[Plant]],t_Plants[],Plants!DA$1,FALSE)</calculatedColumnFormula>
    </tableColumn>
    <tableColumn id="99" name="ha2016.02" dataDxfId="106">
      <calculatedColumnFormula>VLOOKUP(t_Parts[[Plant]:[Plant]],t_Plants[],Plants!DB$1,FALSE)</calculatedColumnFormula>
    </tableColumn>
    <tableColumn id="100" name="ha2016.03" dataDxfId="105">
      <calculatedColumnFormula>VLOOKUP(t_Parts[[Plant]:[Plant]],t_Plants[],Plants!DC$1,FALSE)</calculatedColumnFormula>
    </tableColumn>
    <tableColumn id="101" name="ha2016.04" dataDxfId="104">
      <calculatedColumnFormula>VLOOKUP(t_Parts[[Plant]:[Plant]],t_Plants[],Plants!DD$1,FALSE)</calculatedColumnFormula>
    </tableColumn>
    <tableColumn id="102" name="ha2016.05" dataDxfId="103">
      <calculatedColumnFormula>VLOOKUP(t_Parts[[Plant]:[Plant]],t_Plants[],Plants!DE$1,FALSE)</calculatedColumnFormula>
    </tableColumn>
    <tableColumn id="103" name="ha2016.06" dataDxfId="102">
      <calculatedColumnFormula>VLOOKUP(t_Parts[[Plant]:[Plant]],t_Plants[],Plants!DF$1,FALSE)</calculatedColumnFormula>
    </tableColumn>
    <tableColumn id="104" name="ha2016.07" dataDxfId="101">
      <calculatedColumnFormula>VLOOKUP(t_Parts[[Plant]:[Plant]],t_Plants[],Plants!DG$1,FALSE)</calculatedColumnFormula>
    </tableColumn>
    <tableColumn id="105" name="ha2016.08" dataDxfId="100">
      <calculatedColumnFormula>VLOOKUP(t_Parts[[Plant]:[Plant]],t_Plants[],Plants!DH$1,FALSE)</calculatedColumnFormula>
    </tableColumn>
    <tableColumn id="106" name="ha2016.09" dataDxfId="99">
      <calculatedColumnFormula>VLOOKUP(t_Parts[[Plant]:[Plant]],t_Plants[],Plants!DI$1,FALSE)</calculatedColumnFormula>
    </tableColumn>
    <tableColumn id="107" name="ha2016.10" dataDxfId="98">
      <calculatedColumnFormula>VLOOKUP(t_Parts[[Plant]:[Plant]],t_Plants[],Plants!DJ$1,FALSE)</calculatedColumnFormula>
    </tableColumn>
    <tableColumn id="108" name="ha2016.11" dataDxfId="97">
      <calculatedColumnFormula>VLOOKUP(t_Parts[[Plant]:[Plant]],t_Plants[],Plants!DK$1,FALSE)</calculatedColumnFormula>
    </tableColumn>
    <tableColumn id="109" name="ha2016.12" dataDxfId="96">
      <calculatedColumnFormula>VLOOKUP(t_Parts[[Plant]:[Plant]],t_Plants[],Plants!DL$1,FALSE)</calculatedColumnFormula>
    </tableColumn>
    <tableColumn id="110" name="ha2016.FY" dataDxfId="95">
      <calculatedColumnFormula>VLOOKUP(t_Parts[[Plant]:[Plant]],t_Plants[],Plants!DM$1,FALSE)</calculatedColumnFormula>
    </tableColumn>
    <tableColumn id="111" name="ha2017" dataDxfId="94">
      <calculatedColumnFormula>VLOOKUP(t_Parts[[Plant]:[Plant]],t_Plants[],Plants!DN$1,FALSE)</calculatedColumnFormula>
    </tableColumn>
    <tableColumn id="112" name="ha2018" dataDxfId="93">
      <calculatedColumnFormula>VLOOKUP(t_Parts[[Plant]:[Plant]],t_Plants[],Plants!DO$1,FALSE)</calculatedColumnFormula>
    </tableColumn>
    <tableColumn id="145" name="ha2019" dataDxfId="92">
      <calculatedColumnFormula>VLOOKUP(t_Parts[[Plant]:[Plant]],t_Plants[],Plants!DP$1,FALSE)</calculatedColumnFormula>
    </tableColumn>
    <tableColumn id="45" name="hp2015.01" dataDxfId="91">
      <calculatedColumnFormula>IF(AND(AL$3&gt;=VALUE(t_Parts[[SOP]:[SOP]]),AL$3&lt;=VALUE(t_Parts[[EOP]:[EOP]])), t_Parts[[SetupHrsPerMo]:[SetupHrsPerMo]]+(t_Parts[[#This Row],[pv2015.01]]/t_Parts[[NetPPH]:[NetPPH]]),0)</calculatedColumnFormula>
    </tableColumn>
    <tableColumn id="46" name="hp2015.02" dataDxfId="90">
      <calculatedColumnFormula>IF(AND(AM$3&gt;=VALUE(t_Parts[[SOP]:[SOP]]),AM$3&lt;=VALUE(t_Parts[[EOP]:[EOP]])), t_Parts[[SetupHrsPerMo]:[SetupHrsPerMo]]+(t_Parts[[#This Row],[pv2015.02]]/t_Parts[[NetPPH]:[NetPPH]]),0)</calculatedColumnFormula>
    </tableColumn>
    <tableColumn id="47" name="hp2015.03" dataDxfId="89">
      <calculatedColumnFormula>IF(AND(AN$3&gt;=VALUE(t_Parts[[SOP]:[SOP]]),AN$3&lt;=VALUE(t_Parts[[EOP]:[EOP]])), t_Parts[[SetupHrsPerMo]:[SetupHrsPerMo]]+(t_Parts[[#This Row],[pv2015.03]]/t_Parts[[NetPPH]:[NetPPH]]),0)</calculatedColumnFormula>
    </tableColumn>
    <tableColumn id="48" name="hp2015.04" dataDxfId="88">
      <calculatedColumnFormula>IF(AND(AO$3&gt;=VALUE(t_Parts[[SOP]:[SOP]]),AO$3&lt;=VALUE(t_Parts[[EOP]:[EOP]])), t_Parts[[SetupHrsPerMo]:[SetupHrsPerMo]]+(t_Parts[[#This Row],[pv2015.04]]/t_Parts[[NetPPH]:[NetPPH]]),0)</calculatedColumnFormula>
    </tableColumn>
    <tableColumn id="49" name="hp2015.05" dataDxfId="87">
      <calculatedColumnFormula>IF(AND(AP$3&gt;=VALUE(t_Parts[[SOP]:[SOP]]),AP$3&lt;=VALUE(t_Parts[[EOP]:[EOP]])), t_Parts[[SetupHrsPerMo]:[SetupHrsPerMo]]+(t_Parts[[#This Row],[pv2015.05]]/t_Parts[[NetPPH]:[NetPPH]]),0)</calculatedColumnFormula>
    </tableColumn>
    <tableColumn id="50" name="hp2015.06" dataDxfId="86">
      <calculatedColumnFormula>IF(AND(AQ$3&gt;=VALUE(t_Parts[[SOP]:[SOP]]),AQ$3&lt;=VALUE(t_Parts[[EOP]:[EOP]])), t_Parts[[SetupHrsPerMo]:[SetupHrsPerMo]]+(t_Parts[[#This Row],[pv2015.06]]/t_Parts[[NetPPH]:[NetPPH]]),0)</calculatedColumnFormula>
    </tableColumn>
    <tableColumn id="51" name="hp2015.07" dataDxfId="85">
      <calculatedColumnFormula>IF(AND(AR$3&gt;=VALUE(t_Parts[[SOP]:[SOP]]),AR$3&lt;=VALUE(t_Parts[[EOP]:[EOP]])), t_Parts[[SetupHrsPerMo]:[SetupHrsPerMo]]+(t_Parts[[#This Row],[pv2015.07]]/t_Parts[[NetPPH]:[NetPPH]]),0)</calculatedColumnFormula>
    </tableColumn>
    <tableColumn id="52" name="hp2015.08" dataDxfId="84">
      <calculatedColumnFormula>IF(AND(AS$3&gt;=VALUE(t_Parts[[SOP]:[SOP]]),AS$3&lt;=VALUE(t_Parts[[EOP]:[EOP]])), t_Parts[[SetupHrsPerMo]:[SetupHrsPerMo]]+(t_Parts[[#This Row],[pv2015.08]]/t_Parts[[NetPPH]:[NetPPH]]),0)</calculatedColumnFormula>
    </tableColumn>
    <tableColumn id="53" name="hp2015.09" dataDxfId="83">
      <calculatedColumnFormula>IF(AND(AT$3&gt;=VALUE(t_Parts[[SOP]:[SOP]]),AT$3&lt;=VALUE(t_Parts[[EOP]:[EOP]])), t_Parts[[SetupHrsPerMo]:[SetupHrsPerMo]]+(t_Parts[[#This Row],[pv2015.09]]/t_Parts[[NetPPH]:[NetPPH]]),0)</calculatedColumnFormula>
    </tableColumn>
    <tableColumn id="54" name="hp2015.10" dataDxfId="82">
      <calculatedColumnFormula>IF(AND(AU$3&gt;=VALUE(t_Parts[[SOP]:[SOP]]),AU$3&lt;=VALUE(t_Parts[[EOP]:[EOP]])), t_Parts[[SetupHrsPerMo]:[SetupHrsPerMo]]+(t_Parts[[#This Row],[pv2015.10]]/t_Parts[[NetPPH]:[NetPPH]]),0)</calculatedColumnFormula>
    </tableColumn>
    <tableColumn id="55" name="hp2015.11" dataDxfId="81">
      <calculatedColumnFormula>IF(AND(AV$3&gt;=VALUE(t_Parts[[SOP]:[SOP]]),AV$3&lt;=VALUE(t_Parts[[EOP]:[EOP]])), t_Parts[[SetupHrsPerMo]:[SetupHrsPerMo]]+(t_Parts[[#This Row],[pv2015.11]]/t_Parts[[NetPPH]:[NetPPH]]),0)</calculatedColumnFormula>
    </tableColumn>
    <tableColumn id="56" name="hp2015.12" dataDxfId="80">
      <calculatedColumnFormula>IF(AND(AW$3&gt;=VALUE(t_Parts[[SOP]:[SOP]]),AW$3&lt;=VALUE(t_Parts[[EOP]:[EOP]])), t_Parts[[SetupHrsPerMo]:[SetupHrsPerMo]]+(t_Parts[[#This Row],[pv2015.12]]/t_Parts[[NetPPH]:[NetPPH]]),0)</calculatedColumnFormula>
    </tableColumn>
    <tableColumn id="57" name="hp2015.FY" dataDxfId="79">
      <calculatedColumnFormula>SUM(t_Parts[[#This Row],[hp2015.01]:[hp2015.12]])</calculatedColumnFormula>
    </tableColumn>
    <tableColumn id="113" name="hp2016.01" dataDxfId="78">
      <calculatedColumnFormula>IF(AND(AY$3&gt;=VALUE(t_Parts[[SOP]:[SOP]]),AY$3&lt;=VALUE(t_Parts[[EOP]:[EOP]])), t_Parts[[SetupHrsPerMo]:[SetupHrsPerMo]]+(t_Parts[[#This Row],[pv2016.01]]/t_Parts[[NetPPH]:[NetPPH]]),0)</calculatedColumnFormula>
    </tableColumn>
    <tableColumn id="114" name="hp2016.02" dataDxfId="77">
      <calculatedColumnFormula>IF(AND(AZ$3&gt;=VALUE(t_Parts[[SOP]:[SOP]]),AZ$3&lt;=VALUE(t_Parts[[EOP]:[EOP]])), t_Parts[[SetupHrsPerMo]:[SetupHrsPerMo]]+(t_Parts[[#This Row],[pv2016.02]]/t_Parts[[NetPPH]:[NetPPH]]),0)</calculatedColumnFormula>
    </tableColumn>
    <tableColumn id="115" name="hp2016.03" dataDxfId="76">
      <calculatedColumnFormula>IF(AND(BA$3&gt;=VALUE(t_Parts[[SOP]:[SOP]]),BA$3&lt;=VALUE(t_Parts[[EOP]:[EOP]])), t_Parts[[SetupHrsPerMo]:[SetupHrsPerMo]]+(t_Parts[[#This Row],[pv2016.03]]/t_Parts[[NetPPH]:[NetPPH]]),0)</calculatedColumnFormula>
    </tableColumn>
    <tableColumn id="116" name="hp2016.04" dataDxfId="75">
      <calculatedColumnFormula>IF(AND(BB$3&gt;=VALUE(t_Parts[[SOP]:[SOP]]),BB$3&lt;=VALUE(t_Parts[[EOP]:[EOP]])), t_Parts[[SetupHrsPerMo]:[SetupHrsPerMo]]+(t_Parts[[#This Row],[pv2016.04]]/t_Parts[[NetPPH]:[NetPPH]]),0)</calculatedColumnFormula>
    </tableColumn>
    <tableColumn id="117" name="hp2016.05" dataDxfId="74">
      <calculatedColumnFormula>IF(AND(BC$3&gt;=VALUE(t_Parts[[SOP]:[SOP]]),BC$3&lt;=VALUE(t_Parts[[EOP]:[EOP]])), t_Parts[[SetupHrsPerMo]:[SetupHrsPerMo]]+(t_Parts[[#This Row],[pv2016.05]]/t_Parts[[NetPPH]:[NetPPH]]),0)</calculatedColumnFormula>
    </tableColumn>
    <tableColumn id="118" name="hp2016.06" dataDxfId="73">
      <calculatedColumnFormula>IF(AND(BD$3&gt;=VALUE(t_Parts[[SOP]:[SOP]]),BD$3&lt;=VALUE(t_Parts[[EOP]:[EOP]])), t_Parts[[SetupHrsPerMo]:[SetupHrsPerMo]]+(t_Parts[[#This Row],[pv2016.06]]/t_Parts[[NetPPH]:[NetPPH]]),0)</calculatedColumnFormula>
    </tableColumn>
    <tableColumn id="119" name="hp2016.07" dataDxfId="72">
      <calculatedColumnFormula>IF(AND(BE$3&gt;=VALUE(t_Parts[[SOP]:[SOP]]),BE$3&lt;=VALUE(t_Parts[[EOP]:[EOP]])), t_Parts[[SetupHrsPerMo]:[SetupHrsPerMo]]+(t_Parts[[#This Row],[pv2016.07]]/t_Parts[[NetPPH]:[NetPPH]]),0)</calculatedColumnFormula>
    </tableColumn>
    <tableColumn id="120" name="hp2016.08" dataDxfId="71">
      <calculatedColumnFormula>IF(AND(BF$3&gt;=VALUE(t_Parts[[SOP]:[SOP]]),BF$3&lt;=VALUE(t_Parts[[EOP]:[EOP]])), t_Parts[[SetupHrsPerMo]:[SetupHrsPerMo]]+(t_Parts[[#This Row],[pv2016.08]]/t_Parts[[NetPPH]:[NetPPH]]),0)</calculatedColumnFormula>
    </tableColumn>
    <tableColumn id="121" name="hp2016.09" dataDxfId="70">
      <calculatedColumnFormula>IF(AND(BG$3&gt;=VALUE(t_Parts[[SOP]:[SOP]]),BG$3&lt;=VALUE(t_Parts[[EOP]:[EOP]])), t_Parts[[SetupHrsPerMo]:[SetupHrsPerMo]]+(t_Parts[[#This Row],[pv2016.09]]/t_Parts[[NetPPH]:[NetPPH]]),0)</calculatedColumnFormula>
    </tableColumn>
    <tableColumn id="122" name="hp2016.10" dataDxfId="69">
      <calculatedColumnFormula>IF(AND(BH$3&gt;=VALUE(t_Parts[[SOP]:[SOP]]),BH$3&lt;=VALUE(t_Parts[[EOP]:[EOP]])), t_Parts[[SetupHrsPerMo]:[SetupHrsPerMo]]+(t_Parts[[#This Row],[pv2016.10]]/t_Parts[[NetPPH]:[NetPPH]]),0)</calculatedColumnFormula>
    </tableColumn>
    <tableColumn id="123" name="hp2016.11" dataDxfId="68">
      <calculatedColumnFormula>IF(AND(BI$3&gt;=VALUE(t_Parts[[SOP]:[SOP]]),BI$3&lt;=VALUE(t_Parts[[EOP]:[EOP]])), t_Parts[[SetupHrsPerMo]:[SetupHrsPerMo]]+(t_Parts[[#This Row],[pv2016.11]]/t_Parts[[NetPPH]:[NetPPH]]),0)</calculatedColumnFormula>
    </tableColumn>
    <tableColumn id="124" name="hp2016.12" dataDxfId="67">
      <calculatedColumnFormula>IF(AND(BJ$3&gt;=VALUE(t_Parts[[SOP]:[SOP]]),BJ$3&lt;=VALUE(t_Parts[[EOP]:[EOP]])), t_Parts[[SetupHrsPerMo]:[SetupHrsPerMo]]+(t_Parts[[#This Row],[pv2016.12]]/t_Parts[[NetPPH]:[NetPPH]]),0)</calculatedColumnFormula>
    </tableColumn>
    <tableColumn id="127" name="hp2016.FY" dataDxfId="66">
      <calculatedColumnFormula>SUM(t_Parts[[#This Row],[hp2016.01]:[hp2016.12]])</calculatedColumnFormula>
    </tableColumn>
    <tableColumn id="126" name="hp2017" dataDxfId="65">
      <calculatedColumnFormula>IF(AND(BL$3&gt;=VALUE(t_Parts[[SOP]:[SOP]]),BL$3&lt;=VALUE(t_Parts[[EOP]:[EOP]])), 12*t_Parts[[SetupHrsPerMo]:[SetupHrsPerMo]]+(t_Parts[[#This Row],[pv2017]]/t_Parts[[NetPPH]:[NetPPH]]),0)</calculatedColumnFormula>
    </tableColumn>
    <tableColumn id="125" name="hp2018" dataDxfId="64">
      <calculatedColumnFormula>IF(AND(BM$3&gt;=VALUE(t_Parts[[SOP]:[SOP]]),BM$3&lt;=VALUE(t_Parts[[EOP]:[EOP]])), 12*t_Parts[[SetupHrsPerMo]:[SetupHrsPerMo]]+(t_Parts[[#This Row],[pv2018]]/t_Parts[[NetPPH]:[NetPPH]]),0)</calculatedColumnFormula>
    </tableColumn>
    <tableColumn id="128" name="hp2019" dataDxfId="63">
      <calculatedColumnFormula>IF(AND(BN$3&gt;=VALUE(t_Parts[[SOP]:[SOP]]),BN$3&lt;=VALUE(t_Parts[[EOP]:[EOP]])), 12*t_Parts[[SetupHrsPerMo]:[SetupHrsPerMo]]+(t_Parts[[#This Row],[pv2019]]/t_Parts[[NetPPH]:[NetPPH]]),0)</calculatedColumnFormula>
    </tableColumn>
    <tableColumn id="58" name="2015.01" dataDxfId="62">
      <calculatedColumnFormula>t_Parts[[#This Row],[hp2015.01]]/t_Parts[[#This Row],[ha2015.01]]</calculatedColumnFormula>
    </tableColumn>
    <tableColumn id="59" name="2015.02" dataDxfId="61">
      <calculatedColumnFormula>t_Parts[[#This Row],[hp2015.02]]/t_Parts[[#This Row],[ha2015.02]]</calculatedColumnFormula>
    </tableColumn>
    <tableColumn id="60" name="2015.03" dataDxfId="60">
      <calculatedColumnFormula>t_Parts[[#This Row],[hp2015.03]]/t_Parts[[#This Row],[ha2015.03]]</calculatedColumnFormula>
    </tableColumn>
    <tableColumn id="61" name="2015.04" dataDxfId="59">
      <calculatedColumnFormula>t_Parts[[#This Row],[hp2015.04]]/t_Parts[[#This Row],[ha2015.04]]</calculatedColumnFormula>
    </tableColumn>
    <tableColumn id="62" name="2015.05" dataDxfId="58">
      <calculatedColumnFormula>t_Parts[[#This Row],[hp2015.05]]/t_Parts[[#This Row],[ha2015.05]]</calculatedColumnFormula>
    </tableColumn>
    <tableColumn id="63" name="2015.06" dataDxfId="57">
      <calculatedColumnFormula>t_Parts[[#This Row],[hp2015.06]]/t_Parts[[#This Row],[ha2015.06]]</calculatedColumnFormula>
    </tableColumn>
    <tableColumn id="64" name="2015.07" dataDxfId="56">
      <calculatedColumnFormula>t_Parts[[#This Row],[hp2015.07]]/t_Parts[[#This Row],[ha2015.07]]</calculatedColumnFormula>
    </tableColumn>
    <tableColumn id="65" name="2015.08" dataDxfId="55">
      <calculatedColumnFormula>t_Parts[[#This Row],[hp2015.08]]/t_Parts[[#This Row],[ha2015.08]]</calculatedColumnFormula>
    </tableColumn>
    <tableColumn id="66" name="2015.09" dataDxfId="54">
      <calculatedColumnFormula>t_Parts[[#This Row],[hp2015.09]]/t_Parts[[#This Row],[ha2015.09]]</calculatedColumnFormula>
    </tableColumn>
    <tableColumn id="67" name="2015.1" dataDxfId="53">
      <calculatedColumnFormula>t_Parts[[#This Row],[hp2015.10]]/t_Parts[[#This Row],[ha2015.10]]</calculatedColumnFormula>
    </tableColumn>
    <tableColumn id="68" name="2015.11" dataDxfId="52">
      <calculatedColumnFormula>t_Parts[[#This Row],[hp2015.11]]/t_Parts[[#This Row],[ha2015.11]]</calculatedColumnFormula>
    </tableColumn>
    <tableColumn id="69" name="2015.12" dataDxfId="51">
      <calculatedColumnFormula>t_Parts[[#This Row],[hp2015.12]]/t_Parts[[#This Row],[ha2015.12]]</calculatedColumnFormula>
    </tableColumn>
    <tableColumn id="70" name="2015.FY" dataDxfId="50">
      <calculatedColumnFormula>t_Parts[[#This Row],[hp2015.FY]]/t_Parts[[#This Row],[ha2015.FY]]</calculatedColumnFormula>
    </tableColumn>
    <tableColumn id="129" name="2016.01" dataDxfId="49">
      <calculatedColumnFormula>t_Parts[[#This Row],[hp2016.01]]/t_Parts[[#This Row],[ha2016.01]]</calculatedColumnFormula>
    </tableColumn>
    <tableColumn id="130" name="2016.02" dataDxfId="48">
      <calculatedColumnFormula>t_Parts[[#This Row],[hp2016.02]]/t_Parts[[#This Row],[ha2016.02]]</calculatedColumnFormula>
    </tableColumn>
    <tableColumn id="131" name="2016.03" dataDxfId="47">
      <calculatedColumnFormula>t_Parts[[#This Row],[hp2016.03]]/t_Parts[[#This Row],[ha2016.03]]</calculatedColumnFormula>
    </tableColumn>
    <tableColumn id="132" name="2016.04" dataDxfId="46">
      <calculatedColumnFormula>t_Parts[[#This Row],[hp2016.04]]/t_Parts[[#This Row],[ha2016.04]]</calculatedColumnFormula>
    </tableColumn>
    <tableColumn id="133" name="2016.05" dataDxfId="45">
      <calculatedColumnFormula>t_Parts[[#This Row],[hp2016.05]]/t_Parts[[#This Row],[ha2016.05]]</calculatedColumnFormula>
    </tableColumn>
    <tableColumn id="134" name="2016.06" dataDxfId="44">
      <calculatedColumnFormula>t_Parts[[#This Row],[hp2016.06]]/t_Parts[[#This Row],[ha2016.06]]</calculatedColumnFormula>
    </tableColumn>
    <tableColumn id="135" name="2016.07" dataDxfId="43">
      <calculatedColumnFormula>t_Parts[[#This Row],[hp2016.07]]/t_Parts[[#This Row],[ha2016.07]]</calculatedColumnFormula>
    </tableColumn>
    <tableColumn id="136" name="2016.08" dataDxfId="42">
      <calculatedColumnFormula>t_Parts[[#This Row],[hp2016.08]]/t_Parts[[#This Row],[ha2016.08]]</calculatedColumnFormula>
    </tableColumn>
    <tableColumn id="137" name="2016.09" dataDxfId="41">
      <calculatedColumnFormula>t_Parts[[#This Row],[hp2016.09]]/t_Parts[[#This Row],[ha2016.09]]</calculatedColumnFormula>
    </tableColumn>
    <tableColumn id="138" name="2016.10" dataDxfId="40">
      <calculatedColumnFormula>t_Parts[[#This Row],[hp2016.10]]/t_Parts[[#This Row],[ha2016.10]]</calculatedColumnFormula>
    </tableColumn>
    <tableColumn id="139" name="2016.11" dataDxfId="39">
      <calculatedColumnFormula>t_Parts[[#This Row],[hp2016.11]]/t_Parts[[#This Row],[ha2016.11]]</calculatedColumnFormula>
    </tableColumn>
    <tableColumn id="140" name="2016.12" dataDxfId="38">
      <calculatedColumnFormula>t_Parts[[#This Row],[hp2016.12]]/t_Parts[[#This Row],[ha2016.12]]</calculatedColumnFormula>
    </tableColumn>
    <tableColumn id="141" name="2016.FY" dataDxfId="37">
      <calculatedColumnFormula>t_Parts[[#This Row],[hp2016.FY]]/t_Parts[[#This Row],[ha2016.FY]]</calculatedColumnFormula>
    </tableColumn>
    <tableColumn id="142" name="2017" dataDxfId="36">
      <calculatedColumnFormula>t_Parts[[#This Row],[hp2017]]/t_Parts[[#This Row],[ha2017]]</calculatedColumnFormula>
    </tableColumn>
    <tableColumn id="143" name="2018" dataDxfId="35">
      <calculatedColumnFormula>t_Parts[[#This Row],[hp2018]]/t_Parts[[#This Row],[ha2018]]</calculatedColumnFormula>
    </tableColumn>
    <tableColumn id="144" name="2019" dataDxfId="34">
      <calculatedColumnFormula>t_Parts[[#This Row],[hp2019]]/t_Parts[[#This Row],[hp2015.01]]</calculatedColumnFormula>
    </tableColumn>
    <tableColumn id="146" name="hr2015.01" dataDxfId="33">
      <calculatedColumnFormula>(t_Parts[[#This Row],[ha2015.01]]-t_Parts[[#This Row],[hp2015.01]])*t_Parts[[NetPPH]:[NetPPH]]</calculatedColumnFormula>
    </tableColumn>
    <tableColumn id="147" name="hr2015.02" dataDxfId="32">
      <calculatedColumnFormula>(t_Parts[[#This Row],[ha2015.02]]-t_Parts[[#This Row],[hp2015.02]])*t_Parts[[NetPPH]:[NetPPH]]</calculatedColumnFormula>
    </tableColumn>
    <tableColumn id="148" name="hr2015.03" dataDxfId="31">
      <calculatedColumnFormula>(t_Parts[[#This Row],[ha2015.03]]-t_Parts[[#This Row],[hp2015.03]])*t_Parts[[NetPPH]:[NetPPH]]</calculatedColumnFormula>
    </tableColumn>
    <tableColumn id="149" name="hr2015.04" dataDxfId="30">
      <calculatedColumnFormula>(t_Parts[[#This Row],[ha2015.04]]-t_Parts[[#This Row],[hp2015.04]])*t_Parts[[NetPPH]:[NetPPH]]</calculatedColumnFormula>
    </tableColumn>
    <tableColumn id="150" name="hr2015.05" dataDxfId="29">
      <calculatedColumnFormula>(t_Parts[[#This Row],[ha2015.05]]-t_Parts[[#This Row],[hp2015.05]])*t_Parts[[NetPPH]:[NetPPH]]</calculatedColumnFormula>
    </tableColumn>
    <tableColumn id="151" name="hr2015.06" dataDxfId="28">
      <calculatedColumnFormula>(t_Parts[[#This Row],[ha2015.06]]-t_Parts[[#This Row],[hp2015.06]])*t_Parts[[NetPPH]:[NetPPH]]</calculatedColumnFormula>
    </tableColumn>
    <tableColumn id="152" name="hr2015.07" dataDxfId="27">
      <calculatedColumnFormula>(t_Parts[[#This Row],[ha2015.07]]-t_Parts[[#This Row],[hp2015.07]])*t_Parts[[NetPPH]:[NetPPH]]</calculatedColumnFormula>
    </tableColumn>
    <tableColumn id="153" name="hr2015.08" dataDxfId="26">
      <calculatedColumnFormula>(t_Parts[[#This Row],[ha2015.08]]-t_Parts[[#This Row],[hp2015.08]])*t_Parts[[NetPPH]:[NetPPH]]</calculatedColumnFormula>
    </tableColumn>
    <tableColumn id="154" name="hr2015.09" dataDxfId="25">
      <calculatedColumnFormula>(t_Parts[[#This Row],[ha2015.09]]-t_Parts[[#This Row],[hp2015.09]])*t_Parts[[NetPPH]:[NetPPH]]</calculatedColumnFormula>
    </tableColumn>
    <tableColumn id="155" name="hr2015.10" dataDxfId="24">
      <calculatedColumnFormula>(t_Parts[[#This Row],[ha2015.10]]-t_Parts[[#This Row],[hp2015.10]])*t_Parts[[NetPPH]:[NetPPH]]</calculatedColumnFormula>
    </tableColumn>
    <tableColumn id="156" name="hr2015.11" dataDxfId="23">
      <calculatedColumnFormula>(t_Parts[[#This Row],[ha2015.11]]-t_Parts[[#This Row],[hp2015.11]])*t_Parts[[NetPPH]:[NetPPH]]</calculatedColumnFormula>
    </tableColumn>
    <tableColumn id="157" name="hr2015.12" dataDxfId="22">
      <calculatedColumnFormula>(t_Parts[[#This Row],[ha2015.12]]-t_Parts[[#This Row],[hp2015.12]])*t_Parts[[NetPPH]:[NetPPH]]</calculatedColumnFormula>
    </tableColumn>
    <tableColumn id="158" name="hr2015.FY" dataDxfId="21">
      <calculatedColumnFormula>(t_Parts[[#This Row],[ha2015.FY]]-t_Parts[[#This Row],[hp2015.FY]])*t_Parts[[NetPPH]:[NetPPH]]</calculatedColumnFormula>
    </tableColumn>
    <tableColumn id="159" name="hr2016.01" dataDxfId="20">
      <calculatedColumnFormula>(t_Parts[[#This Row],[ha2016.01]]-t_Parts[[#This Row],[hp2016.01]])*t_Parts[[NetPPH]:[NetPPH]]</calculatedColumnFormula>
    </tableColumn>
    <tableColumn id="160" name="hr2016.02" dataDxfId="19">
      <calculatedColumnFormula>(t_Parts[[#This Row],[ha2016.02]]-t_Parts[[#This Row],[hp2016.02]])*t_Parts[[NetPPH]:[NetPPH]]</calculatedColumnFormula>
    </tableColumn>
    <tableColumn id="161" name="hr2016.03" dataDxfId="18">
      <calculatedColumnFormula>(t_Parts[[#This Row],[ha2016.03]]-t_Parts[[#This Row],[hp2016.03]])*t_Parts[[NetPPH]:[NetPPH]]</calculatedColumnFormula>
    </tableColumn>
    <tableColumn id="162" name="hr2016.04" dataDxfId="17">
      <calculatedColumnFormula>(t_Parts[[#This Row],[ha2016.04]]-t_Parts[[#This Row],[hp2016.04]])*t_Parts[[NetPPH]:[NetPPH]]</calculatedColumnFormula>
    </tableColumn>
    <tableColumn id="163" name="hr2016.05" dataDxfId="16">
      <calculatedColumnFormula>(t_Parts[[#This Row],[ha2016.05]]-t_Parts[[#This Row],[hp2016.05]])*t_Parts[[NetPPH]:[NetPPH]]</calculatedColumnFormula>
    </tableColumn>
    <tableColumn id="164" name="hr2016.06" dataDxfId="15">
      <calculatedColumnFormula>(t_Parts[[#This Row],[ha2016.06]]-t_Parts[[#This Row],[hp2016.06]])*t_Parts[[NetPPH]:[NetPPH]]</calculatedColumnFormula>
    </tableColumn>
    <tableColumn id="165" name="hr2016.07" dataDxfId="14">
      <calculatedColumnFormula>(t_Parts[[#This Row],[ha2016.07]]-t_Parts[[#This Row],[hp2016.07]])*t_Parts[[NetPPH]:[NetPPH]]</calculatedColumnFormula>
    </tableColumn>
    <tableColumn id="166" name="hr2016.08" dataDxfId="13">
      <calculatedColumnFormula>(t_Parts[[#This Row],[ha2016.08]]-t_Parts[[#This Row],[hp2016.08]])*t_Parts[[NetPPH]:[NetPPH]]</calculatedColumnFormula>
    </tableColumn>
    <tableColumn id="167" name="hr2016.09" dataDxfId="12">
      <calculatedColumnFormula>(t_Parts[[#This Row],[ha2016.09]]-t_Parts[[#This Row],[hp2016.09]])*t_Parts[[NetPPH]:[NetPPH]]</calculatedColumnFormula>
    </tableColumn>
    <tableColumn id="168" name="hr2016.10" dataDxfId="11">
      <calculatedColumnFormula>(t_Parts[[#This Row],[ha2016.10]]-t_Parts[[#This Row],[hp2016.10]])*t_Parts[[NetPPH]:[NetPPH]]</calculatedColumnFormula>
    </tableColumn>
    <tableColumn id="169" name="hr2016.11" dataDxfId="10">
      <calculatedColumnFormula>(t_Parts[[#This Row],[ha2016.11]]-t_Parts[[#This Row],[hp2016.11]])*t_Parts[[NetPPH]:[NetPPH]]</calculatedColumnFormula>
    </tableColumn>
    <tableColumn id="170" name="hr2016.12" dataDxfId="9">
      <calculatedColumnFormula>(t_Parts[[#This Row],[ha2016.12]]-t_Parts[[#This Row],[hp2016.12]])*t_Parts[[NetPPH]:[NetPPH]]</calculatedColumnFormula>
    </tableColumn>
    <tableColumn id="171" name="hr2016.FY" dataDxfId="8">
      <calculatedColumnFormula>(t_Parts[[#This Row],[ha2016.FY]]-t_Parts[[#This Row],[hp2016.FY]])*t_Parts[[NetPPH]:[NetPPH]]</calculatedColumnFormula>
    </tableColumn>
    <tableColumn id="172" name="hr2017" dataDxfId="7">
      <calculatedColumnFormula>(t_Parts[[#This Row],[ha2017]]-t_Parts[[#This Row],[hp2017]])*t_Parts[[NetPPH]:[NetPPH]]</calculatedColumnFormula>
    </tableColumn>
    <tableColumn id="173" name="hr2018" dataDxfId="6">
      <calculatedColumnFormula>(t_Parts[[#This Row],[ha2018]]-t_Parts[[#This Row],[hp2018]])*t_Parts[[NetPPH]:[NetPPH]]</calculatedColumnFormula>
    </tableColumn>
    <tableColumn id="174" name="hr2019" dataDxfId="5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4:CL9" totalsRowShown="0" dataDxfId="256" headerRowCellStyle="Neutral" dataCellStyle="Percent">
  <autoFilter ref="A4:CL9"/>
  <tableColumns count="90">
    <tableColumn id="1" name="Group"/>
    <tableColumn id="2" name="Tonnage Range" dataDxfId="255"/>
    <tableColumn id="90" name="Press Count" dataDxfId="254">
      <calculatedColumnFormula>COUNTIF(r_Press_Tonnage,Table4[[Tonnage Range]:[Tonnage Range]])</calculatedColumnFormula>
    </tableColumn>
    <tableColumn id="3" name="ha2015.01" dataDxfId="253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252"/>
    <tableColumn id="42" name="ha2016.01" dataDxfId="251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250" dataCellStyle="Comma">
      <calculatedColumnFormula>SUMIF(r_Press_Tonnage,Table4[[Tonnage Range]:[Tonnage Range]],t_Presses[hp2015.01])</calculatedColumnFormula>
    </tableColumn>
    <tableColumn id="17" name="hp2015.02" dataDxfId="249" dataCellStyle="Comma">
      <calculatedColumnFormula>SUMIF(r_Press_Tonnage,Table4[[Tonnage Range]:[Tonnage Range]],t_Presses[hp2015.02])</calculatedColumnFormula>
    </tableColumn>
    <tableColumn id="18" name="hp2015.03" dataDxfId="248" dataCellStyle="Comma">
      <calculatedColumnFormula>SUMIF(r_Press_Tonnage,Table4[[Tonnage Range]:[Tonnage Range]],t_Presses[hp2015.03])</calculatedColumnFormula>
    </tableColumn>
    <tableColumn id="19" name="hp2015.04" dataDxfId="247" dataCellStyle="Comma">
      <calculatedColumnFormula>SUMIF(r_Press_Tonnage,Table4[[Tonnage Range]:[Tonnage Range]],t_Presses[hp2015.04])</calculatedColumnFormula>
    </tableColumn>
    <tableColumn id="20" name="hp2015.05" dataDxfId="246" dataCellStyle="Comma">
      <calculatedColumnFormula>SUMIF(r_Press_Tonnage,Table4[[Tonnage Range]:[Tonnage Range]],t_Presses[hp2015.05])</calculatedColumnFormula>
    </tableColumn>
    <tableColumn id="21" name="hp2015.06" dataDxfId="245" dataCellStyle="Comma">
      <calculatedColumnFormula>SUMIF(r_Press_Tonnage,Table4[[Tonnage Range]:[Tonnage Range]],t_Presses[hp2015.06])</calculatedColumnFormula>
    </tableColumn>
    <tableColumn id="22" name="hp2015.07" dataDxfId="244" dataCellStyle="Comma">
      <calculatedColumnFormula>SUMIF(r_Press_Tonnage,Table4[[Tonnage Range]:[Tonnage Range]],t_Presses[hp2015.07])</calculatedColumnFormula>
    </tableColumn>
    <tableColumn id="23" name="hp2015.08" dataDxfId="243" dataCellStyle="Comma">
      <calculatedColumnFormula>SUMIF(r_Press_Tonnage,Table4[[Tonnage Range]:[Tonnage Range]],t_Presses[hp2015.08])</calculatedColumnFormula>
    </tableColumn>
    <tableColumn id="24" name="hp2015.09" dataDxfId="242" dataCellStyle="Comma">
      <calculatedColumnFormula>SUMIF(r_Press_Tonnage,Table4[[Tonnage Range]:[Tonnage Range]],t_Presses[hp2015.09])</calculatedColumnFormula>
    </tableColumn>
    <tableColumn id="25" name="hp2015.10" dataDxfId="241" dataCellStyle="Comma">
      <calculatedColumnFormula>SUMIF(r_Press_Tonnage,Table4[[Tonnage Range]:[Tonnage Range]],t_Presses[hp2015.10])</calculatedColumnFormula>
    </tableColumn>
    <tableColumn id="26" name="hp2015.11" dataDxfId="240" dataCellStyle="Comma">
      <calculatedColumnFormula>SUMIF(r_Press_Tonnage,Table4[[Tonnage Range]:[Tonnage Range]],t_Presses[hp2015.11])</calculatedColumnFormula>
    </tableColumn>
    <tableColumn id="27" name="hp2015.12" dataDxfId="239" dataCellStyle="Comma">
      <calculatedColumnFormula>SUMIF(r_Press_Tonnage,Table4[[Tonnage Range]:[Tonnage Range]],t_Presses[hp2015.12])</calculatedColumnFormula>
    </tableColumn>
    <tableColumn id="28" name="hp2015.FY" dataDxfId="238" dataCellStyle="Comma">
      <calculatedColumnFormula>SUM(Table4[[#This Row],[hp2015.01]:[hp2015.12]])</calculatedColumnFormula>
    </tableColumn>
    <tableColumn id="58" name="hp2016.01" dataDxfId="237" dataCellStyle="Comma">
      <calculatedColumnFormula>SUMIF(r_Press_Tonnage,Table4[[Tonnage Range]:[Tonnage Range]],t_Presses[hp2016.01])</calculatedColumnFormula>
    </tableColumn>
    <tableColumn id="59" name="hp2016.02" dataDxfId="236" dataCellStyle="Comma">
      <calculatedColumnFormula>SUMIF(r_Press_Tonnage,Table4[[Tonnage Range]:[Tonnage Range]],t_Presses[hp2016.02])</calculatedColumnFormula>
    </tableColumn>
    <tableColumn id="60" name="hp2016.03" dataDxfId="235" dataCellStyle="Comma">
      <calculatedColumnFormula>SUMIF(r_Press_Tonnage,Table4[[Tonnage Range]:[Tonnage Range]],t_Presses[hp2016.03])</calculatedColumnFormula>
    </tableColumn>
    <tableColumn id="61" name="hp2016.04" dataDxfId="234" dataCellStyle="Comma">
      <calculatedColumnFormula>SUMIF(r_Press_Tonnage,Table4[[Tonnage Range]:[Tonnage Range]],t_Presses[hp2016.04])</calculatedColumnFormula>
    </tableColumn>
    <tableColumn id="62" name="hp2016.05" dataDxfId="233" dataCellStyle="Comma">
      <calculatedColumnFormula>SUMIF(r_Press_Tonnage,Table4[[Tonnage Range]:[Tonnage Range]],t_Presses[hp2016.05])</calculatedColumnFormula>
    </tableColumn>
    <tableColumn id="63" name="hp2016.06" dataDxfId="232" dataCellStyle="Comma">
      <calculatedColumnFormula>SUMIF(r_Press_Tonnage,Table4[[Tonnage Range]:[Tonnage Range]],t_Presses[hp2016.06])</calculatedColumnFormula>
    </tableColumn>
    <tableColumn id="64" name="hp2016.07" dataDxfId="231" dataCellStyle="Comma">
      <calculatedColumnFormula>SUMIF(r_Press_Tonnage,Table4[[Tonnage Range]:[Tonnage Range]],t_Presses[hp2016.07])</calculatedColumnFormula>
    </tableColumn>
    <tableColumn id="65" name="hp2016.08" dataDxfId="230" dataCellStyle="Comma">
      <calculatedColumnFormula>SUMIF(r_Press_Tonnage,Table4[[Tonnage Range]:[Tonnage Range]],t_Presses[hp2016.08])</calculatedColumnFormula>
    </tableColumn>
    <tableColumn id="66" name="hp2016.09" dataDxfId="229" dataCellStyle="Comma">
      <calculatedColumnFormula>SUMIF(r_Press_Tonnage,Table4[[Tonnage Range]:[Tonnage Range]],t_Presses[hp2016.09])</calculatedColumnFormula>
    </tableColumn>
    <tableColumn id="67" name="hp2016.10" dataDxfId="228" dataCellStyle="Comma">
      <calculatedColumnFormula>SUMIF(r_Press_Tonnage,Table4[[Tonnage Range]:[Tonnage Range]],t_Presses[hp2016.10])</calculatedColumnFormula>
    </tableColumn>
    <tableColumn id="68" name="hp2016.11" dataDxfId="227" dataCellStyle="Comma">
      <calculatedColumnFormula>SUMIF(r_Press_Tonnage,Table4[[Tonnage Range]:[Tonnage Range]],t_Presses[hp2016.11])</calculatedColumnFormula>
    </tableColumn>
    <tableColumn id="69" name="hp2016.12" dataDxfId="226" dataCellStyle="Comma">
      <calculatedColumnFormula>SUMIF(r_Press_Tonnage,Table4[[Tonnage Range]:[Tonnage Range]],t_Presses[hp2016.12])</calculatedColumnFormula>
    </tableColumn>
    <tableColumn id="70" name="hp2016.FY" dataDxfId="225" dataCellStyle="Comma">
      <calculatedColumnFormula>SUMIF(r_Press_Tonnage,Table4[[Tonnage Range]:[Tonnage Range]],t_Presses[hp2016.FY])</calculatedColumnFormula>
    </tableColumn>
    <tableColumn id="71" name="hp2017" dataDxfId="224" dataCellStyle="Comma">
      <calculatedColumnFormula>SUMIF(r_Press_Tonnage,Table4[[Tonnage Range]:[Tonnage Range]],t_Presses[hp2017])</calculatedColumnFormula>
    </tableColumn>
    <tableColumn id="72" name="hp2018" dataDxfId="223" dataCellStyle="Comma">
      <calculatedColumnFormula>SUMIF(r_Press_Tonnage,Table4[[Tonnage Range]:[Tonnage Range]],t_Presses[hp2018])</calculatedColumnFormula>
    </tableColumn>
    <tableColumn id="73" name="hp2019" dataDxfId="222" dataCellStyle="Comma">
      <calculatedColumnFormula>SUMIF(r_Press_Tonnage,Table4[[Tonnage Range]:[Tonnage Range]],t_Presses[hp2019])</calculatedColumnFormula>
    </tableColumn>
    <tableColumn id="29" name="2015.01" dataDxfId="221" dataCellStyle="Percent">
      <calculatedColumnFormula>IF(Table4[[#This Row],[ha2015.01]]&gt;0,Table4[[#This Row],[hp2015.01]]/Table4[[#This Row],[ha2015.01]],0)</calculatedColumnFormula>
    </tableColumn>
    <tableColumn id="30" name="2015.02" dataDxfId="220" dataCellStyle="Percent">
      <calculatedColumnFormula>IF(Table4[[#This Row],[ha2015.02]]&gt;0,Table4[[#This Row],[hp2015.02]]/Table4[[#This Row],[ha2015.02]],0)</calculatedColumnFormula>
    </tableColumn>
    <tableColumn id="31" name="2015.03" dataDxfId="219" dataCellStyle="Percent">
      <calculatedColumnFormula>IF(Table4[[#This Row],[ha2015.03]]&gt;0,Table4[[#This Row],[hp2015.03]]/Table4[[#This Row],[ha2015.03]],0)</calculatedColumnFormula>
    </tableColumn>
    <tableColumn id="32" name="2015.04" dataDxfId="218" dataCellStyle="Percent">
      <calculatedColumnFormula>IF(Table4[[#This Row],[ha2015.04]]&gt;0,Table4[[#This Row],[hp2015.04]]/Table4[[#This Row],[ha2015.04]],0)</calculatedColumnFormula>
    </tableColumn>
    <tableColumn id="33" name="2015.05" dataDxfId="217" dataCellStyle="Percent">
      <calculatedColumnFormula>IF(Table4[[#This Row],[ha2015.05]]&gt;0,Table4[[#This Row],[hp2015.05]]/Table4[[#This Row],[ha2015.05]],0)</calculatedColumnFormula>
    </tableColumn>
    <tableColumn id="34" name="2015.06" dataDxfId="216" dataCellStyle="Percent">
      <calculatedColumnFormula>IF(Table4[[#This Row],[ha2015.06]]&gt;0,Table4[[#This Row],[hp2015.06]]/Table4[[#This Row],[ha2015.06]],0)</calculatedColumnFormula>
    </tableColumn>
    <tableColumn id="35" name="2015.07" dataDxfId="215" dataCellStyle="Percent">
      <calculatedColumnFormula>IF(Table4[[#This Row],[ha2015.07]]&gt;0,Table4[[#This Row],[hp2015.07]]/Table4[[#This Row],[ha2015.07]],0)</calculatedColumnFormula>
    </tableColumn>
    <tableColumn id="36" name="2015.08" dataDxfId="214" dataCellStyle="Percent">
      <calculatedColumnFormula>IF(Table4[[#This Row],[ha2015.08]]&gt;0,Table4[[#This Row],[hp2015.08]]/Table4[[#This Row],[ha2015.08]],0)</calculatedColumnFormula>
    </tableColumn>
    <tableColumn id="37" name="2015.09" dataDxfId="213" dataCellStyle="Percent">
      <calculatedColumnFormula>IF(Table4[[#This Row],[ha2015.09]]&gt;0,Table4[[#This Row],[hp2015.09]]/Table4[[#This Row],[ha2015.09]],0)</calculatedColumnFormula>
    </tableColumn>
    <tableColumn id="38" name="2015.10" dataDxfId="212" dataCellStyle="Percent">
      <calculatedColumnFormula>IF(Table4[[#This Row],[ha2015.10]]&gt;0,Table4[[#This Row],[hp2015.10]]/Table4[[#This Row],[ha2015.10]],0)</calculatedColumnFormula>
    </tableColumn>
    <tableColumn id="39" name="2015.11" dataDxfId="211" dataCellStyle="Percent">
      <calculatedColumnFormula>IF(Table4[[#This Row],[ha2015.11]]&gt;0,Table4[[#This Row],[hp2015.11]]/Table4[[#This Row],[ha2015.11]],0)</calculatedColumnFormula>
    </tableColumn>
    <tableColumn id="40" name="2015.12" dataDxfId="210" dataCellStyle="Percent">
      <calculatedColumnFormula>IF(Table4[[#This Row],[ha2015.12]]&gt;0,Table4[[#This Row],[hp2015.12]]/Table4[[#This Row],[ha2015.12]],0)</calculatedColumnFormula>
    </tableColumn>
    <tableColumn id="41" name="2015.FY" dataDxfId="209" dataCellStyle="Percent">
      <calculatedColumnFormula>IF(Table4[[#This Row],[ha2015.FY]]&gt;0,Table4[[#This Row],[hp2015.FY]]/Table4[[#This Row],[ha2015.FY]],0)</calculatedColumnFormula>
    </tableColumn>
    <tableColumn id="74" name="2016.01" dataDxfId="208" dataCellStyle="Percent">
      <calculatedColumnFormula>IF(Table4[[#This Row],[ha2016.01]]&gt;0,Table4[[#This Row],[hp2016.01]]/Table4[[#This Row],[ha2016.01]],0)</calculatedColumnFormula>
    </tableColumn>
    <tableColumn id="75" name="2016.02" dataDxfId="207" dataCellStyle="Percent">
      <calculatedColumnFormula>IF(Table4[[#This Row],[ha2016.02]]&gt;0,Table4[[#This Row],[hp2016.02]]/Table4[[#This Row],[ha2016.02]],0)</calculatedColumnFormula>
    </tableColumn>
    <tableColumn id="76" name="2016.03" dataDxfId="206" dataCellStyle="Percent">
      <calculatedColumnFormula>IF(Table4[[#This Row],[ha2016.03]]&gt;0,Table4[[#This Row],[hp2016.03]]/Table4[[#This Row],[ha2016.03]],0)</calculatedColumnFormula>
    </tableColumn>
    <tableColumn id="77" name="2016.04" dataDxfId="205" dataCellStyle="Percent">
      <calculatedColumnFormula>IF(Table4[[#This Row],[ha2016.04]]&gt;0,Table4[[#This Row],[hp2016.04]]/Table4[[#This Row],[ha2016.04]],0)</calculatedColumnFormula>
    </tableColumn>
    <tableColumn id="78" name="2016.05" dataDxfId="204" dataCellStyle="Percent">
      <calculatedColumnFormula>IF(Table4[[#This Row],[ha2016.05]]&gt;0,Table4[[#This Row],[hp2016.05]]/Table4[[#This Row],[ha2016.05]],0)</calculatedColumnFormula>
    </tableColumn>
    <tableColumn id="79" name="2016.06" dataDxfId="203" dataCellStyle="Percent">
      <calculatedColumnFormula>IF(Table4[[#This Row],[ha2016.06]]&gt;0,Table4[[#This Row],[hp2016.06]]/Table4[[#This Row],[ha2016.06]],0)</calculatedColumnFormula>
    </tableColumn>
    <tableColumn id="80" name="2016.07" dataDxfId="202" dataCellStyle="Percent">
      <calculatedColumnFormula>IF(Table4[[#This Row],[ha2016.07]]&gt;0,Table4[[#This Row],[hp2016.07]]/Table4[[#This Row],[ha2016.07]],0)</calculatedColumnFormula>
    </tableColumn>
    <tableColumn id="81" name="2016.08" dataDxfId="201" dataCellStyle="Percent">
      <calculatedColumnFormula>IF(Table4[[#This Row],[ha2016.08]]&gt;0,Table4[[#This Row],[hp2016.08]]/Table4[[#This Row],[ha2016.08]],0)</calculatedColumnFormula>
    </tableColumn>
    <tableColumn id="82" name="2016.09" dataDxfId="200" dataCellStyle="Percent">
      <calculatedColumnFormula>IF(Table4[[#This Row],[ha2016.09]]&gt;0,Table4[[#This Row],[hp2016.09]]/Table4[[#This Row],[ha2016.09]],0)</calculatedColumnFormula>
    </tableColumn>
    <tableColumn id="83" name="2016.10" dataDxfId="199" dataCellStyle="Percent">
      <calculatedColumnFormula>IF(Table4[[#This Row],[ha2016.10]]&gt;0,Table4[[#This Row],[hp2016.10]]/Table4[[#This Row],[ha2016.10]],0)</calculatedColumnFormula>
    </tableColumn>
    <tableColumn id="84" name="2016.11" dataDxfId="198" dataCellStyle="Percent">
      <calculatedColumnFormula>IF(Table4[[#This Row],[ha2016.11]]&gt;0,Table4[[#This Row],[hp2016.11]]/Table4[[#This Row],[ha2016.11]],0)</calculatedColumnFormula>
    </tableColumn>
    <tableColumn id="85" name="2016.12" dataDxfId="197" dataCellStyle="Percent">
      <calculatedColumnFormula>IF(Table4[[#This Row],[ha2016.12]]&gt;0,Table4[[#This Row],[hp2016.12]]/Table4[[#This Row],[ha2016.12]],0)</calculatedColumnFormula>
    </tableColumn>
    <tableColumn id="86" name="2016.FY" dataDxfId="196" dataCellStyle="Percent">
      <calculatedColumnFormula>IF(Table4[[#This Row],[ha2016.FY]]&gt;0,Table4[[#This Row],[hp2016.FY]]/Table4[[#This Row],[ha2016.FY]],0)</calculatedColumnFormula>
    </tableColumn>
    <tableColumn id="87" name="2017" dataDxfId="195" dataCellStyle="Percent">
      <calculatedColumnFormula>IF(Table4[[#This Row],[ha2017]]&gt;0,Table4[[#This Row],[hp2017]]/Table4[[#This Row],[ha2017]],0)</calculatedColumnFormula>
    </tableColumn>
    <tableColumn id="88" name="2018" dataDxfId="194" dataCellStyle="Percent">
      <calculatedColumnFormula>IF(Table4[[#This Row],[ha2018]]&gt;0,Table4[[#This Row],[hp2018]]/Table4[[#This Row],[ha2018]],0)</calculatedColumnFormula>
    </tableColumn>
    <tableColumn id="89" name="2019" dataDxfId="193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B11" totalsRowShown="0">
  <autoFilter ref="A1:B11"/>
  <sortState ref="A2:C11">
    <sortCondition ref="C1:C11"/>
  </sortState>
  <tableColumns count="2">
    <tableColumn id="1" name="Plant Input Ranges" dataDxfId="192"/>
    <tableColumn id="2" name="Order" dataDxfId="19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B19" totalsRowShown="0">
  <autoFilter ref="A14:B19"/>
  <tableColumns count="2">
    <tableColumn id="2" name="Tonnage View Options"/>
    <tableColumn id="1" name="Order" dataDxfId="190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2:B34" totalsRowShown="0" headerRowDxfId="189" dataDxfId="188" tableBorderDxfId="187">
  <autoFilter ref="A22:B34"/>
  <sortState ref="A30:D41">
    <sortCondition ref="D29:D41"/>
  </sortState>
  <tableColumns count="2">
    <tableColumn id="1" name="Part View Options" dataDxfId="186"/>
    <tableColumn id="2" name="Order" dataDxfId="185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37:B42" totalsRowShown="0">
  <autoFilter ref="A37:B42"/>
  <sortState ref="A37:B41">
    <sortCondition ref="B36:B41"/>
  </sortState>
  <tableColumns count="2">
    <tableColumn id="1" name="Press View Options"/>
    <tableColumn id="2" name="Order" dataDxfId="18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Y11"/>
  <sheetViews>
    <sheetView tabSelected="1" topLeftCell="A2" zoomScaleNormal="100" workbookViewId="0">
      <pane xSplit="4" ySplit="3" topLeftCell="E5" activePane="bottomRight" state="frozen"/>
      <selection activeCell="A2" sqref="A2"/>
      <selection pane="topRight" activeCell="E2" sqref="E2"/>
      <selection pane="bottomLeft" activeCell="A5" sqref="A5"/>
      <selection pane="bottomRight" activeCell="GX8" sqref="GX8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4" width="13.7109375" bestFit="1" customWidth="1"/>
    <col min="5" max="93" width="11.7109375" hidden="1" customWidth="1"/>
    <col min="94" max="94" width="11.7109375" hidden="1" customWidth="1" collapsed="1"/>
    <col min="95" max="190" width="11.7109375" hidden="1" customWidth="1"/>
    <col min="191" max="191" width="13.140625" customWidth="1"/>
    <col min="192" max="203" width="10.42578125" hidden="1" customWidth="1"/>
    <col min="204" max="207" width="13.140625" customWidth="1"/>
    <col min="208" max="208" width="9.85546875" customWidth="1"/>
    <col min="209" max="209" width="11.5703125" customWidth="1"/>
  </cols>
  <sheetData>
    <row r="1" spans="1:207" s="32" customFormat="1" ht="19.5" hidden="1" customHeight="1" x14ac:dyDescent="0.25">
      <c r="A1" s="32">
        <f>COLUMN()</f>
        <v>1</v>
      </c>
      <c r="B1" s="32">
        <f>COLUMN()</f>
        <v>2</v>
      </c>
      <c r="C1" s="32">
        <f>COLUMN()</f>
        <v>3</v>
      </c>
      <c r="E1" s="32">
        <f>COLUMN()</f>
        <v>5</v>
      </c>
      <c r="F1" s="32">
        <f>COLUMN()</f>
        <v>6</v>
      </c>
      <c r="G1" s="32">
        <f>COLUMN()</f>
        <v>7</v>
      </c>
      <c r="H1" s="32">
        <f>COLUMN()</f>
        <v>8</v>
      </c>
      <c r="I1" s="32">
        <f>COLUMN()</f>
        <v>9</v>
      </c>
      <c r="J1" s="32">
        <f>COLUMN()</f>
        <v>10</v>
      </c>
      <c r="K1" s="32">
        <f>COLUMN()</f>
        <v>11</v>
      </c>
      <c r="L1" s="32">
        <f>COLUMN()</f>
        <v>12</v>
      </c>
      <c r="M1" s="32">
        <f>COLUMN()</f>
        <v>13</v>
      </c>
      <c r="N1" s="32">
        <f>COLUMN()</f>
        <v>14</v>
      </c>
      <c r="O1" s="32">
        <f>COLUMN()</f>
        <v>15</v>
      </c>
      <c r="P1" s="32">
        <f>COLUMN()</f>
        <v>16</v>
      </c>
      <c r="Q1" s="32">
        <f>COLUMN()</f>
        <v>17</v>
      </c>
      <c r="R1" s="32">
        <f>COLUMN()</f>
        <v>18</v>
      </c>
      <c r="S1" s="32">
        <f>COLUMN()</f>
        <v>19</v>
      </c>
      <c r="T1" s="32">
        <f>COLUMN()</f>
        <v>20</v>
      </c>
      <c r="U1" s="32">
        <f>COLUMN()</f>
        <v>21</v>
      </c>
      <c r="V1" s="32">
        <f>COLUMN()</f>
        <v>22</v>
      </c>
      <c r="W1" s="32">
        <f>COLUMN()</f>
        <v>23</v>
      </c>
      <c r="X1" s="32">
        <f>COLUMN()</f>
        <v>24</v>
      </c>
      <c r="Y1" s="32">
        <f>COLUMN()</f>
        <v>25</v>
      </c>
      <c r="Z1" s="32">
        <f>COLUMN()</f>
        <v>26</v>
      </c>
      <c r="AA1" s="32">
        <f>COLUMN()</f>
        <v>27</v>
      </c>
      <c r="AB1" s="32">
        <f>COLUMN()</f>
        <v>28</v>
      </c>
      <c r="AC1" s="32">
        <f>COLUMN()</f>
        <v>29</v>
      </c>
      <c r="AD1" s="32">
        <f>COLUMN()</f>
        <v>30</v>
      </c>
      <c r="AE1" s="32">
        <f>COLUMN()</f>
        <v>31</v>
      </c>
      <c r="AF1" s="32">
        <f>COLUMN()</f>
        <v>32</v>
      </c>
      <c r="AG1" s="32">
        <f>COLUMN()</f>
        <v>33</v>
      </c>
      <c r="AH1" s="32">
        <f>COLUMN()</f>
        <v>34</v>
      </c>
      <c r="AI1" s="32">
        <f>COLUMN()</f>
        <v>35</v>
      </c>
      <c r="AJ1" s="32">
        <f>COLUMN()</f>
        <v>36</v>
      </c>
      <c r="AK1" s="32">
        <f>COLUMN()</f>
        <v>37</v>
      </c>
      <c r="AL1" s="32">
        <f>COLUMN()</f>
        <v>38</v>
      </c>
      <c r="AM1" s="32">
        <f>COLUMN()</f>
        <v>39</v>
      </c>
      <c r="AN1" s="32">
        <f>COLUMN()</f>
        <v>40</v>
      </c>
      <c r="AO1" s="32">
        <f>COLUMN()</f>
        <v>41</v>
      </c>
      <c r="AP1" s="32">
        <f>COLUMN()</f>
        <v>42</v>
      </c>
      <c r="AQ1" s="32">
        <f>COLUMN()</f>
        <v>43</v>
      </c>
      <c r="AR1" s="32">
        <f>COLUMN()</f>
        <v>44</v>
      </c>
      <c r="AS1" s="32">
        <f>COLUMN()</f>
        <v>45</v>
      </c>
      <c r="AT1" s="32">
        <f>COLUMN()</f>
        <v>46</v>
      </c>
      <c r="AU1" s="32">
        <f>COLUMN()</f>
        <v>47</v>
      </c>
      <c r="AV1" s="32">
        <f>COLUMN()</f>
        <v>48</v>
      </c>
      <c r="AW1" s="32">
        <f>COLUMN()</f>
        <v>49</v>
      </c>
      <c r="AX1" s="32">
        <f>COLUMN()</f>
        <v>50</v>
      </c>
      <c r="AY1" s="32">
        <f>COLUMN()</f>
        <v>51</v>
      </c>
      <c r="AZ1" s="32">
        <f>COLUMN()</f>
        <v>52</v>
      </c>
      <c r="BA1" s="32">
        <f>COLUMN()</f>
        <v>53</v>
      </c>
      <c r="BB1" s="32">
        <f>COLUMN()</f>
        <v>54</v>
      </c>
      <c r="BC1" s="32">
        <f>COLUMN()</f>
        <v>55</v>
      </c>
      <c r="BD1" s="32">
        <f>COLUMN()</f>
        <v>56</v>
      </c>
      <c r="BE1" s="32">
        <f>COLUMN()</f>
        <v>57</v>
      </c>
      <c r="BF1" s="32">
        <f>COLUMN()</f>
        <v>58</v>
      </c>
      <c r="BG1" s="32">
        <f>COLUMN()</f>
        <v>59</v>
      </c>
      <c r="BH1" s="32">
        <f>COLUMN()</f>
        <v>60</v>
      </c>
      <c r="BI1" s="32">
        <f>COLUMN()</f>
        <v>61</v>
      </c>
      <c r="BJ1" s="32">
        <f>COLUMN()</f>
        <v>62</v>
      </c>
      <c r="BK1" s="32">
        <f>COLUMN()</f>
        <v>63</v>
      </c>
      <c r="BL1" s="32">
        <f>COLUMN()</f>
        <v>64</v>
      </c>
      <c r="BM1" s="32">
        <f>COLUMN()</f>
        <v>65</v>
      </c>
      <c r="BN1" s="32">
        <f>COLUMN()</f>
        <v>66</v>
      </c>
      <c r="BO1" s="32">
        <f>COLUMN()</f>
        <v>67</v>
      </c>
      <c r="BP1" s="32">
        <f>COLUMN()</f>
        <v>68</v>
      </c>
      <c r="BQ1" s="32">
        <f>COLUMN()</f>
        <v>69</v>
      </c>
      <c r="BR1" s="32">
        <f>COLUMN()</f>
        <v>70</v>
      </c>
      <c r="BS1" s="32">
        <f>COLUMN()</f>
        <v>71</v>
      </c>
      <c r="BT1" s="32">
        <f>COLUMN()</f>
        <v>72</v>
      </c>
      <c r="BU1" s="32">
        <f>COLUMN()</f>
        <v>73</v>
      </c>
      <c r="BV1" s="32">
        <f>COLUMN()</f>
        <v>74</v>
      </c>
      <c r="BW1" s="32">
        <f>COLUMN()</f>
        <v>75</v>
      </c>
      <c r="BX1" s="32">
        <f>COLUMN()</f>
        <v>76</v>
      </c>
      <c r="BY1" s="32">
        <f>COLUMN()</f>
        <v>77</v>
      </c>
      <c r="BZ1" s="32">
        <f>COLUMN()</f>
        <v>78</v>
      </c>
      <c r="CA1" s="32">
        <f>COLUMN()</f>
        <v>79</v>
      </c>
      <c r="CB1" s="32">
        <f>COLUMN()</f>
        <v>80</v>
      </c>
      <c r="CC1" s="32">
        <f>COLUMN()</f>
        <v>81</v>
      </c>
      <c r="CD1" s="32">
        <f>COLUMN()</f>
        <v>82</v>
      </c>
      <c r="CE1" s="32">
        <f>COLUMN()</f>
        <v>83</v>
      </c>
      <c r="CF1" s="32">
        <f>COLUMN()</f>
        <v>84</v>
      </c>
      <c r="CG1" s="32">
        <f>COLUMN()</f>
        <v>85</v>
      </c>
      <c r="CH1" s="32">
        <f>COLUMN()</f>
        <v>86</v>
      </c>
      <c r="CI1" s="32">
        <f>COLUMN()</f>
        <v>87</v>
      </c>
      <c r="CJ1" s="32">
        <f>COLUMN()</f>
        <v>88</v>
      </c>
      <c r="CK1" s="32">
        <f>COLUMN()</f>
        <v>89</v>
      </c>
      <c r="CL1" s="32">
        <f>COLUMN()</f>
        <v>90</v>
      </c>
      <c r="CM1" s="32">
        <f>COLUMN()</f>
        <v>91</v>
      </c>
      <c r="CN1" s="32">
        <f>COLUMN()</f>
        <v>92</v>
      </c>
      <c r="CO1" s="32">
        <f>COLUMN()</f>
        <v>93</v>
      </c>
      <c r="CP1" s="32">
        <f>COLUMN()</f>
        <v>94</v>
      </c>
      <c r="CQ1" s="32">
        <f>COLUMN()</f>
        <v>95</v>
      </c>
      <c r="CR1" s="32">
        <f>COLUMN()</f>
        <v>96</v>
      </c>
      <c r="CS1" s="32">
        <f>COLUMN()</f>
        <v>97</v>
      </c>
      <c r="CT1" s="32">
        <f>COLUMN()</f>
        <v>98</v>
      </c>
      <c r="CU1" s="32">
        <f>COLUMN()</f>
        <v>99</v>
      </c>
      <c r="CV1" s="32">
        <f>COLUMN()</f>
        <v>100</v>
      </c>
      <c r="CW1" s="32">
        <f>COLUMN()</f>
        <v>101</v>
      </c>
      <c r="CX1" s="32">
        <f>COLUMN()</f>
        <v>102</v>
      </c>
      <c r="CY1" s="32">
        <f>COLUMN()</f>
        <v>103</v>
      </c>
      <c r="CZ1" s="32">
        <f>COLUMN()</f>
        <v>104</v>
      </c>
      <c r="DA1" s="32">
        <f>COLUMN()</f>
        <v>105</v>
      </c>
      <c r="DB1" s="32">
        <f>COLUMN()</f>
        <v>106</v>
      </c>
      <c r="DC1" s="32">
        <f>COLUMN()</f>
        <v>107</v>
      </c>
      <c r="DD1" s="32">
        <f>COLUMN()</f>
        <v>108</v>
      </c>
      <c r="DE1" s="32">
        <f>COLUMN()</f>
        <v>109</v>
      </c>
      <c r="DF1" s="32">
        <f>COLUMN()</f>
        <v>110</v>
      </c>
      <c r="DG1" s="32">
        <f>COLUMN()</f>
        <v>111</v>
      </c>
      <c r="DH1" s="32">
        <f>COLUMN()</f>
        <v>112</v>
      </c>
      <c r="DI1" s="32">
        <f>COLUMN()</f>
        <v>113</v>
      </c>
      <c r="DJ1" s="32">
        <f>COLUMN()</f>
        <v>114</v>
      </c>
      <c r="DK1" s="32">
        <f>COLUMN()</f>
        <v>115</v>
      </c>
      <c r="DL1" s="32">
        <f>COLUMN()</f>
        <v>116</v>
      </c>
      <c r="DM1" s="32">
        <f>COLUMN()</f>
        <v>117</v>
      </c>
      <c r="DN1" s="32">
        <f>COLUMN()</f>
        <v>118</v>
      </c>
      <c r="DO1" s="32">
        <f>COLUMN()</f>
        <v>119</v>
      </c>
      <c r="DP1" s="32">
        <f>COLUMN()</f>
        <v>120</v>
      </c>
      <c r="ET1" s="32">
        <f>COLUMN()</f>
        <v>150</v>
      </c>
      <c r="EU1" s="32">
        <f>COLUMN()</f>
        <v>151</v>
      </c>
      <c r="EV1" s="32">
        <f>COLUMN()</f>
        <v>152</v>
      </c>
      <c r="EW1" s="32">
        <f>COLUMN()</f>
        <v>153</v>
      </c>
      <c r="EX1" s="32">
        <f>COLUMN()</f>
        <v>154</v>
      </c>
      <c r="EY1" s="32">
        <f>COLUMN()</f>
        <v>155</v>
      </c>
      <c r="EZ1" s="32">
        <f>COLUMN()</f>
        <v>156</v>
      </c>
      <c r="FA1" s="32">
        <f>COLUMN()</f>
        <v>157</v>
      </c>
      <c r="FB1" s="32">
        <f>COLUMN()</f>
        <v>158</v>
      </c>
      <c r="FC1" s="32">
        <f>COLUMN()</f>
        <v>159</v>
      </c>
      <c r="FD1" s="32">
        <f>COLUMN()</f>
        <v>160</v>
      </c>
      <c r="FE1" s="32">
        <f>COLUMN()</f>
        <v>161</v>
      </c>
      <c r="FF1" s="32">
        <f>COLUMN()</f>
        <v>162</v>
      </c>
      <c r="FG1" s="32">
        <f>COLUMN()</f>
        <v>163</v>
      </c>
      <c r="FH1" s="32">
        <f>COLUMN()</f>
        <v>164</v>
      </c>
      <c r="FI1" s="32">
        <f>COLUMN()</f>
        <v>165</v>
      </c>
      <c r="FJ1" s="32">
        <f>COLUMN()</f>
        <v>166</v>
      </c>
      <c r="FK1" s="32">
        <f>COLUMN()</f>
        <v>167</v>
      </c>
      <c r="FL1" s="32">
        <f>COLUMN()</f>
        <v>168</v>
      </c>
      <c r="FM1" s="32">
        <f>COLUMN()</f>
        <v>169</v>
      </c>
      <c r="FN1" s="32">
        <f>COLUMN()</f>
        <v>170</v>
      </c>
      <c r="FO1" s="32">
        <f>COLUMN()</f>
        <v>171</v>
      </c>
      <c r="FP1" s="32">
        <f>COLUMN()</f>
        <v>172</v>
      </c>
      <c r="FQ1" s="32">
        <f>COLUMN()</f>
        <v>173</v>
      </c>
      <c r="FR1" s="32">
        <f>COLUMN()</f>
        <v>174</v>
      </c>
      <c r="FS1" s="32">
        <f>COLUMN()</f>
        <v>175</v>
      </c>
      <c r="FT1" s="32">
        <f>COLUMN()</f>
        <v>176</v>
      </c>
      <c r="FU1" s="32">
        <f>COLUMN()</f>
        <v>177</v>
      </c>
      <c r="FV1" s="32">
        <f>COLUMN()</f>
        <v>178</v>
      </c>
      <c r="FW1" s="32">
        <f>COLUMN()</f>
        <v>179</v>
      </c>
      <c r="FX1" s="32">
        <f>COLUMN()</f>
        <v>180</v>
      </c>
      <c r="FY1" s="32">
        <f>COLUMN()</f>
        <v>181</v>
      </c>
      <c r="FZ1" s="32">
        <f>COLUMN()</f>
        <v>182</v>
      </c>
      <c r="GA1" s="32">
        <f>COLUMN()</f>
        <v>183</v>
      </c>
      <c r="GB1" s="32">
        <f>COLUMN()</f>
        <v>184</v>
      </c>
      <c r="GC1" s="32">
        <f>COLUMN()</f>
        <v>185</v>
      </c>
      <c r="GD1" s="32">
        <f>COLUMN()</f>
        <v>186</v>
      </c>
      <c r="GE1" s="32">
        <f>COLUMN()</f>
        <v>187</v>
      </c>
      <c r="GF1" s="32">
        <f>COLUMN()</f>
        <v>188</v>
      </c>
      <c r="GG1" s="32">
        <f>COLUMN()</f>
        <v>189</v>
      </c>
      <c r="GH1" s="32">
        <f>COLUMN()</f>
        <v>190</v>
      </c>
      <c r="GI1" s="32">
        <f>COLUMN()</f>
        <v>191</v>
      </c>
      <c r="GJ1" s="32">
        <f>COLUMN()</f>
        <v>192</v>
      </c>
      <c r="GK1" s="32">
        <f>COLUMN()</f>
        <v>193</v>
      </c>
      <c r="GL1" s="32">
        <f>COLUMN()</f>
        <v>194</v>
      </c>
      <c r="GM1" s="32">
        <f>COLUMN()</f>
        <v>195</v>
      </c>
      <c r="GN1" s="32">
        <f>COLUMN()</f>
        <v>196</v>
      </c>
      <c r="GO1" s="32">
        <f>COLUMN()</f>
        <v>197</v>
      </c>
      <c r="GP1" s="32">
        <f>COLUMN()</f>
        <v>198</v>
      </c>
      <c r="GQ1" s="32">
        <f>COLUMN()</f>
        <v>199</v>
      </c>
      <c r="GR1" s="32">
        <f>COLUMN()</f>
        <v>200</v>
      </c>
      <c r="GS1" s="32">
        <f>COLUMN()</f>
        <v>201</v>
      </c>
      <c r="GT1" s="32">
        <f>COLUMN()</f>
        <v>202</v>
      </c>
      <c r="GU1" s="32">
        <f>COLUMN()</f>
        <v>203</v>
      </c>
      <c r="GV1" s="32">
        <f>COLUMN()</f>
        <v>204</v>
      </c>
      <c r="GW1" s="32">
        <f>COLUMN()</f>
        <v>205</v>
      </c>
      <c r="GX1" s="32">
        <f>COLUMN()</f>
        <v>206</v>
      </c>
      <c r="GY1" s="32">
        <f>COLUMN()</f>
        <v>207</v>
      </c>
    </row>
    <row r="2" spans="1:207" s="32" customFormat="1" ht="21" customHeight="1" x14ac:dyDescent="0.25">
      <c r="A2" s="64" t="s">
        <v>427</v>
      </c>
      <c r="B2" s="66"/>
    </row>
    <row r="3" spans="1:207" ht="18" customHeight="1" x14ac:dyDescent="0.25">
      <c r="A3" s="12" t="s">
        <v>163</v>
      </c>
      <c r="B3" s="13"/>
      <c r="C3" s="13"/>
      <c r="D3" s="13"/>
      <c r="E3" s="11" t="s">
        <v>30</v>
      </c>
      <c r="F3" s="11"/>
      <c r="G3" s="51"/>
      <c r="H3" s="51"/>
      <c r="I3" s="51"/>
      <c r="J3" s="51"/>
      <c r="K3" s="51"/>
      <c r="L3" s="51"/>
      <c r="M3" s="51"/>
      <c r="N3" s="51"/>
      <c r="O3" s="51"/>
      <c r="P3" s="5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24" t="s">
        <v>30</v>
      </c>
      <c r="AH3" s="9" t="s">
        <v>31</v>
      </c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 t="s">
        <v>29</v>
      </c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60" t="s">
        <v>29</v>
      </c>
      <c r="BK3" s="8" t="s">
        <v>32</v>
      </c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61" t="s">
        <v>51</v>
      </c>
      <c r="CN3" s="10" t="s">
        <v>33</v>
      </c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44" t="s">
        <v>52</v>
      </c>
      <c r="DQ3" s="90" t="s">
        <v>479</v>
      </c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 t="s">
        <v>479</v>
      </c>
      <c r="ET3" s="19" t="s">
        <v>98</v>
      </c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 t="s">
        <v>97</v>
      </c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31" t="s">
        <v>97</v>
      </c>
      <c r="FW3" s="2" t="s">
        <v>444</v>
      </c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 t="s">
        <v>445</v>
      </c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46" t="s">
        <v>446</v>
      </c>
    </row>
    <row r="4" spans="1:207" x14ac:dyDescent="0.25">
      <c r="A4" s="63" t="s">
        <v>36</v>
      </c>
      <c r="B4" s="7" t="s">
        <v>4</v>
      </c>
      <c r="C4" s="7" t="s">
        <v>1</v>
      </c>
      <c r="D4" s="5" t="s">
        <v>447</v>
      </c>
      <c r="E4" s="7" t="s">
        <v>191</v>
      </c>
      <c r="F4" s="7" t="s">
        <v>192</v>
      </c>
      <c r="G4" s="7" t="s">
        <v>193</v>
      </c>
      <c r="H4" s="7" t="s">
        <v>194</v>
      </c>
      <c r="I4" s="7" t="s">
        <v>195</v>
      </c>
      <c r="J4" s="7" t="s">
        <v>196</v>
      </c>
      <c r="K4" s="7" t="s">
        <v>197</v>
      </c>
      <c r="L4" s="7" t="s">
        <v>198</v>
      </c>
      <c r="M4" s="7" t="s">
        <v>199</v>
      </c>
      <c r="N4" s="7" t="s">
        <v>200</v>
      </c>
      <c r="O4" s="7" t="s">
        <v>201</v>
      </c>
      <c r="P4" s="7" t="s">
        <v>202</v>
      </c>
      <c r="Q4" s="11" t="s">
        <v>203</v>
      </c>
      <c r="R4" s="7" t="s">
        <v>204</v>
      </c>
      <c r="S4" s="7" t="s">
        <v>205</v>
      </c>
      <c r="T4" s="7" t="s">
        <v>206</v>
      </c>
      <c r="U4" s="7" t="s">
        <v>207</v>
      </c>
      <c r="V4" s="7" t="s">
        <v>208</v>
      </c>
      <c r="W4" s="7" t="s">
        <v>209</v>
      </c>
      <c r="X4" s="7" t="s">
        <v>210</v>
      </c>
      <c r="Y4" s="7" t="s">
        <v>211</v>
      </c>
      <c r="Z4" s="7" t="s">
        <v>212</v>
      </c>
      <c r="AA4" s="7" t="s">
        <v>213</v>
      </c>
      <c r="AB4" s="7" t="s">
        <v>214</v>
      </c>
      <c r="AC4" s="7" t="s">
        <v>215</v>
      </c>
      <c r="AD4" s="11" t="s">
        <v>216</v>
      </c>
      <c r="AE4" s="11" t="s">
        <v>217</v>
      </c>
      <c r="AF4" s="11" t="s">
        <v>218</v>
      </c>
      <c r="AG4" s="11" t="s">
        <v>219</v>
      </c>
      <c r="AH4" s="7" t="s">
        <v>220</v>
      </c>
      <c r="AI4" s="7" t="s">
        <v>221</v>
      </c>
      <c r="AJ4" s="7" t="s">
        <v>222</v>
      </c>
      <c r="AK4" s="7" t="s">
        <v>223</v>
      </c>
      <c r="AL4" s="7" t="s">
        <v>224</v>
      </c>
      <c r="AM4" s="7" t="s">
        <v>225</v>
      </c>
      <c r="AN4" s="7" t="s">
        <v>226</v>
      </c>
      <c r="AO4" s="7" t="s">
        <v>227</v>
      </c>
      <c r="AP4" s="7" t="s">
        <v>228</v>
      </c>
      <c r="AQ4" s="7" t="s">
        <v>229</v>
      </c>
      <c r="AR4" s="7" t="s">
        <v>230</v>
      </c>
      <c r="AS4" s="7" t="s">
        <v>231</v>
      </c>
      <c r="AT4" s="9" t="s">
        <v>232</v>
      </c>
      <c r="AU4" s="7" t="s">
        <v>273</v>
      </c>
      <c r="AV4" s="7" t="s">
        <v>274</v>
      </c>
      <c r="AW4" s="7" t="s">
        <v>275</v>
      </c>
      <c r="AX4" s="7" t="s">
        <v>276</v>
      </c>
      <c r="AY4" s="7" t="s">
        <v>277</v>
      </c>
      <c r="AZ4" s="7" t="s">
        <v>278</v>
      </c>
      <c r="BA4" s="7" t="s">
        <v>279</v>
      </c>
      <c r="BB4" s="7" t="s">
        <v>280</v>
      </c>
      <c r="BC4" s="7" t="s">
        <v>281</v>
      </c>
      <c r="BD4" s="7" t="s">
        <v>282</v>
      </c>
      <c r="BE4" s="7" t="s">
        <v>283</v>
      </c>
      <c r="BF4" s="7" t="s">
        <v>284</v>
      </c>
      <c r="BG4" s="86" t="s">
        <v>285</v>
      </c>
      <c r="BH4" s="86" t="s">
        <v>286</v>
      </c>
      <c r="BI4" s="86" t="s">
        <v>288</v>
      </c>
      <c r="BJ4" s="86" t="s">
        <v>287</v>
      </c>
      <c r="BK4" s="8" t="s">
        <v>233</v>
      </c>
      <c r="BL4" s="8" t="s">
        <v>234</v>
      </c>
      <c r="BM4" s="8" t="s">
        <v>235</v>
      </c>
      <c r="BN4" s="8" t="s">
        <v>236</v>
      </c>
      <c r="BO4" s="8" t="s">
        <v>237</v>
      </c>
      <c r="BP4" s="8" t="s">
        <v>238</v>
      </c>
      <c r="BQ4" s="8" t="s">
        <v>239</v>
      </c>
      <c r="BR4" s="8" t="s">
        <v>240</v>
      </c>
      <c r="BS4" s="8" t="s">
        <v>241</v>
      </c>
      <c r="BT4" s="8" t="s">
        <v>242</v>
      </c>
      <c r="BU4" s="8" t="s">
        <v>243</v>
      </c>
      <c r="BV4" s="8" t="s">
        <v>244</v>
      </c>
      <c r="BW4" s="8" t="s">
        <v>245</v>
      </c>
      <c r="BX4" s="8" t="s">
        <v>289</v>
      </c>
      <c r="BY4" s="8" t="s">
        <v>290</v>
      </c>
      <c r="BZ4" s="8" t="s">
        <v>291</v>
      </c>
      <c r="CA4" s="8" t="s">
        <v>292</v>
      </c>
      <c r="CB4" s="8" t="s">
        <v>293</v>
      </c>
      <c r="CC4" s="8" t="s">
        <v>294</v>
      </c>
      <c r="CD4" s="8" t="s">
        <v>295</v>
      </c>
      <c r="CE4" s="8" t="s">
        <v>296</v>
      </c>
      <c r="CF4" s="8" t="s">
        <v>297</v>
      </c>
      <c r="CG4" s="8" t="s">
        <v>298</v>
      </c>
      <c r="CH4" s="8" t="s">
        <v>299</v>
      </c>
      <c r="CI4" s="8" t="s">
        <v>300</v>
      </c>
      <c r="CJ4" s="8" t="s">
        <v>301</v>
      </c>
      <c r="CK4" s="8" t="s">
        <v>302</v>
      </c>
      <c r="CL4" s="8" t="s">
        <v>303</v>
      </c>
      <c r="CM4" s="8" t="s">
        <v>304</v>
      </c>
      <c r="CN4" s="10" t="s">
        <v>246</v>
      </c>
      <c r="CO4" s="10" t="s">
        <v>247</v>
      </c>
      <c r="CP4" s="10" t="s">
        <v>248</v>
      </c>
      <c r="CQ4" s="10" t="s">
        <v>249</v>
      </c>
      <c r="CR4" s="10" t="s">
        <v>250</v>
      </c>
      <c r="CS4" s="10" t="s">
        <v>251</v>
      </c>
      <c r="CT4" s="10" t="s">
        <v>252</v>
      </c>
      <c r="CU4" s="10" t="s">
        <v>253</v>
      </c>
      <c r="CV4" s="10" t="s">
        <v>254</v>
      </c>
      <c r="CW4" s="10" t="s">
        <v>255</v>
      </c>
      <c r="CX4" s="10" t="s">
        <v>256</v>
      </c>
      <c r="CY4" s="10" t="s">
        <v>257</v>
      </c>
      <c r="CZ4" s="10" t="s">
        <v>258</v>
      </c>
      <c r="DA4" s="10" t="s">
        <v>334</v>
      </c>
      <c r="DB4" s="10" t="s">
        <v>335</v>
      </c>
      <c r="DC4" s="10" t="s">
        <v>336</v>
      </c>
      <c r="DD4" s="10" t="s">
        <v>337</v>
      </c>
      <c r="DE4" s="10" t="s">
        <v>338</v>
      </c>
      <c r="DF4" s="10" t="s">
        <v>339</v>
      </c>
      <c r="DG4" s="10" t="s">
        <v>340</v>
      </c>
      <c r="DH4" s="10" t="s">
        <v>341</v>
      </c>
      <c r="DI4" s="10" t="s">
        <v>342</v>
      </c>
      <c r="DJ4" s="10" t="s">
        <v>343</v>
      </c>
      <c r="DK4" s="10" t="s">
        <v>344</v>
      </c>
      <c r="DL4" s="10" t="s">
        <v>345</v>
      </c>
      <c r="DM4" s="10" t="s">
        <v>349</v>
      </c>
      <c r="DN4" s="10" t="s">
        <v>346</v>
      </c>
      <c r="DO4" s="10" t="s">
        <v>347</v>
      </c>
      <c r="DP4" s="10" t="s">
        <v>348</v>
      </c>
      <c r="DQ4" s="89" t="s">
        <v>450</v>
      </c>
      <c r="DR4" s="89" t="s">
        <v>451</v>
      </c>
      <c r="DS4" s="89" t="s">
        <v>452</v>
      </c>
      <c r="DT4" s="89" t="s">
        <v>453</v>
      </c>
      <c r="DU4" s="89" t="s">
        <v>454</v>
      </c>
      <c r="DV4" s="89" t="s">
        <v>455</v>
      </c>
      <c r="DW4" s="89" t="s">
        <v>456</v>
      </c>
      <c r="DX4" s="89" t="s">
        <v>457</v>
      </c>
      <c r="DY4" s="89" t="s">
        <v>458</v>
      </c>
      <c r="DZ4" s="89" t="s">
        <v>459</v>
      </c>
      <c r="EA4" s="89" t="s">
        <v>460</v>
      </c>
      <c r="EB4" s="89" t="s">
        <v>461</v>
      </c>
      <c r="EC4" s="89" t="s">
        <v>462</v>
      </c>
      <c r="ED4" s="89" t="s">
        <v>463</v>
      </c>
      <c r="EE4" s="89" t="s">
        <v>464</v>
      </c>
      <c r="EF4" s="89" t="s">
        <v>465</v>
      </c>
      <c r="EG4" s="89" t="s">
        <v>466</v>
      </c>
      <c r="EH4" s="89" t="s">
        <v>467</v>
      </c>
      <c r="EI4" s="89" t="s">
        <v>468</v>
      </c>
      <c r="EJ4" s="89" t="s">
        <v>469</v>
      </c>
      <c r="EK4" s="89" t="s">
        <v>470</v>
      </c>
      <c r="EL4" s="89" t="s">
        <v>471</v>
      </c>
      <c r="EM4" s="89" t="s">
        <v>472</v>
      </c>
      <c r="EN4" s="89" t="s">
        <v>473</v>
      </c>
      <c r="EO4" s="89" t="s">
        <v>474</v>
      </c>
      <c r="EP4" s="89" t="s">
        <v>475</v>
      </c>
      <c r="EQ4" s="89" t="s">
        <v>476</v>
      </c>
      <c r="ER4" s="89" t="s">
        <v>477</v>
      </c>
      <c r="ES4" s="89" t="s">
        <v>478</v>
      </c>
      <c r="ET4" s="19" t="s">
        <v>259</v>
      </c>
      <c r="EU4" s="19" t="s">
        <v>260</v>
      </c>
      <c r="EV4" s="19" t="s">
        <v>261</v>
      </c>
      <c r="EW4" s="19" t="s">
        <v>262</v>
      </c>
      <c r="EX4" s="19" t="s">
        <v>263</v>
      </c>
      <c r="EY4" s="19" t="s">
        <v>264</v>
      </c>
      <c r="EZ4" s="19" t="s">
        <v>265</v>
      </c>
      <c r="FA4" s="19" t="s">
        <v>266</v>
      </c>
      <c r="FB4" s="19" t="s">
        <v>267</v>
      </c>
      <c r="FC4" s="19" t="s">
        <v>268</v>
      </c>
      <c r="FD4" s="19" t="s">
        <v>269</v>
      </c>
      <c r="FE4" s="19" t="s">
        <v>270</v>
      </c>
      <c r="FF4" s="19" t="s">
        <v>271</v>
      </c>
      <c r="FG4" s="19" t="s">
        <v>305</v>
      </c>
      <c r="FH4" s="19" t="s">
        <v>306</v>
      </c>
      <c r="FI4" s="19" t="s">
        <v>307</v>
      </c>
      <c r="FJ4" s="19" t="s">
        <v>308</v>
      </c>
      <c r="FK4" s="19" t="s">
        <v>309</v>
      </c>
      <c r="FL4" s="19" t="s">
        <v>310</v>
      </c>
      <c r="FM4" s="19" t="s">
        <v>311</v>
      </c>
      <c r="FN4" s="19" t="s">
        <v>312</v>
      </c>
      <c r="FO4" s="19" t="s">
        <v>313</v>
      </c>
      <c r="FP4" s="19" t="s">
        <v>314</v>
      </c>
      <c r="FQ4" s="19" t="s">
        <v>315</v>
      </c>
      <c r="FR4" s="19" t="s">
        <v>316</v>
      </c>
      <c r="FS4" s="19" t="s">
        <v>317</v>
      </c>
      <c r="FT4" s="19" t="s">
        <v>318</v>
      </c>
      <c r="FU4" s="19" t="s">
        <v>319</v>
      </c>
      <c r="FV4" s="19" t="s">
        <v>320</v>
      </c>
      <c r="FW4" s="2" t="s">
        <v>16</v>
      </c>
      <c r="FX4" s="2" t="s">
        <v>17</v>
      </c>
      <c r="FY4" s="2" t="s">
        <v>18</v>
      </c>
      <c r="FZ4" s="2" t="s">
        <v>84</v>
      </c>
      <c r="GA4" s="2" t="s">
        <v>85</v>
      </c>
      <c r="GB4" s="2" t="s">
        <v>86</v>
      </c>
      <c r="GC4" s="2" t="s">
        <v>87</v>
      </c>
      <c r="GD4" s="2" t="s">
        <v>88</v>
      </c>
      <c r="GE4" s="2" t="s">
        <v>89</v>
      </c>
      <c r="GF4" s="2" t="s">
        <v>96</v>
      </c>
      <c r="GG4" s="2" t="s">
        <v>91</v>
      </c>
      <c r="GH4" s="2" t="s">
        <v>92</v>
      </c>
      <c r="GI4" s="2" t="s">
        <v>428</v>
      </c>
      <c r="GJ4" s="2" t="s">
        <v>321</v>
      </c>
      <c r="GK4" s="2" t="s">
        <v>322</v>
      </c>
      <c r="GL4" s="2" t="s">
        <v>323</v>
      </c>
      <c r="GM4" s="2" t="s">
        <v>324</v>
      </c>
      <c r="GN4" s="2" t="s">
        <v>325</v>
      </c>
      <c r="GO4" s="2" t="s">
        <v>326</v>
      </c>
      <c r="GP4" s="2" t="s">
        <v>327</v>
      </c>
      <c r="GQ4" s="2" t="s">
        <v>328</v>
      </c>
      <c r="GR4" s="2" t="s">
        <v>329</v>
      </c>
      <c r="GS4" s="2" t="s">
        <v>330</v>
      </c>
      <c r="GT4" s="2" t="s">
        <v>331</v>
      </c>
      <c r="GU4" s="2" t="s">
        <v>332</v>
      </c>
      <c r="GV4" s="2" t="s">
        <v>429</v>
      </c>
      <c r="GW4" s="2" t="s">
        <v>81</v>
      </c>
      <c r="GX4" s="2" t="s">
        <v>82</v>
      </c>
      <c r="GY4" s="2" t="s">
        <v>83</v>
      </c>
    </row>
    <row r="5" spans="1:207" x14ac:dyDescent="0.25">
      <c r="A5" t="s">
        <v>10</v>
      </c>
      <c r="B5" s="63">
        <v>12</v>
      </c>
      <c r="C5" s="65">
        <v>0.77</v>
      </c>
      <c r="D5" s="85">
        <f>COUNTIF(r_Press_Plants,t_Plants[[#This Row],[Plant]])</f>
        <v>0</v>
      </c>
      <c r="E5" s="63">
        <v>1</v>
      </c>
      <c r="F5" s="63">
        <v>1</v>
      </c>
      <c r="G5" s="63">
        <v>1</v>
      </c>
      <c r="H5" s="63">
        <v>1</v>
      </c>
      <c r="I5" s="63">
        <v>1</v>
      </c>
      <c r="J5" s="63">
        <v>1</v>
      </c>
      <c r="K5" s="63">
        <v>1</v>
      </c>
      <c r="L5" s="63">
        <v>1</v>
      </c>
      <c r="M5" s="63">
        <v>1</v>
      </c>
      <c r="N5" s="63">
        <v>1</v>
      </c>
      <c r="O5" s="63">
        <v>1</v>
      </c>
      <c r="P5" s="63">
        <v>1</v>
      </c>
      <c r="Q5" s="85">
        <f>SUM(t_Plants[[#This Row],[d2015.01]:[d2015.12]])</f>
        <v>12</v>
      </c>
      <c r="R5" s="63">
        <v>1</v>
      </c>
      <c r="S5" s="63">
        <v>1</v>
      </c>
      <c r="T5" s="63">
        <v>1</v>
      </c>
      <c r="U5" s="63">
        <v>1</v>
      </c>
      <c r="V5" s="63">
        <v>1</v>
      </c>
      <c r="W5" s="63">
        <v>1</v>
      </c>
      <c r="X5" s="63">
        <v>1</v>
      </c>
      <c r="Y5" s="63">
        <v>1</v>
      </c>
      <c r="Z5" s="63">
        <v>1</v>
      </c>
      <c r="AA5" s="63">
        <v>1</v>
      </c>
      <c r="AB5" s="63">
        <v>1</v>
      </c>
      <c r="AC5" s="63">
        <v>1</v>
      </c>
      <c r="AD5" s="85">
        <f>SUM(t_Plants[[#This Row],[d2016.01]:[d2016.12]])</f>
        <v>12</v>
      </c>
      <c r="AE5" s="85">
        <f>t_Plants[[#This Row],[d2016.FY]]</f>
        <v>12</v>
      </c>
      <c r="AF5" s="85">
        <f>t_Plants[[#This Row],[d2016.FY]]</f>
        <v>12</v>
      </c>
      <c r="AG5" s="85">
        <f>t_Plants[[#This Row],[d2016.FY]]</f>
        <v>12</v>
      </c>
      <c r="AH5" s="63">
        <v>0</v>
      </c>
      <c r="AI5" s="63">
        <v>0</v>
      </c>
      <c r="AJ5" s="63">
        <v>0</v>
      </c>
      <c r="AK5" s="63">
        <v>0</v>
      </c>
      <c r="AL5" s="63">
        <v>0</v>
      </c>
      <c r="AM5" s="63">
        <v>0</v>
      </c>
      <c r="AN5" s="63">
        <v>0</v>
      </c>
      <c r="AO5" s="63">
        <v>0</v>
      </c>
      <c r="AP5" s="63">
        <v>0</v>
      </c>
      <c r="AQ5" s="63">
        <v>0</v>
      </c>
      <c r="AR5" s="63">
        <v>0</v>
      </c>
      <c r="AS5" s="63">
        <v>0</v>
      </c>
      <c r="AT5" s="85">
        <f>SUM(t_Plants[[#This Row],[o2015.01]:[o2015.12]])</f>
        <v>0</v>
      </c>
      <c r="AU5" s="63">
        <v>0</v>
      </c>
      <c r="AV5" s="63">
        <v>0</v>
      </c>
      <c r="AW5" s="63">
        <v>0</v>
      </c>
      <c r="AX5" s="63">
        <v>0</v>
      </c>
      <c r="AY5" s="63">
        <v>0</v>
      </c>
      <c r="AZ5" s="63">
        <v>0</v>
      </c>
      <c r="BA5" s="63">
        <v>0</v>
      </c>
      <c r="BB5" s="63">
        <v>0</v>
      </c>
      <c r="BC5" s="63">
        <v>0</v>
      </c>
      <c r="BD5" s="63">
        <v>0</v>
      </c>
      <c r="BE5" s="63">
        <v>0</v>
      </c>
      <c r="BF5" s="63">
        <v>0</v>
      </c>
      <c r="BG5" s="85">
        <f>SUM(t_Plants[[#This Row],[o2016.01]:[o2016.12]])</f>
        <v>0</v>
      </c>
      <c r="BH5" s="85">
        <f>t_Plants[[#This Row],[o2016.FY]]</f>
        <v>0</v>
      </c>
      <c r="BI5" s="85">
        <f>t_Plants[[#This Row],[o2016.FY]]</f>
        <v>0</v>
      </c>
      <c r="BJ5" s="85">
        <f>t_Plants[[#This Row],[o2016.FY]]</f>
        <v>0</v>
      </c>
      <c r="BK5">
        <f>t_Plants[[#This Row],[d2015.01]]-t_Plants[[#This Row],[o2015.01]]</f>
        <v>1</v>
      </c>
      <c r="BL5">
        <f>t_Plants[[#This Row],[d2015.02]]-t_Plants[[#This Row],[o2015.02]]</f>
        <v>1</v>
      </c>
      <c r="BM5">
        <f>t_Plants[[#This Row],[d2015.03]]-t_Plants[[#This Row],[o2015.03]]</f>
        <v>1</v>
      </c>
      <c r="BN5">
        <f>t_Plants[[#This Row],[d2015.04]]-t_Plants[[#This Row],[o2015.04]]</f>
        <v>1</v>
      </c>
      <c r="BO5">
        <f>t_Plants[[#This Row],[d2015.05]]-t_Plants[[#This Row],[o2015.05]]</f>
        <v>1</v>
      </c>
      <c r="BP5">
        <f>t_Plants[[#This Row],[d2015.06]]-t_Plants[[#This Row],[o2015.06]]</f>
        <v>1</v>
      </c>
      <c r="BQ5">
        <f>t_Plants[[#This Row],[d2015.07]]-t_Plants[[#This Row],[o2015.07]]</f>
        <v>1</v>
      </c>
      <c r="BR5">
        <f>t_Plants[[#This Row],[d2015.08]]-t_Plants[[#This Row],[o2015.08]]</f>
        <v>1</v>
      </c>
      <c r="BS5">
        <f>t_Plants[[#This Row],[d2015.09]]-t_Plants[[#This Row],[o2015.09]]</f>
        <v>1</v>
      </c>
      <c r="BT5">
        <f>t_Plants[[#This Row],[d2015.10]]-t_Plants[[#This Row],[o2015.10]]</f>
        <v>1</v>
      </c>
      <c r="BU5">
        <f>t_Plants[[#This Row],[d2015.11]]-t_Plants[[#This Row],[o2015.11]]</f>
        <v>1</v>
      </c>
      <c r="BV5">
        <f>t_Plants[[#This Row],[d2015.12]]-t_Plants[[#This Row],[o2015.12]]</f>
        <v>1</v>
      </c>
      <c r="BW5">
        <f>t_Plants[[#This Row],[d2015.FY]]-t_Plants[[#This Row],[o2015.FY]]</f>
        <v>12</v>
      </c>
      <c r="BX5">
        <f>t_Plants[[#This Row],[d2016.01]]-t_Plants[[#This Row],[o2016.01]]</f>
        <v>1</v>
      </c>
      <c r="BY5">
        <f>t_Plants[[#This Row],[d2016.02]]-t_Plants[[#This Row],[o2016.02]]</f>
        <v>1</v>
      </c>
      <c r="BZ5">
        <f>t_Plants[[#This Row],[d2016.03]]-t_Plants[[#This Row],[o2016.03]]</f>
        <v>1</v>
      </c>
      <c r="CA5">
        <f>t_Plants[[#This Row],[d2016.04]]-t_Plants[[#This Row],[o2016.04]]</f>
        <v>1</v>
      </c>
      <c r="CB5">
        <f>t_Plants[[#This Row],[d2016.05]]-t_Plants[[#This Row],[o2016.05]]</f>
        <v>1</v>
      </c>
      <c r="CC5">
        <f>t_Plants[[#This Row],[d2016.06]]-t_Plants[[#This Row],[o2016.06]]</f>
        <v>1</v>
      </c>
      <c r="CD5">
        <f>t_Plants[[#This Row],[d2016.07]]-t_Plants[[#This Row],[o2016.07]]</f>
        <v>1</v>
      </c>
      <c r="CE5">
        <f>t_Plants[[#This Row],[d2016.08]]-t_Plants[[#This Row],[o2016.08]]</f>
        <v>1</v>
      </c>
      <c r="CF5">
        <f>t_Plants[[#This Row],[d2016.09]]-t_Plants[[#This Row],[o2016.09]]</f>
        <v>1</v>
      </c>
      <c r="CG5">
        <f>t_Plants[[#This Row],[d2016.10]]-t_Plants[[#This Row],[o2016.10]]</f>
        <v>1</v>
      </c>
      <c r="CH5">
        <f>t_Plants[[#This Row],[d2016.11]]-t_Plants[[#This Row],[o2016.11]]</f>
        <v>1</v>
      </c>
      <c r="CI5">
        <f>t_Plants[[#This Row],[d2016.12]]-t_Plants[[#This Row],[o2016.12]]</f>
        <v>1</v>
      </c>
      <c r="CJ5">
        <f>SUM(t_Plants[[#This Row],[a2016.01]:[a2016.12]])</f>
        <v>12</v>
      </c>
      <c r="CK5">
        <f>t_Plants[[#This Row],[a2016.FY]]</f>
        <v>12</v>
      </c>
      <c r="CL5">
        <f>t_Plants[[#This Row],[a2016.FY]]</f>
        <v>12</v>
      </c>
      <c r="CM5">
        <f>t_Plants[[#This Row],[a2016.FY]]</f>
        <v>12</v>
      </c>
      <c r="CN5">
        <f>t_Plants[[#This Row],[a2015.01]]*t_Plants[[OperHrsPerDay]:[OperHrsPerDay]]</f>
        <v>12</v>
      </c>
      <c r="CO5">
        <f>t_Plants[[#This Row],[a2015.02]]*t_Plants[[OperHrsPerDay]:[OperHrsPerDay]]</f>
        <v>12</v>
      </c>
      <c r="CP5">
        <f>t_Plants[[#This Row],[a2015.03]]*t_Plants[[OperHrsPerDay]:[OperHrsPerDay]]</f>
        <v>12</v>
      </c>
      <c r="CQ5">
        <f>t_Plants[[#This Row],[a2015.04]]*t_Plants[[OperHrsPerDay]:[OperHrsPerDay]]</f>
        <v>12</v>
      </c>
      <c r="CR5">
        <f>t_Plants[[#This Row],[a2015.05]]*t_Plants[[OperHrsPerDay]:[OperHrsPerDay]]</f>
        <v>12</v>
      </c>
      <c r="CS5">
        <f>t_Plants[[#This Row],[a2015.06]]*t_Plants[[OperHrsPerDay]:[OperHrsPerDay]]</f>
        <v>12</v>
      </c>
      <c r="CT5">
        <f>t_Plants[[#This Row],[a2015.07]]*t_Plants[[OperHrsPerDay]:[OperHrsPerDay]]</f>
        <v>12</v>
      </c>
      <c r="CU5">
        <f>t_Plants[[#This Row],[a2015.08]]*t_Plants[[OperHrsPerDay]:[OperHrsPerDay]]</f>
        <v>12</v>
      </c>
      <c r="CV5">
        <f>t_Plants[[#This Row],[a2015.09]]*t_Plants[[OperHrsPerDay]:[OperHrsPerDay]]</f>
        <v>12</v>
      </c>
      <c r="CW5">
        <f>t_Plants[[#This Row],[a2015.10]]*t_Plants[[OperHrsPerDay]:[OperHrsPerDay]]</f>
        <v>12</v>
      </c>
      <c r="CX5">
        <f>t_Plants[[#This Row],[a2015.11]]*t_Plants[[OperHrsPerDay]:[OperHrsPerDay]]</f>
        <v>12</v>
      </c>
      <c r="CY5">
        <f>t_Plants[[#This Row],[a2015.12]]*t_Plants[[OperHrsPerDay]:[OperHrsPerDay]]</f>
        <v>12</v>
      </c>
      <c r="CZ5">
        <f>SUM(t_Plants[[#This Row],[h2015.01]:[h2015.12]])</f>
        <v>144</v>
      </c>
      <c r="DA5">
        <f>t_Plants[[#This Row],[a2016.01]]*t_Plants[[OperHrsPerDay]:[OperHrsPerDay]]</f>
        <v>12</v>
      </c>
      <c r="DB5">
        <f>t_Plants[[#This Row],[a2016.02]]*t_Plants[[OperHrsPerDay]:[OperHrsPerDay]]</f>
        <v>12</v>
      </c>
      <c r="DC5">
        <f>t_Plants[[#This Row],[a2016.03]]*t_Plants[[OperHrsPerDay]:[OperHrsPerDay]]</f>
        <v>12</v>
      </c>
      <c r="DD5">
        <f>t_Plants[[#This Row],[a2016.04]]*t_Plants[[OperHrsPerDay]:[OperHrsPerDay]]</f>
        <v>12</v>
      </c>
      <c r="DE5">
        <f>t_Plants[[#This Row],[a2016.05]]*t_Plants[[OperHrsPerDay]:[OperHrsPerDay]]</f>
        <v>12</v>
      </c>
      <c r="DF5">
        <f>t_Plants[[#This Row],[a2016.06]]*t_Plants[[OperHrsPerDay]:[OperHrsPerDay]]</f>
        <v>12</v>
      </c>
      <c r="DG5">
        <f>t_Plants[[#This Row],[a2016.07]]*t_Plants[[OperHrsPerDay]:[OperHrsPerDay]]</f>
        <v>12</v>
      </c>
      <c r="DH5">
        <f>t_Plants[[#This Row],[a2016.08]]*t_Plants[[OperHrsPerDay]:[OperHrsPerDay]]</f>
        <v>12</v>
      </c>
      <c r="DI5">
        <f>t_Plants[[#This Row],[a2016.09]]*t_Plants[[OperHrsPerDay]:[OperHrsPerDay]]</f>
        <v>12</v>
      </c>
      <c r="DJ5">
        <f>t_Plants[[#This Row],[a2016.10]]*t_Plants[[OperHrsPerDay]:[OperHrsPerDay]]</f>
        <v>12</v>
      </c>
      <c r="DK5">
        <f>t_Plants[[#This Row],[a2016.11]]*t_Plants[[OperHrsPerDay]:[OperHrsPerDay]]</f>
        <v>12</v>
      </c>
      <c r="DL5">
        <f>t_Plants[[#This Row],[a2016.12]]*t_Plants[[OperHrsPerDay]:[OperHrsPerDay]]</f>
        <v>12</v>
      </c>
      <c r="DM5">
        <f>t_Plants[[#This Row],[a2016.FY]]*t_Plants[[OperHrsPerDay]:[OperHrsPerDay]]</f>
        <v>144</v>
      </c>
      <c r="DN5">
        <f>t_Plants[[#This Row],[a2017]]*t_Plants[[OperHrsPerDay]:[OperHrsPerDay]]</f>
        <v>144</v>
      </c>
      <c r="DO5">
        <f>t_Plants[[#This Row],[a2018]]*t_Plants[[OperHrsPerDay]:[OperHrsPerDay]]</f>
        <v>144</v>
      </c>
      <c r="DP5">
        <f>t_Plants[[#This Row],[a2019]]*t_Plants[[OperHrsPerDay]:[OperHrsPerDay]]</f>
        <v>144</v>
      </c>
      <c r="DQ5">
        <f>t_Plants[[#This Row],[h2015.01]]*t_Plants[[Press Count]:[Press Count]]</f>
        <v>0</v>
      </c>
      <c r="DR5">
        <f>t_Plants[[#This Row],[h2015.02]]*t_Plants[[Press Count]:[Press Count]]</f>
        <v>0</v>
      </c>
      <c r="DS5">
        <f>t_Plants[[#This Row],[h2015.03]]*t_Plants[[Press Count]:[Press Count]]</f>
        <v>0</v>
      </c>
      <c r="DT5">
        <f>t_Plants[[#This Row],[h2015.04]]*t_Plants[[Press Count]:[Press Count]]</f>
        <v>0</v>
      </c>
      <c r="DU5">
        <f>t_Plants[[#This Row],[h2015.05]]*t_Plants[[Press Count]:[Press Count]]</f>
        <v>0</v>
      </c>
      <c r="DV5">
        <f>t_Plants[[#This Row],[h2015.06]]*t_Plants[[Press Count]:[Press Count]]</f>
        <v>0</v>
      </c>
      <c r="DW5">
        <f>t_Plants[[#This Row],[h2015.07]]*t_Plants[[Press Count]:[Press Count]]</f>
        <v>0</v>
      </c>
      <c r="DX5">
        <f>t_Plants[[#This Row],[h2015.08]]*t_Plants[[Press Count]:[Press Count]]</f>
        <v>0</v>
      </c>
      <c r="DY5">
        <f>t_Plants[[#This Row],[h2015.09]]*t_Plants[[Press Count]:[Press Count]]</f>
        <v>0</v>
      </c>
      <c r="DZ5">
        <f>t_Plants[[#This Row],[h2015.10]]*t_Plants[[Press Count]:[Press Count]]</f>
        <v>0</v>
      </c>
      <c r="EA5">
        <f>t_Plants[[#This Row],[h2015.11]]*t_Plants[[Press Count]:[Press Count]]</f>
        <v>0</v>
      </c>
      <c r="EB5">
        <f>t_Plants[[#This Row],[h2015.12]]*t_Plants[[Press Count]:[Press Count]]</f>
        <v>0</v>
      </c>
      <c r="EC5">
        <f>t_Plants[[#This Row],[h2015.FY]]*t_Plants[[Press Count]:[Press Count]]</f>
        <v>0</v>
      </c>
      <c r="ED5">
        <f>t_Plants[[#This Row],[h2016.01]]*t_Plants[[Press Count]:[Press Count]]</f>
        <v>0</v>
      </c>
      <c r="EE5">
        <f>t_Plants[[#This Row],[h2016.02]]*t_Plants[[Press Count]:[Press Count]]</f>
        <v>0</v>
      </c>
      <c r="EF5">
        <f>t_Plants[[#This Row],[h2016.03]]*t_Plants[[Press Count]:[Press Count]]</f>
        <v>0</v>
      </c>
      <c r="EG5">
        <f>t_Plants[[#This Row],[h2016.04]]*t_Plants[[Press Count]:[Press Count]]</f>
        <v>0</v>
      </c>
      <c r="EH5">
        <f>t_Plants[[#This Row],[h2016.05]]*t_Plants[[Press Count]:[Press Count]]</f>
        <v>0</v>
      </c>
      <c r="EI5">
        <f>t_Plants[[#This Row],[h2016.06]]*t_Plants[[Press Count]:[Press Count]]</f>
        <v>0</v>
      </c>
      <c r="EJ5">
        <f>t_Plants[[#This Row],[h2016.07]]*t_Plants[[Press Count]:[Press Count]]</f>
        <v>0</v>
      </c>
      <c r="EK5">
        <f>t_Plants[[#This Row],[h2016.08]]*t_Plants[[Press Count]:[Press Count]]</f>
        <v>0</v>
      </c>
      <c r="EL5">
        <f>t_Plants[[#This Row],[h2016.09]]*t_Plants[[Press Count]:[Press Count]]</f>
        <v>0</v>
      </c>
      <c r="EM5">
        <f>t_Plants[[#This Row],[h2016.10]]*t_Plants[[Press Count]:[Press Count]]</f>
        <v>0</v>
      </c>
      <c r="EN5">
        <f>t_Plants[[#This Row],[h2016.11]]*t_Plants[[Press Count]:[Press Count]]</f>
        <v>0</v>
      </c>
      <c r="EO5">
        <f>t_Plants[[#This Row],[h2016.12]]*t_Plants[[Press Count]:[Press Count]]</f>
        <v>0</v>
      </c>
      <c r="EP5">
        <f>t_Plants[[#This Row],[h2016.FY]]*t_Plants[[Press Count]:[Press Count]]</f>
        <v>0</v>
      </c>
      <c r="EQ5">
        <f>t_Plants[[#This Row],[h2017]]*t_Plants[[Press Count]:[Press Count]]</f>
        <v>0</v>
      </c>
      <c r="ER5">
        <f>t_Plants[[#This Row],[h2018]]*t_Plants[[Press Count]:[Press Count]]</f>
        <v>0</v>
      </c>
      <c r="ES5">
        <f>t_Plants[[#This Row],[h2019]]*t_Plants[[Press Count]:[Press Count]]</f>
        <v>0</v>
      </c>
      <c r="ET5" s="20">
        <f>SUMIF(r_Press_Plants,t_Plants[[Plant]:[Plant]],t_Presses[hp2015.01])</f>
        <v>0</v>
      </c>
      <c r="EU5" s="20">
        <f>SUMIF(r_Press_Plants,t_Plants[[Plant]:[Plant]],t_Presses[hp2015.02])</f>
        <v>0</v>
      </c>
      <c r="EV5" s="20">
        <f>SUMIF(r_Press_Plants,t_Plants[[Plant]:[Plant]],t_Presses[hp2015.03])</f>
        <v>0</v>
      </c>
      <c r="EW5" s="20">
        <f>SUMIF(r_Press_Plants,t_Plants[[Plant]:[Plant]],t_Presses[hp2015.04])</f>
        <v>0</v>
      </c>
      <c r="EX5" s="20">
        <f>SUMIF(r_Press_Plants,t_Plants[[Plant]:[Plant]],t_Presses[hp2015.05])</f>
        <v>0</v>
      </c>
      <c r="EY5" s="20">
        <f>SUMIF(r_Press_Plants,t_Plants[[Plant]:[Plant]],t_Presses[hp2015.06])</f>
        <v>0</v>
      </c>
      <c r="EZ5" s="20">
        <f>SUMIF(r_Press_Plants,t_Plants[[Plant]:[Plant]],t_Presses[hp2015.07])</f>
        <v>0</v>
      </c>
      <c r="FA5" s="20">
        <f>SUMIF(r_Press_Plants,t_Plants[[Plant]:[Plant]],t_Presses[hp2015.08])</f>
        <v>0</v>
      </c>
      <c r="FB5" s="20">
        <f>SUMIF(r_Press_Plants,t_Plants[[Plant]:[Plant]],t_Presses[hp2015.09])</f>
        <v>0</v>
      </c>
      <c r="FC5" s="20">
        <f>SUMIF(r_Press_Plants,t_Plants[[Plant]:[Plant]],t_Presses[hp2015.10])</f>
        <v>0</v>
      </c>
      <c r="FD5" s="20">
        <f>SUMIF(r_Press_Plants,t_Plants[[Plant]:[Plant]],t_Presses[hp2015.11])</f>
        <v>0</v>
      </c>
      <c r="FE5" s="20">
        <f>SUMIF(r_Press_Plants,t_Plants[[Plant]:[Plant]],t_Presses[hp2015.12])</f>
        <v>0</v>
      </c>
      <c r="FF5" s="20">
        <f>SUMIF(r_Press_Plants,t_Plants[[Plant]:[Plant]],t_Presses[hp2015.FY])</f>
        <v>0</v>
      </c>
      <c r="FG5" s="20">
        <f>SUMIF(r_Press_Plants,t_Plants[[Plant]:[Plant]],t_Presses[hp2016.01])</f>
        <v>0</v>
      </c>
      <c r="FH5" s="20">
        <f>SUMIF(r_Press_Plants,t_Plants[[Plant]:[Plant]],t_Presses[hp2016.02])</f>
        <v>0</v>
      </c>
      <c r="FI5" s="20">
        <f>SUMIF(r_Press_Plants,t_Plants[[Plant]:[Plant]],t_Presses[hp2016.03])</f>
        <v>0</v>
      </c>
      <c r="FJ5" s="20">
        <f>SUMIF(r_Press_Plants,t_Plants[[Plant]:[Plant]],t_Presses[hp2016.04])</f>
        <v>0</v>
      </c>
      <c r="FK5" s="20">
        <f>SUMIF(r_Press_Plants,t_Plants[[Plant]:[Plant]],t_Presses[hp2016.05])</f>
        <v>0</v>
      </c>
      <c r="FL5" s="20">
        <f>SUMIF(r_Press_Plants,t_Plants[[Plant]:[Plant]],t_Presses[hp2016.06])</f>
        <v>0</v>
      </c>
      <c r="FM5" s="20">
        <f>SUMIF(r_Press_Plants,t_Plants[[Plant]:[Plant]],t_Presses[hp2016.07])</f>
        <v>0</v>
      </c>
      <c r="FN5" s="20">
        <f>SUMIF(r_Press_Plants,t_Plants[[Plant]:[Plant]],t_Presses[hp2016.08])</f>
        <v>0</v>
      </c>
      <c r="FO5" s="20">
        <f>SUMIF(r_Press_Plants,t_Plants[[Plant]:[Plant]],t_Presses[hp2016.09])</f>
        <v>0</v>
      </c>
      <c r="FP5" s="20">
        <f>SUMIF(r_Press_Plants,t_Plants[[Plant]:[Plant]],t_Presses[hp2016.10])</f>
        <v>0</v>
      </c>
      <c r="FQ5" s="20">
        <f>SUMIF(r_Press_Plants,t_Plants[[Plant]:[Plant]],t_Presses[hp2016.11])</f>
        <v>0</v>
      </c>
      <c r="FR5" s="20">
        <f>SUMIF(r_Press_Plants,t_Plants[[Plant]:[Plant]],t_Presses[hp2016.12])</f>
        <v>0</v>
      </c>
      <c r="FS5" s="20">
        <f>SUMIF(r_Press_Plants,t_Plants[[Plant]:[Plant]],t_Presses[hp2016.FY])</f>
        <v>0</v>
      </c>
      <c r="FT5" s="20">
        <f>SUMIF(r_Press_Plants,t_Plants[[Plant]:[Plant]],t_Presses[hp2017])</f>
        <v>0</v>
      </c>
      <c r="FU5" s="20">
        <f>SUMIF(r_Press_Plants,t_Plants[[Plant]:[Plant]],t_Presses[hp2018])</f>
        <v>0</v>
      </c>
      <c r="FV5" s="20">
        <f>SUMIF(r_Press_Plants,t_Plants[[Plant]:[Plant]],t_Presses[hp2019])</f>
        <v>0</v>
      </c>
      <c r="FW5" s="15">
        <f>IF(t_Plants[[#This Row],[t2015.01]]&gt;0,t_Plants[[#This Row],[p2015.01]]/t_Plants[[#This Row],[t2015.01]],0)</f>
        <v>0</v>
      </c>
      <c r="FX5" s="15">
        <f>IF(t_Plants[[#This Row],[t2015.02]]&gt;0,t_Plants[[#This Row],[p2015.02]]/t_Plants[[#This Row],[t2015.02]],0)</f>
        <v>0</v>
      </c>
      <c r="FY5" s="15">
        <f>IF(t_Plants[[#This Row],[t2015.03]]&gt;0,t_Plants[[#This Row],[p2015.03]]/t_Plants[[#This Row],[t2015.03]],0)</f>
        <v>0</v>
      </c>
      <c r="FZ5" s="15">
        <f>IF(t_Plants[[#This Row],[t2015.04]]&gt;0,t_Plants[[#This Row],[p2015.04]]/t_Plants[[#This Row],[t2015.04]],0)</f>
        <v>0</v>
      </c>
      <c r="GA5" s="15">
        <f>IF(t_Plants[[#This Row],[t2015.05]]&gt;0,t_Plants[[#This Row],[p2015.05]]/t_Plants[[#This Row],[t2015.05]],0)</f>
        <v>0</v>
      </c>
      <c r="GB5" s="15">
        <f>IF(t_Plants[[#This Row],[t2015.06]]&gt;0,t_Plants[[#This Row],[p2015.06]]/t_Plants[[#This Row],[t2015.06]],0)</f>
        <v>0</v>
      </c>
      <c r="GC5" s="15">
        <f>IF(t_Plants[[#This Row],[t2015.07]]&gt;0,t_Plants[[#This Row],[p2015.07]]/t_Plants[[#This Row],[t2015.07]],0)</f>
        <v>0</v>
      </c>
      <c r="GD5" s="15">
        <f>IF(t_Plants[[#This Row],[t2015.08]]&gt;0,t_Plants[[#This Row],[p2015.08]]/t_Plants[[#This Row],[t2015.08]],0)</f>
        <v>0</v>
      </c>
      <c r="GE5" s="15">
        <f>IF(t_Plants[[#This Row],[t2015.09]]&gt;0,t_Plants[[#This Row],[p2015.09]]/t_Plants[[#This Row],[t2015.09]],0)</f>
        <v>0</v>
      </c>
      <c r="GF5" s="15">
        <f>IF(t_Plants[[#This Row],[t2015.10]]&gt;0,t_Plants[[#This Row],[p2015.10]]/t_Plants[[#This Row],[t2015.10]],0)</f>
        <v>0</v>
      </c>
      <c r="GG5" s="15">
        <f>IF(t_Plants[[#This Row],[t2015.11]]&gt;0,t_Plants[[#This Row],[p2015.11]]/t_Plants[[#This Row],[t2015.11]],0)</f>
        <v>0</v>
      </c>
      <c r="GH5" s="15">
        <f>IF(t_Plants[[#This Row],[t2015.12]]&gt;0,t_Plants[[#This Row],[p2015.12]]/t_Plants[[#This Row],[t2015.12]],0)</f>
        <v>0</v>
      </c>
      <c r="GI5" s="15">
        <f>IF(t_Plants[[#This Row],[t2015.FY]]&gt;0,t_Plants[[#This Row],[p2015.FY]]/t_Plants[[#This Row],[t2015.FY]],0)</f>
        <v>0</v>
      </c>
      <c r="GJ5" s="15">
        <f>IF(t_Plants[[#This Row],[t2016.01]]&gt;0,t_Plants[[#This Row],[p2016.01]]/t_Plants[[#This Row],[t2016.01]],0)</f>
        <v>0</v>
      </c>
      <c r="GK5" s="15">
        <f>IF(t_Plants[[#This Row],[t2016.02]]&gt;0,t_Plants[[#This Row],[p2016.02]]/t_Plants[[#This Row],[t2016.02]],0)</f>
        <v>0</v>
      </c>
      <c r="GL5" s="15">
        <f>IF(t_Plants[[#This Row],[t2016.03]]&gt;0,t_Plants[[#This Row],[p2016.03]]/t_Plants[[#This Row],[t2016.03]],0)</f>
        <v>0</v>
      </c>
      <c r="GM5" s="15">
        <f>IF(t_Plants[[#This Row],[t2016.04]]&gt;0,t_Plants[[#This Row],[p2016.04]]/t_Plants[[#This Row],[t2016.04]],0)</f>
        <v>0</v>
      </c>
      <c r="GN5" s="15">
        <f>IF(t_Plants[[#This Row],[t2016.05]]&gt;0,t_Plants[[#This Row],[p2016.05]]/t_Plants[[#This Row],[t2016.05]],0)</f>
        <v>0</v>
      </c>
      <c r="GO5" s="15">
        <f>IF(t_Plants[[#This Row],[t2016.06]]&gt;0,t_Plants[[#This Row],[p2016.06]]/t_Plants[[#This Row],[t2016.06]],0)</f>
        <v>0</v>
      </c>
      <c r="GP5" s="15">
        <f>IF(t_Plants[[#This Row],[t2016.07]]&gt;0,t_Plants[[#This Row],[p2016.07]]/t_Plants[[#This Row],[t2016.07]],0)</f>
        <v>0</v>
      </c>
      <c r="GQ5" s="15">
        <f>IF(t_Plants[[#This Row],[t2016.08]]&gt;0,t_Plants[[#This Row],[p2016.08]]/t_Plants[[#This Row],[t2016.08]],0)</f>
        <v>0</v>
      </c>
      <c r="GR5" s="15">
        <f>IF(t_Plants[[#This Row],[t2016.09]]&gt;0,t_Plants[[#This Row],[p2016.09]]/t_Plants[[#This Row],[t2016.09]],0)</f>
        <v>0</v>
      </c>
      <c r="GS5" s="15">
        <f>IF(t_Plants[[#This Row],[t2016.10]]&gt;0,t_Plants[[#This Row],[p2016.10]]/t_Plants[[#This Row],[t2016.10]],0)</f>
        <v>0</v>
      </c>
      <c r="GT5" s="15">
        <f>IF(t_Plants[[#This Row],[t2016.11]]&gt;0,t_Plants[[#This Row],[p2016.11]]/t_Plants[[#This Row],[t2016.11]],0)</f>
        <v>0</v>
      </c>
      <c r="GU5" s="15">
        <f>IF(t_Plants[[#This Row],[t2016.12]]&gt;0,t_Plants[[#This Row],[p2016.12]]/t_Plants[[#This Row],[t2016.12]],0)</f>
        <v>0</v>
      </c>
      <c r="GV5" s="15">
        <f>IF(t_Plants[[#This Row],[t2016.FY]]&gt;0,t_Plants[[#This Row],[p2016.FY]]/t_Plants[[#This Row],[t2016.FY]],0)</f>
        <v>0</v>
      </c>
      <c r="GW5" s="15">
        <f>IF(t_Plants[[#This Row],[t2017]]&gt;0,t_Plants[[#This Row],[p2017]]/t_Plants[[#This Row],[t2017]],0)</f>
        <v>0</v>
      </c>
      <c r="GX5" s="15">
        <f>IF(t_Plants[[#This Row],[t2018]]&gt;0,t_Plants[[#This Row],[p2018]]/t_Plants[[#This Row],[t2018]],0)</f>
        <v>0</v>
      </c>
      <c r="GY5" s="15">
        <f>IF(t_Plants[[#This Row],[t2019]]&gt;0,t_Plants[[#This Row],[p2019]]/t_Plants[[#This Row],[t2019]],0)</f>
        <v>0</v>
      </c>
    </row>
    <row r="6" spans="1:207" x14ac:dyDescent="0.25">
      <c r="A6" t="s">
        <v>9</v>
      </c>
      <c r="B6" s="63">
        <v>8</v>
      </c>
      <c r="C6" s="65">
        <v>0.76</v>
      </c>
      <c r="D6" s="85">
        <f>COUNTIF(r_Press_Plants,t_Plants[[#This Row],[Plant]])</f>
        <v>18</v>
      </c>
      <c r="E6" s="63">
        <v>28</v>
      </c>
      <c r="F6" s="63">
        <v>28</v>
      </c>
      <c r="G6" s="63">
        <v>35</v>
      </c>
      <c r="H6" s="63">
        <v>28</v>
      </c>
      <c r="I6" s="63">
        <v>28</v>
      </c>
      <c r="J6" s="63">
        <v>35</v>
      </c>
      <c r="K6" s="63">
        <v>28</v>
      </c>
      <c r="L6" s="63">
        <v>28</v>
      </c>
      <c r="M6" s="63">
        <v>35</v>
      </c>
      <c r="N6" s="63">
        <v>28</v>
      </c>
      <c r="O6" s="63">
        <v>28</v>
      </c>
      <c r="P6" s="63">
        <v>35</v>
      </c>
      <c r="Q6" s="85">
        <f>SUM(t_Plants[[#This Row],[d2015.01]:[d2015.12]])</f>
        <v>364</v>
      </c>
      <c r="R6" s="63">
        <v>28</v>
      </c>
      <c r="S6" s="63">
        <v>28</v>
      </c>
      <c r="T6" s="63">
        <v>35</v>
      </c>
      <c r="U6" s="63">
        <v>28</v>
      </c>
      <c r="V6" s="63">
        <v>28</v>
      </c>
      <c r="W6" s="63">
        <v>35</v>
      </c>
      <c r="X6" s="63">
        <v>28</v>
      </c>
      <c r="Y6" s="63">
        <v>28</v>
      </c>
      <c r="Z6" s="63">
        <v>35</v>
      </c>
      <c r="AA6" s="63">
        <v>28</v>
      </c>
      <c r="AB6" s="63">
        <v>28</v>
      </c>
      <c r="AC6" s="63">
        <v>35</v>
      </c>
      <c r="AD6" s="85">
        <f>SUM(t_Plants[[#This Row],[d2016.01]:[d2016.12]])</f>
        <v>364</v>
      </c>
      <c r="AE6" s="85">
        <f>t_Plants[[#This Row],[d2016.FY]]</f>
        <v>364</v>
      </c>
      <c r="AF6" s="85">
        <f>t_Plants[[#This Row],[d2016.FY]]</f>
        <v>364</v>
      </c>
      <c r="AG6" s="85">
        <f>t_Plants[[#This Row],[d2016.FY]]</f>
        <v>364</v>
      </c>
      <c r="AH6" s="63">
        <v>2</v>
      </c>
      <c r="AI6" s="63">
        <v>2</v>
      </c>
      <c r="AJ6" s="63">
        <v>1</v>
      </c>
      <c r="AK6" s="63">
        <v>2</v>
      </c>
      <c r="AL6" s="63">
        <v>2</v>
      </c>
      <c r="AM6" s="63">
        <v>1</v>
      </c>
      <c r="AN6" s="63">
        <v>2</v>
      </c>
      <c r="AO6" s="63">
        <v>2</v>
      </c>
      <c r="AP6" s="63">
        <v>1</v>
      </c>
      <c r="AQ6" s="63">
        <v>2</v>
      </c>
      <c r="AR6" s="63">
        <v>2</v>
      </c>
      <c r="AS6" s="63">
        <v>1</v>
      </c>
      <c r="AT6" s="85">
        <f>SUM(t_Plants[[#This Row],[o2015.01]:[o2015.12]])</f>
        <v>20</v>
      </c>
      <c r="AU6" s="63">
        <v>2</v>
      </c>
      <c r="AV6" s="63">
        <v>2</v>
      </c>
      <c r="AW6" s="63">
        <v>1</v>
      </c>
      <c r="AX6" s="63">
        <v>2</v>
      </c>
      <c r="AY6" s="63">
        <v>2</v>
      </c>
      <c r="AZ6" s="63">
        <v>1</v>
      </c>
      <c r="BA6" s="63">
        <v>2</v>
      </c>
      <c r="BB6" s="63">
        <v>2</v>
      </c>
      <c r="BC6" s="63">
        <v>1</v>
      </c>
      <c r="BD6" s="63">
        <v>2</v>
      </c>
      <c r="BE6" s="63">
        <v>2</v>
      </c>
      <c r="BF6" s="63">
        <v>1</v>
      </c>
      <c r="BG6" s="85">
        <f>SUM(t_Plants[[#This Row],[o2016.01]:[o2016.12]])</f>
        <v>20</v>
      </c>
      <c r="BH6" s="85">
        <f>t_Plants[[#This Row],[o2016.FY]]</f>
        <v>20</v>
      </c>
      <c r="BI6" s="85">
        <f>t_Plants[[#This Row],[o2016.FY]]</f>
        <v>20</v>
      </c>
      <c r="BJ6" s="85">
        <f>t_Plants[[#This Row],[o2016.FY]]</f>
        <v>20</v>
      </c>
      <c r="BK6">
        <f>t_Plants[[#This Row],[d2015.01]]-t_Plants[[#This Row],[o2015.01]]</f>
        <v>26</v>
      </c>
      <c r="BL6">
        <f>t_Plants[[#This Row],[d2015.02]]-t_Plants[[#This Row],[o2015.02]]</f>
        <v>26</v>
      </c>
      <c r="BM6">
        <f>t_Plants[[#This Row],[d2015.03]]-t_Plants[[#This Row],[o2015.03]]</f>
        <v>34</v>
      </c>
      <c r="BN6">
        <f>t_Plants[[#This Row],[d2015.04]]-t_Plants[[#This Row],[o2015.04]]</f>
        <v>26</v>
      </c>
      <c r="BO6">
        <f>t_Plants[[#This Row],[d2015.05]]-t_Plants[[#This Row],[o2015.05]]</f>
        <v>26</v>
      </c>
      <c r="BP6">
        <f>t_Plants[[#This Row],[d2015.06]]-t_Plants[[#This Row],[o2015.06]]</f>
        <v>34</v>
      </c>
      <c r="BQ6">
        <f>t_Plants[[#This Row],[d2015.07]]-t_Plants[[#This Row],[o2015.07]]</f>
        <v>26</v>
      </c>
      <c r="BR6">
        <f>t_Plants[[#This Row],[d2015.08]]-t_Plants[[#This Row],[o2015.08]]</f>
        <v>26</v>
      </c>
      <c r="BS6">
        <f>t_Plants[[#This Row],[d2015.09]]-t_Plants[[#This Row],[o2015.09]]</f>
        <v>34</v>
      </c>
      <c r="BT6">
        <f>t_Plants[[#This Row],[d2015.10]]-t_Plants[[#This Row],[o2015.10]]</f>
        <v>26</v>
      </c>
      <c r="BU6">
        <f>t_Plants[[#This Row],[d2015.11]]-t_Plants[[#This Row],[o2015.11]]</f>
        <v>26</v>
      </c>
      <c r="BV6">
        <f>t_Plants[[#This Row],[d2015.12]]-t_Plants[[#This Row],[o2015.12]]</f>
        <v>34</v>
      </c>
      <c r="BW6">
        <f>t_Plants[[#This Row],[d2015.FY]]-t_Plants[[#This Row],[o2015.FY]]</f>
        <v>344</v>
      </c>
      <c r="BX6">
        <f>t_Plants[[#This Row],[d2016.01]]-t_Plants[[#This Row],[o2016.01]]</f>
        <v>26</v>
      </c>
      <c r="BY6">
        <f>t_Plants[[#This Row],[d2016.02]]-t_Plants[[#This Row],[o2016.02]]</f>
        <v>26</v>
      </c>
      <c r="BZ6">
        <f>t_Plants[[#This Row],[d2016.03]]-t_Plants[[#This Row],[o2016.03]]</f>
        <v>34</v>
      </c>
      <c r="CA6">
        <f>t_Plants[[#This Row],[d2016.04]]-t_Plants[[#This Row],[o2016.04]]</f>
        <v>26</v>
      </c>
      <c r="CB6">
        <f>t_Plants[[#This Row],[d2016.05]]-t_Plants[[#This Row],[o2016.05]]</f>
        <v>26</v>
      </c>
      <c r="CC6">
        <f>t_Plants[[#This Row],[d2016.06]]-t_Plants[[#This Row],[o2016.06]]</f>
        <v>34</v>
      </c>
      <c r="CD6">
        <f>t_Plants[[#This Row],[d2016.07]]-t_Plants[[#This Row],[o2016.07]]</f>
        <v>26</v>
      </c>
      <c r="CE6">
        <f>t_Plants[[#This Row],[d2016.08]]-t_Plants[[#This Row],[o2016.08]]</f>
        <v>26</v>
      </c>
      <c r="CF6">
        <f>t_Plants[[#This Row],[d2016.09]]-t_Plants[[#This Row],[o2016.09]]</f>
        <v>34</v>
      </c>
      <c r="CG6">
        <f>t_Plants[[#This Row],[d2016.10]]-t_Plants[[#This Row],[o2016.10]]</f>
        <v>26</v>
      </c>
      <c r="CH6">
        <f>t_Plants[[#This Row],[d2016.11]]-t_Plants[[#This Row],[o2016.11]]</f>
        <v>26</v>
      </c>
      <c r="CI6">
        <f>t_Plants[[#This Row],[d2016.12]]-t_Plants[[#This Row],[o2016.12]]</f>
        <v>34</v>
      </c>
      <c r="CJ6">
        <f>SUM(t_Plants[[#This Row],[a2016.01]:[a2016.12]])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Row],[a2016.FY]]</f>
        <v>344</v>
      </c>
      <c r="CN6">
        <f>t_Plants[[#This Row],[a2015.01]]*t_Plants[[OperHrsPerDay]:[OperHrsPerDay]]</f>
        <v>208</v>
      </c>
      <c r="CO6">
        <f>t_Plants[[#This Row],[a2015.02]]*t_Plants[[OperHrsPerDay]:[OperHrsPerDay]]</f>
        <v>208</v>
      </c>
      <c r="CP6">
        <f>t_Plants[[#This Row],[a2015.03]]*t_Plants[[OperHrsPerDay]:[OperHrsPerDay]]</f>
        <v>272</v>
      </c>
      <c r="CQ6">
        <f>t_Plants[[#This Row],[a2015.04]]*t_Plants[[OperHrsPerDay]:[OperHrsPerDay]]</f>
        <v>208</v>
      </c>
      <c r="CR6">
        <f>t_Plants[[#This Row],[a2015.05]]*t_Plants[[OperHrsPerDay]:[OperHrsPerDay]]</f>
        <v>208</v>
      </c>
      <c r="CS6">
        <f>t_Plants[[#This Row],[a2015.06]]*t_Plants[[OperHrsPerDay]:[OperHrsPerDay]]</f>
        <v>272</v>
      </c>
      <c r="CT6">
        <f>t_Plants[[#This Row],[a2015.07]]*t_Plants[[OperHrsPerDay]:[OperHrsPerDay]]</f>
        <v>208</v>
      </c>
      <c r="CU6">
        <f>t_Plants[[#This Row],[a2015.08]]*t_Plants[[OperHrsPerDay]:[OperHrsPerDay]]</f>
        <v>208</v>
      </c>
      <c r="CV6">
        <f>t_Plants[[#This Row],[a2015.09]]*t_Plants[[OperHrsPerDay]:[OperHrsPerDay]]</f>
        <v>272</v>
      </c>
      <c r="CW6">
        <f>t_Plants[[#This Row],[a2015.10]]*t_Plants[[OperHrsPerDay]:[OperHrsPerDay]]</f>
        <v>208</v>
      </c>
      <c r="CX6">
        <f>t_Plants[[#This Row],[a2015.11]]*t_Plants[[OperHrsPerDay]:[OperHrsPerDay]]</f>
        <v>208</v>
      </c>
      <c r="CY6">
        <f>t_Plants[[#This Row],[a2015.12]]*t_Plants[[OperHrsPerDay]:[OperHrsPerDay]]</f>
        <v>272</v>
      </c>
      <c r="CZ6">
        <f>SUM(t_Plants[[#This Row],[h2015.01]:[h2015.12]])</f>
        <v>2752</v>
      </c>
      <c r="DA6">
        <f>t_Plants[[#This Row],[a2016.01]]*t_Plants[[OperHrsPerDay]:[OperHrsPerDay]]</f>
        <v>208</v>
      </c>
      <c r="DB6">
        <f>t_Plants[[#This Row],[a2016.02]]*t_Plants[[OperHrsPerDay]:[OperHrsPerDay]]</f>
        <v>208</v>
      </c>
      <c r="DC6">
        <f>t_Plants[[#This Row],[a2016.03]]*t_Plants[[OperHrsPerDay]:[OperHrsPerDay]]</f>
        <v>272</v>
      </c>
      <c r="DD6">
        <f>t_Plants[[#This Row],[a2016.04]]*t_Plants[[OperHrsPerDay]:[OperHrsPerDay]]</f>
        <v>208</v>
      </c>
      <c r="DE6">
        <f>t_Plants[[#This Row],[a2016.05]]*t_Plants[[OperHrsPerDay]:[OperHrsPerDay]]</f>
        <v>208</v>
      </c>
      <c r="DF6">
        <f>t_Plants[[#This Row],[a2016.06]]*t_Plants[[OperHrsPerDay]:[OperHrsPerDay]]</f>
        <v>272</v>
      </c>
      <c r="DG6">
        <f>t_Plants[[#This Row],[a2016.07]]*t_Plants[[OperHrsPerDay]:[OperHrsPerDay]]</f>
        <v>208</v>
      </c>
      <c r="DH6">
        <f>t_Plants[[#This Row],[a2016.08]]*t_Plants[[OperHrsPerDay]:[OperHrsPerDay]]</f>
        <v>208</v>
      </c>
      <c r="DI6">
        <f>t_Plants[[#This Row],[a2016.09]]*t_Plants[[OperHrsPerDay]:[OperHrsPerDay]]</f>
        <v>272</v>
      </c>
      <c r="DJ6">
        <f>t_Plants[[#This Row],[a2016.10]]*t_Plants[[OperHrsPerDay]:[OperHrsPerDay]]</f>
        <v>208</v>
      </c>
      <c r="DK6">
        <f>t_Plants[[#This Row],[a2016.11]]*t_Plants[[OperHrsPerDay]:[OperHrsPerDay]]</f>
        <v>208</v>
      </c>
      <c r="DL6">
        <f>t_Plants[[#This Row],[a2016.12]]*t_Plants[[OperHrsPerDay]:[OperHrsPerDay]]</f>
        <v>272</v>
      </c>
      <c r="DM6">
        <f>t_Plants[[#This Row],[a2016.FY]]*t_Plants[[OperHrsPerDay]:[OperHrsPerDay]]</f>
        <v>2752</v>
      </c>
      <c r="DN6">
        <f>t_Plants[[#This Row],[a2017]]*t_Plants[[OperHrsPerDay]:[OperHrsPerDay]]</f>
        <v>2752</v>
      </c>
      <c r="DO6">
        <f>t_Plants[[#This Row],[a2018]]*t_Plants[[OperHrsPerDay]:[OperHrsPerDay]]</f>
        <v>2752</v>
      </c>
      <c r="DP6">
        <f>t_Plants[[#This Row],[a2019]]*t_Plants[[OperHrsPerDay]:[OperHrsPerDay]]</f>
        <v>2752</v>
      </c>
      <c r="DQ6">
        <f>t_Plants[[#This Row],[h2015.01]]*t_Plants[[Press Count]:[Press Count]]</f>
        <v>3744</v>
      </c>
      <c r="DR6">
        <f>t_Plants[[#This Row],[h2015.02]]*t_Plants[[Press Count]:[Press Count]]</f>
        <v>3744</v>
      </c>
      <c r="DS6">
        <f>t_Plants[[#This Row],[h2015.03]]*t_Plants[[Press Count]:[Press Count]]</f>
        <v>4896</v>
      </c>
      <c r="DT6">
        <f>t_Plants[[#This Row],[h2015.04]]*t_Plants[[Press Count]:[Press Count]]</f>
        <v>3744</v>
      </c>
      <c r="DU6">
        <f>t_Plants[[#This Row],[h2015.05]]*t_Plants[[Press Count]:[Press Count]]</f>
        <v>3744</v>
      </c>
      <c r="DV6">
        <f>t_Plants[[#This Row],[h2015.06]]*t_Plants[[Press Count]:[Press Count]]</f>
        <v>4896</v>
      </c>
      <c r="DW6">
        <f>t_Plants[[#This Row],[h2015.07]]*t_Plants[[Press Count]:[Press Count]]</f>
        <v>3744</v>
      </c>
      <c r="DX6">
        <f>t_Plants[[#This Row],[h2015.08]]*t_Plants[[Press Count]:[Press Count]]</f>
        <v>3744</v>
      </c>
      <c r="DY6">
        <f>t_Plants[[#This Row],[h2015.09]]*t_Plants[[Press Count]:[Press Count]]</f>
        <v>4896</v>
      </c>
      <c r="DZ6">
        <f>t_Plants[[#This Row],[h2015.10]]*t_Plants[[Press Count]:[Press Count]]</f>
        <v>3744</v>
      </c>
      <c r="EA6">
        <f>t_Plants[[#This Row],[h2015.11]]*t_Plants[[Press Count]:[Press Count]]</f>
        <v>3744</v>
      </c>
      <c r="EB6">
        <f>t_Plants[[#This Row],[h2015.12]]*t_Plants[[Press Count]:[Press Count]]</f>
        <v>4896</v>
      </c>
      <c r="EC6">
        <f>t_Plants[[#This Row],[h2015.FY]]*t_Plants[[Press Count]:[Press Count]]</f>
        <v>49536</v>
      </c>
      <c r="ED6">
        <f>t_Plants[[#This Row],[h2016.01]]*t_Plants[[Press Count]:[Press Count]]</f>
        <v>3744</v>
      </c>
      <c r="EE6">
        <f>t_Plants[[#This Row],[h2016.02]]*t_Plants[[Press Count]:[Press Count]]</f>
        <v>3744</v>
      </c>
      <c r="EF6">
        <f>t_Plants[[#This Row],[h2016.03]]*t_Plants[[Press Count]:[Press Count]]</f>
        <v>4896</v>
      </c>
      <c r="EG6">
        <f>t_Plants[[#This Row],[h2016.04]]*t_Plants[[Press Count]:[Press Count]]</f>
        <v>3744</v>
      </c>
      <c r="EH6">
        <f>t_Plants[[#This Row],[h2016.05]]*t_Plants[[Press Count]:[Press Count]]</f>
        <v>3744</v>
      </c>
      <c r="EI6">
        <f>t_Plants[[#This Row],[h2016.06]]*t_Plants[[Press Count]:[Press Count]]</f>
        <v>4896</v>
      </c>
      <c r="EJ6">
        <f>t_Plants[[#This Row],[h2016.07]]*t_Plants[[Press Count]:[Press Count]]</f>
        <v>3744</v>
      </c>
      <c r="EK6">
        <f>t_Plants[[#This Row],[h2016.08]]*t_Plants[[Press Count]:[Press Count]]</f>
        <v>3744</v>
      </c>
      <c r="EL6">
        <f>t_Plants[[#This Row],[h2016.09]]*t_Plants[[Press Count]:[Press Count]]</f>
        <v>4896</v>
      </c>
      <c r="EM6">
        <f>t_Plants[[#This Row],[h2016.10]]*t_Plants[[Press Count]:[Press Count]]</f>
        <v>3744</v>
      </c>
      <c r="EN6">
        <f>t_Plants[[#This Row],[h2016.11]]*t_Plants[[Press Count]:[Press Count]]</f>
        <v>3744</v>
      </c>
      <c r="EO6">
        <f>t_Plants[[#This Row],[h2016.12]]*t_Plants[[Press Count]:[Press Count]]</f>
        <v>4896</v>
      </c>
      <c r="EP6">
        <f>t_Plants[[#This Row],[h2016.FY]]*t_Plants[[Press Count]:[Press Count]]</f>
        <v>49536</v>
      </c>
      <c r="EQ6">
        <f>t_Plants[[#This Row],[h2017]]*t_Plants[[Press Count]:[Press Count]]</f>
        <v>49536</v>
      </c>
      <c r="ER6">
        <f>t_Plants[[#This Row],[h2018]]*t_Plants[[Press Count]:[Press Count]]</f>
        <v>49536</v>
      </c>
      <c r="ES6">
        <f>t_Plants[[#This Row],[h2019]]*t_Plants[[Press Count]:[Press Count]]</f>
        <v>49536</v>
      </c>
      <c r="ET6" s="20">
        <f>SUMIF(r_Press_Plants,t_Plants[[Plant]:[Plant]],t_Presses[hp2015.01])</f>
        <v>0</v>
      </c>
      <c r="EU6" s="20">
        <f>SUMIF(r_Press_Plants,t_Plants[[Plant]:[Plant]],t_Presses[hp2015.02])</f>
        <v>0</v>
      </c>
      <c r="EV6" s="20">
        <f>SUMIF(r_Press_Plants,t_Plants[[Plant]:[Plant]],t_Presses[hp2015.03])</f>
        <v>0</v>
      </c>
      <c r="EW6" s="20">
        <f>SUMIF(r_Press_Plants,t_Plants[[Plant]:[Plant]],t_Presses[hp2015.04])</f>
        <v>0</v>
      </c>
      <c r="EX6" s="20">
        <f>SUMIF(r_Press_Plants,t_Plants[[Plant]:[Plant]],t_Presses[hp2015.05])</f>
        <v>0</v>
      </c>
      <c r="EY6" s="20">
        <f>SUMIF(r_Press_Plants,t_Plants[[Plant]:[Plant]],t_Presses[hp2015.06])</f>
        <v>0</v>
      </c>
      <c r="EZ6" s="20">
        <f>SUMIF(r_Press_Plants,t_Plants[[Plant]:[Plant]],t_Presses[hp2015.07])</f>
        <v>0</v>
      </c>
      <c r="FA6" s="20">
        <f>SUMIF(r_Press_Plants,t_Plants[[Plant]:[Plant]],t_Presses[hp2015.08])</f>
        <v>0</v>
      </c>
      <c r="FB6" s="20">
        <f>SUMIF(r_Press_Plants,t_Plants[[Plant]:[Plant]],t_Presses[hp2015.09])</f>
        <v>0</v>
      </c>
      <c r="FC6" s="20">
        <f>SUMIF(r_Press_Plants,t_Plants[[Plant]:[Plant]],t_Presses[hp2015.10])</f>
        <v>0</v>
      </c>
      <c r="FD6" s="20">
        <f>SUMIF(r_Press_Plants,t_Plants[[Plant]:[Plant]],t_Presses[hp2015.11])</f>
        <v>0</v>
      </c>
      <c r="FE6" s="20">
        <f>SUMIF(r_Press_Plants,t_Plants[[Plant]:[Plant]],t_Presses[hp2015.12])</f>
        <v>0</v>
      </c>
      <c r="FF6" s="20">
        <f>SUMIF(r_Press_Plants,t_Plants[[Plant]:[Plant]],t_Presses[hp2015.FY])</f>
        <v>0</v>
      </c>
      <c r="FG6" s="20">
        <f>SUMIF(r_Press_Plants,t_Plants[[Plant]:[Plant]],t_Presses[hp2016.01])</f>
        <v>0</v>
      </c>
      <c r="FH6" s="20">
        <f>SUMIF(r_Press_Plants,t_Plants[[Plant]:[Plant]],t_Presses[hp2016.02])</f>
        <v>0</v>
      </c>
      <c r="FI6" s="20">
        <f>SUMIF(r_Press_Plants,t_Plants[[Plant]:[Plant]],t_Presses[hp2016.03])</f>
        <v>0</v>
      </c>
      <c r="FJ6" s="20">
        <f>SUMIF(r_Press_Plants,t_Plants[[Plant]:[Plant]],t_Presses[hp2016.04])</f>
        <v>0</v>
      </c>
      <c r="FK6" s="20">
        <f>SUMIF(r_Press_Plants,t_Plants[[Plant]:[Plant]],t_Presses[hp2016.05])</f>
        <v>0</v>
      </c>
      <c r="FL6" s="20">
        <f>SUMIF(r_Press_Plants,t_Plants[[Plant]:[Plant]],t_Presses[hp2016.06])</f>
        <v>0</v>
      </c>
      <c r="FM6" s="20">
        <f>SUMIF(r_Press_Plants,t_Plants[[Plant]:[Plant]],t_Presses[hp2016.07])</f>
        <v>0</v>
      </c>
      <c r="FN6" s="20">
        <f>SUMIF(r_Press_Plants,t_Plants[[Plant]:[Plant]],t_Presses[hp2016.08])</f>
        <v>0</v>
      </c>
      <c r="FO6" s="20">
        <f>SUMIF(r_Press_Plants,t_Plants[[Plant]:[Plant]],t_Presses[hp2016.09])</f>
        <v>0</v>
      </c>
      <c r="FP6" s="20">
        <f>SUMIF(r_Press_Plants,t_Plants[[Plant]:[Plant]],t_Presses[hp2016.10])</f>
        <v>0</v>
      </c>
      <c r="FQ6" s="20">
        <f>SUMIF(r_Press_Plants,t_Plants[[Plant]:[Plant]],t_Presses[hp2016.11])</f>
        <v>0</v>
      </c>
      <c r="FR6" s="20">
        <f>SUMIF(r_Press_Plants,t_Plants[[Plant]:[Plant]],t_Presses[hp2016.12])</f>
        <v>0</v>
      </c>
      <c r="FS6" s="20">
        <f>SUMIF(r_Press_Plants,t_Plants[[Plant]:[Plant]],t_Presses[hp2016.FY])</f>
        <v>0</v>
      </c>
      <c r="FT6" s="20">
        <f>SUMIF(r_Press_Plants,t_Plants[[Plant]:[Plant]],t_Presses[hp2017])</f>
        <v>0</v>
      </c>
      <c r="FU6" s="20">
        <f>SUMIF(r_Press_Plants,t_Plants[[Plant]:[Plant]],t_Presses[hp2018])</f>
        <v>0</v>
      </c>
      <c r="FV6" s="20">
        <f>SUMIF(r_Press_Plants,t_Plants[[Plant]:[Plant]],t_Presses[hp2019])</f>
        <v>0</v>
      </c>
      <c r="FW6" s="15">
        <f>IF(t_Plants[[#This Row],[t2015.01]]&gt;0,t_Plants[[#This Row],[p2015.01]]/t_Plants[[#This Row],[t2015.01]],0)</f>
        <v>0</v>
      </c>
      <c r="FX6" s="15">
        <f>IF(t_Plants[[#This Row],[t2015.02]]&gt;0,t_Plants[[#This Row],[p2015.02]]/t_Plants[[#This Row],[t2015.02]],0)</f>
        <v>0</v>
      </c>
      <c r="FY6" s="15">
        <f>IF(t_Plants[[#This Row],[t2015.03]]&gt;0,t_Plants[[#This Row],[p2015.03]]/t_Plants[[#This Row],[t2015.03]],0)</f>
        <v>0</v>
      </c>
      <c r="FZ6" s="15">
        <f>IF(t_Plants[[#This Row],[t2015.04]]&gt;0,t_Plants[[#This Row],[p2015.04]]/t_Plants[[#This Row],[t2015.04]],0)</f>
        <v>0</v>
      </c>
      <c r="GA6" s="15">
        <f>IF(t_Plants[[#This Row],[t2015.05]]&gt;0,t_Plants[[#This Row],[p2015.05]]/t_Plants[[#This Row],[t2015.05]],0)</f>
        <v>0</v>
      </c>
      <c r="GB6" s="15">
        <f>IF(t_Plants[[#This Row],[t2015.06]]&gt;0,t_Plants[[#This Row],[p2015.06]]/t_Plants[[#This Row],[t2015.06]],0)</f>
        <v>0</v>
      </c>
      <c r="GC6" s="15">
        <f>IF(t_Plants[[#This Row],[t2015.07]]&gt;0,t_Plants[[#This Row],[p2015.07]]/t_Plants[[#This Row],[t2015.07]],0)</f>
        <v>0</v>
      </c>
      <c r="GD6" s="15">
        <f>IF(t_Plants[[#This Row],[t2015.08]]&gt;0,t_Plants[[#This Row],[p2015.08]]/t_Plants[[#This Row],[t2015.08]],0)</f>
        <v>0</v>
      </c>
      <c r="GE6" s="15">
        <f>IF(t_Plants[[#This Row],[t2015.09]]&gt;0,t_Plants[[#This Row],[p2015.09]]/t_Plants[[#This Row],[t2015.09]],0)</f>
        <v>0</v>
      </c>
      <c r="GF6" s="15">
        <f>IF(t_Plants[[#This Row],[t2015.10]]&gt;0,t_Plants[[#This Row],[p2015.10]]/t_Plants[[#This Row],[t2015.10]],0)</f>
        <v>0</v>
      </c>
      <c r="GG6" s="15">
        <f>IF(t_Plants[[#This Row],[t2015.11]]&gt;0,t_Plants[[#This Row],[p2015.11]]/t_Plants[[#This Row],[t2015.11]],0)</f>
        <v>0</v>
      </c>
      <c r="GH6" s="15">
        <f>IF(t_Plants[[#This Row],[t2015.12]]&gt;0,t_Plants[[#This Row],[p2015.12]]/t_Plants[[#This Row],[t2015.12]],0)</f>
        <v>0</v>
      </c>
      <c r="GI6" s="15">
        <f>IF(t_Plants[[#This Row],[t2015.FY]]&gt;0,t_Plants[[#This Row],[p2015.FY]]/t_Plants[[#This Row],[t2015.FY]],0)</f>
        <v>0</v>
      </c>
      <c r="GJ6" s="15">
        <f>IF(t_Plants[[#This Row],[t2016.01]]&gt;0,t_Plants[[#This Row],[p2016.01]]/t_Plants[[#This Row],[t2016.01]],0)</f>
        <v>0</v>
      </c>
      <c r="GK6" s="15">
        <f>IF(t_Plants[[#This Row],[t2016.02]]&gt;0,t_Plants[[#This Row],[p2016.02]]/t_Plants[[#This Row],[t2016.02]],0)</f>
        <v>0</v>
      </c>
      <c r="GL6" s="15">
        <f>IF(t_Plants[[#This Row],[t2016.03]]&gt;0,t_Plants[[#This Row],[p2016.03]]/t_Plants[[#This Row],[t2016.03]],0)</f>
        <v>0</v>
      </c>
      <c r="GM6" s="15">
        <f>IF(t_Plants[[#This Row],[t2016.04]]&gt;0,t_Plants[[#This Row],[p2016.04]]/t_Plants[[#This Row],[t2016.04]],0)</f>
        <v>0</v>
      </c>
      <c r="GN6" s="15">
        <f>IF(t_Plants[[#This Row],[t2016.05]]&gt;0,t_Plants[[#This Row],[p2016.05]]/t_Plants[[#This Row],[t2016.05]],0)</f>
        <v>0</v>
      </c>
      <c r="GO6" s="15">
        <f>IF(t_Plants[[#This Row],[t2016.06]]&gt;0,t_Plants[[#This Row],[p2016.06]]/t_Plants[[#This Row],[t2016.06]],0)</f>
        <v>0</v>
      </c>
      <c r="GP6" s="15">
        <f>IF(t_Plants[[#This Row],[t2016.07]]&gt;0,t_Plants[[#This Row],[p2016.07]]/t_Plants[[#This Row],[t2016.07]],0)</f>
        <v>0</v>
      </c>
      <c r="GQ6" s="15">
        <f>IF(t_Plants[[#This Row],[t2016.08]]&gt;0,t_Plants[[#This Row],[p2016.08]]/t_Plants[[#This Row],[t2016.08]],0)</f>
        <v>0</v>
      </c>
      <c r="GR6" s="15">
        <f>IF(t_Plants[[#This Row],[t2016.09]]&gt;0,t_Plants[[#This Row],[p2016.09]]/t_Plants[[#This Row],[t2016.09]],0)</f>
        <v>0</v>
      </c>
      <c r="GS6" s="15">
        <f>IF(t_Plants[[#This Row],[t2016.10]]&gt;0,t_Plants[[#This Row],[p2016.10]]/t_Plants[[#This Row],[t2016.10]],0)</f>
        <v>0</v>
      </c>
      <c r="GT6" s="15">
        <f>IF(t_Plants[[#This Row],[t2016.11]]&gt;0,t_Plants[[#This Row],[p2016.11]]/t_Plants[[#This Row],[t2016.11]],0)</f>
        <v>0</v>
      </c>
      <c r="GU6" s="15">
        <f>IF(t_Plants[[#This Row],[t2016.12]]&gt;0,t_Plants[[#This Row],[p2016.12]]/t_Plants[[#This Row],[t2016.12]],0)</f>
        <v>0</v>
      </c>
      <c r="GV6" s="15">
        <f>IF(t_Plants[[#This Row],[t2016.FY]]&gt;0,t_Plants[[#This Row],[p2016.FY]]/t_Plants[[#This Row],[t2016.FY]],0)</f>
        <v>0</v>
      </c>
      <c r="GW6" s="15">
        <f>IF(t_Plants[[#This Row],[t2017]]&gt;0,t_Plants[[#This Row],[p2017]]/t_Plants[[#This Row],[t2017]],0)</f>
        <v>0</v>
      </c>
      <c r="GX6" s="15">
        <f>IF(t_Plants[[#This Row],[t2018]]&gt;0,t_Plants[[#This Row],[p2018]]/t_Plants[[#This Row],[t2018]],0)</f>
        <v>0</v>
      </c>
      <c r="GY6" s="15">
        <f>IF(t_Plants[[#This Row],[t2019]]&gt;0,t_Plants[[#This Row],[p2019]]/t_Plants[[#This Row],[t2019]],0)</f>
        <v>0</v>
      </c>
    </row>
    <row r="7" spans="1:207" x14ac:dyDescent="0.25">
      <c r="A7" t="s">
        <v>8</v>
      </c>
      <c r="B7" s="63">
        <v>10</v>
      </c>
      <c r="C7" s="65">
        <v>0.55000000000000004</v>
      </c>
      <c r="D7" s="85">
        <f>COUNTIF(r_Press_Plants,t_Plants[[#This Row],[Plant]])</f>
        <v>8</v>
      </c>
      <c r="E7" s="63">
        <v>28</v>
      </c>
      <c r="F7" s="63">
        <v>28</v>
      </c>
      <c r="G7" s="63">
        <v>35</v>
      </c>
      <c r="H7" s="63">
        <v>28</v>
      </c>
      <c r="I7" s="63">
        <v>28</v>
      </c>
      <c r="J7" s="63">
        <v>35</v>
      </c>
      <c r="K7" s="63">
        <v>28</v>
      </c>
      <c r="L7" s="63">
        <v>28</v>
      </c>
      <c r="M7" s="63">
        <v>35</v>
      </c>
      <c r="N7" s="63">
        <v>28</v>
      </c>
      <c r="O7" s="63">
        <v>28</v>
      </c>
      <c r="P7" s="63">
        <v>35</v>
      </c>
      <c r="Q7" s="85">
        <f>SUM(t_Plants[[#This Row],[d2015.01]:[d2015.12]])</f>
        <v>364</v>
      </c>
      <c r="R7" s="63">
        <v>28</v>
      </c>
      <c r="S7" s="63">
        <v>28</v>
      </c>
      <c r="T7" s="63">
        <v>35</v>
      </c>
      <c r="U7" s="63">
        <v>28</v>
      </c>
      <c r="V7" s="63">
        <v>28</v>
      </c>
      <c r="W7" s="63">
        <v>35</v>
      </c>
      <c r="X7" s="63">
        <v>28</v>
      </c>
      <c r="Y7" s="63">
        <v>28</v>
      </c>
      <c r="Z7" s="63">
        <v>35</v>
      </c>
      <c r="AA7" s="63">
        <v>28</v>
      </c>
      <c r="AB7" s="63">
        <v>28</v>
      </c>
      <c r="AC7" s="63">
        <v>35</v>
      </c>
      <c r="AD7" s="85">
        <f>SUM(t_Plants[[#This Row],[d2016.01]:[d2016.12]])</f>
        <v>364</v>
      </c>
      <c r="AE7" s="85">
        <f>t_Plants[[#This Row],[d2016.FY]]</f>
        <v>364</v>
      </c>
      <c r="AF7" s="85">
        <f>t_Plants[[#This Row],[d2016.FY]]</f>
        <v>364</v>
      </c>
      <c r="AG7" s="85">
        <f>t_Plants[[#This Row],[d2016.FY]]</f>
        <v>364</v>
      </c>
      <c r="AH7" s="63">
        <v>0</v>
      </c>
      <c r="AI7" s="63">
        <v>0</v>
      </c>
      <c r="AJ7" s="63">
        <v>0</v>
      </c>
      <c r="AK7" s="63">
        <v>0</v>
      </c>
      <c r="AL7" s="63">
        <v>0</v>
      </c>
      <c r="AM7" s="63">
        <v>0</v>
      </c>
      <c r="AN7" s="63">
        <v>0</v>
      </c>
      <c r="AO7" s="63">
        <v>0</v>
      </c>
      <c r="AP7" s="63">
        <v>0</v>
      </c>
      <c r="AQ7" s="63">
        <v>0</v>
      </c>
      <c r="AR7" s="63">
        <v>0</v>
      </c>
      <c r="AS7" s="63">
        <v>0</v>
      </c>
      <c r="AT7" s="85">
        <f>SUM(t_Plants[[#This Row],[o2015.01]:[o2015.12]])</f>
        <v>0</v>
      </c>
      <c r="AU7" s="63">
        <v>0</v>
      </c>
      <c r="AV7" s="63">
        <v>0</v>
      </c>
      <c r="AW7" s="63">
        <v>0</v>
      </c>
      <c r="AX7" s="63">
        <v>0</v>
      </c>
      <c r="AY7" s="63">
        <v>0</v>
      </c>
      <c r="AZ7" s="63">
        <v>0</v>
      </c>
      <c r="BA7" s="63">
        <v>0</v>
      </c>
      <c r="BB7" s="63">
        <v>0</v>
      </c>
      <c r="BC7" s="63">
        <v>0</v>
      </c>
      <c r="BD7" s="63">
        <v>0</v>
      </c>
      <c r="BE7" s="63">
        <v>0</v>
      </c>
      <c r="BF7" s="63">
        <v>0</v>
      </c>
      <c r="BG7" s="85">
        <f>SUM(t_Plants[[#This Row],[o2016.01]:[o2016.12]])</f>
        <v>0</v>
      </c>
      <c r="BH7" s="85">
        <f>t_Plants[[#This Row],[o2016.FY]]</f>
        <v>0</v>
      </c>
      <c r="BI7" s="85">
        <f>t_Plants[[#This Row],[o2016.FY]]</f>
        <v>0</v>
      </c>
      <c r="BJ7" s="85">
        <f>t_Plants[[#This Row],[o2016.FY]]</f>
        <v>0</v>
      </c>
      <c r="BK7">
        <f>t_Plants[[#This Row],[d2015.01]]-t_Plants[[#This Row],[o2015.01]]</f>
        <v>28</v>
      </c>
      <c r="BL7">
        <f>t_Plants[[#This Row],[d2015.02]]-t_Plants[[#This Row],[o2015.02]]</f>
        <v>28</v>
      </c>
      <c r="BM7">
        <f>t_Plants[[#This Row],[d2015.03]]-t_Plants[[#This Row],[o2015.03]]</f>
        <v>35</v>
      </c>
      <c r="BN7">
        <f>t_Plants[[#This Row],[d2015.04]]-t_Plants[[#This Row],[o2015.04]]</f>
        <v>28</v>
      </c>
      <c r="BO7">
        <f>t_Plants[[#This Row],[d2015.05]]-t_Plants[[#This Row],[o2015.05]]</f>
        <v>28</v>
      </c>
      <c r="BP7">
        <f>t_Plants[[#This Row],[d2015.06]]-t_Plants[[#This Row],[o2015.06]]</f>
        <v>35</v>
      </c>
      <c r="BQ7">
        <f>t_Plants[[#This Row],[d2015.07]]-t_Plants[[#This Row],[o2015.07]]</f>
        <v>28</v>
      </c>
      <c r="BR7">
        <f>t_Plants[[#This Row],[d2015.08]]-t_Plants[[#This Row],[o2015.08]]</f>
        <v>28</v>
      </c>
      <c r="BS7">
        <f>t_Plants[[#This Row],[d2015.09]]-t_Plants[[#This Row],[o2015.09]]</f>
        <v>35</v>
      </c>
      <c r="BT7">
        <f>t_Plants[[#This Row],[d2015.10]]-t_Plants[[#This Row],[o2015.10]]</f>
        <v>28</v>
      </c>
      <c r="BU7">
        <f>t_Plants[[#This Row],[d2015.11]]-t_Plants[[#This Row],[o2015.11]]</f>
        <v>28</v>
      </c>
      <c r="BV7">
        <f>t_Plants[[#This Row],[d2015.12]]-t_Plants[[#This Row],[o2015.12]]</f>
        <v>35</v>
      </c>
      <c r="BW7">
        <f>t_Plants[[#This Row],[d2015.FY]]-t_Plants[[#This Row],[o2015.FY]]</f>
        <v>364</v>
      </c>
      <c r="BX7">
        <f>t_Plants[[#This Row],[d2016.01]]-t_Plants[[#This Row],[o2016.01]]</f>
        <v>28</v>
      </c>
      <c r="BY7">
        <f>t_Plants[[#This Row],[d2016.02]]-t_Plants[[#This Row],[o2016.02]]</f>
        <v>28</v>
      </c>
      <c r="BZ7">
        <f>t_Plants[[#This Row],[d2016.03]]-t_Plants[[#This Row],[o2016.03]]</f>
        <v>35</v>
      </c>
      <c r="CA7">
        <f>t_Plants[[#This Row],[d2016.04]]-t_Plants[[#This Row],[o2016.04]]</f>
        <v>28</v>
      </c>
      <c r="CB7">
        <f>t_Plants[[#This Row],[d2016.05]]-t_Plants[[#This Row],[o2016.05]]</f>
        <v>28</v>
      </c>
      <c r="CC7">
        <f>t_Plants[[#This Row],[d2016.06]]-t_Plants[[#This Row],[o2016.06]]</f>
        <v>35</v>
      </c>
      <c r="CD7">
        <f>t_Plants[[#This Row],[d2016.07]]-t_Plants[[#This Row],[o2016.07]]</f>
        <v>28</v>
      </c>
      <c r="CE7">
        <f>t_Plants[[#This Row],[d2016.08]]-t_Plants[[#This Row],[o2016.08]]</f>
        <v>28</v>
      </c>
      <c r="CF7">
        <f>t_Plants[[#This Row],[d2016.09]]-t_Plants[[#This Row],[o2016.09]]</f>
        <v>35</v>
      </c>
      <c r="CG7">
        <f>t_Plants[[#This Row],[d2016.10]]-t_Plants[[#This Row],[o2016.10]]</f>
        <v>28</v>
      </c>
      <c r="CH7">
        <f>t_Plants[[#This Row],[d2016.11]]-t_Plants[[#This Row],[o2016.11]]</f>
        <v>28</v>
      </c>
      <c r="CI7">
        <f>t_Plants[[#This Row],[d2016.12]]-t_Plants[[#This Row],[o2016.12]]</f>
        <v>35</v>
      </c>
      <c r="CJ7">
        <f>SUM(t_Plants[[#This Row],[a2016.01]:[a2016.12]])</f>
        <v>364</v>
      </c>
      <c r="CK7">
        <f>t_Plants[[#This Row],[a2016.FY]]</f>
        <v>364</v>
      </c>
      <c r="CL7">
        <f>t_Plants[[#This Row],[a2016.FY]]</f>
        <v>364</v>
      </c>
      <c r="CM7">
        <f>t_Plants[[#This Row],[a2016.FY]]</f>
        <v>364</v>
      </c>
      <c r="CN7">
        <f>t_Plants[[#This Row],[a2015.01]]*t_Plants[[OperHrsPerDay]:[OperHrsPerDay]]</f>
        <v>280</v>
      </c>
      <c r="CO7">
        <f>t_Plants[[#This Row],[a2015.02]]*t_Plants[[OperHrsPerDay]:[OperHrsPerDay]]</f>
        <v>280</v>
      </c>
      <c r="CP7">
        <f>t_Plants[[#This Row],[a2015.03]]*t_Plants[[OperHrsPerDay]:[OperHrsPerDay]]</f>
        <v>350</v>
      </c>
      <c r="CQ7">
        <f>t_Plants[[#This Row],[a2015.04]]*t_Plants[[OperHrsPerDay]:[OperHrsPerDay]]</f>
        <v>280</v>
      </c>
      <c r="CR7">
        <f>t_Plants[[#This Row],[a2015.05]]*t_Plants[[OperHrsPerDay]:[OperHrsPerDay]]</f>
        <v>280</v>
      </c>
      <c r="CS7">
        <f>t_Plants[[#This Row],[a2015.06]]*t_Plants[[OperHrsPerDay]:[OperHrsPerDay]]</f>
        <v>350</v>
      </c>
      <c r="CT7">
        <f>t_Plants[[#This Row],[a2015.07]]*t_Plants[[OperHrsPerDay]:[OperHrsPerDay]]</f>
        <v>280</v>
      </c>
      <c r="CU7">
        <f>t_Plants[[#This Row],[a2015.08]]*t_Plants[[OperHrsPerDay]:[OperHrsPerDay]]</f>
        <v>280</v>
      </c>
      <c r="CV7">
        <f>t_Plants[[#This Row],[a2015.09]]*t_Plants[[OperHrsPerDay]:[OperHrsPerDay]]</f>
        <v>350</v>
      </c>
      <c r="CW7">
        <f>t_Plants[[#This Row],[a2015.10]]*t_Plants[[OperHrsPerDay]:[OperHrsPerDay]]</f>
        <v>280</v>
      </c>
      <c r="CX7">
        <f>t_Plants[[#This Row],[a2015.11]]*t_Plants[[OperHrsPerDay]:[OperHrsPerDay]]</f>
        <v>280</v>
      </c>
      <c r="CY7">
        <f>t_Plants[[#This Row],[a2015.12]]*t_Plants[[OperHrsPerDay]:[OperHrsPerDay]]</f>
        <v>350</v>
      </c>
      <c r="CZ7">
        <f>SUM(t_Plants[[#This Row],[h2015.01]:[h2015.12]])</f>
        <v>3640</v>
      </c>
      <c r="DA7">
        <f>t_Plants[[#This Row],[a2016.01]]*t_Plants[[OperHrsPerDay]:[OperHrsPerDay]]</f>
        <v>280</v>
      </c>
      <c r="DB7">
        <f>t_Plants[[#This Row],[a2016.02]]*t_Plants[[OperHrsPerDay]:[OperHrsPerDay]]</f>
        <v>280</v>
      </c>
      <c r="DC7">
        <f>t_Plants[[#This Row],[a2016.03]]*t_Plants[[OperHrsPerDay]:[OperHrsPerDay]]</f>
        <v>350</v>
      </c>
      <c r="DD7">
        <f>t_Plants[[#This Row],[a2016.04]]*t_Plants[[OperHrsPerDay]:[OperHrsPerDay]]</f>
        <v>280</v>
      </c>
      <c r="DE7">
        <f>t_Plants[[#This Row],[a2016.05]]*t_Plants[[OperHrsPerDay]:[OperHrsPerDay]]</f>
        <v>280</v>
      </c>
      <c r="DF7">
        <f>t_Plants[[#This Row],[a2016.06]]*t_Plants[[OperHrsPerDay]:[OperHrsPerDay]]</f>
        <v>350</v>
      </c>
      <c r="DG7">
        <f>t_Plants[[#This Row],[a2016.07]]*t_Plants[[OperHrsPerDay]:[OperHrsPerDay]]</f>
        <v>280</v>
      </c>
      <c r="DH7">
        <f>t_Plants[[#This Row],[a2016.08]]*t_Plants[[OperHrsPerDay]:[OperHrsPerDay]]</f>
        <v>280</v>
      </c>
      <c r="DI7">
        <f>t_Plants[[#This Row],[a2016.09]]*t_Plants[[OperHrsPerDay]:[OperHrsPerDay]]</f>
        <v>350</v>
      </c>
      <c r="DJ7">
        <f>t_Plants[[#This Row],[a2016.10]]*t_Plants[[OperHrsPerDay]:[OperHrsPerDay]]</f>
        <v>280</v>
      </c>
      <c r="DK7">
        <f>t_Plants[[#This Row],[a2016.11]]*t_Plants[[OperHrsPerDay]:[OperHrsPerDay]]</f>
        <v>280</v>
      </c>
      <c r="DL7">
        <f>t_Plants[[#This Row],[a2016.12]]*t_Plants[[OperHrsPerDay]:[OperHrsPerDay]]</f>
        <v>350</v>
      </c>
      <c r="DM7">
        <f>t_Plants[[#This Row],[a2016.FY]]*t_Plants[[OperHrsPerDay]:[OperHrsPerDay]]</f>
        <v>3640</v>
      </c>
      <c r="DN7">
        <f>t_Plants[[#This Row],[a2017]]*t_Plants[[OperHrsPerDay]:[OperHrsPerDay]]</f>
        <v>3640</v>
      </c>
      <c r="DO7">
        <f>t_Plants[[#This Row],[a2018]]*t_Plants[[OperHrsPerDay]:[OperHrsPerDay]]</f>
        <v>3640</v>
      </c>
      <c r="DP7">
        <f>t_Plants[[#This Row],[a2019]]*t_Plants[[OperHrsPerDay]:[OperHrsPerDay]]</f>
        <v>3640</v>
      </c>
      <c r="DQ7">
        <f>t_Plants[[#This Row],[h2015.01]]*t_Plants[[Press Count]:[Press Count]]</f>
        <v>2240</v>
      </c>
      <c r="DR7">
        <f>t_Plants[[#This Row],[h2015.02]]*t_Plants[[Press Count]:[Press Count]]</f>
        <v>2240</v>
      </c>
      <c r="DS7">
        <f>t_Plants[[#This Row],[h2015.03]]*t_Plants[[Press Count]:[Press Count]]</f>
        <v>2800</v>
      </c>
      <c r="DT7">
        <f>t_Plants[[#This Row],[h2015.04]]*t_Plants[[Press Count]:[Press Count]]</f>
        <v>2240</v>
      </c>
      <c r="DU7">
        <f>t_Plants[[#This Row],[h2015.05]]*t_Plants[[Press Count]:[Press Count]]</f>
        <v>2240</v>
      </c>
      <c r="DV7">
        <f>t_Plants[[#This Row],[h2015.06]]*t_Plants[[Press Count]:[Press Count]]</f>
        <v>2800</v>
      </c>
      <c r="DW7">
        <f>t_Plants[[#This Row],[h2015.07]]*t_Plants[[Press Count]:[Press Count]]</f>
        <v>2240</v>
      </c>
      <c r="DX7">
        <f>t_Plants[[#This Row],[h2015.08]]*t_Plants[[Press Count]:[Press Count]]</f>
        <v>2240</v>
      </c>
      <c r="DY7">
        <f>t_Plants[[#This Row],[h2015.09]]*t_Plants[[Press Count]:[Press Count]]</f>
        <v>2800</v>
      </c>
      <c r="DZ7">
        <f>t_Plants[[#This Row],[h2015.10]]*t_Plants[[Press Count]:[Press Count]]</f>
        <v>2240</v>
      </c>
      <c r="EA7">
        <f>t_Plants[[#This Row],[h2015.11]]*t_Plants[[Press Count]:[Press Count]]</f>
        <v>2240</v>
      </c>
      <c r="EB7">
        <f>t_Plants[[#This Row],[h2015.12]]*t_Plants[[Press Count]:[Press Count]]</f>
        <v>2800</v>
      </c>
      <c r="EC7">
        <f>t_Plants[[#This Row],[h2015.FY]]*t_Plants[[Press Count]:[Press Count]]</f>
        <v>29120</v>
      </c>
      <c r="ED7">
        <f>t_Plants[[#This Row],[h2016.01]]*t_Plants[[Press Count]:[Press Count]]</f>
        <v>2240</v>
      </c>
      <c r="EE7">
        <f>t_Plants[[#This Row],[h2016.02]]*t_Plants[[Press Count]:[Press Count]]</f>
        <v>2240</v>
      </c>
      <c r="EF7">
        <f>t_Plants[[#This Row],[h2016.03]]*t_Plants[[Press Count]:[Press Count]]</f>
        <v>2800</v>
      </c>
      <c r="EG7">
        <f>t_Plants[[#This Row],[h2016.04]]*t_Plants[[Press Count]:[Press Count]]</f>
        <v>2240</v>
      </c>
      <c r="EH7">
        <f>t_Plants[[#This Row],[h2016.05]]*t_Plants[[Press Count]:[Press Count]]</f>
        <v>2240</v>
      </c>
      <c r="EI7">
        <f>t_Plants[[#This Row],[h2016.06]]*t_Plants[[Press Count]:[Press Count]]</f>
        <v>2800</v>
      </c>
      <c r="EJ7">
        <f>t_Plants[[#This Row],[h2016.07]]*t_Plants[[Press Count]:[Press Count]]</f>
        <v>2240</v>
      </c>
      <c r="EK7">
        <f>t_Plants[[#This Row],[h2016.08]]*t_Plants[[Press Count]:[Press Count]]</f>
        <v>2240</v>
      </c>
      <c r="EL7">
        <f>t_Plants[[#This Row],[h2016.09]]*t_Plants[[Press Count]:[Press Count]]</f>
        <v>2800</v>
      </c>
      <c r="EM7">
        <f>t_Plants[[#This Row],[h2016.10]]*t_Plants[[Press Count]:[Press Count]]</f>
        <v>2240</v>
      </c>
      <c r="EN7">
        <f>t_Plants[[#This Row],[h2016.11]]*t_Plants[[Press Count]:[Press Count]]</f>
        <v>2240</v>
      </c>
      <c r="EO7">
        <f>t_Plants[[#This Row],[h2016.12]]*t_Plants[[Press Count]:[Press Count]]</f>
        <v>2800</v>
      </c>
      <c r="EP7">
        <f>t_Plants[[#This Row],[h2016.FY]]*t_Plants[[Press Count]:[Press Count]]</f>
        <v>29120</v>
      </c>
      <c r="EQ7">
        <f>t_Plants[[#This Row],[h2017]]*t_Plants[[Press Count]:[Press Count]]</f>
        <v>29120</v>
      </c>
      <c r="ER7">
        <f>t_Plants[[#This Row],[h2018]]*t_Plants[[Press Count]:[Press Count]]</f>
        <v>29120</v>
      </c>
      <c r="ES7">
        <f>t_Plants[[#This Row],[h2019]]*t_Plants[[Press Count]:[Press Count]]</f>
        <v>29120</v>
      </c>
      <c r="ET7" s="20">
        <f>SUMIF(r_Press_Plants,t_Plants[[Plant]:[Plant]],t_Presses[hp2015.01])</f>
        <v>1309.5830572002515</v>
      </c>
      <c r="EU7" s="20">
        <f>SUMIF(r_Press_Plants,t_Plants[[Plant]:[Plant]],t_Presses[hp2015.02])</f>
        <v>1309.5830572002515</v>
      </c>
      <c r="EV7" s="20">
        <f>SUMIF(r_Press_Plants,t_Plants[[Plant]:[Plant]],t_Presses[hp2015.03])</f>
        <v>1555.1038215003146</v>
      </c>
      <c r="EW7" s="20">
        <f>SUMIF(r_Press_Plants,t_Plants[[Plant]:[Plant]],t_Presses[hp2015.04])</f>
        <v>1309.5830572002515</v>
      </c>
      <c r="EX7" s="20">
        <f>SUMIF(r_Press_Plants,t_Plants[[Plant]:[Plant]],t_Presses[hp2015.05])</f>
        <v>1309.5830572002515</v>
      </c>
      <c r="EY7" s="20">
        <f>SUMIF(r_Press_Plants,t_Plants[[Plant]:[Plant]],t_Presses[hp2015.06])</f>
        <v>1555.1038215003146</v>
      </c>
      <c r="EZ7" s="20">
        <f>SUMIF(r_Press_Plants,t_Plants[[Plant]:[Plant]],t_Presses[hp2015.07])</f>
        <v>1302.3511224683166</v>
      </c>
      <c r="FA7" s="20">
        <f>SUMIF(r_Press_Plants,t_Plants[[Plant]:[Plant]],t_Presses[hp2015.08])</f>
        <v>1302.3511224683166</v>
      </c>
      <c r="FB7" s="20">
        <f>SUMIF(r_Press_Plants,t_Plants[[Plant]:[Plant]],t_Presses[hp2015.09])</f>
        <v>1547.8139030853963</v>
      </c>
      <c r="FC7" s="20">
        <f>SUMIF(r_Press_Plants,t_Plants[[Plant]:[Plant]],t_Presses[hp2015.10])</f>
        <v>1277.5747005568949</v>
      </c>
      <c r="FD7" s="20">
        <f>SUMIF(r_Press_Plants,t_Plants[[Plant]:[Plant]],t_Presses[hp2015.11])</f>
        <v>1168.8729231676175</v>
      </c>
      <c r="FE7" s="20">
        <f>SUMIF(r_Press_Plants,t_Plants[[Plant]:[Plant]],t_Presses[hp2015.12])</f>
        <v>1383.9661539595218</v>
      </c>
      <c r="FF7" s="20">
        <f>SUMIF(r_Press_Plants,t_Plants[[Plant]:[Plant]],t_Presses[hp2015.FY])</f>
        <v>16331.469797507698</v>
      </c>
      <c r="FG7" s="20">
        <f>SUMIF(r_Press_Plants,t_Plants[[Plant]:[Plant]],t_Presses[hp2016.01])</f>
        <v>1070.5550023846968</v>
      </c>
      <c r="FH7" s="20">
        <f>SUMIF(r_Press_Plants,t_Plants[[Plant]:[Plant]],t_Presses[hp2016.02])</f>
        <v>1070.5550023846968</v>
      </c>
      <c r="FI7" s="20">
        <f>SUMIF(r_Press_Plants,t_Plants[[Plant]:[Plant]],t_Presses[hp2016.03])</f>
        <v>1214.033205195323</v>
      </c>
      <c r="FJ7" s="20">
        <f>SUMIF(r_Press_Plants,t_Plants[[Plant]:[Plant]],t_Presses[hp2016.04])</f>
        <v>1023.9265641562586</v>
      </c>
      <c r="FK7" s="20">
        <f>SUMIF(r_Press_Plants,t_Plants[[Plant]:[Plant]],t_Presses[hp2016.05])</f>
        <v>1023.9265641562586</v>
      </c>
      <c r="FL7" s="20">
        <f>SUMIF(r_Press_Plants,t_Plants[[Plant]:[Plant]],t_Presses[hp2016.06])</f>
        <v>1214.033205195323</v>
      </c>
      <c r="FM7" s="20">
        <f>SUMIF(r_Press_Plants,t_Plants[[Plant]:[Plant]],t_Presses[hp2016.07])</f>
        <v>1002.7359371906315</v>
      </c>
      <c r="FN7" s="20">
        <f>SUMIF(r_Press_Plants,t_Plants[[Plant]:[Plant]],t_Presses[hp2016.08])</f>
        <v>968.00881986351419</v>
      </c>
      <c r="FO7" s="20">
        <f>SUMIF(r_Press_Plants,t_Plants[[Plant]:[Plant]],t_Presses[hp2016.09])</f>
        <v>1149.1360248293927</v>
      </c>
      <c r="FP7" s="20">
        <f>SUMIF(r_Press_Plants,t_Plants[[Plant]:[Plant]],t_Presses[hp2016.10])</f>
        <v>968.00881986351419</v>
      </c>
      <c r="FQ7" s="20">
        <f>SUMIF(r_Press_Plants,t_Plants[[Plant]:[Plant]],t_Presses[hp2016.11])</f>
        <v>968.00881986351419</v>
      </c>
      <c r="FR7" s="20">
        <f>SUMIF(r_Press_Plants,t_Plants[[Plant]:[Plant]],t_Presses[hp2016.12])</f>
        <v>1149.1360248293927</v>
      </c>
      <c r="FS7" s="20">
        <f>SUMIF(r_Press_Plants,t_Plants[[Plant]:[Plant]],t_Presses[hp2016.FY])</f>
        <v>12822.063989912518</v>
      </c>
      <c r="FT7" s="20">
        <f>SUMIF(r_Press_Plants,t_Plants[[Plant]:[Plant]],t_Presses[hp2017])</f>
        <v>10301.75871416974</v>
      </c>
      <c r="FU7" s="20">
        <f>SUMIF(r_Press_Plants,t_Plants[[Plant]:[Plant]],t_Presses[hp2018])</f>
        <v>7415.416484732511</v>
      </c>
      <c r="FV7" s="20">
        <f>SUMIF(r_Press_Plants,t_Plants[[Plant]:[Plant]],t_Presses[hp2019])</f>
        <v>6420.8959760745029</v>
      </c>
      <c r="FW7" s="15">
        <f>IF(t_Plants[[#This Row],[t2015.01]]&gt;0,t_Plants[[#This Row],[p2015.01]]/t_Plants[[#This Row],[t2015.01]],0)</f>
        <v>0.58463529339296938</v>
      </c>
      <c r="FX7" s="15">
        <f>IF(t_Plants[[#This Row],[t2015.02]]&gt;0,t_Plants[[#This Row],[p2015.02]]/t_Plants[[#This Row],[t2015.02]],0)</f>
        <v>0.58463529339296938</v>
      </c>
      <c r="FY7" s="15">
        <f>IF(t_Plants[[#This Row],[t2015.03]]&gt;0,t_Plants[[#This Row],[p2015.03]]/t_Plants[[#This Row],[t2015.03]],0)</f>
        <v>0.55539422196439803</v>
      </c>
      <c r="FZ7" s="15">
        <f>IF(t_Plants[[#This Row],[t2015.04]]&gt;0,t_Plants[[#This Row],[p2015.04]]/t_Plants[[#This Row],[t2015.04]],0)</f>
        <v>0.58463529339296938</v>
      </c>
      <c r="GA7" s="15">
        <f>IF(t_Plants[[#This Row],[t2015.05]]&gt;0,t_Plants[[#This Row],[p2015.05]]/t_Plants[[#This Row],[t2015.05]],0)</f>
        <v>0.58463529339296938</v>
      </c>
      <c r="GB7" s="15">
        <f>IF(t_Plants[[#This Row],[t2015.06]]&gt;0,t_Plants[[#This Row],[p2015.06]]/t_Plants[[#This Row],[t2015.06]],0)</f>
        <v>0.55539422196439803</v>
      </c>
      <c r="GC7" s="15">
        <f>IF(t_Plants[[#This Row],[t2015.07]]&gt;0,t_Plants[[#This Row],[p2015.07]]/t_Plants[[#This Row],[t2015.07]],0)</f>
        <v>0.58140675110192708</v>
      </c>
      <c r="GD7" s="15">
        <f>IF(t_Plants[[#This Row],[t2015.08]]&gt;0,t_Plants[[#This Row],[p2015.08]]/t_Plants[[#This Row],[t2015.08]],0)</f>
        <v>0.58140675110192708</v>
      </c>
      <c r="GE7" s="15">
        <f>IF(t_Plants[[#This Row],[t2015.09]]&gt;0,t_Plants[[#This Row],[p2015.09]]/t_Plants[[#This Row],[t2015.09]],0)</f>
        <v>0.55279067967335582</v>
      </c>
      <c r="GF7" s="15">
        <f>IF(t_Plants[[#This Row],[t2015.10]]&gt;0,t_Plants[[#This Row],[p2015.10]]/t_Plants[[#This Row],[t2015.10]],0)</f>
        <v>0.57034584846289949</v>
      </c>
      <c r="GG7" s="15">
        <f>IF(t_Plants[[#This Row],[t2015.11]]&gt;0,t_Plants[[#This Row],[p2015.11]]/t_Plants[[#This Row],[t2015.11]],0)</f>
        <v>0.52181826927125785</v>
      </c>
      <c r="GH7" s="15">
        <f>IF(t_Plants[[#This Row],[t2015.12]]&gt;0,t_Plants[[#This Row],[p2015.12]]/t_Plants[[#This Row],[t2015.12]],0)</f>
        <v>0.49427362641411493</v>
      </c>
      <c r="GI7" s="15">
        <f>IF(t_Plants[[#This Row],[t2015.FY]]&gt;0,t_Plants[[#This Row],[p2015.FY]]/t_Plants[[#This Row],[t2015.FY]],0)</f>
        <v>0.56083344084847864</v>
      </c>
      <c r="GJ7" s="15">
        <f>IF(t_Plants[[#This Row],[t2016.01]]&gt;0,t_Plants[[#This Row],[p2016.01]]/t_Plants[[#This Row],[t2016.01]],0)</f>
        <v>0.47792634035031106</v>
      </c>
      <c r="GK7" s="15">
        <f>IF(t_Plants[[#This Row],[t2016.02]]&gt;0,t_Plants[[#This Row],[p2016.02]]/t_Plants[[#This Row],[t2016.02]],0)</f>
        <v>0.47792634035031106</v>
      </c>
      <c r="GL7" s="15">
        <f>IF(t_Plants[[#This Row],[t2016.03]]&gt;0,t_Plants[[#This Row],[p2016.03]]/t_Plants[[#This Row],[t2016.03]],0)</f>
        <v>0.43358328756975822</v>
      </c>
      <c r="GM7" s="15">
        <f>IF(t_Plants[[#This Row],[t2016.04]]&gt;0,t_Plants[[#This Row],[p2016.04]]/t_Plants[[#This Row],[t2016.04]],0)</f>
        <v>0.45711007328404402</v>
      </c>
      <c r="GN7" s="15">
        <f>IF(t_Plants[[#This Row],[t2016.05]]&gt;0,t_Plants[[#This Row],[p2016.05]]/t_Plants[[#This Row],[t2016.05]],0)</f>
        <v>0.45711007328404402</v>
      </c>
      <c r="GO7" s="15">
        <f>IF(t_Plants[[#This Row],[t2016.06]]&gt;0,t_Plants[[#This Row],[p2016.06]]/t_Plants[[#This Row],[t2016.06]],0)</f>
        <v>0.43358328756975822</v>
      </c>
      <c r="GP7" s="15">
        <f>IF(t_Plants[[#This Row],[t2016.07]]&gt;0,t_Plants[[#This Row],[p2016.07]]/t_Plants[[#This Row],[t2016.07]],0)</f>
        <v>0.44764997196010337</v>
      </c>
      <c r="GQ7" s="15">
        <f>IF(t_Plants[[#This Row],[t2016.08]]&gt;0,t_Plants[[#This Row],[p2016.08]]/t_Plants[[#This Row],[t2016.08]],0)</f>
        <v>0.43214679458192595</v>
      </c>
      <c r="GR7" s="15">
        <f>IF(t_Plants[[#This Row],[t2016.09]]&gt;0,t_Plants[[#This Row],[p2016.09]]/t_Plants[[#This Row],[t2016.09]],0)</f>
        <v>0.41040572315335455</v>
      </c>
      <c r="GS7" s="15">
        <f>IF(t_Plants[[#This Row],[t2016.10]]&gt;0,t_Plants[[#This Row],[p2016.10]]/t_Plants[[#This Row],[t2016.10]],0)</f>
        <v>0.43214679458192595</v>
      </c>
      <c r="GT7" s="15">
        <f>IF(t_Plants[[#This Row],[t2016.11]]&gt;0,t_Plants[[#This Row],[p2016.11]]/t_Plants[[#This Row],[t2016.11]],0)</f>
        <v>0.43214679458192595</v>
      </c>
      <c r="GU7" s="15">
        <f>IF(t_Plants[[#This Row],[t2016.12]]&gt;0,t_Plants[[#This Row],[p2016.12]]/t_Plants[[#This Row],[t2016.12]],0)</f>
        <v>0.41040572315335455</v>
      </c>
      <c r="GV7" s="15">
        <f>IF(t_Plants[[#This Row],[t2016.FY]]&gt;0,t_Plants[[#This Row],[p2016.FY]]/t_Plants[[#This Row],[t2016.FY]],0)</f>
        <v>0.44031813152172111</v>
      </c>
      <c r="GW7" s="15">
        <f>IF(t_Plants[[#This Row],[t2017]]&gt;0,t_Plants[[#This Row],[p2017]]/t_Plants[[#This Row],[t2017]],0)</f>
        <v>0.35376918661297185</v>
      </c>
      <c r="GX7" s="15">
        <f>IF(t_Plants[[#This Row],[t2018]]&gt;0,t_Plants[[#This Row],[p2018]]/t_Plants[[#This Row],[t2018]],0)</f>
        <v>0.25465029137130873</v>
      </c>
      <c r="GY7" s="15">
        <f>IF(t_Plants[[#This Row],[t2019]]&gt;0,t_Plants[[#This Row],[p2019]]/t_Plants[[#This Row],[t2019]],0)</f>
        <v>0.22049780137618485</v>
      </c>
    </row>
    <row r="8" spans="1:207" x14ac:dyDescent="0.25">
      <c r="A8" t="s">
        <v>12</v>
      </c>
      <c r="B8" s="63">
        <v>10</v>
      </c>
      <c r="C8" s="65">
        <v>0.79</v>
      </c>
      <c r="D8" s="85">
        <f>COUNTIF(r_Press_Plants,t_Plants[[#This Row],[Plant]])</f>
        <v>14</v>
      </c>
      <c r="E8" s="63">
        <v>28</v>
      </c>
      <c r="F8" s="63">
        <v>28</v>
      </c>
      <c r="G8" s="63">
        <v>35</v>
      </c>
      <c r="H8" s="63">
        <v>28</v>
      </c>
      <c r="I8" s="63">
        <v>28</v>
      </c>
      <c r="J8" s="63">
        <v>35</v>
      </c>
      <c r="K8" s="63">
        <v>28</v>
      </c>
      <c r="L8" s="63">
        <v>28</v>
      </c>
      <c r="M8" s="63">
        <v>35</v>
      </c>
      <c r="N8" s="63">
        <v>28</v>
      </c>
      <c r="O8" s="63">
        <v>28</v>
      </c>
      <c r="P8" s="63">
        <v>35</v>
      </c>
      <c r="Q8" s="85">
        <f>SUM(t_Plants[[#This Row],[d2015.01]:[d2015.12]])</f>
        <v>364</v>
      </c>
      <c r="R8" s="63">
        <v>28</v>
      </c>
      <c r="S8" s="63">
        <v>28</v>
      </c>
      <c r="T8" s="63">
        <v>35</v>
      </c>
      <c r="U8" s="63">
        <v>28</v>
      </c>
      <c r="V8" s="63">
        <v>28</v>
      </c>
      <c r="W8" s="63">
        <v>35</v>
      </c>
      <c r="X8" s="63">
        <v>28</v>
      </c>
      <c r="Y8" s="63">
        <v>28</v>
      </c>
      <c r="Z8" s="63">
        <v>35</v>
      </c>
      <c r="AA8" s="63">
        <v>28</v>
      </c>
      <c r="AB8" s="63">
        <v>28</v>
      </c>
      <c r="AC8" s="63">
        <v>35</v>
      </c>
      <c r="AD8" s="85">
        <f>SUM(t_Plants[[#This Row],[d2016.01]:[d2016.12]])</f>
        <v>364</v>
      </c>
      <c r="AE8" s="85">
        <f>t_Plants[[#This Row],[d2016.FY]]</f>
        <v>364</v>
      </c>
      <c r="AF8" s="85">
        <f>t_Plants[[#This Row],[d2016.FY]]</f>
        <v>364</v>
      </c>
      <c r="AG8" s="85">
        <f>t_Plants[[#This Row],[d2016.FY]]</f>
        <v>364</v>
      </c>
      <c r="AH8" s="63">
        <v>3</v>
      </c>
      <c r="AI8" s="63">
        <v>2</v>
      </c>
      <c r="AJ8" s="63">
        <v>1</v>
      </c>
      <c r="AK8" s="63">
        <v>3</v>
      </c>
      <c r="AL8" s="63">
        <v>2</v>
      </c>
      <c r="AM8" s="63">
        <v>1</v>
      </c>
      <c r="AN8" s="63">
        <v>3</v>
      </c>
      <c r="AO8" s="63">
        <v>2</v>
      </c>
      <c r="AP8" s="63">
        <v>1</v>
      </c>
      <c r="AQ8" s="63">
        <v>3</v>
      </c>
      <c r="AR8" s="63">
        <v>2</v>
      </c>
      <c r="AS8" s="63">
        <v>1</v>
      </c>
      <c r="AT8" s="85">
        <f>SUM(t_Plants[[#This Row],[o2015.01]:[o2015.12]])</f>
        <v>24</v>
      </c>
      <c r="AU8" s="63">
        <v>3</v>
      </c>
      <c r="AV8" s="63">
        <v>2</v>
      </c>
      <c r="AW8" s="63">
        <v>1</v>
      </c>
      <c r="AX8" s="63">
        <v>3</v>
      </c>
      <c r="AY8" s="63">
        <v>2</v>
      </c>
      <c r="AZ8" s="63">
        <v>1</v>
      </c>
      <c r="BA8" s="63">
        <v>3</v>
      </c>
      <c r="BB8" s="63">
        <v>2</v>
      </c>
      <c r="BC8" s="63">
        <v>1</v>
      </c>
      <c r="BD8" s="63">
        <v>3</v>
      </c>
      <c r="BE8" s="63">
        <v>2</v>
      </c>
      <c r="BF8" s="63">
        <v>1</v>
      </c>
      <c r="BG8" s="85">
        <f>SUM(t_Plants[[#This Row],[o2016.01]:[o2016.12]])</f>
        <v>24</v>
      </c>
      <c r="BH8" s="85">
        <f>t_Plants[[#This Row],[o2016.FY]]</f>
        <v>24</v>
      </c>
      <c r="BI8" s="85">
        <f>t_Plants[[#This Row],[o2016.FY]]</f>
        <v>24</v>
      </c>
      <c r="BJ8" s="85">
        <f>t_Plants[[#This Row],[o2016.FY]]</f>
        <v>24</v>
      </c>
      <c r="BK8">
        <f>t_Plants[[#This Row],[d2015.01]]-t_Plants[[#This Row],[o2015.01]]</f>
        <v>25</v>
      </c>
      <c r="BL8">
        <f>t_Plants[[#This Row],[d2015.02]]-t_Plants[[#This Row],[o2015.02]]</f>
        <v>26</v>
      </c>
      <c r="BM8">
        <f>t_Plants[[#This Row],[d2015.03]]-t_Plants[[#This Row],[o2015.03]]</f>
        <v>34</v>
      </c>
      <c r="BN8">
        <f>t_Plants[[#This Row],[d2015.04]]-t_Plants[[#This Row],[o2015.04]]</f>
        <v>25</v>
      </c>
      <c r="BO8">
        <f>t_Plants[[#This Row],[d2015.05]]-t_Plants[[#This Row],[o2015.05]]</f>
        <v>26</v>
      </c>
      <c r="BP8">
        <f>t_Plants[[#This Row],[d2015.06]]-t_Plants[[#This Row],[o2015.06]]</f>
        <v>34</v>
      </c>
      <c r="BQ8">
        <f>t_Plants[[#This Row],[d2015.07]]-t_Plants[[#This Row],[o2015.07]]</f>
        <v>25</v>
      </c>
      <c r="BR8">
        <f>t_Plants[[#This Row],[d2015.08]]-t_Plants[[#This Row],[o2015.08]]</f>
        <v>26</v>
      </c>
      <c r="BS8">
        <f>t_Plants[[#This Row],[d2015.09]]-t_Plants[[#This Row],[o2015.09]]</f>
        <v>34</v>
      </c>
      <c r="BT8">
        <f>t_Plants[[#This Row],[d2015.10]]-t_Plants[[#This Row],[o2015.10]]</f>
        <v>25</v>
      </c>
      <c r="BU8">
        <f>t_Plants[[#This Row],[d2015.11]]-t_Plants[[#This Row],[o2015.11]]</f>
        <v>26</v>
      </c>
      <c r="BV8">
        <f>t_Plants[[#This Row],[d2015.12]]-t_Plants[[#This Row],[o2015.12]]</f>
        <v>34</v>
      </c>
      <c r="BW8">
        <f>t_Plants[[#This Row],[d2015.FY]]-t_Plants[[#This Row],[o2015.FY]]</f>
        <v>340</v>
      </c>
      <c r="BX8">
        <f>t_Plants[[#This Row],[d2016.01]]-t_Plants[[#This Row],[o2016.01]]</f>
        <v>25</v>
      </c>
      <c r="BY8">
        <f>t_Plants[[#This Row],[d2016.02]]-t_Plants[[#This Row],[o2016.02]]</f>
        <v>26</v>
      </c>
      <c r="BZ8">
        <f>t_Plants[[#This Row],[d2016.03]]-t_Plants[[#This Row],[o2016.03]]</f>
        <v>34</v>
      </c>
      <c r="CA8">
        <f>t_Plants[[#This Row],[d2016.04]]-t_Plants[[#This Row],[o2016.04]]</f>
        <v>25</v>
      </c>
      <c r="CB8">
        <f>t_Plants[[#This Row],[d2016.05]]-t_Plants[[#This Row],[o2016.05]]</f>
        <v>26</v>
      </c>
      <c r="CC8">
        <f>t_Plants[[#This Row],[d2016.06]]-t_Plants[[#This Row],[o2016.06]]</f>
        <v>34</v>
      </c>
      <c r="CD8">
        <f>t_Plants[[#This Row],[d2016.07]]-t_Plants[[#This Row],[o2016.07]]</f>
        <v>25</v>
      </c>
      <c r="CE8">
        <f>t_Plants[[#This Row],[d2016.08]]-t_Plants[[#This Row],[o2016.08]]</f>
        <v>26</v>
      </c>
      <c r="CF8">
        <f>t_Plants[[#This Row],[d2016.09]]-t_Plants[[#This Row],[o2016.09]]</f>
        <v>34</v>
      </c>
      <c r="CG8">
        <f>t_Plants[[#This Row],[d2016.10]]-t_Plants[[#This Row],[o2016.10]]</f>
        <v>25</v>
      </c>
      <c r="CH8">
        <f>t_Plants[[#This Row],[d2016.11]]-t_Plants[[#This Row],[o2016.11]]</f>
        <v>26</v>
      </c>
      <c r="CI8">
        <f>t_Plants[[#This Row],[d2016.12]]-t_Plants[[#This Row],[o2016.12]]</f>
        <v>34</v>
      </c>
      <c r="CJ8">
        <f>SUM(t_Plants[[#This Row],[a2016.01]:[a2016.12]])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Row],[a2016.FY]]</f>
        <v>340</v>
      </c>
      <c r="CN8">
        <f>t_Plants[[#This Row],[a2015.01]]*t_Plants[[OperHrsPerDay]:[OperHrsPerDay]]</f>
        <v>250</v>
      </c>
      <c r="CO8">
        <f>t_Plants[[#This Row],[a2015.02]]*t_Plants[[OperHrsPerDay]:[OperHrsPerDay]]</f>
        <v>260</v>
      </c>
      <c r="CP8">
        <f>t_Plants[[#This Row],[a2015.03]]*t_Plants[[OperHrsPerDay]:[OperHrsPerDay]]</f>
        <v>340</v>
      </c>
      <c r="CQ8">
        <f>t_Plants[[#This Row],[a2015.04]]*t_Plants[[OperHrsPerDay]:[OperHrsPerDay]]</f>
        <v>250</v>
      </c>
      <c r="CR8">
        <f>t_Plants[[#This Row],[a2015.05]]*t_Plants[[OperHrsPerDay]:[OperHrsPerDay]]</f>
        <v>260</v>
      </c>
      <c r="CS8">
        <f>t_Plants[[#This Row],[a2015.06]]*t_Plants[[OperHrsPerDay]:[OperHrsPerDay]]</f>
        <v>340</v>
      </c>
      <c r="CT8">
        <f>t_Plants[[#This Row],[a2015.07]]*t_Plants[[OperHrsPerDay]:[OperHrsPerDay]]</f>
        <v>250</v>
      </c>
      <c r="CU8">
        <f>t_Plants[[#This Row],[a2015.08]]*t_Plants[[OperHrsPerDay]:[OperHrsPerDay]]</f>
        <v>260</v>
      </c>
      <c r="CV8">
        <f>t_Plants[[#This Row],[a2015.09]]*t_Plants[[OperHrsPerDay]:[OperHrsPerDay]]</f>
        <v>340</v>
      </c>
      <c r="CW8">
        <f>t_Plants[[#This Row],[a2015.10]]*t_Plants[[OperHrsPerDay]:[OperHrsPerDay]]</f>
        <v>250</v>
      </c>
      <c r="CX8">
        <f>t_Plants[[#This Row],[a2015.11]]*t_Plants[[OperHrsPerDay]:[OperHrsPerDay]]</f>
        <v>260</v>
      </c>
      <c r="CY8">
        <f>t_Plants[[#This Row],[a2015.12]]*t_Plants[[OperHrsPerDay]:[OperHrsPerDay]]</f>
        <v>340</v>
      </c>
      <c r="CZ8">
        <f>SUM(t_Plants[[#This Row],[h2015.01]:[h2015.12]])</f>
        <v>3400</v>
      </c>
      <c r="DA8">
        <f>t_Plants[[#This Row],[a2016.01]]*t_Plants[[OperHrsPerDay]:[OperHrsPerDay]]</f>
        <v>250</v>
      </c>
      <c r="DB8">
        <f>t_Plants[[#This Row],[a2016.02]]*t_Plants[[OperHrsPerDay]:[OperHrsPerDay]]</f>
        <v>260</v>
      </c>
      <c r="DC8">
        <f>t_Plants[[#This Row],[a2016.03]]*t_Plants[[OperHrsPerDay]:[OperHrsPerDay]]</f>
        <v>340</v>
      </c>
      <c r="DD8">
        <f>t_Plants[[#This Row],[a2016.04]]*t_Plants[[OperHrsPerDay]:[OperHrsPerDay]]</f>
        <v>250</v>
      </c>
      <c r="DE8">
        <f>t_Plants[[#This Row],[a2016.05]]*t_Plants[[OperHrsPerDay]:[OperHrsPerDay]]</f>
        <v>260</v>
      </c>
      <c r="DF8">
        <f>t_Plants[[#This Row],[a2016.06]]*t_Plants[[OperHrsPerDay]:[OperHrsPerDay]]</f>
        <v>340</v>
      </c>
      <c r="DG8">
        <f>t_Plants[[#This Row],[a2016.07]]*t_Plants[[OperHrsPerDay]:[OperHrsPerDay]]</f>
        <v>250</v>
      </c>
      <c r="DH8">
        <f>t_Plants[[#This Row],[a2016.08]]*t_Plants[[OperHrsPerDay]:[OperHrsPerDay]]</f>
        <v>260</v>
      </c>
      <c r="DI8">
        <f>t_Plants[[#This Row],[a2016.09]]*t_Plants[[OperHrsPerDay]:[OperHrsPerDay]]</f>
        <v>340</v>
      </c>
      <c r="DJ8">
        <f>t_Plants[[#This Row],[a2016.10]]*t_Plants[[OperHrsPerDay]:[OperHrsPerDay]]</f>
        <v>250</v>
      </c>
      <c r="DK8">
        <f>t_Plants[[#This Row],[a2016.11]]*t_Plants[[OperHrsPerDay]:[OperHrsPerDay]]</f>
        <v>260</v>
      </c>
      <c r="DL8">
        <f>t_Plants[[#This Row],[a2016.12]]*t_Plants[[OperHrsPerDay]:[OperHrsPerDay]]</f>
        <v>340</v>
      </c>
      <c r="DM8">
        <f>t_Plants[[#This Row],[a2016.FY]]*t_Plants[[OperHrsPerDay]:[OperHrsPerDay]]</f>
        <v>3400</v>
      </c>
      <c r="DN8">
        <f>t_Plants[[#This Row],[a2017]]*t_Plants[[OperHrsPerDay]:[OperHrsPerDay]]</f>
        <v>3400</v>
      </c>
      <c r="DO8">
        <f>t_Plants[[#This Row],[a2018]]*t_Plants[[OperHrsPerDay]:[OperHrsPerDay]]</f>
        <v>3400</v>
      </c>
      <c r="DP8">
        <f>t_Plants[[#This Row],[a2019]]*t_Plants[[OperHrsPerDay]:[OperHrsPerDay]]</f>
        <v>3400</v>
      </c>
      <c r="DQ8">
        <f>t_Plants[[#This Row],[h2015.01]]*t_Plants[[Press Count]:[Press Count]]</f>
        <v>3500</v>
      </c>
      <c r="DR8">
        <f>t_Plants[[#This Row],[h2015.02]]*t_Plants[[Press Count]:[Press Count]]</f>
        <v>3640</v>
      </c>
      <c r="DS8">
        <f>t_Plants[[#This Row],[h2015.03]]*t_Plants[[Press Count]:[Press Count]]</f>
        <v>4760</v>
      </c>
      <c r="DT8">
        <f>t_Plants[[#This Row],[h2015.04]]*t_Plants[[Press Count]:[Press Count]]</f>
        <v>3500</v>
      </c>
      <c r="DU8">
        <f>t_Plants[[#This Row],[h2015.05]]*t_Plants[[Press Count]:[Press Count]]</f>
        <v>3640</v>
      </c>
      <c r="DV8">
        <f>t_Plants[[#This Row],[h2015.06]]*t_Plants[[Press Count]:[Press Count]]</f>
        <v>4760</v>
      </c>
      <c r="DW8">
        <f>t_Plants[[#This Row],[h2015.07]]*t_Plants[[Press Count]:[Press Count]]</f>
        <v>3500</v>
      </c>
      <c r="DX8">
        <f>t_Plants[[#This Row],[h2015.08]]*t_Plants[[Press Count]:[Press Count]]</f>
        <v>3640</v>
      </c>
      <c r="DY8">
        <f>t_Plants[[#This Row],[h2015.09]]*t_Plants[[Press Count]:[Press Count]]</f>
        <v>4760</v>
      </c>
      <c r="DZ8">
        <f>t_Plants[[#This Row],[h2015.10]]*t_Plants[[Press Count]:[Press Count]]</f>
        <v>3500</v>
      </c>
      <c r="EA8">
        <f>t_Plants[[#This Row],[h2015.11]]*t_Plants[[Press Count]:[Press Count]]</f>
        <v>3640</v>
      </c>
      <c r="EB8">
        <f>t_Plants[[#This Row],[h2015.12]]*t_Plants[[Press Count]:[Press Count]]</f>
        <v>4760</v>
      </c>
      <c r="EC8">
        <f>t_Plants[[#This Row],[h2015.FY]]*t_Plants[[Press Count]:[Press Count]]</f>
        <v>47600</v>
      </c>
      <c r="ED8">
        <f>t_Plants[[#This Row],[h2016.01]]*t_Plants[[Press Count]:[Press Count]]</f>
        <v>3500</v>
      </c>
      <c r="EE8">
        <f>t_Plants[[#This Row],[h2016.02]]*t_Plants[[Press Count]:[Press Count]]</f>
        <v>3640</v>
      </c>
      <c r="EF8">
        <f>t_Plants[[#This Row],[h2016.03]]*t_Plants[[Press Count]:[Press Count]]</f>
        <v>4760</v>
      </c>
      <c r="EG8">
        <f>t_Plants[[#This Row],[h2016.04]]*t_Plants[[Press Count]:[Press Count]]</f>
        <v>3500</v>
      </c>
      <c r="EH8">
        <f>t_Plants[[#This Row],[h2016.05]]*t_Plants[[Press Count]:[Press Count]]</f>
        <v>3640</v>
      </c>
      <c r="EI8">
        <f>t_Plants[[#This Row],[h2016.06]]*t_Plants[[Press Count]:[Press Count]]</f>
        <v>4760</v>
      </c>
      <c r="EJ8">
        <f>t_Plants[[#This Row],[h2016.07]]*t_Plants[[Press Count]:[Press Count]]</f>
        <v>3500</v>
      </c>
      <c r="EK8">
        <f>t_Plants[[#This Row],[h2016.08]]*t_Plants[[Press Count]:[Press Count]]</f>
        <v>3640</v>
      </c>
      <c r="EL8">
        <f>t_Plants[[#This Row],[h2016.09]]*t_Plants[[Press Count]:[Press Count]]</f>
        <v>4760</v>
      </c>
      <c r="EM8">
        <f>t_Plants[[#This Row],[h2016.10]]*t_Plants[[Press Count]:[Press Count]]</f>
        <v>3500</v>
      </c>
      <c r="EN8">
        <f>t_Plants[[#This Row],[h2016.11]]*t_Plants[[Press Count]:[Press Count]]</f>
        <v>3640</v>
      </c>
      <c r="EO8">
        <f>t_Plants[[#This Row],[h2016.12]]*t_Plants[[Press Count]:[Press Count]]</f>
        <v>4760</v>
      </c>
      <c r="EP8">
        <f>t_Plants[[#This Row],[h2016.FY]]*t_Plants[[Press Count]:[Press Count]]</f>
        <v>47600</v>
      </c>
      <c r="EQ8">
        <f>t_Plants[[#This Row],[h2017]]*t_Plants[[Press Count]:[Press Count]]</f>
        <v>47600</v>
      </c>
      <c r="ER8">
        <f>t_Plants[[#This Row],[h2018]]*t_Plants[[Press Count]:[Press Count]]</f>
        <v>47600</v>
      </c>
      <c r="ES8">
        <f>t_Plants[[#This Row],[h2019]]*t_Plants[[Press Count]:[Press Count]]</f>
        <v>47600</v>
      </c>
      <c r="ET8" s="20">
        <f>SUMIF(r_Press_Plants,t_Plants[[Plant]:[Plant]],t_Presses[hp2015.01])</f>
        <v>0</v>
      </c>
      <c r="EU8" s="20">
        <f>SUMIF(r_Press_Plants,t_Plants[[Plant]:[Plant]],t_Presses[hp2015.02])</f>
        <v>0</v>
      </c>
      <c r="EV8" s="20">
        <f>SUMIF(r_Press_Plants,t_Plants[[Plant]:[Plant]],t_Presses[hp2015.03])</f>
        <v>0</v>
      </c>
      <c r="EW8" s="20">
        <f>SUMIF(r_Press_Plants,t_Plants[[Plant]:[Plant]],t_Presses[hp2015.04])</f>
        <v>0</v>
      </c>
      <c r="EX8" s="20">
        <f>SUMIF(r_Press_Plants,t_Plants[[Plant]:[Plant]],t_Presses[hp2015.05])</f>
        <v>0</v>
      </c>
      <c r="EY8" s="20">
        <f>SUMIF(r_Press_Plants,t_Plants[[Plant]:[Plant]],t_Presses[hp2015.06])</f>
        <v>0</v>
      </c>
      <c r="EZ8" s="20">
        <f>SUMIF(r_Press_Plants,t_Plants[[Plant]:[Plant]],t_Presses[hp2015.07])</f>
        <v>0</v>
      </c>
      <c r="FA8" s="20">
        <f>SUMIF(r_Press_Plants,t_Plants[[Plant]:[Plant]],t_Presses[hp2015.08])</f>
        <v>0</v>
      </c>
      <c r="FB8" s="20">
        <f>SUMIF(r_Press_Plants,t_Plants[[Plant]:[Plant]],t_Presses[hp2015.09])</f>
        <v>0</v>
      </c>
      <c r="FC8" s="20">
        <f>SUMIF(r_Press_Plants,t_Plants[[Plant]:[Plant]],t_Presses[hp2015.10])</f>
        <v>0</v>
      </c>
      <c r="FD8" s="20">
        <f>SUMIF(r_Press_Plants,t_Plants[[Plant]:[Plant]],t_Presses[hp2015.11])</f>
        <v>0</v>
      </c>
      <c r="FE8" s="20">
        <f>SUMIF(r_Press_Plants,t_Plants[[Plant]:[Plant]],t_Presses[hp2015.12])</f>
        <v>0</v>
      </c>
      <c r="FF8" s="20">
        <f>SUMIF(r_Press_Plants,t_Plants[[Plant]:[Plant]],t_Presses[hp2015.FY])</f>
        <v>0</v>
      </c>
      <c r="FG8" s="20">
        <f>SUMIF(r_Press_Plants,t_Plants[[Plant]:[Plant]],t_Presses[hp2016.01])</f>
        <v>0</v>
      </c>
      <c r="FH8" s="20">
        <f>SUMIF(r_Press_Plants,t_Plants[[Plant]:[Plant]],t_Presses[hp2016.02])</f>
        <v>0</v>
      </c>
      <c r="FI8" s="20">
        <f>SUMIF(r_Press_Plants,t_Plants[[Plant]:[Plant]],t_Presses[hp2016.03])</f>
        <v>0</v>
      </c>
      <c r="FJ8" s="20">
        <f>SUMIF(r_Press_Plants,t_Plants[[Plant]:[Plant]],t_Presses[hp2016.04])</f>
        <v>0</v>
      </c>
      <c r="FK8" s="20">
        <f>SUMIF(r_Press_Plants,t_Plants[[Plant]:[Plant]],t_Presses[hp2016.05])</f>
        <v>0</v>
      </c>
      <c r="FL8" s="20">
        <f>SUMIF(r_Press_Plants,t_Plants[[Plant]:[Plant]],t_Presses[hp2016.06])</f>
        <v>0</v>
      </c>
      <c r="FM8" s="20">
        <f>SUMIF(r_Press_Plants,t_Plants[[Plant]:[Plant]],t_Presses[hp2016.07])</f>
        <v>0</v>
      </c>
      <c r="FN8" s="20">
        <f>SUMIF(r_Press_Plants,t_Plants[[Plant]:[Plant]],t_Presses[hp2016.08])</f>
        <v>0</v>
      </c>
      <c r="FO8" s="20">
        <f>SUMIF(r_Press_Plants,t_Plants[[Plant]:[Plant]],t_Presses[hp2016.09])</f>
        <v>0</v>
      </c>
      <c r="FP8" s="20">
        <f>SUMIF(r_Press_Plants,t_Plants[[Plant]:[Plant]],t_Presses[hp2016.10])</f>
        <v>0</v>
      </c>
      <c r="FQ8" s="20">
        <f>SUMIF(r_Press_Plants,t_Plants[[Plant]:[Plant]],t_Presses[hp2016.11])</f>
        <v>0</v>
      </c>
      <c r="FR8" s="20">
        <f>SUMIF(r_Press_Plants,t_Plants[[Plant]:[Plant]],t_Presses[hp2016.12])</f>
        <v>0</v>
      </c>
      <c r="FS8" s="20">
        <f>SUMIF(r_Press_Plants,t_Plants[[Plant]:[Plant]],t_Presses[hp2016.FY])</f>
        <v>0</v>
      </c>
      <c r="FT8" s="20">
        <f>SUMIF(r_Press_Plants,t_Plants[[Plant]:[Plant]],t_Presses[hp2017])</f>
        <v>0</v>
      </c>
      <c r="FU8" s="20">
        <f>SUMIF(r_Press_Plants,t_Plants[[Plant]:[Plant]],t_Presses[hp2018])</f>
        <v>0</v>
      </c>
      <c r="FV8" s="20">
        <f>SUMIF(r_Press_Plants,t_Plants[[Plant]:[Plant]],t_Presses[hp2019])</f>
        <v>0</v>
      </c>
      <c r="FW8" s="15">
        <f>IF(t_Plants[[#This Row],[t2015.01]]&gt;0,t_Plants[[#This Row],[p2015.01]]/t_Plants[[#This Row],[t2015.01]],0)</f>
        <v>0</v>
      </c>
      <c r="FX8" s="15">
        <f>IF(t_Plants[[#This Row],[t2015.02]]&gt;0,t_Plants[[#This Row],[p2015.02]]/t_Plants[[#This Row],[t2015.02]],0)</f>
        <v>0</v>
      </c>
      <c r="FY8" s="15">
        <f>IF(t_Plants[[#This Row],[t2015.03]]&gt;0,t_Plants[[#This Row],[p2015.03]]/t_Plants[[#This Row],[t2015.03]],0)</f>
        <v>0</v>
      </c>
      <c r="FZ8" s="15">
        <f>IF(t_Plants[[#This Row],[t2015.04]]&gt;0,t_Plants[[#This Row],[p2015.04]]/t_Plants[[#This Row],[t2015.04]],0)</f>
        <v>0</v>
      </c>
      <c r="GA8" s="15">
        <f>IF(t_Plants[[#This Row],[t2015.05]]&gt;0,t_Plants[[#This Row],[p2015.05]]/t_Plants[[#This Row],[t2015.05]],0)</f>
        <v>0</v>
      </c>
      <c r="GB8" s="15">
        <f>IF(t_Plants[[#This Row],[t2015.06]]&gt;0,t_Plants[[#This Row],[p2015.06]]/t_Plants[[#This Row],[t2015.06]],0)</f>
        <v>0</v>
      </c>
      <c r="GC8" s="15">
        <f>IF(t_Plants[[#This Row],[t2015.07]]&gt;0,t_Plants[[#This Row],[p2015.07]]/t_Plants[[#This Row],[t2015.07]],0)</f>
        <v>0</v>
      </c>
      <c r="GD8" s="15">
        <f>IF(t_Plants[[#This Row],[t2015.08]]&gt;0,t_Plants[[#This Row],[p2015.08]]/t_Plants[[#This Row],[t2015.08]],0)</f>
        <v>0</v>
      </c>
      <c r="GE8" s="15">
        <f>IF(t_Plants[[#This Row],[t2015.09]]&gt;0,t_Plants[[#This Row],[p2015.09]]/t_Plants[[#This Row],[t2015.09]],0)</f>
        <v>0</v>
      </c>
      <c r="GF8" s="15">
        <f>IF(t_Plants[[#This Row],[t2015.10]]&gt;0,t_Plants[[#This Row],[p2015.10]]/t_Plants[[#This Row],[t2015.10]],0)</f>
        <v>0</v>
      </c>
      <c r="GG8" s="15">
        <f>IF(t_Plants[[#This Row],[t2015.11]]&gt;0,t_Plants[[#This Row],[p2015.11]]/t_Plants[[#This Row],[t2015.11]],0)</f>
        <v>0</v>
      </c>
      <c r="GH8" s="15">
        <f>IF(t_Plants[[#This Row],[t2015.12]]&gt;0,t_Plants[[#This Row],[p2015.12]]/t_Plants[[#This Row],[t2015.12]],0)</f>
        <v>0</v>
      </c>
      <c r="GI8" s="15">
        <f>IF(t_Plants[[#This Row],[t2015.FY]]&gt;0,t_Plants[[#This Row],[p2015.FY]]/t_Plants[[#This Row],[t2015.FY]],0)</f>
        <v>0</v>
      </c>
      <c r="GJ8" s="15">
        <f>IF(t_Plants[[#This Row],[t2016.01]]&gt;0,t_Plants[[#This Row],[p2016.01]]/t_Plants[[#This Row],[t2016.01]],0)</f>
        <v>0</v>
      </c>
      <c r="GK8" s="15">
        <f>IF(t_Plants[[#This Row],[t2016.02]]&gt;0,t_Plants[[#This Row],[p2016.02]]/t_Plants[[#This Row],[t2016.02]],0)</f>
        <v>0</v>
      </c>
      <c r="GL8" s="15">
        <f>IF(t_Plants[[#This Row],[t2016.03]]&gt;0,t_Plants[[#This Row],[p2016.03]]/t_Plants[[#This Row],[t2016.03]],0)</f>
        <v>0</v>
      </c>
      <c r="GM8" s="15">
        <f>IF(t_Plants[[#This Row],[t2016.04]]&gt;0,t_Plants[[#This Row],[p2016.04]]/t_Plants[[#This Row],[t2016.04]],0)</f>
        <v>0</v>
      </c>
      <c r="GN8" s="15">
        <f>IF(t_Plants[[#This Row],[t2016.05]]&gt;0,t_Plants[[#This Row],[p2016.05]]/t_Plants[[#This Row],[t2016.05]],0)</f>
        <v>0</v>
      </c>
      <c r="GO8" s="15">
        <f>IF(t_Plants[[#This Row],[t2016.06]]&gt;0,t_Plants[[#This Row],[p2016.06]]/t_Plants[[#This Row],[t2016.06]],0)</f>
        <v>0</v>
      </c>
      <c r="GP8" s="15">
        <f>IF(t_Plants[[#This Row],[t2016.07]]&gt;0,t_Plants[[#This Row],[p2016.07]]/t_Plants[[#This Row],[t2016.07]],0)</f>
        <v>0</v>
      </c>
      <c r="GQ8" s="15">
        <f>IF(t_Plants[[#This Row],[t2016.08]]&gt;0,t_Plants[[#This Row],[p2016.08]]/t_Plants[[#This Row],[t2016.08]],0)</f>
        <v>0</v>
      </c>
      <c r="GR8" s="15">
        <f>IF(t_Plants[[#This Row],[t2016.09]]&gt;0,t_Plants[[#This Row],[p2016.09]]/t_Plants[[#This Row],[t2016.09]],0)</f>
        <v>0</v>
      </c>
      <c r="GS8" s="15">
        <f>IF(t_Plants[[#This Row],[t2016.10]]&gt;0,t_Plants[[#This Row],[p2016.10]]/t_Plants[[#This Row],[t2016.10]],0)</f>
        <v>0</v>
      </c>
      <c r="GT8" s="15">
        <f>IF(t_Plants[[#This Row],[t2016.11]]&gt;0,t_Plants[[#This Row],[p2016.11]]/t_Plants[[#This Row],[t2016.11]],0)</f>
        <v>0</v>
      </c>
      <c r="GU8" s="15">
        <f>IF(t_Plants[[#This Row],[t2016.12]]&gt;0,t_Plants[[#This Row],[p2016.12]]/t_Plants[[#This Row],[t2016.12]],0)</f>
        <v>0</v>
      </c>
      <c r="GV8" s="15">
        <f>IF(t_Plants[[#This Row],[t2016.FY]]&gt;0,t_Plants[[#This Row],[p2016.FY]]/t_Plants[[#This Row],[t2016.FY]],0)</f>
        <v>0</v>
      </c>
      <c r="GW8" s="15">
        <f>IF(t_Plants[[#This Row],[t2017]]&gt;0,t_Plants[[#This Row],[p2017]]/t_Plants[[#This Row],[t2017]],0)</f>
        <v>0</v>
      </c>
      <c r="GX8" s="15">
        <f>IF(t_Plants[[#This Row],[t2018]]&gt;0,t_Plants[[#This Row],[p2018]]/t_Plants[[#This Row],[t2018]],0)</f>
        <v>0</v>
      </c>
      <c r="GY8" s="15">
        <f>IF(t_Plants[[#This Row],[t2019]]&gt;0,t_Plants[[#This Row],[p2019]]/t_Plants[[#This Row],[t2019]],0)</f>
        <v>0</v>
      </c>
    </row>
    <row r="9" spans="1:207" x14ac:dyDescent="0.25">
      <c r="A9" t="s">
        <v>11</v>
      </c>
      <c r="B9" s="63">
        <v>12</v>
      </c>
      <c r="C9" s="65">
        <v>0.78</v>
      </c>
      <c r="D9" s="85">
        <f>COUNTIF(r_Press_Plants,t_Plants[[#This Row],[Plant]])</f>
        <v>5</v>
      </c>
      <c r="E9" s="63">
        <v>28</v>
      </c>
      <c r="F9" s="63">
        <v>28</v>
      </c>
      <c r="G9" s="63">
        <v>35</v>
      </c>
      <c r="H9" s="63">
        <v>28</v>
      </c>
      <c r="I9" s="63">
        <v>28</v>
      </c>
      <c r="J9" s="63">
        <v>35</v>
      </c>
      <c r="K9" s="63">
        <v>28</v>
      </c>
      <c r="L9" s="63">
        <v>28</v>
      </c>
      <c r="M9" s="63">
        <v>35</v>
      </c>
      <c r="N9" s="63">
        <v>28</v>
      </c>
      <c r="O9" s="63">
        <v>28</v>
      </c>
      <c r="P9" s="63">
        <v>35</v>
      </c>
      <c r="Q9" s="85">
        <f>SUM(t_Plants[[#This Row],[d2015.01]:[d2015.12]])</f>
        <v>364</v>
      </c>
      <c r="R9" s="63">
        <v>28</v>
      </c>
      <c r="S9" s="63">
        <v>28</v>
      </c>
      <c r="T9" s="63">
        <v>35</v>
      </c>
      <c r="U9" s="63">
        <v>28</v>
      </c>
      <c r="V9" s="63">
        <v>28</v>
      </c>
      <c r="W9" s="63">
        <v>35</v>
      </c>
      <c r="X9" s="63">
        <v>28</v>
      </c>
      <c r="Y9" s="63">
        <v>28</v>
      </c>
      <c r="Z9" s="63">
        <v>35</v>
      </c>
      <c r="AA9" s="63">
        <v>28</v>
      </c>
      <c r="AB9" s="63">
        <v>28</v>
      </c>
      <c r="AC9" s="63">
        <v>35</v>
      </c>
      <c r="AD9" s="85">
        <f>SUM(t_Plants[[#This Row],[d2016.01]:[d2016.12]])</f>
        <v>364</v>
      </c>
      <c r="AE9" s="85">
        <f>t_Plants[[#This Row],[d2016.FY]]</f>
        <v>364</v>
      </c>
      <c r="AF9" s="85">
        <f>t_Plants[[#This Row],[d2016.FY]]</f>
        <v>364</v>
      </c>
      <c r="AG9" s="85">
        <f>t_Plants[[#This Row],[d2016.FY]]</f>
        <v>364</v>
      </c>
      <c r="AH9" s="63">
        <v>3</v>
      </c>
      <c r="AI9" s="63">
        <v>2</v>
      </c>
      <c r="AJ9" s="63">
        <v>1</v>
      </c>
      <c r="AK9" s="63">
        <v>3</v>
      </c>
      <c r="AL9" s="63">
        <v>2</v>
      </c>
      <c r="AM9" s="63">
        <v>1</v>
      </c>
      <c r="AN9" s="63">
        <v>3</v>
      </c>
      <c r="AO9" s="63">
        <v>2</v>
      </c>
      <c r="AP9" s="63">
        <v>1</v>
      </c>
      <c r="AQ9" s="63">
        <v>3</v>
      </c>
      <c r="AR9" s="63">
        <v>2</v>
      </c>
      <c r="AS9" s="63">
        <v>1</v>
      </c>
      <c r="AT9" s="85">
        <f>SUM(t_Plants[[#This Row],[o2015.01]:[o2015.12]])</f>
        <v>24</v>
      </c>
      <c r="AU9" s="63">
        <v>3</v>
      </c>
      <c r="AV9" s="63">
        <v>2</v>
      </c>
      <c r="AW9" s="63">
        <v>1</v>
      </c>
      <c r="AX9" s="63">
        <v>3</v>
      </c>
      <c r="AY9" s="63">
        <v>2</v>
      </c>
      <c r="AZ9" s="63">
        <v>1</v>
      </c>
      <c r="BA9" s="63">
        <v>3</v>
      </c>
      <c r="BB9" s="63">
        <v>2</v>
      </c>
      <c r="BC9" s="63">
        <v>1</v>
      </c>
      <c r="BD9" s="63">
        <v>3</v>
      </c>
      <c r="BE9" s="63">
        <v>2</v>
      </c>
      <c r="BF9" s="63">
        <v>1</v>
      </c>
      <c r="BG9" s="85">
        <f>SUM(t_Plants[[#This Row],[o2016.01]:[o2016.12]])</f>
        <v>24</v>
      </c>
      <c r="BH9" s="85">
        <f>t_Plants[[#This Row],[o2016.FY]]</f>
        <v>24</v>
      </c>
      <c r="BI9" s="85">
        <f>t_Plants[[#This Row],[o2016.FY]]</f>
        <v>24</v>
      </c>
      <c r="BJ9" s="85">
        <f>t_Plants[[#This Row],[o2016.FY]]</f>
        <v>24</v>
      </c>
      <c r="BK9">
        <f>t_Plants[[#This Row],[d2015.01]]-t_Plants[[#This Row],[o2015.01]]</f>
        <v>25</v>
      </c>
      <c r="BL9">
        <f>t_Plants[[#This Row],[d2015.02]]-t_Plants[[#This Row],[o2015.02]]</f>
        <v>26</v>
      </c>
      <c r="BM9">
        <f>t_Plants[[#This Row],[d2015.03]]-t_Plants[[#This Row],[o2015.03]]</f>
        <v>34</v>
      </c>
      <c r="BN9">
        <f>t_Plants[[#This Row],[d2015.04]]-t_Plants[[#This Row],[o2015.04]]</f>
        <v>25</v>
      </c>
      <c r="BO9">
        <f>t_Plants[[#This Row],[d2015.05]]-t_Plants[[#This Row],[o2015.05]]</f>
        <v>26</v>
      </c>
      <c r="BP9">
        <f>t_Plants[[#This Row],[d2015.06]]-t_Plants[[#This Row],[o2015.06]]</f>
        <v>34</v>
      </c>
      <c r="BQ9">
        <f>t_Plants[[#This Row],[d2015.07]]-t_Plants[[#This Row],[o2015.07]]</f>
        <v>25</v>
      </c>
      <c r="BR9">
        <f>t_Plants[[#This Row],[d2015.08]]-t_Plants[[#This Row],[o2015.08]]</f>
        <v>26</v>
      </c>
      <c r="BS9">
        <f>t_Plants[[#This Row],[d2015.09]]-t_Plants[[#This Row],[o2015.09]]</f>
        <v>34</v>
      </c>
      <c r="BT9">
        <f>t_Plants[[#This Row],[d2015.10]]-t_Plants[[#This Row],[o2015.10]]</f>
        <v>25</v>
      </c>
      <c r="BU9">
        <f>t_Plants[[#This Row],[d2015.11]]-t_Plants[[#This Row],[o2015.11]]</f>
        <v>26</v>
      </c>
      <c r="BV9">
        <f>t_Plants[[#This Row],[d2015.12]]-t_Plants[[#This Row],[o2015.12]]</f>
        <v>34</v>
      </c>
      <c r="BW9">
        <f>t_Plants[[#This Row],[d2015.FY]]-t_Plants[[#This Row],[o2015.FY]]</f>
        <v>340</v>
      </c>
      <c r="BX9">
        <f>t_Plants[[#This Row],[d2016.01]]-t_Plants[[#This Row],[o2016.01]]</f>
        <v>25</v>
      </c>
      <c r="BY9">
        <f>t_Plants[[#This Row],[d2016.02]]-t_Plants[[#This Row],[o2016.02]]</f>
        <v>26</v>
      </c>
      <c r="BZ9">
        <f>t_Plants[[#This Row],[d2016.03]]-t_Plants[[#This Row],[o2016.03]]</f>
        <v>34</v>
      </c>
      <c r="CA9">
        <f>t_Plants[[#This Row],[d2016.04]]-t_Plants[[#This Row],[o2016.04]]</f>
        <v>25</v>
      </c>
      <c r="CB9">
        <f>t_Plants[[#This Row],[d2016.05]]-t_Plants[[#This Row],[o2016.05]]</f>
        <v>26</v>
      </c>
      <c r="CC9">
        <f>t_Plants[[#This Row],[d2016.06]]-t_Plants[[#This Row],[o2016.06]]</f>
        <v>34</v>
      </c>
      <c r="CD9">
        <f>t_Plants[[#This Row],[d2016.07]]-t_Plants[[#This Row],[o2016.07]]</f>
        <v>25</v>
      </c>
      <c r="CE9">
        <f>t_Plants[[#This Row],[d2016.08]]-t_Plants[[#This Row],[o2016.08]]</f>
        <v>26</v>
      </c>
      <c r="CF9">
        <f>t_Plants[[#This Row],[d2016.09]]-t_Plants[[#This Row],[o2016.09]]</f>
        <v>34</v>
      </c>
      <c r="CG9">
        <f>t_Plants[[#This Row],[d2016.10]]-t_Plants[[#This Row],[o2016.10]]</f>
        <v>25</v>
      </c>
      <c r="CH9">
        <f>t_Plants[[#This Row],[d2016.11]]-t_Plants[[#This Row],[o2016.11]]</f>
        <v>26</v>
      </c>
      <c r="CI9">
        <f>t_Plants[[#This Row],[d2016.12]]-t_Plants[[#This Row],[o2016.12]]</f>
        <v>34</v>
      </c>
      <c r="CJ9">
        <f>SUM(t_Plants[[#This Row],[a2016.01]:[a2016.12]])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Row],[a2016.FY]]</f>
        <v>340</v>
      </c>
      <c r="CN9">
        <f>t_Plants[[#This Row],[a2015.01]]*t_Plants[[OperHrsPerDay]:[OperHrsPerDay]]</f>
        <v>300</v>
      </c>
      <c r="CO9">
        <f>t_Plants[[#This Row],[a2015.02]]*t_Plants[[OperHrsPerDay]:[OperHrsPerDay]]</f>
        <v>312</v>
      </c>
      <c r="CP9">
        <f>t_Plants[[#This Row],[a2015.03]]*t_Plants[[OperHrsPerDay]:[OperHrsPerDay]]</f>
        <v>408</v>
      </c>
      <c r="CQ9">
        <f>t_Plants[[#This Row],[a2015.04]]*t_Plants[[OperHrsPerDay]:[OperHrsPerDay]]</f>
        <v>300</v>
      </c>
      <c r="CR9">
        <f>t_Plants[[#This Row],[a2015.05]]*t_Plants[[OperHrsPerDay]:[OperHrsPerDay]]</f>
        <v>312</v>
      </c>
      <c r="CS9">
        <f>t_Plants[[#This Row],[a2015.06]]*t_Plants[[OperHrsPerDay]:[OperHrsPerDay]]</f>
        <v>408</v>
      </c>
      <c r="CT9">
        <f>t_Plants[[#This Row],[a2015.07]]*t_Plants[[OperHrsPerDay]:[OperHrsPerDay]]</f>
        <v>300</v>
      </c>
      <c r="CU9">
        <f>t_Plants[[#This Row],[a2015.08]]*t_Plants[[OperHrsPerDay]:[OperHrsPerDay]]</f>
        <v>312</v>
      </c>
      <c r="CV9">
        <f>t_Plants[[#This Row],[a2015.09]]*t_Plants[[OperHrsPerDay]:[OperHrsPerDay]]</f>
        <v>408</v>
      </c>
      <c r="CW9">
        <f>t_Plants[[#This Row],[a2015.10]]*t_Plants[[OperHrsPerDay]:[OperHrsPerDay]]</f>
        <v>300</v>
      </c>
      <c r="CX9">
        <f>t_Plants[[#This Row],[a2015.11]]*t_Plants[[OperHrsPerDay]:[OperHrsPerDay]]</f>
        <v>312</v>
      </c>
      <c r="CY9">
        <f>t_Plants[[#This Row],[a2015.12]]*t_Plants[[OperHrsPerDay]:[OperHrsPerDay]]</f>
        <v>408</v>
      </c>
      <c r="CZ9">
        <f>SUM(t_Plants[[#This Row],[h2015.01]:[h2015.12]])</f>
        <v>4080</v>
      </c>
      <c r="DA9">
        <f>t_Plants[[#This Row],[a2016.01]]*t_Plants[[OperHrsPerDay]:[OperHrsPerDay]]</f>
        <v>300</v>
      </c>
      <c r="DB9">
        <f>t_Plants[[#This Row],[a2016.02]]*t_Plants[[OperHrsPerDay]:[OperHrsPerDay]]</f>
        <v>312</v>
      </c>
      <c r="DC9">
        <f>t_Plants[[#This Row],[a2016.03]]*t_Plants[[OperHrsPerDay]:[OperHrsPerDay]]</f>
        <v>408</v>
      </c>
      <c r="DD9">
        <f>t_Plants[[#This Row],[a2016.04]]*t_Plants[[OperHrsPerDay]:[OperHrsPerDay]]</f>
        <v>300</v>
      </c>
      <c r="DE9">
        <f>t_Plants[[#This Row],[a2016.05]]*t_Plants[[OperHrsPerDay]:[OperHrsPerDay]]</f>
        <v>312</v>
      </c>
      <c r="DF9">
        <f>t_Plants[[#This Row],[a2016.06]]*t_Plants[[OperHrsPerDay]:[OperHrsPerDay]]</f>
        <v>408</v>
      </c>
      <c r="DG9">
        <f>t_Plants[[#This Row],[a2016.07]]*t_Plants[[OperHrsPerDay]:[OperHrsPerDay]]</f>
        <v>300</v>
      </c>
      <c r="DH9">
        <f>t_Plants[[#This Row],[a2016.08]]*t_Plants[[OperHrsPerDay]:[OperHrsPerDay]]</f>
        <v>312</v>
      </c>
      <c r="DI9">
        <f>t_Plants[[#This Row],[a2016.09]]*t_Plants[[OperHrsPerDay]:[OperHrsPerDay]]</f>
        <v>408</v>
      </c>
      <c r="DJ9">
        <f>t_Plants[[#This Row],[a2016.10]]*t_Plants[[OperHrsPerDay]:[OperHrsPerDay]]</f>
        <v>300</v>
      </c>
      <c r="DK9">
        <f>t_Plants[[#This Row],[a2016.11]]*t_Plants[[OperHrsPerDay]:[OperHrsPerDay]]</f>
        <v>312</v>
      </c>
      <c r="DL9">
        <f>t_Plants[[#This Row],[a2016.12]]*t_Plants[[OperHrsPerDay]:[OperHrsPerDay]]</f>
        <v>408</v>
      </c>
      <c r="DM9">
        <f>t_Plants[[#This Row],[a2016.FY]]*t_Plants[[OperHrsPerDay]:[OperHrsPerDay]]</f>
        <v>4080</v>
      </c>
      <c r="DN9">
        <f>t_Plants[[#This Row],[a2017]]*t_Plants[[OperHrsPerDay]:[OperHrsPerDay]]</f>
        <v>4080</v>
      </c>
      <c r="DO9">
        <f>t_Plants[[#This Row],[a2018]]*t_Plants[[OperHrsPerDay]:[OperHrsPerDay]]</f>
        <v>4080</v>
      </c>
      <c r="DP9">
        <f>t_Plants[[#This Row],[a2019]]*t_Plants[[OperHrsPerDay]:[OperHrsPerDay]]</f>
        <v>4080</v>
      </c>
      <c r="DQ9">
        <f>t_Plants[[#This Row],[h2015.01]]*t_Plants[[Press Count]:[Press Count]]</f>
        <v>1500</v>
      </c>
      <c r="DR9">
        <f>t_Plants[[#This Row],[h2015.02]]*t_Plants[[Press Count]:[Press Count]]</f>
        <v>1560</v>
      </c>
      <c r="DS9">
        <f>t_Plants[[#This Row],[h2015.03]]*t_Plants[[Press Count]:[Press Count]]</f>
        <v>2040</v>
      </c>
      <c r="DT9">
        <f>t_Plants[[#This Row],[h2015.04]]*t_Plants[[Press Count]:[Press Count]]</f>
        <v>1500</v>
      </c>
      <c r="DU9">
        <f>t_Plants[[#This Row],[h2015.05]]*t_Plants[[Press Count]:[Press Count]]</f>
        <v>1560</v>
      </c>
      <c r="DV9">
        <f>t_Plants[[#This Row],[h2015.06]]*t_Plants[[Press Count]:[Press Count]]</f>
        <v>2040</v>
      </c>
      <c r="DW9">
        <f>t_Plants[[#This Row],[h2015.07]]*t_Plants[[Press Count]:[Press Count]]</f>
        <v>1500</v>
      </c>
      <c r="DX9">
        <f>t_Plants[[#This Row],[h2015.08]]*t_Plants[[Press Count]:[Press Count]]</f>
        <v>1560</v>
      </c>
      <c r="DY9">
        <f>t_Plants[[#This Row],[h2015.09]]*t_Plants[[Press Count]:[Press Count]]</f>
        <v>2040</v>
      </c>
      <c r="DZ9">
        <f>t_Plants[[#This Row],[h2015.10]]*t_Plants[[Press Count]:[Press Count]]</f>
        <v>1500</v>
      </c>
      <c r="EA9">
        <f>t_Plants[[#This Row],[h2015.11]]*t_Plants[[Press Count]:[Press Count]]</f>
        <v>1560</v>
      </c>
      <c r="EB9">
        <f>t_Plants[[#This Row],[h2015.12]]*t_Plants[[Press Count]:[Press Count]]</f>
        <v>2040</v>
      </c>
      <c r="EC9">
        <f>t_Plants[[#This Row],[h2015.FY]]*t_Plants[[Press Count]:[Press Count]]</f>
        <v>20400</v>
      </c>
      <c r="ED9">
        <f>t_Plants[[#This Row],[h2016.01]]*t_Plants[[Press Count]:[Press Count]]</f>
        <v>1500</v>
      </c>
      <c r="EE9">
        <f>t_Plants[[#This Row],[h2016.02]]*t_Plants[[Press Count]:[Press Count]]</f>
        <v>1560</v>
      </c>
      <c r="EF9">
        <f>t_Plants[[#This Row],[h2016.03]]*t_Plants[[Press Count]:[Press Count]]</f>
        <v>2040</v>
      </c>
      <c r="EG9">
        <f>t_Plants[[#This Row],[h2016.04]]*t_Plants[[Press Count]:[Press Count]]</f>
        <v>1500</v>
      </c>
      <c r="EH9">
        <f>t_Plants[[#This Row],[h2016.05]]*t_Plants[[Press Count]:[Press Count]]</f>
        <v>1560</v>
      </c>
      <c r="EI9">
        <f>t_Plants[[#This Row],[h2016.06]]*t_Plants[[Press Count]:[Press Count]]</f>
        <v>2040</v>
      </c>
      <c r="EJ9">
        <f>t_Plants[[#This Row],[h2016.07]]*t_Plants[[Press Count]:[Press Count]]</f>
        <v>1500</v>
      </c>
      <c r="EK9">
        <f>t_Plants[[#This Row],[h2016.08]]*t_Plants[[Press Count]:[Press Count]]</f>
        <v>1560</v>
      </c>
      <c r="EL9">
        <f>t_Plants[[#This Row],[h2016.09]]*t_Plants[[Press Count]:[Press Count]]</f>
        <v>2040</v>
      </c>
      <c r="EM9">
        <f>t_Plants[[#This Row],[h2016.10]]*t_Plants[[Press Count]:[Press Count]]</f>
        <v>1500</v>
      </c>
      <c r="EN9">
        <f>t_Plants[[#This Row],[h2016.11]]*t_Plants[[Press Count]:[Press Count]]</f>
        <v>1560</v>
      </c>
      <c r="EO9">
        <f>t_Plants[[#This Row],[h2016.12]]*t_Plants[[Press Count]:[Press Count]]</f>
        <v>2040</v>
      </c>
      <c r="EP9">
        <f>t_Plants[[#This Row],[h2016.FY]]*t_Plants[[Press Count]:[Press Count]]</f>
        <v>20400</v>
      </c>
      <c r="EQ9">
        <f>t_Plants[[#This Row],[h2017]]*t_Plants[[Press Count]:[Press Count]]</f>
        <v>20400</v>
      </c>
      <c r="ER9">
        <f>t_Plants[[#This Row],[h2018]]*t_Plants[[Press Count]:[Press Count]]</f>
        <v>20400</v>
      </c>
      <c r="ES9">
        <f>t_Plants[[#This Row],[h2019]]*t_Plants[[Press Count]:[Press Count]]</f>
        <v>20400</v>
      </c>
      <c r="ET9" s="20">
        <f>SUMIF(r_Press_Plants,t_Plants[[Plant]:[Plant]],t_Presses[hp2015.01])</f>
        <v>0</v>
      </c>
      <c r="EU9" s="20">
        <f>SUMIF(r_Press_Plants,t_Plants[[Plant]:[Plant]],t_Presses[hp2015.02])</f>
        <v>0</v>
      </c>
      <c r="EV9" s="20">
        <f>SUMIF(r_Press_Plants,t_Plants[[Plant]:[Plant]],t_Presses[hp2015.03])</f>
        <v>0</v>
      </c>
      <c r="EW9" s="20">
        <f>SUMIF(r_Press_Plants,t_Plants[[Plant]:[Plant]],t_Presses[hp2015.04])</f>
        <v>0</v>
      </c>
      <c r="EX9" s="20">
        <f>SUMIF(r_Press_Plants,t_Plants[[Plant]:[Plant]],t_Presses[hp2015.05])</f>
        <v>0</v>
      </c>
      <c r="EY9" s="20">
        <f>SUMIF(r_Press_Plants,t_Plants[[Plant]:[Plant]],t_Presses[hp2015.06])</f>
        <v>0</v>
      </c>
      <c r="EZ9" s="20">
        <f>SUMIF(r_Press_Plants,t_Plants[[Plant]:[Plant]],t_Presses[hp2015.07])</f>
        <v>0</v>
      </c>
      <c r="FA9" s="20">
        <f>SUMIF(r_Press_Plants,t_Plants[[Plant]:[Plant]],t_Presses[hp2015.08])</f>
        <v>0</v>
      </c>
      <c r="FB9" s="20">
        <f>SUMIF(r_Press_Plants,t_Plants[[Plant]:[Plant]],t_Presses[hp2015.09])</f>
        <v>0</v>
      </c>
      <c r="FC9" s="20">
        <f>SUMIF(r_Press_Plants,t_Plants[[Plant]:[Plant]],t_Presses[hp2015.10])</f>
        <v>0</v>
      </c>
      <c r="FD9" s="20">
        <f>SUMIF(r_Press_Plants,t_Plants[[Plant]:[Plant]],t_Presses[hp2015.11])</f>
        <v>0</v>
      </c>
      <c r="FE9" s="20">
        <f>SUMIF(r_Press_Plants,t_Plants[[Plant]:[Plant]],t_Presses[hp2015.12])</f>
        <v>0</v>
      </c>
      <c r="FF9" s="20">
        <f>SUMIF(r_Press_Plants,t_Plants[[Plant]:[Plant]],t_Presses[hp2015.FY])</f>
        <v>0</v>
      </c>
      <c r="FG9" s="20">
        <f>SUMIF(r_Press_Plants,t_Plants[[Plant]:[Plant]],t_Presses[hp2016.01])</f>
        <v>0</v>
      </c>
      <c r="FH9" s="20">
        <f>SUMIF(r_Press_Plants,t_Plants[[Plant]:[Plant]],t_Presses[hp2016.02])</f>
        <v>0</v>
      </c>
      <c r="FI9" s="20">
        <f>SUMIF(r_Press_Plants,t_Plants[[Plant]:[Plant]],t_Presses[hp2016.03])</f>
        <v>0</v>
      </c>
      <c r="FJ9" s="20">
        <f>SUMIF(r_Press_Plants,t_Plants[[Plant]:[Plant]],t_Presses[hp2016.04])</f>
        <v>0</v>
      </c>
      <c r="FK9" s="20">
        <f>SUMIF(r_Press_Plants,t_Plants[[Plant]:[Plant]],t_Presses[hp2016.05])</f>
        <v>0</v>
      </c>
      <c r="FL9" s="20">
        <f>SUMIF(r_Press_Plants,t_Plants[[Plant]:[Plant]],t_Presses[hp2016.06])</f>
        <v>0</v>
      </c>
      <c r="FM9" s="20">
        <f>SUMIF(r_Press_Plants,t_Plants[[Plant]:[Plant]],t_Presses[hp2016.07])</f>
        <v>0</v>
      </c>
      <c r="FN9" s="20">
        <f>SUMIF(r_Press_Plants,t_Plants[[Plant]:[Plant]],t_Presses[hp2016.08])</f>
        <v>0</v>
      </c>
      <c r="FO9" s="20">
        <f>SUMIF(r_Press_Plants,t_Plants[[Plant]:[Plant]],t_Presses[hp2016.09])</f>
        <v>0</v>
      </c>
      <c r="FP9" s="20">
        <f>SUMIF(r_Press_Plants,t_Plants[[Plant]:[Plant]],t_Presses[hp2016.10])</f>
        <v>0</v>
      </c>
      <c r="FQ9" s="20">
        <f>SUMIF(r_Press_Plants,t_Plants[[Plant]:[Plant]],t_Presses[hp2016.11])</f>
        <v>0</v>
      </c>
      <c r="FR9" s="20">
        <f>SUMIF(r_Press_Plants,t_Plants[[Plant]:[Plant]],t_Presses[hp2016.12])</f>
        <v>0</v>
      </c>
      <c r="FS9" s="20">
        <f>SUMIF(r_Press_Plants,t_Plants[[Plant]:[Plant]],t_Presses[hp2016.FY])</f>
        <v>0</v>
      </c>
      <c r="FT9" s="20">
        <f>SUMIF(r_Press_Plants,t_Plants[[Plant]:[Plant]],t_Presses[hp2017])</f>
        <v>0</v>
      </c>
      <c r="FU9" s="20">
        <f>SUMIF(r_Press_Plants,t_Plants[[Plant]:[Plant]],t_Presses[hp2018])</f>
        <v>0</v>
      </c>
      <c r="FV9" s="20">
        <f>SUMIF(r_Press_Plants,t_Plants[[Plant]:[Plant]],t_Presses[hp2019])</f>
        <v>0</v>
      </c>
      <c r="FW9" s="15">
        <f>IF(t_Plants[[#This Row],[t2015.01]]&gt;0,t_Plants[[#This Row],[p2015.01]]/t_Plants[[#This Row],[t2015.01]],0)</f>
        <v>0</v>
      </c>
      <c r="FX9" s="15">
        <f>IF(t_Plants[[#This Row],[t2015.02]]&gt;0,t_Plants[[#This Row],[p2015.02]]/t_Plants[[#This Row],[t2015.02]],0)</f>
        <v>0</v>
      </c>
      <c r="FY9" s="15">
        <f>IF(t_Plants[[#This Row],[t2015.03]]&gt;0,t_Plants[[#This Row],[p2015.03]]/t_Plants[[#This Row],[t2015.03]],0)</f>
        <v>0</v>
      </c>
      <c r="FZ9" s="15">
        <f>IF(t_Plants[[#This Row],[t2015.04]]&gt;0,t_Plants[[#This Row],[p2015.04]]/t_Plants[[#This Row],[t2015.04]],0)</f>
        <v>0</v>
      </c>
      <c r="GA9" s="15">
        <f>IF(t_Plants[[#This Row],[t2015.05]]&gt;0,t_Plants[[#This Row],[p2015.05]]/t_Plants[[#This Row],[t2015.05]],0)</f>
        <v>0</v>
      </c>
      <c r="GB9" s="15">
        <f>IF(t_Plants[[#This Row],[t2015.06]]&gt;0,t_Plants[[#This Row],[p2015.06]]/t_Plants[[#This Row],[t2015.06]],0)</f>
        <v>0</v>
      </c>
      <c r="GC9" s="15">
        <f>IF(t_Plants[[#This Row],[t2015.07]]&gt;0,t_Plants[[#This Row],[p2015.07]]/t_Plants[[#This Row],[t2015.07]],0)</f>
        <v>0</v>
      </c>
      <c r="GD9" s="15">
        <f>IF(t_Plants[[#This Row],[t2015.08]]&gt;0,t_Plants[[#This Row],[p2015.08]]/t_Plants[[#This Row],[t2015.08]],0)</f>
        <v>0</v>
      </c>
      <c r="GE9" s="15">
        <f>IF(t_Plants[[#This Row],[t2015.09]]&gt;0,t_Plants[[#This Row],[p2015.09]]/t_Plants[[#This Row],[t2015.09]],0)</f>
        <v>0</v>
      </c>
      <c r="GF9" s="15">
        <f>IF(t_Plants[[#This Row],[t2015.10]]&gt;0,t_Plants[[#This Row],[p2015.10]]/t_Plants[[#This Row],[t2015.10]],0)</f>
        <v>0</v>
      </c>
      <c r="GG9" s="15">
        <f>IF(t_Plants[[#This Row],[t2015.11]]&gt;0,t_Plants[[#This Row],[p2015.11]]/t_Plants[[#This Row],[t2015.11]],0)</f>
        <v>0</v>
      </c>
      <c r="GH9" s="15">
        <f>IF(t_Plants[[#This Row],[t2015.12]]&gt;0,t_Plants[[#This Row],[p2015.12]]/t_Plants[[#This Row],[t2015.12]],0)</f>
        <v>0</v>
      </c>
      <c r="GI9" s="15">
        <f>IF(t_Plants[[#This Row],[t2015.FY]]&gt;0,t_Plants[[#This Row],[p2015.FY]]/t_Plants[[#This Row],[t2015.FY]],0)</f>
        <v>0</v>
      </c>
      <c r="GJ9" s="15">
        <f>IF(t_Plants[[#This Row],[t2016.01]]&gt;0,t_Plants[[#This Row],[p2016.01]]/t_Plants[[#This Row],[t2016.01]],0)</f>
        <v>0</v>
      </c>
      <c r="GK9" s="15">
        <f>IF(t_Plants[[#This Row],[t2016.02]]&gt;0,t_Plants[[#This Row],[p2016.02]]/t_Plants[[#This Row],[t2016.02]],0)</f>
        <v>0</v>
      </c>
      <c r="GL9" s="15">
        <f>IF(t_Plants[[#This Row],[t2016.03]]&gt;0,t_Plants[[#This Row],[p2016.03]]/t_Plants[[#This Row],[t2016.03]],0)</f>
        <v>0</v>
      </c>
      <c r="GM9" s="15">
        <f>IF(t_Plants[[#This Row],[t2016.04]]&gt;0,t_Plants[[#This Row],[p2016.04]]/t_Plants[[#This Row],[t2016.04]],0)</f>
        <v>0</v>
      </c>
      <c r="GN9" s="15">
        <f>IF(t_Plants[[#This Row],[t2016.05]]&gt;0,t_Plants[[#This Row],[p2016.05]]/t_Plants[[#This Row],[t2016.05]],0)</f>
        <v>0</v>
      </c>
      <c r="GO9" s="15">
        <f>IF(t_Plants[[#This Row],[t2016.06]]&gt;0,t_Plants[[#This Row],[p2016.06]]/t_Plants[[#This Row],[t2016.06]],0)</f>
        <v>0</v>
      </c>
      <c r="GP9" s="15">
        <f>IF(t_Plants[[#This Row],[t2016.07]]&gt;0,t_Plants[[#This Row],[p2016.07]]/t_Plants[[#This Row],[t2016.07]],0)</f>
        <v>0</v>
      </c>
      <c r="GQ9" s="15">
        <f>IF(t_Plants[[#This Row],[t2016.08]]&gt;0,t_Plants[[#This Row],[p2016.08]]/t_Plants[[#This Row],[t2016.08]],0)</f>
        <v>0</v>
      </c>
      <c r="GR9" s="15">
        <f>IF(t_Plants[[#This Row],[t2016.09]]&gt;0,t_Plants[[#This Row],[p2016.09]]/t_Plants[[#This Row],[t2016.09]],0)</f>
        <v>0</v>
      </c>
      <c r="GS9" s="15">
        <f>IF(t_Plants[[#This Row],[t2016.10]]&gt;0,t_Plants[[#This Row],[p2016.10]]/t_Plants[[#This Row],[t2016.10]],0)</f>
        <v>0</v>
      </c>
      <c r="GT9" s="15">
        <f>IF(t_Plants[[#This Row],[t2016.11]]&gt;0,t_Plants[[#This Row],[p2016.11]]/t_Plants[[#This Row],[t2016.11]],0)</f>
        <v>0</v>
      </c>
      <c r="GU9" s="15">
        <f>IF(t_Plants[[#This Row],[t2016.12]]&gt;0,t_Plants[[#This Row],[p2016.12]]/t_Plants[[#This Row],[t2016.12]],0)</f>
        <v>0</v>
      </c>
      <c r="GV9" s="15">
        <f>IF(t_Plants[[#This Row],[t2016.FY]]&gt;0,t_Plants[[#This Row],[p2016.FY]]/t_Plants[[#This Row],[t2016.FY]],0)</f>
        <v>0</v>
      </c>
      <c r="GW9" s="15">
        <f>IF(t_Plants[[#This Row],[t2017]]&gt;0,t_Plants[[#This Row],[p2017]]/t_Plants[[#This Row],[t2017]],0)</f>
        <v>0</v>
      </c>
      <c r="GX9" s="15">
        <f>IF(t_Plants[[#This Row],[t2018]]&gt;0,t_Plants[[#This Row],[p2018]]/t_Plants[[#This Row],[t2018]],0)</f>
        <v>0</v>
      </c>
      <c r="GY9" s="15">
        <f>IF(t_Plants[[#This Row],[t2019]]&gt;0,t_Plants[[#This Row],[p2019]]/t_Plants[[#This Row],[t2019]],0)</f>
        <v>0</v>
      </c>
    </row>
    <row r="11" spans="1:207" x14ac:dyDescent="0.25">
      <c r="EW11" s="52"/>
    </row>
  </sheetData>
  <sheetProtection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1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2</xdr:col>
                    <xdr:colOff>647700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FW5:GY9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O54"/>
  <sheetViews>
    <sheetView topLeftCell="A2" workbookViewId="0">
      <pane xSplit="6" ySplit="3" topLeftCell="S5" activePane="bottomRight" state="frozen"/>
      <selection activeCell="A2" sqref="A2"/>
      <selection pane="topRight" activeCell="G2" sqref="G2"/>
      <selection pane="bottomLeft" activeCell="A5" sqref="A5"/>
      <selection pane="bottomRight" activeCell="BO55" sqref="BO55"/>
    </sheetView>
  </sheetViews>
  <sheetFormatPr defaultRowHeight="15" x14ac:dyDescent="0.25"/>
  <cols>
    <col min="1" max="1" width="8.7109375" style="16" customWidth="1"/>
    <col min="2" max="2" width="10.7109375" customWidth="1"/>
    <col min="3" max="3" width="9.140625" customWidth="1"/>
    <col min="4" max="4" width="11" customWidth="1"/>
    <col min="5" max="6" width="11.140625" customWidth="1"/>
    <col min="7" max="35" width="11.85546875" hidden="1" customWidth="1"/>
    <col min="36" max="47" width="12" hidden="1" customWidth="1"/>
    <col min="48" max="64" width="12.28515625" hidden="1" customWidth="1"/>
    <col min="65" max="77" width="9.85546875" customWidth="1"/>
    <col min="78" max="79" width="9.85546875" hidden="1" customWidth="1"/>
    <col min="80" max="89" width="9.140625" hidden="1" customWidth="1"/>
    <col min="90" max="90" width="11.5703125" hidden="1" customWidth="1"/>
    <col min="91" max="92" width="9.140625" hidden="1" customWidth="1"/>
    <col min="93" max="93" width="10.7109375" hidden="1" customWidth="1"/>
  </cols>
  <sheetData>
    <row r="1" spans="1:93" s="32" customFormat="1" hidden="1" x14ac:dyDescent="0.25">
      <c r="A1" s="32">
        <f>COLUMN()</f>
        <v>1</v>
      </c>
      <c r="B1" s="32">
        <f>COLUMN()</f>
        <v>2</v>
      </c>
      <c r="C1" s="32">
        <f>COLUMN()</f>
        <v>3</v>
      </c>
      <c r="D1" s="32">
        <f>COLUMN()</f>
        <v>4</v>
      </c>
      <c r="E1" s="32">
        <f>COLUMN()</f>
        <v>5</v>
      </c>
      <c r="F1" s="32">
        <f>COLUMN()</f>
        <v>6</v>
      </c>
      <c r="G1" s="32">
        <f>COLUMN()</f>
        <v>7</v>
      </c>
      <c r="H1" s="32">
        <f>COLUMN()</f>
        <v>8</v>
      </c>
      <c r="I1" s="32">
        <f>COLUMN()</f>
        <v>9</v>
      </c>
      <c r="J1" s="32">
        <f>COLUMN()</f>
        <v>10</v>
      </c>
      <c r="K1" s="32">
        <f>COLUMN()</f>
        <v>11</v>
      </c>
      <c r="L1" s="32">
        <f>COLUMN()</f>
        <v>12</v>
      </c>
      <c r="M1" s="32">
        <f>COLUMN()</f>
        <v>13</v>
      </c>
      <c r="N1" s="32">
        <f>COLUMN()</f>
        <v>14</v>
      </c>
      <c r="O1" s="32">
        <f>COLUMN()</f>
        <v>15</v>
      </c>
      <c r="P1" s="32">
        <f>COLUMN()</f>
        <v>16</v>
      </c>
      <c r="Q1" s="32">
        <f>COLUMN()</f>
        <v>17</v>
      </c>
      <c r="R1" s="32">
        <f>COLUMN()</f>
        <v>18</v>
      </c>
      <c r="S1" s="32">
        <f>COLUMN()</f>
        <v>19</v>
      </c>
      <c r="AJ1" s="32">
        <f>COLUMN()</f>
        <v>36</v>
      </c>
      <c r="AK1" s="32">
        <f>COLUMN()</f>
        <v>37</v>
      </c>
      <c r="AL1" s="32">
        <f>COLUMN()</f>
        <v>38</v>
      </c>
      <c r="AM1" s="32">
        <f>COLUMN()</f>
        <v>39</v>
      </c>
      <c r="AN1" s="32">
        <f>COLUMN()</f>
        <v>40</v>
      </c>
      <c r="AO1" s="32">
        <f>COLUMN()</f>
        <v>41</v>
      </c>
      <c r="AP1" s="32">
        <f>COLUMN()</f>
        <v>42</v>
      </c>
      <c r="AQ1" s="32">
        <f>COLUMN()</f>
        <v>43</v>
      </c>
      <c r="AR1" s="32">
        <f>COLUMN()</f>
        <v>44</v>
      </c>
      <c r="AS1" s="32">
        <f>COLUMN()</f>
        <v>45</v>
      </c>
      <c r="AT1" s="32">
        <f>COLUMN()</f>
        <v>46</v>
      </c>
      <c r="AU1" s="32">
        <f>COLUMN()</f>
        <v>47</v>
      </c>
      <c r="AV1" s="32">
        <f>COLUMN()</f>
        <v>48</v>
      </c>
      <c r="BM1" s="32">
        <f>COLUMN()</f>
        <v>65</v>
      </c>
      <c r="BN1" s="32">
        <f>COLUMN()</f>
        <v>66</v>
      </c>
      <c r="BO1" s="32">
        <f>COLUMN()</f>
        <v>67</v>
      </c>
      <c r="BP1" s="32">
        <f>COLUMN()</f>
        <v>68</v>
      </c>
      <c r="BQ1" s="32">
        <f>COLUMN()</f>
        <v>69</v>
      </c>
      <c r="BR1" s="32">
        <f>COLUMN()</f>
        <v>70</v>
      </c>
      <c r="BS1" s="32">
        <f>COLUMN()</f>
        <v>71</v>
      </c>
      <c r="BT1" s="32">
        <f>COLUMN()</f>
        <v>72</v>
      </c>
      <c r="BU1" s="32">
        <f>COLUMN()</f>
        <v>73</v>
      </c>
      <c r="BV1" s="32">
        <f>COLUMN()</f>
        <v>74</v>
      </c>
      <c r="BW1" s="32">
        <f>COLUMN()</f>
        <v>75</v>
      </c>
      <c r="BX1" s="32">
        <f>COLUMN()</f>
        <v>76</v>
      </c>
      <c r="BY1" s="32">
        <f>COLUMN()</f>
        <v>77</v>
      </c>
    </row>
    <row r="2" spans="1:93" s="32" customFormat="1" ht="45" customHeight="1" x14ac:dyDescent="0.25">
      <c r="A2" s="72" t="s">
        <v>442</v>
      </c>
    </row>
    <row r="3" spans="1:93" x14ac:dyDescent="0.25">
      <c r="A3" s="33" t="s">
        <v>162</v>
      </c>
      <c r="B3" s="13"/>
      <c r="C3" s="13"/>
      <c r="D3" s="13"/>
      <c r="E3" s="92" t="s">
        <v>160</v>
      </c>
      <c r="F3" s="91"/>
      <c r="G3" s="10" t="s">
        <v>53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44" t="s">
        <v>52</v>
      </c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 t="s">
        <v>52</v>
      </c>
      <c r="AJ3" s="1" t="s">
        <v>174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00" t="s">
        <v>97</v>
      </c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 t="s">
        <v>97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101" t="s">
        <v>420</v>
      </c>
      <c r="BZ3" s="46"/>
      <c r="CA3" s="46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46" t="s">
        <v>161</v>
      </c>
    </row>
    <row r="4" spans="1:93" x14ac:dyDescent="0.25">
      <c r="A4" s="34" t="s">
        <v>0</v>
      </c>
      <c r="B4" s="7" t="s">
        <v>36</v>
      </c>
      <c r="C4" s="7" t="s">
        <v>120</v>
      </c>
      <c r="D4" s="7" t="s">
        <v>2</v>
      </c>
      <c r="E4" t="s">
        <v>272</v>
      </c>
      <c r="F4" s="7" t="s">
        <v>28</v>
      </c>
      <c r="G4" s="10" t="s">
        <v>14</v>
      </c>
      <c r="H4" s="10" t="s">
        <v>13</v>
      </c>
      <c r="I4" s="10" t="s">
        <v>15</v>
      </c>
      <c r="J4" s="10" t="s">
        <v>41</v>
      </c>
      <c r="K4" s="10" t="s">
        <v>42</v>
      </c>
      <c r="L4" s="10" t="s">
        <v>43</v>
      </c>
      <c r="M4" s="10" t="s">
        <v>44</v>
      </c>
      <c r="N4" s="10" t="s">
        <v>45</v>
      </c>
      <c r="O4" s="10" t="s">
        <v>46</v>
      </c>
      <c r="P4" s="10" t="s">
        <v>47</v>
      </c>
      <c r="Q4" s="10" t="s">
        <v>48</v>
      </c>
      <c r="R4" s="10" t="s">
        <v>49</v>
      </c>
      <c r="S4" s="10" t="s">
        <v>50</v>
      </c>
      <c r="T4" s="10" t="s">
        <v>356</v>
      </c>
      <c r="U4" s="10" t="s">
        <v>357</v>
      </c>
      <c r="V4" s="10" t="s">
        <v>358</v>
      </c>
      <c r="W4" s="10" t="s">
        <v>359</v>
      </c>
      <c r="X4" s="10" t="s">
        <v>360</v>
      </c>
      <c r="Y4" s="10" t="s">
        <v>361</v>
      </c>
      <c r="Z4" s="10" t="s">
        <v>362</v>
      </c>
      <c r="AA4" s="10" t="s">
        <v>363</v>
      </c>
      <c r="AB4" s="10" t="s">
        <v>364</v>
      </c>
      <c r="AC4" s="10" t="s">
        <v>365</v>
      </c>
      <c r="AD4" s="10" t="s">
        <v>366</v>
      </c>
      <c r="AE4" s="10" t="s">
        <v>367</v>
      </c>
      <c r="AF4" s="10" t="s">
        <v>368</v>
      </c>
      <c r="AG4" s="10" t="s">
        <v>369</v>
      </c>
      <c r="AH4" s="10" t="s">
        <v>370</v>
      </c>
      <c r="AI4" s="10" t="s">
        <v>387</v>
      </c>
      <c r="AJ4" s="1" t="s">
        <v>67</v>
      </c>
      <c r="AK4" s="1" t="s">
        <v>68</v>
      </c>
      <c r="AL4" s="1" t="s">
        <v>69</v>
      </c>
      <c r="AM4" s="1" t="s">
        <v>70</v>
      </c>
      <c r="AN4" s="1" t="s">
        <v>71</v>
      </c>
      <c r="AO4" s="1" t="s">
        <v>72</v>
      </c>
      <c r="AP4" s="1" t="s">
        <v>73</v>
      </c>
      <c r="AQ4" s="1" t="s">
        <v>74</v>
      </c>
      <c r="AR4" s="1" t="s">
        <v>75</v>
      </c>
      <c r="AS4" s="1" t="s">
        <v>76</v>
      </c>
      <c r="AT4" s="1" t="s">
        <v>77</v>
      </c>
      <c r="AU4" s="1" t="s">
        <v>78</v>
      </c>
      <c r="AV4" s="1" t="s">
        <v>79</v>
      </c>
      <c r="AW4" s="1" t="s">
        <v>371</v>
      </c>
      <c r="AX4" s="1" t="s">
        <v>372</v>
      </c>
      <c r="AY4" s="1" t="s">
        <v>373</v>
      </c>
      <c r="AZ4" s="1" t="s">
        <v>374</v>
      </c>
      <c r="BA4" s="1" t="s">
        <v>375</v>
      </c>
      <c r="BB4" s="1" t="s">
        <v>376</v>
      </c>
      <c r="BC4" s="1" t="s">
        <v>377</v>
      </c>
      <c r="BD4" s="1" t="s">
        <v>378</v>
      </c>
      <c r="BE4" s="1" t="s">
        <v>379</v>
      </c>
      <c r="BF4" s="1" t="s">
        <v>380</v>
      </c>
      <c r="BG4" s="1" t="s">
        <v>381</v>
      </c>
      <c r="BH4" s="1" t="s">
        <v>382</v>
      </c>
      <c r="BI4" s="1" t="s">
        <v>383</v>
      </c>
      <c r="BJ4" s="1" t="s">
        <v>384</v>
      </c>
      <c r="BK4" s="1" t="s">
        <v>385</v>
      </c>
      <c r="BL4" s="1" t="s">
        <v>386</v>
      </c>
      <c r="BM4" s="2" t="s">
        <v>16</v>
      </c>
      <c r="BN4" s="2" t="s">
        <v>17</v>
      </c>
      <c r="BO4" s="2" t="s">
        <v>18</v>
      </c>
      <c r="BP4" s="2" t="s">
        <v>84</v>
      </c>
      <c r="BQ4" s="2" t="s">
        <v>85</v>
      </c>
      <c r="BR4" s="2" t="s">
        <v>86</v>
      </c>
      <c r="BS4" s="2" t="s">
        <v>87</v>
      </c>
      <c r="BT4" s="2" t="s">
        <v>88</v>
      </c>
      <c r="BU4" s="2" t="s">
        <v>89</v>
      </c>
      <c r="BV4" s="2" t="s">
        <v>96</v>
      </c>
      <c r="BW4" s="2" t="s">
        <v>91</v>
      </c>
      <c r="BX4" s="2" t="s">
        <v>92</v>
      </c>
      <c r="BY4" s="2" t="s">
        <v>80</v>
      </c>
      <c r="BZ4" s="2" t="s">
        <v>321</v>
      </c>
      <c r="CA4" s="2" t="s">
        <v>322</v>
      </c>
      <c r="CB4" s="2" t="s">
        <v>323</v>
      </c>
      <c r="CC4" s="2" t="s">
        <v>324</v>
      </c>
      <c r="CD4" s="2" t="s">
        <v>325</v>
      </c>
      <c r="CE4" s="2" t="s">
        <v>326</v>
      </c>
      <c r="CF4" s="2" t="s">
        <v>327</v>
      </c>
      <c r="CG4" s="2" t="s">
        <v>328</v>
      </c>
      <c r="CH4" s="2" t="s">
        <v>329</v>
      </c>
      <c r="CI4" s="2" t="s">
        <v>330</v>
      </c>
      <c r="CJ4" s="2" t="s">
        <v>331</v>
      </c>
      <c r="CK4" s="2" t="s">
        <v>332</v>
      </c>
      <c r="CL4" s="2" t="s">
        <v>333</v>
      </c>
      <c r="CM4" s="2" t="s">
        <v>81</v>
      </c>
      <c r="CN4" s="2" t="s">
        <v>82</v>
      </c>
      <c r="CO4" s="2" t="s">
        <v>83</v>
      </c>
    </row>
    <row r="5" spans="1:93" x14ac:dyDescent="0.25">
      <c r="A5" s="16">
        <v>21001</v>
      </c>
      <c r="B5" t="s">
        <v>8</v>
      </c>
      <c r="C5" t="s">
        <v>121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VLOOKUP(t_Presses[[Plant]:[Plant]],t_Plants[],Plants!CN$1,FALSE)</f>
        <v>280</v>
      </c>
      <c r="H5">
        <f>VLOOKUP(t_Presses[[Plant]:[Plant]],t_Plants[],Plants!CO$1,FALSE)</f>
        <v>280</v>
      </c>
      <c r="I5">
        <f>VLOOKUP(t_Presses[[Plant]:[Plant]],t_Plants[],Plants!CP$1,FALSE)</f>
        <v>350</v>
      </c>
      <c r="J5">
        <f>VLOOKUP(t_Presses[[Plant]:[Plant]],t_Plants[],Plants!CQ$1,FALSE)</f>
        <v>280</v>
      </c>
      <c r="K5">
        <f>VLOOKUP(t_Presses[[Plant]:[Plant]],t_Plants[],Plants!CR$1,FALSE)</f>
        <v>280</v>
      </c>
      <c r="L5">
        <f>VLOOKUP(t_Presses[[Plant]:[Plant]],t_Plants[],Plants!CS$1,FALSE)</f>
        <v>350</v>
      </c>
      <c r="M5">
        <f>VLOOKUP(t_Presses[[Plant]:[Plant]],t_Plants[],Plants!CT$1,FALSE)</f>
        <v>280</v>
      </c>
      <c r="N5">
        <f>VLOOKUP(t_Presses[[Plant]:[Plant]],t_Plants[],Plants!CU$1,FALSE)</f>
        <v>280</v>
      </c>
      <c r="O5">
        <f>VLOOKUP(t_Presses[[Plant]:[Plant]],t_Plants[],Plants!CV$1,FALSE)</f>
        <v>350</v>
      </c>
      <c r="P5">
        <f>VLOOKUP(t_Presses[[Plant]:[Plant]],t_Plants[],Plants!CW$1,FALSE)</f>
        <v>280</v>
      </c>
      <c r="Q5">
        <f>VLOOKUP(t_Presses[[Plant]:[Plant]],t_Plants[],Plants!CX$1,FALSE)</f>
        <v>280</v>
      </c>
      <c r="R5">
        <f>VLOOKUP(t_Presses[[Plant]:[Plant]],t_Plants[],Plants!CY$1,FALSE)</f>
        <v>350</v>
      </c>
      <c r="S5">
        <f>SUM(t_Presses[[#This Row],[ha2015.01]:[ha2015.12]])</f>
        <v>3640</v>
      </c>
      <c r="T5">
        <f>VLOOKUP(t_Presses[[Plant]:[Plant]],t_Plants[],Plants!DA$1,FALSE)</f>
        <v>280</v>
      </c>
      <c r="U5">
        <f>VLOOKUP(t_Presses[[Plant]:[Plant]],t_Plants[],Plants!DB$1,FALSE)</f>
        <v>280</v>
      </c>
      <c r="V5">
        <f>VLOOKUP(t_Presses[[Plant]:[Plant]],t_Plants[],Plants!DC$1,FALSE)</f>
        <v>350</v>
      </c>
      <c r="W5">
        <f>VLOOKUP(t_Presses[[Plant]:[Plant]],t_Plants[],Plants!DD$1,FALSE)</f>
        <v>280</v>
      </c>
      <c r="X5">
        <f>VLOOKUP(t_Presses[[Plant]:[Plant]],t_Plants[],Plants!DE$1,FALSE)</f>
        <v>280</v>
      </c>
      <c r="Y5">
        <f>VLOOKUP(t_Presses[[Plant]:[Plant]],t_Plants[],Plants!DF$1,FALSE)</f>
        <v>350</v>
      </c>
      <c r="Z5">
        <f>VLOOKUP(t_Presses[[Plant]:[Plant]],t_Plants[],Plants!DG$1,FALSE)</f>
        <v>280</v>
      </c>
      <c r="AA5">
        <f>VLOOKUP(t_Presses[[Plant]:[Plant]],t_Plants[],Plants!DH$1,FALSE)</f>
        <v>280</v>
      </c>
      <c r="AB5">
        <f>VLOOKUP(t_Presses[[Plant]:[Plant]],t_Plants[],Plants!DI$1,FALSE)</f>
        <v>350</v>
      </c>
      <c r="AC5">
        <f>VLOOKUP(t_Presses[[Plant]:[Plant]],t_Plants[],Plants!DJ$1,FALSE)</f>
        <v>280</v>
      </c>
      <c r="AD5">
        <f>VLOOKUP(t_Presses[[Plant]:[Plant]],t_Plants[],Plants!DK$1,FALSE)</f>
        <v>280</v>
      </c>
      <c r="AE5">
        <f>VLOOKUP(t_Presses[[Plant]:[Plant]],t_Plants[],Plants!DL$1,FALSE)</f>
        <v>350</v>
      </c>
      <c r="AF5">
        <f>SUM(t_Presses[[#This Row],[ha2016.01]:[ha2016.12]])</f>
        <v>3640</v>
      </c>
      <c r="AG5">
        <f>VLOOKUP(t_Presses[[Plant]:[Plant]],t_Plants[],Plants!DN$1,FALSE)</f>
        <v>3640</v>
      </c>
      <c r="AH5">
        <f>VLOOKUP(t_Presses[[Plant]:[Plant]],t_Plants[],Plants!DO$1,FALSE)</f>
        <v>3640</v>
      </c>
      <c r="AI5">
        <f>VLOOKUP(t_Presses[[Plant]:[Plant]],t_Plants[],Plants!DP$1,FALSE)</f>
        <v>3640</v>
      </c>
      <c r="AJ5" s="43">
        <f>SUMIF(r_PartPresses,t_Presses[[PRESS]:[PRESS]],t_Parts[hp2015.01])</f>
        <v>96.212760572760558</v>
      </c>
      <c r="AK5" s="43">
        <f>SUMIF(r_PartPresses,t_Presses[[PRESS]:[PRESS]],t_Parts[hp2015.02])</f>
        <v>96.212760572760558</v>
      </c>
      <c r="AL5" s="43">
        <f>SUMIF(r_PartPresses,t_Presses[[PRESS]:[PRESS]],t_Parts[hp2015.03])</f>
        <v>111.26595071595071</v>
      </c>
      <c r="AM5" s="43">
        <f>SUMIF(r_PartPresses,t_Presses[[PRESS]:[PRESS]],t_Parts[hp2015.04])</f>
        <v>96.212760572760558</v>
      </c>
      <c r="AN5" s="43">
        <f>SUMIF(r_PartPresses,t_Presses[[PRESS]:[PRESS]],t_Parts[hp2015.05])</f>
        <v>96.212760572760558</v>
      </c>
      <c r="AO5" s="43">
        <f>SUMIF(r_PartPresses,t_Presses[[PRESS]:[PRESS]],t_Parts[hp2015.06])</f>
        <v>111.26595071595071</v>
      </c>
      <c r="AP5" s="43">
        <f>SUMIF(r_PartPresses,t_Presses[[PRESS]:[PRESS]],t_Parts[hp2015.07])</f>
        <v>91.98082584082583</v>
      </c>
      <c r="AQ5" s="43">
        <f>SUMIF(r_PartPresses,t_Presses[[PRESS]:[PRESS]],t_Parts[hp2015.08])</f>
        <v>91.98082584082583</v>
      </c>
      <c r="AR5" s="43">
        <f>SUMIF(r_PartPresses,t_Presses[[PRESS]:[PRESS]],t_Parts[hp2015.09])</f>
        <v>106.97603230103229</v>
      </c>
      <c r="AS5" s="43">
        <f>SUMIF(r_PartPresses,t_Presses[[PRESS]:[PRESS]],t_Parts[hp2015.10])</f>
        <v>80.284415584415569</v>
      </c>
      <c r="AT5" s="43">
        <f>SUMIF(r_PartPresses,t_Presses[[PRESS]:[PRESS]],t_Parts[hp2015.11])</f>
        <v>80.284415584415569</v>
      </c>
      <c r="AU5" s="43">
        <f>SUMIF(r_PartPresses,t_Presses[[PRESS]:[PRESS]],t_Parts[hp2015.12])</f>
        <v>93.35551948051949</v>
      </c>
      <c r="AV5" s="43">
        <f>SUM(t_Presses[[#This Row],[hp2015.01]:[hp2015.12]])</f>
        <v>1152.2449783549782</v>
      </c>
      <c r="AW5" s="43">
        <f>SUMIF(r_PartPresses,t_Presses[[PRESS]:[PRESS]],t_Parts[hp2016.01])</f>
        <v>73.560073260073253</v>
      </c>
      <c r="AX5" s="43">
        <f>SUMIF(r_PartPresses,t_Presses[[PRESS]:[PRESS]],t_Parts[hp2016.02])</f>
        <v>73.560073260073253</v>
      </c>
      <c r="AY5" s="43">
        <f>SUMIF(r_PartPresses,t_Presses[[PRESS]:[PRESS]],t_Parts[hp2016.03])</f>
        <v>85.950091575091562</v>
      </c>
      <c r="AZ5" s="43">
        <f>SUMIF(r_PartPresses,t_Presses[[PRESS]:[PRESS]],t_Parts[hp2016.04])</f>
        <v>73.560073260073253</v>
      </c>
      <c r="BA5" s="43">
        <f>SUMIF(r_PartPresses,t_Presses[[PRESS]:[PRESS]],t_Parts[hp2016.05])</f>
        <v>73.560073260073253</v>
      </c>
      <c r="BB5" s="43">
        <f>SUMIF(r_PartPresses,t_Presses[[PRESS]:[PRESS]],t_Parts[hp2016.06])</f>
        <v>85.950091575091562</v>
      </c>
      <c r="BC5" s="43">
        <f>SUMIF(r_PartPresses,t_Presses[[PRESS]:[PRESS]],t_Parts[hp2016.07])</f>
        <v>62.33782883782883</v>
      </c>
      <c r="BD5" s="43">
        <f>SUMIF(r_PartPresses,t_Presses[[PRESS]:[PRESS]],t_Parts[hp2016.08])</f>
        <v>62.33782883782883</v>
      </c>
      <c r="BE5" s="43">
        <f>SUMIF(r_PartPresses,t_Presses[[PRESS]:[PRESS]],t_Parts[hp2016.09])</f>
        <v>72.922286047286036</v>
      </c>
      <c r="BF5" s="43">
        <f>SUMIF(r_PartPresses,t_Presses[[PRESS]:[PRESS]],t_Parts[hp2016.10])</f>
        <v>62.33782883782883</v>
      </c>
      <c r="BG5" s="43">
        <f>SUMIF(r_PartPresses,t_Presses[[PRESS]:[PRESS]],t_Parts[hp2016.11])</f>
        <v>62.33782883782883</v>
      </c>
      <c r="BH5" s="43">
        <f>SUMIF(r_PartPresses,t_Presses[[PRESS]:[PRESS]],t_Parts[hp2016.12])</f>
        <v>72.922286047286036</v>
      </c>
      <c r="BI5" s="43">
        <f>SUMIF(r_PartPresses,t_Presses[[PRESS]:[PRESS]],t_Parts[hp2016.FY])</f>
        <v>861.33636363636367</v>
      </c>
      <c r="BJ5" s="43">
        <f>SUMIF(r_PartPresses,t_Presses[[PRESS]:[PRESS]],t_Parts[hp2017])</f>
        <v>201.25512265512265</v>
      </c>
      <c r="BK5" s="43">
        <f>SUMIF(r_PartPresses,t_Presses[[PRESS]:[PRESS]],t_Parts[hp2018])</f>
        <v>201.25512265512265</v>
      </c>
      <c r="BL5" s="43">
        <f>SUMIF(r_PartPresses,t_Presses[[PRESS]:[PRESS]],t_Parts[hp2019])</f>
        <v>161.66378066378064</v>
      </c>
      <c r="BM5" s="17">
        <f>t_Presses[[#This Row],[hp2015.01]]/t_Presses[[#This Row],[ha2015.01]]</f>
        <v>0.34361700204557344</v>
      </c>
      <c r="BN5" s="17">
        <f>t_Presses[[#This Row],[hp2015.02]]/t_Presses[[#This Row],[ha2015.02]]</f>
        <v>0.34361700204557344</v>
      </c>
      <c r="BO5" s="17">
        <f>t_Presses[[#This Row],[hp2015.03]]/t_Presses[[#This Row],[ha2015.03]]</f>
        <v>0.31790271633128775</v>
      </c>
      <c r="BP5" s="17">
        <f>t_Presses[[#This Row],[hp2015.04]]/t_Presses[[#This Row],[ha2015.04]]</f>
        <v>0.34361700204557344</v>
      </c>
      <c r="BQ5" s="17">
        <f>t_Presses[[#This Row],[hp2015.05]]/t_Presses[[#This Row],[ha2015.05]]</f>
        <v>0.34361700204557344</v>
      </c>
      <c r="BR5" s="17">
        <f>t_Presses[[#This Row],[hp2015.06]]/t_Presses[[#This Row],[ha2015.06]]</f>
        <v>0.31790271633128775</v>
      </c>
      <c r="BS5" s="17">
        <f>t_Presses[[#This Row],[hp2015.07]]/t_Presses[[#This Row],[ha2015.07]]</f>
        <v>0.32850294943152081</v>
      </c>
      <c r="BT5" s="17">
        <f>t_Presses[[#This Row],[hp2015.08]]/t_Presses[[#This Row],[ha2015.08]]</f>
        <v>0.32850294943152081</v>
      </c>
      <c r="BU5" s="17">
        <f>t_Presses[[#This Row],[hp2015.09]]/t_Presses[[#This Row],[ha2015.09]]</f>
        <v>0.30564580657437795</v>
      </c>
      <c r="BV5" s="17">
        <f>t_Presses[[#This Row],[hp2015.10]]/t_Presses[[#This Row],[ha2015.10]]</f>
        <v>0.28673005565862703</v>
      </c>
      <c r="BW5" s="17">
        <f>t_Presses[[#This Row],[hp2015.11]]/t_Presses[[#This Row],[ha2015.11]]</f>
        <v>0.28673005565862703</v>
      </c>
      <c r="BX5" s="17">
        <f>t_Presses[[#This Row],[hp2015.12]]/t_Presses[[#This Row],[ha2015.12]]</f>
        <v>0.26673005565862712</v>
      </c>
      <c r="BY5" s="17">
        <f>t_Presses[[#This Row],[hp2015.FY]]/t_Presses[[#This Row],[ha2015.FY]]</f>
        <v>0.31655081822938963</v>
      </c>
      <c r="BZ5" s="17">
        <f>t_Presses[[#This Row],[hp2016.01]]/t_Presses[[#This Row],[ha2016.01]]</f>
        <v>0.26271454735740446</v>
      </c>
      <c r="CA5" s="17">
        <f>t_Presses[[#This Row],[hp2016.02]]/t_Presses[[#This Row],[ha2016.02]]</f>
        <v>0.26271454735740446</v>
      </c>
      <c r="CB5" s="17">
        <f>t_Presses[[#This Row],[hp2016.03]]/t_Presses[[#This Row],[ha2016.03]]</f>
        <v>0.24557169021454733</v>
      </c>
      <c r="CC5" s="17">
        <f>t_Presses[[#This Row],[hp2016.04]]/t_Presses[[#This Row],[ha2016.04]]</f>
        <v>0.26271454735740446</v>
      </c>
      <c r="CD5" s="17">
        <f>t_Presses[[#This Row],[hp2016.05]]/t_Presses[[#This Row],[ha2016.05]]</f>
        <v>0.26271454735740446</v>
      </c>
      <c r="CE5" s="17">
        <f>t_Presses[[#This Row],[hp2016.06]]/t_Presses[[#This Row],[ha2016.06]]</f>
        <v>0.24557169021454733</v>
      </c>
      <c r="CF5" s="17">
        <f>t_Presses[[#This Row],[hp2016.07]]/t_Presses[[#This Row],[ha2016.07]]</f>
        <v>0.22263510299224581</v>
      </c>
      <c r="CG5" s="17">
        <f>t_Presses[[#This Row],[hp2016.08]]/t_Presses[[#This Row],[ha2016.08]]</f>
        <v>0.22263510299224581</v>
      </c>
      <c r="CH5" s="17">
        <f>t_Presses[[#This Row],[hp2016.09]]/t_Presses[[#This Row],[ha2016.09]]</f>
        <v>0.20834938870653152</v>
      </c>
      <c r="CI5" s="17">
        <f>t_Presses[[#This Row],[hp2016.10]]/t_Presses[[#This Row],[ha2016.10]]</f>
        <v>0.22263510299224581</v>
      </c>
      <c r="CJ5" s="17">
        <f>t_Presses[[#This Row],[hp2016.11]]/t_Presses[[#This Row],[ha2016.11]]</f>
        <v>0.22263510299224581</v>
      </c>
      <c r="CK5" s="17">
        <f>t_Presses[[#This Row],[hp2016.12]]/t_Presses[[#This Row],[ha2016.12]]</f>
        <v>0.20834938870653152</v>
      </c>
      <c r="CL5" s="17">
        <f>t_Presses[[#This Row],[hp2016.FY]]/t_Presses[[#This Row],[ha2016.FY]]</f>
        <v>0.23663086913086914</v>
      </c>
      <c r="CM5" s="17">
        <f>t_Presses[[#This Row],[hp2017]]/t_Presses[[#This Row],[ha2017]]</f>
        <v>5.5289868861297428E-2</v>
      </c>
      <c r="CN5" s="17">
        <f>t_Presses[[#This Row],[hp2018]]/t_Presses[[#This Row],[ha2018]]</f>
        <v>5.5289868861297428E-2</v>
      </c>
      <c r="CO5" s="17">
        <f>t_Presses[[#This Row],[hp2019]]/t_Presses[[#This Row],[ha2019]]</f>
        <v>4.4413126555983694E-2</v>
      </c>
    </row>
    <row r="6" spans="1:93" x14ac:dyDescent="0.25">
      <c r="A6" s="16">
        <v>21002</v>
      </c>
      <c r="B6" t="s">
        <v>8</v>
      </c>
      <c r="C6" t="s">
        <v>121</v>
      </c>
      <c r="D6">
        <v>600</v>
      </c>
      <c r="E6" t="str">
        <f t="shared" si="0"/>
        <v>600-899</v>
      </c>
      <c r="F6" s="15"/>
      <c r="G6">
        <f>VLOOKUP(t_Presses[[Plant]:[Plant]],t_Plants[],Plants!CN$1,FALSE)</f>
        <v>280</v>
      </c>
      <c r="H6">
        <f>VLOOKUP(t_Presses[[Plant]:[Plant]],t_Plants[],Plants!CO$1,FALSE)</f>
        <v>280</v>
      </c>
      <c r="I6">
        <f>VLOOKUP(t_Presses[[Plant]:[Plant]],t_Plants[],Plants!CP$1,FALSE)</f>
        <v>350</v>
      </c>
      <c r="J6">
        <f>VLOOKUP(t_Presses[[Plant]:[Plant]],t_Plants[],Plants!CQ$1,FALSE)</f>
        <v>280</v>
      </c>
      <c r="K6">
        <f>VLOOKUP(t_Presses[[Plant]:[Plant]],t_Plants[],Plants!CR$1,FALSE)</f>
        <v>280</v>
      </c>
      <c r="L6">
        <f>VLOOKUP(t_Presses[[Plant]:[Plant]],t_Plants[],Plants!CS$1,FALSE)</f>
        <v>350</v>
      </c>
      <c r="M6">
        <f>VLOOKUP(t_Presses[[Plant]:[Plant]],t_Plants[],Plants!CT$1,FALSE)</f>
        <v>280</v>
      </c>
      <c r="N6">
        <f>VLOOKUP(t_Presses[[Plant]:[Plant]],t_Plants[],Plants!CU$1,FALSE)</f>
        <v>280</v>
      </c>
      <c r="O6">
        <f>VLOOKUP(t_Presses[[Plant]:[Plant]],t_Plants[],Plants!CV$1,FALSE)</f>
        <v>350</v>
      </c>
      <c r="P6">
        <f>VLOOKUP(t_Presses[[Plant]:[Plant]],t_Plants[],Plants!CW$1,FALSE)</f>
        <v>280</v>
      </c>
      <c r="Q6">
        <f>VLOOKUP(t_Presses[[Plant]:[Plant]],t_Plants[],Plants!CX$1,FALSE)</f>
        <v>280</v>
      </c>
      <c r="R6">
        <f>VLOOKUP(t_Presses[[Plant]:[Plant]],t_Plants[],Plants!CY$1,FALSE)</f>
        <v>350</v>
      </c>
      <c r="S6">
        <f>SUM(t_Presses[[#This Row],[ha2015.01]:[ha2015.12]])</f>
        <v>3640</v>
      </c>
      <c r="T6">
        <f>VLOOKUP(t_Presses[[Plant]:[Plant]],t_Plants[],Plants!DA$1,FALSE)</f>
        <v>280</v>
      </c>
      <c r="U6">
        <f>VLOOKUP(t_Presses[[Plant]:[Plant]],t_Plants[],Plants!DB$1,FALSE)</f>
        <v>280</v>
      </c>
      <c r="V6">
        <f>VLOOKUP(t_Presses[[Plant]:[Plant]],t_Plants[],Plants!DC$1,FALSE)</f>
        <v>350</v>
      </c>
      <c r="W6">
        <f>VLOOKUP(t_Presses[[Plant]:[Plant]],t_Plants[],Plants!DD$1,FALSE)</f>
        <v>280</v>
      </c>
      <c r="X6">
        <f>VLOOKUP(t_Presses[[Plant]:[Plant]],t_Plants[],Plants!DE$1,FALSE)</f>
        <v>280</v>
      </c>
      <c r="Y6">
        <f>VLOOKUP(t_Presses[[Plant]:[Plant]],t_Plants[],Plants!DF$1,FALSE)</f>
        <v>350</v>
      </c>
      <c r="Z6">
        <f>VLOOKUP(t_Presses[[Plant]:[Plant]],t_Plants[],Plants!DG$1,FALSE)</f>
        <v>280</v>
      </c>
      <c r="AA6">
        <f>VLOOKUP(t_Presses[[Plant]:[Plant]],t_Plants[],Plants!DH$1,FALSE)</f>
        <v>280</v>
      </c>
      <c r="AB6">
        <f>VLOOKUP(t_Presses[[Plant]:[Plant]],t_Plants[],Plants!DI$1,FALSE)</f>
        <v>350</v>
      </c>
      <c r="AC6">
        <f>VLOOKUP(t_Presses[[Plant]:[Plant]],t_Plants[],Plants!DJ$1,FALSE)</f>
        <v>280</v>
      </c>
      <c r="AD6">
        <f>VLOOKUP(t_Presses[[Plant]:[Plant]],t_Plants[],Plants!DK$1,FALSE)</f>
        <v>280</v>
      </c>
      <c r="AE6">
        <f>VLOOKUP(t_Presses[[Plant]:[Plant]],t_Plants[],Plants!DL$1,FALSE)</f>
        <v>350</v>
      </c>
      <c r="AF6">
        <f>SUM(t_Presses[[#This Row],[ha2016.01]:[ha2016.12]])</f>
        <v>3640</v>
      </c>
      <c r="AG6">
        <f>VLOOKUP(t_Presses[[Plant]:[Plant]],t_Plants[],Plants!DN$1,FALSE)</f>
        <v>3640</v>
      </c>
      <c r="AH6">
        <f>VLOOKUP(t_Presses[[Plant]:[Plant]],t_Plants[],Plants!DO$1,FALSE)</f>
        <v>3640</v>
      </c>
      <c r="AI6">
        <f>VLOOKUP(t_Presses[[Plant]:[Plant]],t_Plants[],Plants!DP$1,FALSE)</f>
        <v>3640</v>
      </c>
      <c r="AJ6" s="43">
        <f>SUMIF(r_PartPresses,t_Presses[[PRESS]:[PRESS]],t_Parts[hp2015.01])</f>
        <v>158.80698523698518</v>
      </c>
      <c r="AK6" s="43">
        <f>SUMIF(r_PartPresses,t_Presses[[PRESS]:[PRESS]],t_Parts[hp2015.02])</f>
        <v>158.80698523698518</v>
      </c>
      <c r="AL6" s="43">
        <f>SUMIF(r_PartPresses,t_Presses[[PRESS]:[PRESS]],t_Parts[hp2015.03])</f>
        <v>190.00873154623153</v>
      </c>
      <c r="AM6" s="43">
        <f>SUMIF(r_PartPresses,t_Presses[[PRESS]:[PRESS]],t_Parts[hp2015.04])</f>
        <v>158.80698523698518</v>
      </c>
      <c r="AN6" s="43">
        <f>SUMIF(r_PartPresses,t_Presses[[PRESS]:[PRESS]],t_Parts[hp2015.05])</f>
        <v>158.80698523698518</v>
      </c>
      <c r="AO6" s="43">
        <f>SUMIF(r_PartPresses,t_Presses[[PRESS]:[PRESS]],t_Parts[hp2015.06])</f>
        <v>190.00873154623153</v>
      </c>
      <c r="AP6" s="43">
        <f>SUMIF(r_PartPresses,t_Presses[[PRESS]:[PRESS]],t_Parts[hp2015.07])</f>
        <v>158.80698523698518</v>
      </c>
      <c r="AQ6" s="43">
        <f>SUMIF(r_PartPresses,t_Presses[[PRESS]:[PRESS]],t_Parts[hp2015.08])</f>
        <v>158.80698523698518</v>
      </c>
      <c r="AR6" s="43">
        <f>SUMIF(r_PartPresses,t_Presses[[PRESS]:[PRESS]],t_Parts[hp2015.09])</f>
        <v>190.00873154623153</v>
      </c>
      <c r="AS6" s="43">
        <f>SUMIF(r_PartPresses,t_Presses[[PRESS]:[PRESS]],t_Parts[hp2015.10])</f>
        <v>158.80698523698518</v>
      </c>
      <c r="AT6" s="43">
        <f>SUMIF(r_PartPresses,t_Presses[[PRESS]:[PRESS]],t_Parts[hp2015.11])</f>
        <v>158.80698523698518</v>
      </c>
      <c r="AU6" s="43">
        <f>SUMIF(r_PartPresses,t_Presses[[PRESS]:[PRESS]],t_Parts[hp2015.12])</f>
        <v>190.00873154623153</v>
      </c>
      <c r="AV6" s="43">
        <f>SUM(t_Presses[[#This Row],[hp2015.01]:[hp2015.12]])</f>
        <v>2030.4908080808075</v>
      </c>
      <c r="AW6" s="43">
        <f>SUMIF(r_PartPresses,t_Presses[[PRESS]:[PRESS]],t_Parts[hp2016.01])</f>
        <v>158.80698523698518</v>
      </c>
      <c r="AX6" s="43">
        <f>SUMIF(r_PartPresses,t_Presses[[PRESS]:[PRESS]],t_Parts[hp2016.02])</f>
        <v>158.80698523698518</v>
      </c>
      <c r="AY6" s="43">
        <f>SUMIF(r_PartPresses,t_Presses[[PRESS]:[PRESS]],t_Parts[hp2016.03])</f>
        <v>190.00873154623153</v>
      </c>
      <c r="AZ6" s="43">
        <f>SUMIF(r_PartPresses,t_Presses[[PRESS]:[PRESS]],t_Parts[hp2016.04])</f>
        <v>158.80698523698518</v>
      </c>
      <c r="BA6" s="43">
        <f>SUMIF(r_PartPresses,t_Presses[[PRESS]:[PRESS]],t_Parts[hp2016.05])</f>
        <v>158.80698523698518</v>
      </c>
      <c r="BB6" s="43">
        <f>SUMIF(r_PartPresses,t_Presses[[PRESS]:[PRESS]],t_Parts[hp2016.06])</f>
        <v>190.00873154623153</v>
      </c>
      <c r="BC6" s="43">
        <f>SUMIF(r_PartPresses,t_Presses[[PRESS]:[PRESS]],t_Parts[hp2016.07])</f>
        <v>158.80698523698518</v>
      </c>
      <c r="BD6" s="43">
        <f>SUMIF(r_PartPresses,t_Presses[[PRESS]:[PRESS]],t_Parts[hp2016.08])</f>
        <v>146.41560994560993</v>
      </c>
      <c r="BE6" s="43">
        <f>SUMIF(r_PartPresses,t_Presses[[PRESS]:[PRESS]],t_Parts[hp2016.09])</f>
        <v>175.51951243201242</v>
      </c>
      <c r="BF6" s="43">
        <f>SUMIF(r_PartPresses,t_Presses[[PRESS]:[PRESS]],t_Parts[hp2016.10])</f>
        <v>146.41560994560993</v>
      </c>
      <c r="BG6" s="43">
        <f>SUMIF(r_PartPresses,t_Presses[[PRESS]:[PRESS]],t_Parts[hp2016.11])</f>
        <v>146.41560994560993</v>
      </c>
      <c r="BH6" s="43">
        <f>SUMIF(r_PartPresses,t_Presses[[PRESS]:[PRESS]],t_Parts[hp2016.12])</f>
        <v>175.51951243201242</v>
      </c>
      <c r="BI6" s="43">
        <f>SUMIF(r_PartPresses,t_Presses[[PRESS]:[PRESS]],t_Parts[hp2016.FY])</f>
        <v>1964.3382439782438</v>
      </c>
      <c r="BJ6" s="43">
        <f>SUMIF(r_PartPresses,t_Presses[[PRESS]:[PRESS]],t_Parts[hp2017])</f>
        <v>1811.1524242424239</v>
      </c>
      <c r="BK6" s="43">
        <f>SUMIF(r_PartPresses,t_Presses[[PRESS]:[PRESS]],t_Parts[hp2018])</f>
        <v>1811.1524242424239</v>
      </c>
      <c r="BL6" s="43">
        <f>SUMIF(r_PartPresses,t_Presses[[PRESS]:[PRESS]],t_Parts[hp2019])</f>
        <v>1811.1524242424239</v>
      </c>
      <c r="BM6" s="17">
        <f>t_Presses[[#This Row],[hp2015.01]]/t_Presses[[#This Row],[ha2015.01]]</f>
        <v>0.56716780441780423</v>
      </c>
      <c r="BN6" s="17">
        <f>t_Presses[[#This Row],[hp2015.02]]/t_Presses[[#This Row],[ha2015.02]]</f>
        <v>0.56716780441780423</v>
      </c>
      <c r="BO6" s="17">
        <f>t_Presses[[#This Row],[hp2015.03]]/t_Presses[[#This Row],[ha2015.03]]</f>
        <v>0.5428820901320901</v>
      </c>
      <c r="BP6" s="17">
        <f>t_Presses[[#This Row],[hp2015.04]]/t_Presses[[#This Row],[ha2015.04]]</f>
        <v>0.56716780441780423</v>
      </c>
      <c r="BQ6" s="17">
        <f>t_Presses[[#This Row],[hp2015.05]]/t_Presses[[#This Row],[ha2015.05]]</f>
        <v>0.56716780441780423</v>
      </c>
      <c r="BR6" s="17">
        <f>t_Presses[[#This Row],[hp2015.06]]/t_Presses[[#This Row],[ha2015.06]]</f>
        <v>0.5428820901320901</v>
      </c>
      <c r="BS6" s="17">
        <f>t_Presses[[#This Row],[hp2015.07]]/t_Presses[[#This Row],[ha2015.07]]</f>
        <v>0.56716780441780423</v>
      </c>
      <c r="BT6" s="17">
        <f>t_Presses[[#This Row],[hp2015.08]]/t_Presses[[#This Row],[ha2015.08]]</f>
        <v>0.56716780441780423</v>
      </c>
      <c r="BU6" s="17">
        <f>t_Presses[[#This Row],[hp2015.09]]/t_Presses[[#This Row],[ha2015.09]]</f>
        <v>0.5428820901320901</v>
      </c>
      <c r="BV6" s="17">
        <f>t_Presses[[#This Row],[hp2015.10]]/t_Presses[[#This Row],[ha2015.10]]</f>
        <v>0.56716780441780423</v>
      </c>
      <c r="BW6" s="17">
        <f>t_Presses[[#This Row],[hp2015.11]]/t_Presses[[#This Row],[ha2015.11]]</f>
        <v>0.56716780441780423</v>
      </c>
      <c r="BX6" s="17">
        <f>t_Presses[[#This Row],[hp2015.12]]/t_Presses[[#This Row],[ha2015.12]]</f>
        <v>0.5428820901320901</v>
      </c>
      <c r="BY6" s="17">
        <f>t_Presses[[#This Row],[hp2015.FY]]/t_Presses[[#This Row],[ha2015.FY]]</f>
        <v>0.55782714507714493</v>
      </c>
      <c r="BZ6" s="17">
        <f>t_Presses[[#This Row],[hp2016.01]]/t_Presses[[#This Row],[ha2016.01]]</f>
        <v>0.56716780441780423</v>
      </c>
      <c r="CA6" s="17">
        <f>t_Presses[[#This Row],[hp2016.02]]/t_Presses[[#This Row],[ha2016.02]]</f>
        <v>0.56716780441780423</v>
      </c>
      <c r="CB6" s="17">
        <f>t_Presses[[#This Row],[hp2016.03]]/t_Presses[[#This Row],[ha2016.03]]</f>
        <v>0.5428820901320901</v>
      </c>
      <c r="CC6" s="17">
        <f>t_Presses[[#This Row],[hp2016.04]]/t_Presses[[#This Row],[ha2016.04]]</f>
        <v>0.56716780441780423</v>
      </c>
      <c r="CD6" s="17">
        <f>t_Presses[[#This Row],[hp2016.05]]/t_Presses[[#This Row],[ha2016.05]]</f>
        <v>0.56716780441780423</v>
      </c>
      <c r="CE6" s="17">
        <f>t_Presses[[#This Row],[hp2016.06]]/t_Presses[[#This Row],[ha2016.06]]</f>
        <v>0.5428820901320901</v>
      </c>
      <c r="CF6" s="17">
        <f>t_Presses[[#This Row],[hp2016.07]]/t_Presses[[#This Row],[ha2016.07]]</f>
        <v>0.56716780441780423</v>
      </c>
      <c r="CG6" s="17">
        <f>t_Presses[[#This Row],[hp2016.08]]/t_Presses[[#This Row],[ha2016.08]]</f>
        <v>0.52291289266289265</v>
      </c>
      <c r="CH6" s="17">
        <f>t_Presses[[#This Row],[hp2016.09]]/t_Presses[[#This Row],[ha2016.09]]</f>
        <v>0.50148432123432118</v>
      </c>
      <c r="CI6" s="17">
        <f>t_Presses[[#This Row],[hp2016.10]]/t_Presses[[#This Row],[ha2016.10]]</f>
        <v>0.52291289266289265</v>
      </c>
      <c r="CJ6" s="17">
        <f>t_Presses[[#This Row],[hp2016.11]]/t_Presses[[#This Row],[ha2016.11]]</f>
        <v>0.52291289266289265</v>
      </c>
      <c r="CK6" s="17">
        <f>t_Presses[[#This Row],[hp2016.12]]/t_Presses[[#This Row],[ha2016.12]]</f>
        <v>0.50148432123432118</v>
      </c>
      <c r="CL6" s="17">
        <f>t_Presses[[#This Row],[hp2016.FY]]/t_Presses[[#This Row],[ha2016.FY]]</f>
        <v>0.53965336373028672</v>
      </c>
      <c r="CM6" s="17">
        <f>t_Presses[[#This Row],[hp2017]]/t_Presses[[#This Row],[ha2017]]</f>
        <v>0.49756934731934721</v>
      </c>
      <c r="CN6" s="17">
        <f>t_Presses[[#This Row],[hp2018]]/t_Presses[[#This Row],[ha2018]]</f>
        <v>0.49756934731934721</v>
      </c>
      <c r="CO6" s="17">
        <f>t_Presses[[#This Row],[hp2019]]/t_Presses[[#This Row],[ha2019]]</f>
        <v>0.49756934731934721</v>
      </c>
    </row>
    <row r="7" spans="1:93" x14ac:dyDescent="0.25">
      <c r="A7" s="16">
        <v>21003</v>
      </c>
      <c r="B7" t="s">
        <v>8</v>
      </c>
      <c r="C7" t="s">
        <v>121</v>
      </c>
      <c r="D7">
        <v>400</v>
      </c>
      <c r="E7" s="18" t="str">
        <f t="shared" si="0"/>
        <v>300-599</v>
      </c>
      <c r="F7" s="15"/>
      <c r="G7">
        <f>VLOOKUP(t_Presses[[Plant]:[Plant]],t_Plants[],Plants!CN$1,FALSE)</f>
        <v>280</v>
      </c>
      <c r="H7">
        <f>VLOOKUP(t_Presses[[Plant]:[Plant]],t_Plants[],Plants!CO$1,FALSE)</f>
        <v>280</v>
      </c>
      <c r="I7">
        <f>VLOOKUP(t_Presses[[Plant]:[Plant]],t_Plants[],Plants!CP$1,FALSE)</f>
        <v>350</v>
      </c>
      <c r="J7">
        <f>VLOOKUP(t_Presses[[Plant]:[Plant]],t_Plants[],Plants!CQ$1,FALSE)</f>
        <v>280</v>
      </c>
      <c r="K7">
        <f>VLOOKUP(t_Presses[[Plant]:[Plant]],t_Plants[],Plants!CR$1,FALSE)</f>
        <v>280</v>
      </c>
      <c r="L7">
        <f>VLOOKUP(t_Presses[[Plant]:[Plant]],t_Plants[],Plants!CS$1,FALSE)</f>
        <v>350</v>
      </c>
      <c r="M7">
        <f>VLOOKUP(t_Presses[[Plant]:[Plant]],t_Plants[],Plants!CT$1,FALSE)</f>
        <v>280</v>
      </c>
      <c r="N7">
        <f>VLOOKUP(t_Presses[[Plant]:[Plant]],t_Plants[],Plants!CU$1,FALSE)</f>
        <v>280</v>
      </c>
      <c r="O7">
        <f>VLOOKUP(t_Presses[[Plant]:[Plant]],t_Plants[],Plants!CV$1,FALSE)</f>
        <v>350</v>
      </c>
      <c r="P7">
        <f>VLOOKUP(t_Presses[[Plant]:[Plant]],t_Plants[],Plants!CW$1,FALSE)</f>
        <v>280</v>
      </c>
      <c r="Q7">
        <f>VLOOKUP(t_Presses[[Plant]:[Plant]],t_Plants[],Plants!CX$1,FALSE)</f>
        <v>280</v>
      </c>
      <c r="R7">
        <f>VLOOKUP(t_Presses[[Plant]:[Plant]],t_Plants[],Plants!CY$1,FALSE)</f>
        <v>350</v>
      </c>
      <c r="S7" s="18">
        <f>SUM(t_Presses[[#This Row],[ha2015.01]:[ha2015.12]])</f>
        <v>3640</v>
      </c>
      <c r="T7">
        <f>VLOOKUP(t_Presses[[Plant]:[Plant]],t_Plants[],Plants!DA$1,FALSE)</f>
        <v>280</v>
      </c>
      <c r="U7">
        <f>VLOOKUP(t_Presses[[Plant]:[Plant]],t_Plants[],Plants!DB$1,FALSE)</f>
        <v>280</v>
      </c>
      <c r="V7">
        <f>VLOOKUP(t_Presses[[Plant]:[Plant]],t_Plants[],Plants!DC$1,FALSE)</f>
        <v>350</v>
      </c>
      <c r="W7">
        <f>VLOOKUP(t_Presses[[Plant]:[Plant]],t_Plants[],Plants!DD$1,FALSE)</f>
        <v>280</v>
      </c>
      <c r="X7">
        <f>VLOOKUP(t_Presses[[Plant]:[Plant]],t_Plants[],Plants!DE$1,FALSE)</f>
        <v>280</v>
      </c>
      <c r="Y7">
        <f>VLOOKUP(t_Presses[[Plant]:[Plant]],t_Plants[],Plants!DF$1,FALSE)</f>
        <v>350</v>
      </c>
      <c r="Z7">
        <f>VLOOKUP(t_Presses[[Plant]:[Plant]],t_Plants[],Plants!DG$1,FALSE)</f>
        <v>280</v>
      </c>
      <c r="AA7">
        <f>VLOOKUP(t_Presses[[Plant]:[Plant]],t_Plants[],Plants!DH$1,FALSE)</f>
        <v>280</v>
      </c>
      <c r="AB7">
        <f>VLOOKUP(t_Presses[[Plant]:[Plant]],t_Plants[],Plants!DI$1,FALSE)</f>
        <v>350</v>
      </c>
      <c r="AC7">
        <f>VLOOKUP(t_Presses[[Plant]:[Plant]],t_Plants[],Plants!DJ$1,FALSE)</f>
        <v>280</v>
      </c>
      <c r="AD7">
        <f>VLOOKUP(t_Presses[[Plant]:[Plant]],t_Plants[],Plants!DK$1,FALSE)</f>
        <v>280</v>
      </c>
      <c r="AE7">
        <f>VLOOKUP(t_Presses[[Plant]:[Plant]],t_Plants[],Plants!DL$1,FALSE)</f>
        <v>350</v>
      </c>
      <c r="AF7" s="18">
        <f>SUM(t_Presses[[#This Row],[ha2016.01]:[ha2016.12]])</f>
        <v>3640</v>
      </c>
      <c r="AG7">
        <f>VLOOKUP(t_Presses[[Plant]:[Plant]],t_Plants[],Plants!DN$1,FALSE)</f>
        <v>3640</v>
      </c>
      <c r="AH7">
        <f>VLOOKUP(t_Presses[[Plant]:[Plant]],t_Plants[],Plants!DO$1,FALSE)</f>
        <v>3640</v>
      </c>
      <c r="AI7">
        <f>VLOOKUP(t_Presses[[Plant]:[Plant]],t_Plants[],Plants!DP$1,FALSE)</f>
        <v>3640</v>
      </c>
      <c r="AJ7" s="43">
        <f>SUMIF(r_PartPresses,t_Presses[[PRESS]:[PRESS]],t_Parts[hp2015.01])</f>
        <v>214.45433066933069</v>
      </c>
      <c r="AK7" s="43">
        <f>SUMIF(r_PartPresses,t_Presses[[PRESS]:[PRESS]],t_Parts[hp2015.02])</f>
        <v>214.45433066933069</v>
      </c>
      <c r="AL7" s="43">
        <f>SUMIF(r_PartPresses,t_Presses[[PRESS]:[PRESS]],t_Parts[hp2015.03])</f>
        <v>257.81791333666337</v>
      </c>
      <c r="AM7" s="43">
        <f>SUMIF(r_PartPresses,t_Presses[[PRESS]:[PRESS]],t_Parts[hp2015.04])</f>
        <v>214.45433066933069</v>
      </c>
      <c r="AN7" s="43">
        <f>SUMIF(r_PartPresses,t_Presses[[PRESS]:[PRESS]],t_Parts[hp2015.05])</f>
        <v>214.45433066933069</v>
      </c>
      <c r="AO7" s="43">
        <f>SUMIF(r_PartPresses,t_Presses[[PRESS]:[PRESS]],t_Parts[hp2015.06])</f>
        <v>257.81791333666337</v>
      </c>
      <c r="AP7" s="43">
        <f>SUMIF(r_PartPresses,t_Presses[[PRESS]:[PRESS]],t_Parts[hp2015.07])</f>
        <v>214.45433066933069</v>
      </c>
      <c r="AQ7" s="43">
        <f>SUMIF(r_PartPresses,t_Presses[[PRESS]:[PRESS]],t_Parts[hp2015.08])</f>
        <v>214.45433066933069</v>
      </c>
      <c r="AR7" s="43">
        <f>SUMIF(r_PartPresses,t_Presses[[PRESS]:[PRESS]],t_Parts[hp2015.09])</f>
        <v>257.81791333666337</v>
      </c>
      <c r="AS7" s="43">
        <f>SUMIF(r_PartPresses,t_Presses[[PRESS]:[PRESS]],t_Parts[hp2015.10])</f>
        <v>201.37431901431901</v>
      </c>
      <c r="AT7" s="43">
        <f>SUMIF(r_PartPresses,t_Presses[[PRESS]:[PRESS]],t_Parts[hp2015.11])</f>
        <v>201.37431901431901</v>
      </c>
      <c r="AU7" s="43">
        <f>SUMIF(r_PartPresses,t_Presses[[PRESS]:[PRESS]],t_Parts[hp2015.12])</f>
        <v>242.46789876789876</v>
      </c>
      <c r="AV7" s="43">
        <f>SUM(t_Presses[[#This Row],[hp2015.01]:[hp2015.12]])</f>
        <v>2705.3962608225111</v>
      </c>
      <c r="AW7" s="43">
        <f>SUMIF(r_PartPresses,t_Presses[[PRESS]:[PRESS]],t_Parts[hp2016.01])</f>
        <v>199.25543789543789</v>
      </c>
      <c r="AX7" s="43">
        <f>SUMIF(r_PartPresses,t_Presses[[PRESS]:[PRESS]],t_Parts[hp2016.02])</f>
        <v>199.25543789543789</v>
      </c>
      <c r="AY7" s="43">
        <f>SUMIF(r_PartPresses,t_Presses[[PRESS]:[PRESS]],t_Parts[hp2016.03])</f>
        <v>240.06929736929737</v>
      </c>
      <c r="AZ7" s="43">
        <f>SUMIF(r_PartPresses,t_Presses[[PRESS]:[PRESS]],t_Parts[hp2016.04])</f>
        <v>199.25543789543789</v>
      </c>
      <c r="BA7" s="43">
        <f>SUMIF(r_PartPresses,t_Presses[[PRESS]:[PRESS]],t_Parts[hp2016.05])</f>
        <v>199.25543789543789</v>
      </c>
      <c r="BB7" s="43">
        <f>SUMIF(r_PartPresses,t_Presses[[PRESS]:[PRESS]],t_Parts[hp2016.06])</f>
        <v>240.06929736929737</v>
      </c>
      <c r="BC7" s="43">
        <f>SUMIF(r_PartPresses,t_Presses[[PRESS]:[PRESS]],t_Parts[hp2016.07])</f>
        <v>199.25543789543789</v>
      </c>
      <c r="BD7" s="43">
        <f>SUMIF(r_PartPresses,t_Presses[[PRESS]:[PRESS]],t_Parts[hp2016.08])</f>
        <v>199.25543789543789</v>
      </c>
      <c r="BE7" s="43">
        <f>SUMIF(r_PartPresses,t_Presses[[PRESS]:[PRESS]],t_Parts[hp2016.09])</f>
        <v>240.06929736929737</v>
      </c>
      <c r="BF7" s="43">
        <f>SUMIF(r_PartPresses,t_Presses[[PRESS]:[PRESS]],t_Parts[hp2016.10])</f>
        <v>199.25543789543789</v>
      </c>
      <c r="BG7" s="43">
        <f>SUMIF(r_PartPresses,t_Presses[[PRESS]:[PRESS]],t_Parts[hp2016.11])</f>
        <v>199.25543789543789</v>
      </c>
      <c r="BH7" s="43">
        <f>SUMIF(r_PartPresses,t_Presses[[PRESS]:[PRESS]],t_Parts[hp2016.12])</f>
        <v>240.06929736929737</v>
      </c>
      <c r="BI7" s="43">
        <f>SUMIF(r_PartPresses,t_Presses[[PRESS]:[PRESS]],t_Parts[hp2016.FY])</f>
        <v>2554.3206926406929</v>
      </c>
      <c r="BJ7" s="43">
        <f>SUMIF(r_PartPresses,t_Presses[[PRESS]:[PRESS]],t_Parts[hp2017])</f>
        <v>1835.5129004329006</v>
      </c>
      <c r="BK7" s="43">
        <f>SUMIF(r_PartPresses,t_Presses[[PRESS]:[PRESS]],t_Parts[hp2018])</f>
        <v>900.5246753246754</v>
      </c>
      <c r="BL7" s="43">
        <f>SUMIF(r_PartPresses,t_Presses[[PRESS]:[PRESS]],t_Parts[hp2019])</f>
        <v>900.5246753246754</v>
      </c>
      <c r="BM7" s="17">
        <f>t_Presses[[#This Row],[hp2015.01]]/t_Presses[[#This Row],[ha2015.01]]</f>
        <v>0.76590832381903817</v>
      </c>
      <c r="BN7" s="17">
        <f>t_Presses[[#This Row],[hp2015.02]]/t_Presses[[#This Row],[ha2015.02]]</f>
        <v>0.76590832381903817</v>
      </c>
      <c r="BO7" s="17">
        <f>t_Presses[[#This Row],[hp2015.03]]/t_Presses[[#This Row],[ha2015.03]]</f>
        <v>0.73662260953332392</v>
      </c>
      <c r="BP7" s="17">
        <f>t_Presses[[#This Row],[hp2015.04]]/t_Presses[[#This Row],[ha2015.04]]</f>
        <v>0.76590832381903817</v>
      </c>
      <c r="BQ7" s="17">
        <f>t_Presses[[#This Row],[hp2015.05]]/t_Presses[[#This Row],[ha2015.05]]</f>
        <v>0.76590832381903817</v>
      </c>
      <c r="BR7" s="17">
        <f>t_Presses[[#This Row],[hp2015.06]]/t_Presses[[#This Row],[ha2015.06]]</f>
        <v>0.73662260953332392</v>
      </c>
      <c r="BS7" s="17">
        <f>t_Presses[[#This Row],[hp2015.07]]/t_Presses[[#This Row],[ha2015.07]]</f>
        <v>0.76590832381903817</v>
      </c>
      <c r="BT7" s="17">
        <f>t_Presses[[#This Row],[hp2015.08]]/t_Presses[[#This Row],[ha2015.08]]</f>
        <v>0.76590832381903817</v>
      </c>
      <c r="BU7" s="17">
        <f>t_Presses[[#This Row],[hp2015.09]]/t_Presses[[#This Row],[ha2015.09]]</f>
        <v>0.73662260953332392</v>
      </c>
      <c r="BV7" s="17">
        <f>t_Presses[[#This Row],[hp2015.10]]/t_Presses[[#This Row],[ha2015.10]]</f>
        <v>0.71919399647971072</v>
      </c>
      <c r="BW7" s="17">
        <f>t_Presses[[#This Row],[hp2015.11]]/t_Presses[[#This Row],[ha2015.11]]</f>
        <v>0.71919399647971072</v>
      </c>
      <c r="BX7" s="17">
        <f>t_Presses[[#This Row],[hp2015.12]]/t_Presses[[#This Row],[ha2015.12]]</f>
        <v>0.69276542505113936</v>
      </c>
      <c r="BY7" s="17">
        <f>t_Presses[[#This Row],[hp2015.FY]]/t_Presses[[#This Row],[ha2015.FY]]</f>
        <v>0.74324073099519539</v>
      </c>
      <c r="BZ7" s="17">
        <f>t_Presses[[#This Row],[hp2016.01]]/t_Presses[[#This Row],[ha2016.01]]</f>
        <v>0.71162656391227819</v>
      </c>
      <c r="CA7" s="17">
        <f>t_Presses[[#This Row],[hp2016.02]]/t_Presses[[#This Row],[ha2016.02]]</f>
        <v>0.71162656391227819</v>
      </c>
      <c r="CB7" s="17">
        <f>t_Presses[[#This Row],[hp2016.03]]/t_Presses[[#This Row],[ha2016.03]]</f>
        <v>0.6859122781979925</v>
      </c>
      <c r="CC7" s="17">
        <f>t_Presses[[#This Row],[hp2016.04]]/t_Presses[[#This Row],[ha2016.04]]</f>
        <v>0.71162656391227819</v>
      </c>
      <c r="CD7" s="17">
        <f>t_Presses[[#This Row],[hp2016.05]]/t_Presses[[#This Row],[ha2016.05]]</f>
        <v>0.71162656391227819</v>
      </c>
      <c r="CE7" s="17">
        <f>t_Presses[[#This Row],[hp2016.06]]/t_Presses[[#This Row],[ha2016.06]]</f>
        <v>0.6859122781979925</v>
      </c>
      <c r="CF7" s="17">
        <f>t_Presses[[#This Row],[hp2016.07]]/t_Presses[[#This Row],[ha2016.07]]</f>
        <v>0.71162656391227819</v>
      </c>
      <c r="CG7" s="17">
        <f>t_Presses[[#This Row],[hp2016.08]]/t_Presses[[#This Row],[ha2016.08]]</f>
        <v>0.71162656391227819</v>
      </c>
      <c r="CH7" s="17">
        <f>t_Presses[[#This Row],[hp2016.09]]/t_Presses[[#This Row],[ha2016.09]]</f>
        <v>0.6859122781979925</v>
      </c>
      <c r="CI7" s="17">
        <f>t_Presses[[#This Row],[hp2016.10]]/t_Presses[[#This Row],[ha2016.10]]</f>
        <v>0.71162656391227819</v>
      </c>
      <c r="CJ7" s="17">
        <f>t_Presses[[#This Row],[hp2016.11]]/t_Presses[[#This Row],[ha2016.11]]</f>
        <v>0.71162656391227819</v>
      </c>
      <c r="CK7" s="17">
        <f>t_Presses[[#This Row],[hp2016.12]]/t_Presses[[#This Row],[ha2016.12]]</f>
        <v>0.6859122781979925</v>
      </c>
      <c r="CL7" s="17">
        <f>t_Presses[[#This Row],[hp2016.FY]]/t_Presses[[#This Row],[ha2016.FY]]</f>
        <v>0.70173645402216833</v>
      </c>
      <c r="CM7" s="17">
        <f>t_Presses[[#This Row],[hp2017]]/t_Presses[[#This Row],[ha2017]]</f>
        <v>0.50426178583321446</v>
      </c>
      <c r="CN7" s="17">
        <f>t_Presses[[#This Row],[hp2018]]/t_Presses[[#This Row],[ha2018]]</f>
        <v>0.24739688882546026</v>
      </c>
      <c r="CO7" s="17">
        <f>t_Presses[[#This Row],[hp2019]]/t_Presses[[#This Row],[ha2019]]</f>
        <v>0.24739688882546026</v>
      </c>
    </row>
    <row r="8" spans="1:93" x14ac:dyDescent="0.25">
      <c r="A8" s="16">
        <v>21011</v>
      </c>
      <c r="B8" t="s">
        <v>8</v>
      </c>
      <c r="C8" t="s">
        <v>121</v>
      </c>
      <c r="D8">
        <v>400</v>
      </c>
      <c r="E8" s="18" t="str">
        <f t="shared" si="0"/>
        <v>300-599</v>
      </c>
      <c r="F8" s="15"/>
      <c r="G8">
        <f>VLOOKUP(t_Presses[[Plant]:[Plant]],t_Plants[],Plants!CN$1,FALSE)</f>
        <v>280</v>
      </c>
      <c r="H8">
        <f>VLOOKUP(t_Presses[[Plant]:[Plant]],t_Plants[],Plants!CO$1,FALSE)</f>
        <v>280</v>
      </c>
      <c r="I8">
        <f>VLOOKUP(t_Presses[[Plant]:[Plant]],t_Plants[],Plants!CP$1,FALSE)</f>
        <v>350</v>
      </c>
      <c r="J8">
        <f>VLOOKUP(t_Presses[[Plant]:[Plant]],t_Plants[],Plants!CQ$1,FALSE)</f>
        <v>280</v>
      </c>
      <c r="K8">
        <f>VLOOKUP(t_Presses[[Plant]:[Plant]],t_Plants[],Plants!CR$1,FALSE)</f>
        <v>280</v>
      </c>
      <c r="L8">
        <f>VLOOKUP(t_Presses[[Plant]:[Plant]],t_Plants[],Plants!CS$1,FALSE)</f>
        <v>350</v>
      </c>
      <c r="M8">
        <f>VLOOKUP(t_Presses[[Plant]:[Plant]],t_Plants[],Plants!CT$1,FALSE)</f>
        <v>280</v>
      </c>
      <c r="N8">
        <f>VLOOKUP(t_Presses[[Plant]:[Plant]],t_Plants[],Plants!CU$1,FALSE)</f>
        <v>280</v>
      </c>
      <c r="O8">
        <f>VLOOKUP(t_Presses[[Plant]:[Plant]],t_Plants[],Plants!CV$1,FALSE)</f>
        <v>350</v>
      </c>
      <c r="P8">
        <f>VLOOKUP(t_Presses[[Plant]:[Plant]],t_Plants[],Plants!CW$1,FALSE)</f>
        <v>280</v>
      </c>
      <c r="Q8">
        <f>VLOOKUP(t_Presses[[Plant]:[Plant]],t_Plants[],Plants!CX$1,FALSE)</f>
        <v>280</v>
      </c>
      <c r="R8">
        <f>VLOOKUP(t_Presses[[Plant]:[Plant]],t_Plants[],Plants!CY$1,FALSE)</f>
        <v>350</v>
      </c>
      <c r="S8" s="18">
        <f>SUM(t_Presses[[#This Row],[ha2015.01]:[ha2015.12]])</f>
        <v>3640</v>
      </c>
      <c r="T8">
        <f>VLOOKUP(t_Presses[[Plant]:[Plant]],t_Plants[],Plants!DA$1,FALSE)</f>
        <v>280</v>
      </c>
      <c r="U8">
        <f>VLOOKUP(t_Presses[[Plant]:[Plant]],t_Plants[],Plants!DB$1,FALSE)</f>
        <v>280</v>
      </c>
      <c r="V8">
        <f>VLOOKUP(t_Presses[[Plant]:[Plant]],t_Plants[],Plants!DC$1,FALSE)</f>
        <v>350</v>
      </c>
      <c r="W8">
        <f>VLOOKUP(t_Presses[[Plant]:[Plant]],t_Plants[],Plants!DD$1,FALSE)</f>
        <v>280</v>
      </c>
      <c r="X8">
        <f>VLOOKUP(t_Presses[[Plant]:[Plant]],t_Plants[],Plants!DE$1,FALSE)</f>
        <v>280</v>
      </c>
      <c r="Y8">
        <f>VLOOKUP(t_Presses[[Plant]:[Plant]],t_Plants[],Plants!DF$1,FALSE)</f>
        <v>350</v>
      </c>
      <c r="Z8">
        <f>VLOOKUP(t_Presses[[Plant]:[Plant]],t_Plants[],Plants!DG$1,FALSE)</f>
        <v>280</v>
      </c>
      <c r="AA8">
        <f>VLOOKUP(t_Presses[[Plant]:[Plant]],t_Plants[],Plants!DH$1,FALSE)</f>
        <v>280</v>
      </c>
      <c r="AB8">
        <f>VLOOKUP(t_Presses[[Plant]:[Plant]],t_Plants[],Plants!DI$1,FALSE)</f>
        <v>350</v>
      </c>
      <c r="AC8">
        <f>VLOOKUP(t_Presses[[Plant]:[Plant]],t_Plants[],Plants!DJ$1,FALSE)</f>
        <v>280</v>
      </c>
      <c r="AD8">
        <f>VLOOKUP(t_Presses[[Plant]:[Plant]],t_Plants[],Plants!DK$1,FALSE)</f>
        <v>280</v>
      </c>
      <c r="AE8">
        <f>VLOOKUP(t_Presses[[Plant]:[Plant]],t_Plants[],Plants!DL$1,FALSE)</f>
        <v>350</v>
      </c>
      <c r="AF8" s="18">
        <f>SUM(t_Presses[[#This Row],[ha2016.01]:[ha2016.12]])</f>
        <v>3640</v>
      </c>
      <c r="AG8">
        <f>VLOOKUP(t_Presses[[Plant]:[Plant]],t_Plants[],Plants!DN$1,FALSE)</f>
        <v>3640</v>
      </c>
      <c r="AH8">
        <f>VLOOKUP(t_Presses[[Plant]:[Plant]],t_Plants[],Plants!DO$1,FALSE)</f>
        <v>3640</v>
      </c>
      <c r="AI8">
        <f>VLOOKUP(t_Presses[[Plant]:[Plant]],t_Plants[],Plants!DP$1,FALSE)</f>
        <v>3640</v>
      </c>
      <c r="AJ8" s="43">
        <f>SUMIF(r_PartPresses,t_Presses[[PRESS]:[PRESS]],t_Parts[hp2015.01])</f>
        <v>40.330613830613821</v>
      </c>
      <c r="AK8" s="43">
        <f>SUMIF(r_PartPresses,t_Presses[[PRESS]:[PRESS]],t_Parts[hp2015.02])</f>
        <v>40.330613830613821</v>
      </c>
      <c r="AL8" s="43">
        <f>SUMIF(r_PartPresses,t_Presses[[PRESS]:[PRESS]],t_Parts[hp2015.03])</f>
        <v>46.913267288267285</v>
      </c>
      <c r="AM8" s="43">
        <f>SUMIF(r_PartPresses,t_Presses[[PRESS]:[PRESS]],t_Parts[hp2015.04])</f>
        <v>40.330613830613821</v>
      </c>
      <c r="AN8" s="43">
        <f>SUMIF(r_PartPresses,t_Presses[[PRESS]:[PRESS]],t_Parts[hp2015.05])</f>
        <v>40.330613830613821</v>
      </c>
      <c r="AO8" s="43">
        <f>SUMIF(r_PartPresses,t_Presses[[PRESS]:[PRESS]],t_Parts[hp2015.06])</f>
        <v>46.913267288267285</v>
      </c>
      <c r="AP8" s="43">
        <f>SUMIF(r_PartPresses,t_Presses[[PRESS]:[PRESS]],t_Parts[hp2015.07])</f>
        <v>40.330613830613821</v>
      </c>
      <c r="AQ8" s="43">
        <f>SUMIF(r_PartPresses,t_Presses[[PRESS]:[PRESS]],t_Parts[hp2015.08])</f>
        <v>40.330613830613821</v>
      </c>
      <c r="AR8" s="43">
        <f>SUMIF(r_PartPresses,t_Presses[[PRESS]:[PRESS]],t_Parts[hp2015.09])</f>
        <v>46.913267288267285</v>
      </c>
      <c r="AS8" s="43">
        <f>SUMIF(r_PartPresses,t_Presses[[PRESS]:[PRESS]],t_Parts[hp2015.10])</f>
        <v>40.330613830613821</v>
      </c>
      <c r="AT8" s="43">
        <f>SUMIF(r_PartPresses,t_Presses[[PRESS]:[PRESS]],t_Parts[hp2015.11])</f>
        <v>40.330613830613821</v>
      </c>
      <c r="AU8" s="43">
        <f>SUMIF(r_PartPresses,t_Presses[[PRESS]:[PRESS]],t_Parts[hp2015.12])</f>
        <v>46.913267288267285</v>
      </c>
      <c r="AV8" s="43">
        <f>SUM(t_Presses[[#This Row],[hp2015.01]:[hp2015.12]])</f>
        <v>510.29797979797962</v>
      </c>
      <c r="AW8" s="43">
        <f>SUMIF(r_PartPresses,t_Presses[[PRESS]:[PRESS]],t_Parts[hp2016.01])</f>
        <v>40.330613830613821</v>
      </c>
      <c r="AX8" s="43">
        <f>SUMIF(r_PartPresses,t_Presses[[PRESS]:[PRESS]],t_Parts[hp2016.02])</f>
        <v>40.330613830613821</v>
      </c>
      <c r="AY8" s="43">
        <f>SUMIF(r_PartPresses,t_Presses[[PRESS]:[PRESS]],t_Parts[hp2016.03])</f>
        <v>46.913267288267285</v>
      </c>
      <c r="AZ8" s="43">
        <f>SUMIF(r_PartPresses,t_Presses[[PRESS]:[PRESS]],t_Parts[hp2016.04])</f>
        <v>40.330613830613821</v>
      </c>
      <c r="BA8" s="43">
        <f>SUMIF(r_PartPresses,t_Presses[[PRESS]:[PRESS]],t_Parts[hp2016.05])</f>
        <v>40.330613830613821</v>
      </c>
      <c r="BB8" s="43">
        <f>SUMIF(r_PartPresses,t_Presses[[PRESS]:[PRESS]],t_Parts[hp2016.06])</f>
        <v>46.913267288267285</v>
      </c>
      <c r="BC8" s="43">
        <f>SUMIF(r_PartPresses,t_Presses[[PRESS]:[PRESS]],t_Parts[hp2016.07])</f>
        <v>40.330613830613821</v>
      </c>
      <c r="BD8" s="43">
        <f>SUMIF(r_PartPresses,t_Presses[[PRESS]:[PRESS]],t_Parts[hp2016.08])</f>
        <v>40.330613830613821</v>
      </c>
      <c r="BE8" s="43">
        <f>SUMIF(r_PartPresses,t_Presses[[PRESS]:[PRESS]],t_Parts[hp2016.09])</f>
        <v>46.913267288267285</v>
      </c>
      <c r="BF8" s="43">
        <f>SUMIF(r_PartPresses,t_Presses[[PRESS]:[PRESS]],t_Parts[hp2016.10])</f>
        <v>40.330613830613821</v>
      </c>
      <c r="BG8" s="43">
        <f>SUMIF(r_PartPresses,t_Presses[[PRESS]:[PRESS]],t_Parts[hp2016.11])</f>
        <v>40.330613830613821</v>
      </c>
      <c r="BH8" s="43">
        <f>SUMIF(r_PartPresses,t_Presses[[PRESS]:[PRESS]],t_Parts[hp2016.12])</f>
        <v>46.913267288267285</v>
      </c>
      <c r="BI8" s="43">
        <f>SUMIF(r_PartPresses,t_Presses[[PRESS]:[PRESS]],t_Parts[hp2016.FY])</f>
        <v>510.29797979797968</v>
      </c>
      <c r="BJ8" s="43">
        <f>SUMIF(r_PartPresses,t_Presses[[PRESS]:[PRESS]],t_Parts[hp2017])</f>
        <v>510.29797979797979</v>
      </c>
      <c r="BK8" s="43">
        <f>SUMIF(r_PartPresses,t_Presses[[PRESS]:[PRESS]],t_Parts[hp2018])</f>
        <v>399.02525252525243</v>
      </c>
      <c r="BL8" s="43">
        <f>SUMIF(r_PartPresses,t_Presses[[PRESS]:[PRESS]],t_Parts[hp2019])</f>
        <v>0</v>
      </c>
      <c r="BM8" s="17">
        <f>t_Presses[[#This Row],[hp2015.01]]/t_Presses[[#This Row],[ha2015.01]]</f>
        <v>0.14403790653790649</v>
      </c>
      <c r="BN8" s="17">
        <f>t_Presses[[#This Row],[hp2015.02]]/t_Presses[[#This Row],[ha2015.02]]</f>
        <v>0.14403790653790649</v>
      </c>
      <c r="BO8" s="17">
        <f>t_Presses[[#This Row],[hp2015.03]]/t_Presses[[#This Row],[ha2015.03]]</f>
        <v>0.13403790653790654</v>
      </c>
      <c r="BP8" s="17">
        <f>t_Presses[[#This Row],[hp2015.04]]/t_Presses[[#This Row],[ha2015.04]]</f>
        <v>0.14403790653790649</v>
      </c>
      <c r="BQ8" s="17">
        <f>t_Presses[[#This Row],[hp2015.05]]/t_Presses[[#This Row],[ha2015.05]]</f>
        <v>0.14403790653790649</v>
      </c>
      <c r="BR8" s="17">
        <f>t_Presses[[#This Row],[hp2015.06]]/t_Presses[[#This Row],[ha2015.06]]</f>
        <v>0.13403790653790654</v>
      </c>
      <c r="BS8" s="17">
        <f>t_Presses[[#This Row],[hp2015.07]]/t_Presses[[#This Row],[ha2015.07]]</f>
        <v>0.14403790653790649</v>
      </c>
      <c r="BT8" s="17">
        <f>t_Presses[[#This Row],[hp2015.08]]/t_Presses[[#This Row],[ha2015.08]]</f>
        <v>0.14403790653790649</v>
      </c>
      <c r="BU8" s="17">
        <f>t_Presses[[#This Row],[hp2015.09]]/t_Presses[[#This Row],[ha2015.09]]</f>
        <v>0.13403790653790654</v>
      </c>
      <c r="BV8" s="17">
        <f>t_Presses[[#This Row],[hp2015.10]]/t_Presses[[#This Row],[ha2015.10]]</f>
        <v>0.14403790653790649</v>
      </c>
      <c r="BW8" s="17">
        <f>t_Presses[[#This Row],[hp2015.11]]/t_Presses[[#This Row],[ha2015.11]]</f>
        <v>0.14403790653790649</v>
      </c>
      <c r="BX8" s="17">
        <f>t_Presses[[#This Row],[hp2015.12]]/t_Presses[[#This Row],[ha2015.12]]</f>
        <v>0.13403790653790654</v>
      </c>
      <c r="BY8" s="17">
        <f>t_Presses[[#This Row],[hp2015.FY]]/t_Presses[[#This Row],[ha2015.FY]]</f>
        <v>0.14019175269175263</v>
      </c>
      <c r="BZ8" s="17">
        <f>t_Presses[[#This Row],[hp2016.01]]/t_Presses[[#This Row],[ha2016.01]]</f>
        <v>0.14403790653790649</v>
      </c>
      <c r="CA8" s="17">
        <f>t_Presses[[#This Row],[hp2016.02]]/t_Presses[[#This Row],[ha2016.02]]</f>
        <v>0.14403790653790649</v>
      </c>
      <c r="CB8" s="17">
        <f>t_Presses[[#This Row],[hp2016.03]]/t_Presses[[#This Row],[ha2016.03]]</f>
        <v>0.13403790653790654</v>
      </c>
      <c r="CC8" s="17">
        <f>t_Presses[[#This Row],[hp2016.04]]/t_Presses[[#This Row],[ha2016.04]]</f>
        <v>0.14403790653790649</v>
      </c>
      <c r="CD8" s="17">
        <f>t_Presses[[#This Row],[hp2016.05]]/t_Presses[[#This Row],[ha2016.05]]</f>
        <v>0.14403790653790649</v>
      </c>
      <c r="CE8" s="17">
        <f>t_Presses[[#This Row],[hp2016.06]]/t_Presses[[#This Row],[ha2016.06]]</f>
        <v>0.13403790653790654</v>
      </c>
      <c r="CF8" s="17">
        <f>t_Presses[[#This Row],[hp2016.07]]/t_Presses[[#This Row],[ha2016.07]]</f>
        <v>0.14403790653790649</v>
      </c>
      <c r="CG8" s="17">
        <f>t_Presses[[#This Row],[hp2016.08]]/t_Presses[[#This Row],[ha2016.08]]</f>
        <v>0.14403790653790649</v>
      </c>
      <c r="CH8" s="17">
        <f>t_Presses[[#This Row],[hp2016.09]]/t_Presses[[#This Row],[ha2016.09]]</f>
        <v>0.13403790653790654</v>
      </c>
      <c r="CI8" s="17">
        <f>t_Presses[[#This Row],[hp2016.10]]/t_Presses[[#This Row],[ha2016.10]]</f>
        <v>0.14403790653790649</v>
      </c>
      <c r="CJ8" s="17">
        <f>t_Presses[[#This Row],[hp2016.11]]/t_Presses[[#This Row],[ha2016.11]]</f>
        <v>0.14403790653790649</v>
      </c>
      <c r="CK8" s="17">
        <f>t_Presses[[#This Row],[hp2016.12]]/t_Presses[[#This Row],[ha2016.12]]</f>
        <v>0.13403790653790654</v>
      </c>
      <c r="CL8" s="17">
        <f>t_Presses[[#This Row],[hp2016.FY]]/t_Presses[[#This Row],[ha2016.FY]]</f>
        <v>0.14019175269175266</v>
      </c>
      <c r="CM8" s="17">
        <f>t_Presses[[#This Row],[hp2017]]/t_Presses[[#This Row],[ha2017]]</f>
        <v>0.14019175269175269</v>
      </c>
      <c r="CN8" s="17">
        <f>t_Presses[[#This Row],[hp2018]]/t_Presses[[#This Row],[ha2018]]</f>
        <v>0.10962232212232209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122</v>
      </c>
      <c r="D9">
        <v>600</v>
      </c>
      <c r="E9" s="18" t="str">
        <f t="shared" si="0"/>
        <v>600-899</v>
      </c>
      <c r="F9" s="15"/>
      <c r="G9">
        <f>VLOOKUP(t_Presses[[Plant]:[Plant]],t_Plants[],Plants!CN$1,FALSE)</f>
        <v>280</v>
      </c>
      <c r="H9">
        <f>VLOOKUP(t_Presses[[Plant]:[Plant]],t_Plants[],Plants!CO$1,FALSE)</f>
        <v>280</v>
      </c>
      <c r="I9">
        <f>VLOOKUP(t_Presses[[Plant]:[Plant]],t_Plants[],Plants!CP$1,FALSE)</f>
        <v>350</v>
      </c>
      <c r="J9">
        <f>VLOOKUP(t_Presses[[Plant]:[Plant]],t_Plants[],Plants!CQ$1,FALSE)</f>
        <v>280</v>
      </c>
      <c r="K9">
        <f>VLOOKUP(t_Presses[[Plant]:[Plant]],t_Plants[],Plants!CR$1,FALSE)</f>
        <v>280</v>
      </c>
      <c r="L9">
        <f>VLOOKUP(t_Presses[[Plant]:[Plant]],t_Plants[],Plants!CS$1,FALSE)</f>
        <v>350</v>
      </c>
      <c r="M9">
        <f>VLOOKUP(t_Presses[[Plant]:[Plant]],t_Plants[],Plants!CT$1,FALSE)</f>
        <v>280</v>
      </c>
      <c r="N9">
        <f>VLOOKUP(t_Presses[[Plant]:[Plant]],t_Plants[],Plants!CU$1,FALSE)</f>
        <v>280</v>
      </c>
      <c r="O9">
        <f>VLOOKUP(t_Presses[[Plant]:[Plant]],t_Plants[],Plants!CV$1,FALSE)</f>
        <v>350</v>
      </c>
      <c r="P9">
        <f>VLOOKUP(t_Presses[[Plant]:[Plant]],t_Plants[],Plants!CW$1,FALSE)</f>
        <v>280</v>
      </c>
      <c r="Q9">
        <f>VLOOKUP(t_Presses[[Plant]:[Plant]],t_Plants[],Plants!CX$1,FALSE)</f>
        <v>280</v>
      </c>
      <c r="R9">
        <f>VLOOKUP(t_Presses[[Plant]:[Plant]],t_Plants[],Plants!CY$1,FALSE)</f>
        <v>350</v>
      </c>
      <c r="S9" s="18">
        <f>SUM(t_Presses[[#This Row],[ha2015.01]:[ha2015.12]])</f>
        <v>3640</v>
      </c>
      <c r="T9">
        <f>VLOOKUP(t_Presses[[Plant]:[Plant]],t_Plants[],Plants!DA$1,FALSE)</f>
        <v>280</v>
      </c>
      <c r="U9">
        <f>VLOOKUP(t_Presses[[Plant]:[Plant]],t_Plants[],Plants!DB$1,FALSE)</f>
        <v>280</v>
      </c>
      <c r="V9">
        <f>VLOOKUP(t_Presses[[Plant]:[Plant]],t_Plants[],Plants!DC$1,FALSE)</f>
        <v>350</v>
      </c>
      <c r="W9">
        <f>VLOOKUP(t_Presses[[Plant]:[Plant]],t_Plants[],Plants!DD$1,FALSE)</f>
        <v>280</v>
      </c>
      <c r="X9">
        <f>VLOOKUP(t_Presses[[Plant]:[Plant]],t_Plants[],Plants!DE$1,FALSE)</f>
        <v>280</v>
      </c>
      <c r="Y9">
        <f>VLOOKUP(t_Presses[[Plant]:[Plant]],t_Plants[],Plants!DF$1,FALSE)</f>
        <v>350</v>
      </c>
      <c r="Z9">
        <f>VLOOKUP(t_Presses[[Plant]:[Plant]],t_Plants[],Plants!DG$1,FALSE)</f>
        <v>280</v>
      </c>
      <c r="AA9">
        <f>VLOOKUP(t_Presses[[Plant]:[Plant]],t_Plants[],Plants!DH$1,FALSE)</f>
        <v>280</v>
      </c>
      <c r="AB9">
        <f>VLOOKUP(t_Presses[[Plant]:[Plant]],t_Plants[],Plants!DI$1,FALSE)</f>
        <v>350</v>
      </c>
      <c r="AC9">
        <f>VLOOKUP(t_Presses[[Plant]:[Plant]],t_Plants[],Plants!DJ$1,FALSE)</f>
        <v>280</v>
      </c>
      <c r="AD9">
        <f>VLOOKUP(t_Presses[[Plant]:[Plant]],t_Plants[],Plants!DK$1,FALSE)</f>
        <v>280</v>
      </c>
      <c r="AE9">
        <f>VLOOKUP(t_Presses[[Plant]:[Plant]],t_Plants[],Plants!DL$1,FALSE)</f>
        <v>350</v>
      </c>
      <c r="AF9" s="18">
        <f>SUM(t_Presses[[#This Row],[ha2016.01]:[ha2016.12]])</f>
        <v>3640</v>
      </c>
      <c r="AG9">
        <f>VLOOKUP(t_Presses[[Plant]:[Plant]],t_Plants[],Plants!DN$1,FALSE)</f>
        <v>3640</v>
      </c>
      <c r="AH9">
        <f>VLOOKUP(t_Presses[[Plant]:[Plant]],t_Plants[],Plants!DO$1,FALSE)</f>
        <v>3640</v>
      </c>
      <c r="AI9">
        <f>VLOOKUP(t_Presses[[Plant]:[Plant]],t_Plants[],Plants!DP$1,FALSE)</f>
        <v>3640</v>
      </c>
      <c r="AJ9" s="43">
        <f>SUMIF(r_PartPresses,t_Presses[[PRESS]:[PRESS]],t_Parts[hp2015.01])</f>
        <v>25.858391608391603</v>
      </c>
      <c r="AK9" s="43">
        <f>SUMIF(r_PartPresses,t_Presses[[PRESS]:[PRESS]],t_Parts[hp2015.02])</f>
        <v>25.858391608391603</v>
      </c>
      <c r="AL9" s="43">
        <f>SUMIF(r_PartPresses,t_Presses[[PRESS]:[PRESS]],t_Parts[hp2015.03])</f>
        <v>29.572989510489506</v>
      </c>
      <c r="AM9" s="43">
        <f>SUMIF(r_PartPresses,t_Presses[[PRESS]:[PRESS]],t_Parts[hp2015.04])</f>
        <v>25.858391608391603</v>
      </c>
      <c r="AN9" s="43">
        <f>SUMIF(r_PartPresses,t_Presses[[PRESS]:[PRESS]],t_Parts[hp2015.05])</f>
        <v>25.858391608391603</v>
      </c>
      <c r="AO9" s="43">
        <f>SUMIF(r_PartPresses,t_Presses[[PRESS]:[PRESS]],t_Parts[hp2015.06])</f>
        <v>29.572989510489506</v>
      </c>
      <c r="AP9" s="43">
        <f>SUMIF(r_PartPresses,t_Presses[[PRESS]:[PRESS]],t_Parts[hp2015.07])</f>
        <v>22.858391608391603</v>
      </c>
      <c r="AQ9" s="43">
        <f>SUMIF(r_PartPresses,t_Presses[[PRESS]:[PRESS]],t_Parts[hp2015.08])</f>
        <v>22.858391608391603</v>
      </c>
      <c r="AR9" s="43">
        <f>SUMIF(r_PartPresses,t_Presses[[PRESS]:[PRESS]],t_Parts[hp2015.09])</f>
        <v>26.572989510489506</v>
      </c>
      <c r="AS9" s="43">
        <f>SUMIF(r_PartPresses,t_Presses[[PRESS]:[PRESS]],t_Parts[hp2015.10])</f>
        <v>22.858391608391603</v>
      </c>
      <c r="AT9" s="43">
        <f>SUMIF(r_PartPresses,t_Presses[[PRESS]:[PRESS]],t_Parts[hp2015.11])</f>
        <v>22.858391608391603</v>
      </c>
      <c r="AU9" s="43">
        <f>SUMIF(r_PartPresses,t_Presses[[PRESS]:[PRESS]],t_Parts[hp2015.12])</f>
        <v>26.572989510489506</v>
      </c>
      <c r="AV9" s="43">
        <f>SUM(t_Presses[[#This Row],[hp2015.01]:[hp2015.12]])</f>
        <v>307.15909090909088</v>
      </c>
      <c r="AW9" s="43">
        <f>SUMIF(r_PartPresses,t_Presses[[PRESS]:[PRESS]],t_Parts[hp2016.01])</f>
        <v>22.858391608391603</v>
      </c>
      <c r="AX9" s="43">
        <f>SUMIF(r_PartPresses,t_Presses[[PRESS]:[PRESS]],t_Parts[hp2016.02])</f>
        <v>22.858391608391603</v>
      </c>
      <c r="AY9" s="43">
        <f>SUMIF(r_PartPresses,t_Presses[[PRESS]:[PRESS]],t_Parts[hp2016.03])</f>
        <v>26.572989510489506</v>
      </c>
      <c r="AZ9" s="43">
        <f>SUMIF(r_PartPresses,t_Presses[[PRESS]:[PRESS]],t_Parts[hp2016.04])</f>
        <v>22.858391608391603</v>
      </c>
      <c r="BA9" s="43">
        <f>SUMIF(r_PartPresses,t_Presses[[PRESS]:[PRESS]],t_Parts[hp2016.05])</f>
        <v>22.858391608391603</v>
      </c>
      <c r="BB9" s="43">
        <f>SUMIF(r_PartPresses,t_Presses[[PRESS]:[PRESS]],t_Parts[hp2016.06])</f>
        <v>26.572989510489506</v>
      </c>
      <c r="BC9" s="43">
        <f>SUMIF(r_PartPresses,t_Presses[[PRESS]:[PRESS]],t_Parts[hp2016.07])</f>
        <v>22.858391608391603</v>
      </c>
      <c r="BD9" s="43">
        <f>SUMIF(r_PartPresses,t_Presses[[PRESS]:[PRESS]],t_Parts[hp2016.08])</f>
        <v>22.858391608391603</v>
      </c>
      <c r="BE9" s="43">
        <f>SUMIF(r_PartPresses,t_Presses[[PRESS]:[PRESS]],t_Parts[hp2016.09])</f>
        <v>26.572989510489506</v>
      </c>
      <c r="BF9" s="43">
        <f>SUMIF(r_PartPresses,t_Presses[[PRESS]:[PRESS]],t_Parts[hp2016.10])</f>
        <v>22.858391608391603</v>
      </c>
      <c r="BG9" s="43">
        <f>SUMIF(r_PartPresses,t_Presses[[PRESS]:[PRESS]],t_Parts[hp2016.11])</f>
        <v>22.858391608391603</v>
      </c>
      <c r="BH9" s="43">
        <f>SUMIF(r_PartPresses,t_Presses[[PRESS]:[PRESS]],t_Parts[hp2016.12])</f>
        <v>26.572989510489506</v>
      </c>
      <c r="BI9" s="43">
        <f>SUMIF(r_PartPresses,t_Presses[[PRESS]:[PRESS]],t_Parts[hp2016.FY])</f>
        <v>289.15909090909093</v>
      </c>
      <c r="BJ9" s="43">
        <f>SUMIF(r_PartPresses,t_Presses[[PRESS]:[PRESS]],t_Parts[hp2017])</f>
        <v>289.15909090909088</v>
      </c>
      <c r="BK9" s="43">
        <f>SUMIF(r_PartPresses,t_Presses[[PRESS]:[PRESS]],t_Parts[hp2018])</f>
        <v>118.97727272727272</v>
      </c>
      <c r="BL9" s="43">
        <f>SUMIF(r_PartPresses,t_Presses[[PRESS]:[PRESS]],t_Parts[hp2019])</f>
        <v>118.97727272727272</v>
      </c>
      <c r="BM9" s="17">
        <f>t_Presses[[#This Row],[hp2015.01]]/t_Presses[[#This Row],[ha2015.01]]</f>
        <v>9.2351398601398585E-2</v>
      </c>
      <c r="BN9" s="17">
        <f>t_Presses[[#This Row],[hp2015.02]]/t_Presses[[#This Row],[ha2015.02]]</f>
        <v>9.2351398601398585E-2</v>
      </c>
      <c r="BO9" s="17">
        <f>t_Presses[[#This Row],[hp2015.03]]/t_Presses[[#This Row],[ha2015.03]]</f>
        <v>8.4494255744255731E-2</v>
      </c>
      <c r="BP9" s="17">
        <f>t_Presses[[#This Row],[hp2015.04]]/t_Presses[[#This Row],[ha2015.04]]</f>
        <v>9.2351398601398585E-2</v>
      </c>
      <c r="BQ9" s="17">
        <f>t_Presses[[#This Row],[hp2015.05]]/t_Presses[[#This Row],[ha2015.05]]</f>
        <v>9.2351398601398585E-2</v>
      </c>
      <c r="BR9" s="17">
        <f>t_Presses[[#This Row],[hp2015.06]]/t_Presses[[#This Row],[ha2015.06]]</f>
        <v>8.4494255744255731E-2</v>
      </c>
      <c r="BS9" s="17">
        <f>t_Presses[[#This Row],[hp2015.07]]/t_Presses[[#This Row],[ha2015.07]]</f>
        <v>8.1637112887112867E-2</v>
      </c>
      <c r="BT9" s="17">
        <f>t_Presses[[#This Row],[hp2015.08]]/t_Presses[[#This Row],[ha2015.08]]</f>
        <v>8.1637112887112867E-2</v>
      </c>
      <c r="BU9" s="17">
        <f>t_Presses[[#This Row],[hp2015.09]]/t_Presses[[#This Row],[ha2015.09]]</f>
        <v>7.5922827172827168E-2</v>
      </c>
      <c r="BV9" s="17">
        <f>t_Presses[[#This Row],[hp2015.10]]/t_Presses[[#This Row],[ha2015.10]]</f>
        <v>8.1637112887112867E-2</v>
      </c>
      <c r="BW9" s="17">
        <f>t_Presses[[#This Row],[hp2015.11]]/t_Presses[[#This Row],[ha2015.11]]</f>
        <v>8.1637112887112867E-2</v>
      </c>
      <c r="BX9" s="17">
        <f>t_Presses[[#This Row],[hp2015.12]]/t_Presses[[#This Row],[ha2015.12]]</f>
        <v>7.5922827172827168E-2</v>
      </c>
      <c r="BY9" s="17">
        <f>t_Presses[[#This Row],[hp2015.FY]]/t_Presses[[#This Row],[ha2015.FY]]</f>
        <v>8.4384365634365632E-2</v>
      </c>
      <c r="BZ9" s="17">
        <f>t_Presses[[#This Row],[hp2016.01]]/t_Presses[[#This Row],[ha2016.01]]</f>
        <v>8.1637112887112867E-2</v>
      </c>
      <c r="CA9" s="17">
        <f>t_Presses[[#This Row],[hp2016.02]]/t_Presses[[#This Row],[ha2016.02]]</f>
        <v>8.1637112887112867E-2</v>
      </c>
      <c r="CB9" s="17">
        <f>t_Presses[[#This Row],[hp2016.03]]/t_Presses[[#This Row],[ha2016.03]]</f>
        <v>7.5922827172827168E-2</v>
      </c>
      <c r="CC9" s="17">
        <f>t_Presses[[#This Row],[hp2016.04]]/t_Presses[[#This Row],[ha2016.04]]</f>
        <v>8.1637112887112867E-2</v>
      </c>
      <c r="CD9" s="17">
        <f>t_Presses[[#This Row],[hp2016.05]]/t_Presses[[#This Row],[ha2016.05]]</f>
        <v>8.1637112887112867E-2</v>
      </c>
      <c r="CE9" s="17">
        <f>t_Presses[[#This Row],[hp2016.06]]/t_Presses[[#This Row],[ha2016.06]]</f>
        <v>7.5922827172827168E-2</v>
      </c>
      <c r="CF9" s="17">
        <f>t_Presses[[#This Row],[hp2016.07]]/t_Presses[[#This Row],[ha2016.07]]</f>
        <v>8.1637112887112867E-2</v>
      </c>
      <c r="CG9" s="17">
        <f>t_Presses[[#This Row],[hp2016.08]]/t_Presses[[#This Row],[ha2016.08]]</f>
        <v>8.1637112887112867E-2</v>
      </c>
      <c r="CH9" s="17">
        <f>t_Presses[[#This Row],[hp2016.09]]/t_Presses[[#This Row],[ha2016.09]]</f>
        <v>7.5922827172827168E-2</v>
      </c>
      <c r="CI9" s="17">
        <f>t_Presses[[#This Row],[hp2016.10]]/t_Presses[[#This Row],[ha2016.10]]</f>
        <v>8.1637112887112867E-2</v>
      </c>
      <c r="CJ9" s="17">
        <f>t_Presses[[#This Row],[hp2016.11]]/t_Presses[[#This Row],[ha2016.11]]</f>
        <v>8.1637112887112867E-2</v>
      </c>
      <c r="CK9" s="17">
        <f>t_Presses[[#This Row],[hp2016.12]]/t_Presses[[#This Row],[ha2016.12]]</f>
        <v>7.5922827172827168E-2</v>
      </c>
      <c r="CL9" s="17">
        <f>t_Presses[[#This Row],[hp2016.FY]]/t_Presses[[#This Row],[ha2016.FY]]</f>
        <v>7.9439310689310691E-2</v>
      </c>
      <c r="CM9" s="17">
        <f>t_Presses[[#This Row],[hp2017]]/t_Presses[[#This Row],[ha2017]]</f>
        <v>7.9439310689310677E-2</v>
      </c>
      <c r="CN9" s="17">
        <f>t_Presses[[#This Row],[hp2018]]/t_Presses[[#This Row],[ha2018]]</f>
        <v>3.2686063936063936E-2</v>
      </c>
      <c r="CO9" s="17">
        <f>t_Presses[[#This Row],[hp2019]]/t_Presses[[#This Row],[ha2019]]</f>
        <v>3.2686063936063936E-2</v>
      </c>
    </row>
    <row r="10" spans="1:93" x14ac:dyDescent="0.25">
      <c r="A10" s="16">
        <v>21013</v>
      </c>
      <c r="B10" t="s">
        <v>8</v>
      </c>
      <c r="C10" t="s">
        <v>121</v>
      </c>
      <c r="D10">
        <v>200</v>
      </c>
      <c r="E10" s="18" t="str">
        <f t="shared" si="0"/>
        <v>0-299</v>
      </c>
      <c r="F10" s="15"/>
      <c r="G10" s="18">
        <f>VLOOKUP(t_Presses[[Plant]:[Plant]],t_Plants[],Plants!CN$1,FALSE)</f>
        <v>280</v>
      </c>
      <c r="H10">
        <f>VLOOKUP(t_Presses[[Plant]:[Plant]],t_Plants[],Plants!CO$1,FALSE)</f>
        <v>280</v>
      </c>
      <c r="I10" s="18">
        <f>VLOOKUP(t_Presses[[Plant]:[Plant]],t_Plants[],Plants!CP$1,FALSE)</f>
        <v>350</v>
      </c>
      <c r="J10" s="18">
        <f>VLOOKUP(t_Presses[[Plant]:[Plant]],t_Plants[],Plants!CQ$1,FALSE)</f>
        <v>280</v>
      </c>
      <c r="K10" s="18">
        <f>VLOOKUP(t_Presses[[Plant]:[Plant]],t_Plants[],Plants!CR$1,FALSE)</f>
        <v>280</v>
      </c>
      <c r="L10" s="18">
        <f>VLOOKUP(t_Presses[[Plant]:[Plant]],t_Plants[],Plants!CS$1,FALSE)</f>
        <v>350</v>
      </c>
      <c r="M10" s="18">
        <f>VLOOKUP(t_Presses[[Plant]:[Plant]],t_Plants[],Plants!CT$1,FALSE)</f>
        <v>280</v>
      </c>
      <c r="N10" s="18">
        <f>VLOOKUP(t_Presses[[Plant]:[Plant]],t_Plants[],Plants!CU$1,FALSE)</f>
        <v>280</v>
      </c>
      <c r="O10" s="18">
        <f>VLOOKUP(t_Presses[[Plant]:[Plant]],t_Plants[],Plants!CV$1,FALSE)</f>
        <v>350</v>
      </c>
      <c r="P10" s="18">
        <f>VLOOKUP(t_Presses[[Plant]:[Plant]],t_Plants[],Plants!CW$1,FALSE)</f>
        <v>280</v>
      </c>
      <c r="Q10" s="18">
        <f>VLOOKUP(t_Presses[[Plant]:[Plant]],t_Plants[],Plants!CX$1,FALSE)</f>
        <v>280</v>
      </c>
      <c r="R10" s="18">
        <f>VLOOKUP(t_Presses[[Plant]:[Plant]],t_Plants[],Plants!CY$1,FALSE)</f>
        <v>350</v>
      </c>
      <c r="S10" s="18">
        <f>SUM(t_Presses[[#This Row],[ha2015.01]:[ha2015.12]])</f>
        <v>3640</v>
      </c>
      <c r="T10">
        <f>VLOOKUP(t_Presses[[Plant]:[Plant]],t_Plants[],Plants!DA$1,FALSE)</f>
        <v>280</v>
      </c>
      <c r="U10">
        <f>VLOOKUP(t_Presses[[Plant]:[Plant]],t_Plants[],Plants!DB$1,FALSE)</f>
        <v>280</v>
      </c>
      <c r="V10">
        <f>VLOOKUP(t_Presses[[Plant]:[Plant]],t_Plants[],Plants!DC$1,FALSE)</f>
        <v>350</v>
      </c>
      <c r="W10">
        <f>VLOOKUP(t_Presses[[Plant]:[Plant]],t_Plants[],Plants!DD$1,FALSE)</f>
        <v>280</v>
      </c>
      <c r="X10">
        <f>VLOOKUP(t_Presses[[Plant]:[Plant]],t_Plants[],Plants!DE$1,FALSE)</f>
        <v>280</v>
      </c>
      <c r="Y10">
        <f>VLOOKUP(t_Presses[[Plant]:[Plant]],t_Plants[],Plants!DF$1,FALSE)</f>
        <v>350</v>
      </c>
      <c r="Z10">
        <f>VLOOKUP(t_Presses[[Plant]:[Plant]],t_Plants[],Plants!DG$1,FALSE)</f>
        <v>280</v>
      </c>
      <c r="AA10">
        <f>VLOOKUP(t_Presses[[Plant]:[Plant]],t_Plants[],Plants!DH$1,FALSE)</f>
        <v>280</v>
      </c>
      <c r="AB10">
        <f>VLOOKUP(t_Presses[[Plant]:[Plant]],t_Plants[],Plants!DI$1,FALSE)</f>
        <v>350</v>
      </c>
      <c r="AC10">
        <f>VLOOKUP(t_Presses[[Plant]:[Plant]],t_Plants[],Plants!DJ$1,FALSE)</f>
        <v>280</v>
      </c>
      <c r="AD10">
        <f>VLOOKUP(t_Presses[[Plant]:[Plant]],t_Plants[],Plants!DK$1,FALSE)</f>
        <v>280</v>
      </c>
      <c r="AE10">
        <f>VLOOKUP(t_Presses[[Plant]:[Plant]],t_Plants[],Plants!DL$1,FALSE)</f>
        <v>350</v>
      </c>
      <c r="AF10" s="18">
        <f>SUM(t_Presses[[#This Row],[ha2016.01]:[ha2016.12]])</f>
        <v>3640</v>
      </c>
      <c r="AG10">
        <f>VLOOKUP(t_Presses[[Plant]:[Plant]],t_Plants[],Plants!DN$1,FALSE)</f>
        <v>3640</v>
      </c>
      <c r="AH10">
        <f>VLOOKUP(t_Presses[[Plant]:[Plant]],t_Plants[],Plants!DO$1,FALSE)</f>
        <v>3640</v>
      </c>
      <c r="AI10">
        <f>VLOOKUP(t_Presses[[Plant]:[Plant]],t_Plants[],Plants!DP$1,FALSE)</f>
        <v>3640</v>
      </c>
      <c r="AJ10" s="43">
        <f>SUMIF(r_PartPresses,t_Presses[[PRESS]:[PRESS]],t_Parts[hp2015.01])</f>
        <v>350.60622855880752</v>
      </c>
      <c r="AK10" s="43">
        <f>SUMIF(r_PartPresses,t_Presses[[PRESS]:[PRESS]],t_Parts[hp2015.02])</f>
        <v>350.60622855880752</v>
      </c>
      <c r="AL10" s="43">
        <f>SUMIF(r_PartPresses,t_Presses[[PRESS]:[PRESS]],t_Parts[hp2015.03])</f>
        <v>412.00778569850939</v>
      </c>
      <c r="AM10" s="43">
        <f>SUMIF(r_PartPresses,t_Presses[[PRESS]:[PRESS]],t_Parts[hp2015.04])</f>
        <v>350.60622855880752</v>
      </c>
      <c r="AN10" s="43">
        <f>SUMIF(r_PartPresses,t_Presses[[PRESS]:[PRESS]],t_Parts[hp2015.05])</f>
        <v>350.60622855880752</v>
      </c>
      <c r="AO10" s="43">
        <f>SUMIF(r_PartPresses,t_Presses[[PRESS]:[PRESS]],t_Parts[hp2015.06])</f>
        <v>412.00778569850939</v>
      </c>
      <c r="AP10" s="43">
        <f>SUMIF(r_PartPresses,t_Presses[[PRESS]:[PRESS]],t_Parts[hp2015.07])</f>
        <v>350.60622855880752</v>
      </c>
      <c r="AQ10" s="43">
        <f>SUMIF(r_PartPresses,t_Presses[[PRESS]:[PRESS]],t_Parts[hp2015.08])</f>
        <v>350.60622855880752</v>
      </c>
      <c r="AR10" s="43">
        <f>SUMIF(r_PartPresses,t_Presses[[PRESS]:[PRESS]],t_Parts[hp2015.09])</f>
        <v>412.00778569850939</v>
      </c>
      <c r="AS10" s="43">
        <f>SUMIF(r_PartPresses,t_Presses[[PRESS]:[PRESS]],t_Parts[hp2015.10])</f>
        <v>350.60622855880752</v>
      </c>
      <c r="AT10" s="43">
        <f>SUMIF(r_PartPresses,t_Presses[[PRESS]:[PRESS]],t_Parts[hp2015.11])</f>
        <v>350.60622855880752</v>
      </c>
      <c r="AU10" s="43">
        <f>SUMIF(r_PartPresses,t_Presses[[PRESS]:[PRESS]],t_Parts[hp2015.12])</f>
        <v>412.00778569850939</v>
      </c>
      <c r="AV10" s="43">
        <f>SUM(t_Presses[[#This Row],[hp2015.01]:[hp2015.12]])</f>
        <v>4452.8809712644979</v>
      </c>
      <c r="AW10" s="43">
        <f>SUMIF(r_PartPresses,t_Presses[[PRESS]:[PRESS]],t_Parts[hp2016.01])</f>
        <v>299.51138747396647</v>
      </c>
      <c r="AX10" s="43">
        <f>SUMIF(r_PartPresses,t_Presses[[PRESS]:[PRESS]],t_Parts[hp2016.02])</f>
        <v>299.51138747396647</v>
      </c>
      <c r="AY10" s="43">
        <f>SUMIF(r_PartPresses,t_Presses[[PRESS]:[PRESS]],t_Parts[hp2016.03])</f>
        <v>324.99646044968415</v>
      </c>
      <c r="AZ10" s="43">
        <f>SUMIF(r_PartPresses,t_Presses[[PRESS]:[PRESS]],t_Parts[hp2016.04])</f>
        <v>276.19716835974737</v>
      </c>
      <c r="BA10" s="43">
        <f>SUMIF(r_PartPresses,t_Presses[[PRESS]:[PRESS]],t_Parts[hp2016.05])</f>
        <v>276.19716835974737</v>
      </c>
      <c r="BB10" s="43">
        <f>SUMIF(r_PartPresses,t_Presses[[PRESS]:[PRESS]],t_Parts[hp2016.06])</f>
        <v>324.99646044968415</v>
      </c>
      <c r="BC10" s="43">
        <f>SUMIF(r_PartPresses,t_Presses[[PRESS]:[PRESS]],t_Parts[hp2016.07])</f>
        <v>271.38851775109674</v>
      </c>
      <c r="BD10" s="43">
        <f>SUMIF(r_PartPresses,t_Presses[[PRESS]:[PRESS]],t_Parts[hp2016.08])</f>
        <v>249.05277571535473</v>
      </c>
      <c r="BE10" s="43">
        <f>SUMIF(r_PartPresses,t_Presses[[PRESS]:[PRESS]],t_Parts[hp2016.09])</f>
        <v>293.56596964419339</v>
      </c>
      <c r="BF10" s="43">
        <f>SUMIF(r_PartPresses,t_Presses[[PRESS]:[PRESS]],t_Parts[hp2016.10])</f>
        <v>249.05277571535473</v>
      </c>
      <c r="BG10" s="43">
        <f>SUMIF(r_PartPresses,t_Presses[[PRESS]:[PRESS]],t_Parts[hp2016.11])</f>
        <v>249.05277571535473</v>
      </c>
      <c r="BH10" s="43">
        <f>SUMIF(r_PartPresses,t_Presses[[PRESS]:[PRESS]],t_Parts[hp2016.12])</f>
        <v>293.56596964419339</v>
      </c>
      <c r="BI10" s="43">
        <f>SUMIF(r_PartPresses,t_Presses[[PRESS]:[PRESS]],t_Parts[hp2016.FY])</f>
        <v>3407.0888167523444</v>
      </c>
      <c r="BJ10" s="43">
        <f>SUMIF(r_PartPresses,t_Presses[[PRESS]:[PRESS]],t_Parts[hp2017])</f>
        <v>3033.0557812693087</v>
      </c>
      <c r="BK10" s="43">
        <f>SUMIF(r_PartPresses,t_Presses[[PRESS]:[PRESS]],t_Parts[hp2018])</f>
        <v>1878.4988548623821</v>
      </c>
      <c r="BL10" s="43">
        <f>SUMIF(r_PartPresses,t_Presses[[PRESS]:[PRESS]],t_Parts[hp2019])</f>
        <v>1391.0999912260183</v>
      </c>
      <c r="BM10" s="17">
        <f>t_Presses[[#This Row],[hp2015.01]]/t_Presses[[#This Row],[ha2015.01]]</f>
        <v>1.2521651019957412</v>
      </c>
      <c r="BN10" s="17">
        <f>t_Presses[[#This Row],[hp2015.02]]/t_Presses[[#This Row],[ha2015.02]]</f>
        <v>1.2521651019957412</v>
      </c>
      <c r="BO10" s="17">
        <f>t_Presses[[#This Row],[hp2015.03]]/t_Presses[[#This Row],[ha2015.03]]</f>
        <v>1.1771651019957412</v>
      </c>
      <c r="BP10" s="17">
        <f>t_Presses[[#This Row],[hp2015.04]]/t_Presses[[#This Row],[ha2015.04]]</f>
        <v>1.2521651019957412</v>
      </c>
      <c r="BQ10" s="17">
        <f>t_Presses[[#This Row],[hp2015.05]]/t_Presses[[#This Row],[ha2015.05]]</f>
        <v>1.2521651019957412</v>
      </c>
      <c r="BR10" s="17">
        <f>t_Presses[[#This Row],[hp2015.06]]/t_Presses[[#This Row],[ha2015.06]]</f>
        <v>1.1771651019957412</v>
      </c>
      <c r="BS10" s="17">
        <f>t_Presses[[#This Row],[hp2015.07]]/t_Presses[[#This Row],[ha2015.07]]</f>
        <v>1.2521651019957412</v>
      </c>
      <c r="BT10" s="17">
        <f>t_Presses[[#This Row],[hp2015.08]]/t_Presses[[#This Row],[ha2015.08]]</f>
        <v>1.2521651019957412</v>
      </c>
      <c r="BU10" s="17">
        <f>t_Presses[[#This Row],[hp2015.09]]/t_Presses[[#This Row],[ha2015.09]]</f>
        <v>1.1771651019957412</v>
      </c>
      <c r="BV10" s="17">
        <f>t_Presses[[#This Row],[hp2015.10]]/t_Presses[[#This Row],[ha2015.10]]</f>
        <v>1.2521651019957412</v>
      </c>
      <c r="BW10" s="17">
        <f>t_Presses[[#This Row],[hp2015.11]]/t_Presses[[#This Row],[ha2015.11]]</f>
        <v>1.2521651019957412</v>
      </c>
      <c r="BX10" s="17">
        <f>t_Presses[[#This Row],[hp2015.12]]/t_Presses[[#This Row],[ha2015.12]]</f>
        <v>1.1771651019957412</v>
      </c>
      <c r="BY10" s="17">
        <f>t_Presses[[#This Row],[hp2015.FY]]/t_Presses[[#This Row],[ha2015.FY]]</f>
        <v>1.2233189481495874</v>
      </c>
      <c r="BZ10" s="17">
        <f>t_Presses[[#This Row],[hp2016.01]]/t_Presses[[#This Row],[ha2016.01]]</f>
        <v>1.0696835266927374</v>
      </c>
      <c r="CA10" s="17">
        <f>t_Presses[[#This Row],[hp2016.02]]/t_Presses[[#This Row],[ha2016.02]]</f>
        <v>1.0696835266927374</v>
      </c>
      <c r="CB10" s="17">
        <f>t_Presses[[#This Row],[hp2016.03]]/t_Presses[[#This Row],[ha2016.03]]</f>
        <v>0.92856131557052612</v>
      </c>
      <c r="CC10" s="17">
        <f>t_Presses[[#This Row],[hp2016.04]]/t_Presses[[#This Row],[ha2016.04]]</f>
        <v>0.98641845842766918</v>
      </c>
      <c r="CD10" s="17">
        <f>t_Presses[[#This Row],[hp2016.05]]/t_Presses[[#This Row],[ha2016.05]]</f>
        <v>0.98641845842766918</v>
      </c>
      <c r="CE10" s="17">
        <f>t_Presses[[#This Row],[hp2016.06]]/t_Presses[[#This Row],[ha2016.06]]</f>
        <v>0.92856131557052612</v>
      </c>
      <c r="CF10" s="17">
        <f>t_Presses[[#This Row],[hp2016.07]]/t_Presses[[#This Row],[ha2016.07]]</f>
        <v>0.9692447062539169</v>
      </c>
      <c r="CG10" s="17">
        <f>t_Presses[[#This Row],[hp2016.08]]/t_Presses[[#This Row],[ha2016.08]]</f>
        <v>0.88947419898340974</v>
      </c>
      <c r="CH10" s="17">
        <f>t_Presses[[#This Row],[hp2016.09]]/t_Presses[[#This Row],[ha2016.09]]</f>
        <v>0.83875991326912391</v>
      </c>
      <c r="CI10" s="17">
        <f>t_Presses[[#This Row],[hp2016.10]]/t_Presses[[#This Row],[ha2016.10]]</f>
        <v>0.88947419898340974</v>
      </c>
      <c r="CJ10" s="17">
        <f>t_Presses[[#This Row],[hp2016.11]]/t_Presses[[#This Row],[ha2016.11]]</f>
        <v>0.88947419898340974</v>
      </c>
      <c r="CK10" s="17">
        <f>t_Presses[[#This Row],[hp2016.12]]/t_Presses[[#This Row],[ha2016.12]]</f>
        <v>0.83875991326912391</v>
      </c>
      <c r="CL10" s="17">
        <f>t_Presses[[#This Row],[hp2016.FY]]/t_Presses[[#This Row],[ha2016.FY]]</f>
        <v>0.93601341119569903</v>
      </c>
      <c r="CM10" s="17">
        <f>t_Presses[[#This Row],[hp2017]]/t_Presses[[#This Row],[ha2017]]</f>
        <v>0.83325708276629362</v>
      </c>
      <c r="CN10" s="17">
        <f>t_Presses[[#This Row],[hp2018]]/t_Presses[[#This Row],[ha2018]]</f>
        <v>0.51607111397318195</v>
      </c>
      <c r="CO10" s="17">
        <f>t_Presses[[#This Row],[hp2019]]/t_Presses[[#This Row],[ha2019]]</f>
        <v>0.38217032725989514</v>
      </c>
    </row>
    <row r="11" spans="1:93" x14ac:dyDescent="0.25">
      <c r="A11" s="16">
        <v>21014</v>
      </c>
      <c r="B11" t="s">
        <v>8</v>
      </c>
      <c r="C11" t="s">
        <v>121</v>
      </c>
      <c r="D11">
        <v>300</v>
      </c>
      <c r="E11" s="18" t="str">
        <f t="shared" si="0"/>
        <v>300-599</v>
      </c>
      <c r="F11" s="15"/>
      <c r="G11" s="18">
        <f>VLOOKUP(t_Presses[[Plant]:[Plant]],t_Plants[],Plants!CN$1,FALSE)</f>
        <v>280</v>
      </c>
      <c r="H11">
        <f>VLOOKUP(t_Presses[[Plant]:[Plant]],t_Plants[],Plants!CO$1,FALSE)</f>
        <v>280</v>
      </c>
      <c r="I11" s="18">
        <f>VLOOKUP(t_Presses[[Plant]:[Plant]],t_Plants[],Plants!CP$1,FALSE)</f>
        <v>350</v>
      </c>
      <c r="J11" s="18">
        <f>VLOOKUP(t_Presses[[Plant]:[Plant]],t_Plants[],Plants!CQ$1,FALSE)</f>
        <v>280</v>
      </c>
      <c r="K11" s="18">
        <f>VLOOKUP(t_Presses[[Plant]:[Plant]],t_Plants[],Plants!CR$1,FALSE)</f>
        <v>280</v>
      </c>
      <c r="L11" s="18">
        <f>VLOOKUP(t_Presses[[Plant]:[Plant]],t_Plants[],Plants!CS$1,FALSE)</f>
        <v>350</v>
      </c>
      <c r="M11" s="18">
        <f>VLOOKUP(t_Presses[[Plant]:[Plant]],t_Plants[],Plants!CT$1,FALSE)</f>
        <v>280</v>
      </c>
      <c r="N11" s="18">
        <f>VLOOKUP(t_Presses[[Plant]:[Plant]],t_Plants[],Plants!CU$1,FALSE)</f>
        <v>280</v>
      </c>
      <c r="O11" s="18">
        <f>VLOOKUP(t_Presses[[Plant]:[Plant]],t_Plants[],Plants!CV$1,FALSE)</f>
        <v>350</v>
      </c>
      <c r="P11" s="18">
        <f>VLOOKUP(t_Presses[[Plant]:[Plant]],t_Plants[],Plants!CW$1,FALSE)</f>
        <v>280</v>
      </c>
      <c r="Q11" s="18">
        <f>VLOOKUP(t_Presses[[Plant]:[Plant]],t_Plants[],Plants!CX$1,FALSE)</f>
        <v>280</v>
      </c>
      <c r="R11" s="18">
        <f>VLOOKUP(t_Presses[[Plant]:[Plant]],t_Plants[],Plants!CY$1,FALSE)</f>
        <v>350</v>
      </c>
      <c r="S11" s="18">
        <f>SUM(t_Presses[[#This Row],[ha2015.01]:[ha2015.12]])</f>
        <v>3640</v>
      </c>
      <c r="T11">
        <f>VLOOKUP(t_Presses[[Plant]:[Plant]],t_Plants[],Plants!DA$1,FALSE)</f>
        <v>280</v>
      </c>
      <c r="U11">
        <f>VLOOKUP(t_Presses[[Plant]:[Plant]],t_Plants[],Plants!DB$1,FALSE)</f>
        <v>280</v>
      </c>
      <c r="V11">
        <f>VLOOKUP(t_Presses[[Plant]:[Plant]],t_Plants[],Plants!DC$1,FALSE)</f>
        <v>350</v>
      </c>
      <c r="W11">
        <f>VLOOKUP(t_Presses[[Plant]:[Plant]],t_Plants[],Plants!DD$1,FALSE)</f>
        <v>280</v>
      </c>
      <c r="X11">
        <f>VLOOKUP(t_Presses[[Plant]:[Plant]],t_Plants[],Plants!DE$1,FALSE)</f>
        <v>280</v>
      </c>
      <c r="Y11">
        <f>VLOOKUP(t_Presses[[Plant]:[Plant]],t_Plants[],Plants!DF$1,FALSE)</f>
        <v>350</v>
      </c>
      <c r="Z11">
        <f>VLOOKUP(t_Presses[[Plant]:[Plant]],t_Plants[],Plants!DG$1,FALSE)</f>
        <v>280</v>
      </c>
      <c r="AA11">
        <f>VLOOKUP(t_Presses[[Plant]:[Plant]],t_Plants[],Plants!DH$1,FALSE)</f>
        <v>280</v>
      </c>
      <c r="AB11">
        <f>VLOOKUP(t_Presses[[Plant]:[Plant]],t_Plants[],Plants!DI$1,FALSE)</f>
        <v>350</v>
      </c>
      <c r="AC11">
        <f>VLOOKUP(t_Presses[[Plant]:[Plant]],t_Plants[],Plants!DJ$1,FALSE)</f>
        <v>280</v>
      </c>
      <c r="AD11">
        <f>VLOOKUP(t_Presses[[Plant]:[Plant]],t_Plants[],Plants!DK$1,FALSE)</f>
        <v>280</v>
      </c>
      <c r="AE11">
        <f>VLOOKUP(t_Presses[[Plant]:[Plant]],t_Plants[],Plants!DL$1,FALSE)</f>
        <v>350</v>
      </c>
      <c r="AF11" s="18">
        <f>SUM(t_Presses[[#This Row],[ha2016.01]:[ha2016.12]])</f>
        <v>3640</v>
      </c>
      <c r="AG11">
        <f>VLOOKUP(t_Presses[[Plant]:[Plant]],t_Plants[],Plants!DN$1,FALSE)</f>
        <v>3640</v>
      </c>
      <c r="AH11">
        <f>VLOOKUP(t_Presses[[Plant]:[Plant]],t_Plants[],Plants!DO$1,FALSE)</f>
        <v>3640</v>
      </c>
      <c r="AI11">
        <f>VLOOKUP(t_Presses[[Plant]:[Plant]],t_Plants[],Plants!DP$1,FALSE)</f>
        <v>3640</v>
      </c>
      <c r="AJ11" s="43">
        <f>SUMIF(r_PartPresses,t_Presses[[PRESS]:[PRESS]],t_Parts[hp2015.01])</f>
        <v>177.84495643245643</v>
      </c>
      <c r="AK11" s="43">
        <f>SUMIF(r_PartPresses,t_Presses[[PRESS]:[PRESS]],t_Parts[hp2015.02])</f>
        <v>177.84495643245643</v>
      </c>
      <c r="AL11" s="43">
        <f>SUMIF(r_PartPresses,t_Presses[[PRESS]:[PRESS]],t_Parts[hp2015.03])</f>
        <v>209.80619554057057</v>
      </c>
      <c r="AM11" s="43">
        <f>SUMIF(r_PartPresses,t_Presses[[PRESS]:[PRESS]],t_Parts[hp2015.04])</f>
        <v>177.84495643245643</v>
      </c>
      <c r="AN11" s="43">
        <f>SUMIF(r_PartPresses,t_Presses[[PRESS]:[PRESS]],t_Parts[hp2015.05])</f>
        <v>177.84495643245643</v>
      </c>
      <c r="AO11" s="43">
        <f>SUMIF(r_PartPresses,t_Presses[[PRESS]:[PRESS]],t_Parts[hp2015.06])</f>
        <v>209.80619554057057</v>
      </c>
      <c r="AP11" s="43">
        <f>SUMIF(r_PartPresses,t_Presses[[PRESS]:[PRESS]],t_Parts[hp2015.07])</f>
        <v>177.84495643245643</v>
      </c>
      <c r="AQ11" s="43">
        <f>SUMIF(r_PartPresses,t_Presses[[PRESS]:[PRESS]],t_Parts[hp2015.08])</f>
        <v>177.84495643245643</v>
      </c>
      <c r="AR11" s="43">
        <f>SUMIF(r_PartPresses,t_Presses[[PRESS]:[PRESS]],t_Parts[hp2015.09])</f>
        <v>209.80619554057057</v>
      </c>
      <c r="AS11" s="43">
        <f>SUMIF(r_PartPresses,t_Presses[[PRESS]:[PRESS]],t_Parts[hp2015.10])</f>
        <v>177.84495643245643</v>
      </c>
      <c r="AT11" s="43">
        <f>SUMIF(r_PartPresses,t_Presses[[PRESS]:[PRESS]],t_Parts[hp2015.11])</f>
        <v>177.84495643245643</v>
      </c>
      <c r="AU11" s="43">
        <f>SUMIF(r_PartPresses,t_Presses[[PRESS]:[PRESS]],t_Parts[hp2015.12])</f>
        <v>209.80619554057057</v>
      </c>
      <c r="AV11" s="43">
        <f>SUM(t_Presses[[#This Row],[hp2015.01]:[hp2015.12]])</f>
        <v>2261.9844336219339</v>
      </c>
      <c r="AW11" s="43">
        <f>SUMIF(r_PartPresses,t_Presses[[PRESS]:[PRESS]],t_Parts[hp2016.01])</f>
        <v>177.84495643245643</v>
      </c>
      <c r="AX11" s="43">
        <f>SUMIF(r_PartPresses,t_Presses[[PRESS]:[PRESS]],t_Parts[hp2016.02])</f>
        <v>177.84495643245643</v>
      </c>
      <c r="AY11" s="43">
        <f>SUMIF(r_PartPresses,t_Presses[[PRESS]:[PRESS]],t_Parts[hp2016.03])</f>
        <v>181.66342164779661</v>
      </c>
      <c r="AZ11" s="43">
        <f>SUMIF(r_PartPresses,t_Presses[[PRESS]:[PRESS]],t_Parts[hp2016.04])</f>
        <v>154.53073731823733</v>
      </c>
      <c r="BA11" s="43">
        <f>SUMIF(r_PartPresses,t_Presses[[PRESS]:[PRESS]],t_Parts[hp2016.05])</f>
        <v>154.53073731823733</v>
      </c>
      <c r="BB11" s="43">
        <f>SUMIF(r_PartPresses,t_Presses[[PRESS]:[PRESS]],t_Parts[hp2016.06])</f>
        <v>181.66342164779661</v>
      </c>
      <c r="BC11" s="43">
        <f>SUMIF(r_PartPresses,t_Presses[[PRESS]:[PRESS]],t_Parts[hp2016.07])</f>
        <v>149.37100538350535</v>
      </c>
      <c r="BD11" s="43">
        <f>SUMIF(r_PartPresses,t_Presses[[PRESS]:[PRESS]],t_Parts[hp2016.08])</f>
        <v>149.37100538350535</v>
      </c>
      <c r="BE11" s="43">
        <f>SUMIF(r_PartPresses,t_Presses[[PRESS]:[PRESS]],t_Parts[hp2016.09])</f>
        <v>175.71375672938171</v>
      </c>
      <c r="BF11" s="43">
        <f>SUMIF(r_PartPresses,t_Presses[[PRESS]:[PRESS]],t_Parts[hp2016.10])</f>
        <v>149.37100538350535</v>
      </c>
      <c r="BG11" s="43">
        <f>SUMIF(r_PartPresses,t_Presses[[PRESS]:[PRESS]],t_Parts[hp2016.11])</f>
        <v>149.37100538350535</v>
      </c>
      <c r="BH11" s="43">
        <f>SUMIF(r_PartPresses,t_Presses[[PRESS]:[PRESS]],t_Parts[hp2016.12])</f>
        <v>175.71375672938171</v>
      </c>
      <c r="BI11" s="43">
        <f>SUMIF(r_PartPresses,t_Presses[[PRESS]:[PRESS]],t_Parts[hp2016.FY])</f>
        <v>1976.9897657897657</v>
      </c>
      <c r="BJ11" s="43">
        <f>SUMIF(r_PartPresses,t_Presses[[PRESS]:[PRESS]],t_Parts[hp2017])</f>
        <v>1897.8230699855696</v>
      </c>
      <c r="BK11" s="43">
        <f>SUMIF(r_PartPresses,t_Presses[[PRESS]:[PRESS]],t_Parts[hp2018])</f>
        <v>1382.4805375180374</v>
      </c>
      <c r="BL11" s="43">
        <f>SUMIF(r_PartPresses,t_Presses[[PRESS]:[PRESS]],t_Parts[hp2019])</f>
        <v>1382.4805375180374</v>
      </c>
      <c r="BM11" s="17">
        <f>t_Presses[[#This Row],[hp2015.01]]/t_Presses[[#This Row],[ha2015.01]]</f>
        <v>0.63516055868734433</v>
      </c>
      <c r="BN11" s="17">
        <f>t_Presses[[#This Row],[hp2015.02]]/t_Presses[[#This Row],[ha2015.02]]</f>
        <v>0.63516055868734433</v>
      </c>
      <c r="BO11" s="17">
        <f>t_Presses[[#This Row],[hp2015.03]]/t_Presses[[#This Row],[ha2015.03]]</f>
        <v>0.59944627297305875</v>
      </c>
      <c r="BP11" s="17">
        <f>t_Presses[[#This Row],[hp2015.04]]/t_Presses[[#This Row],[ha2015.04]]</f>
        <v>0.63516055868734433</v>
      </c>
      <c r="BQ11" s="17">
        <f>t_Presses[[#This Row],[hp2015.05]]/t_Presses[[#This Row],[ha2015.05]]</f>
        <v>0.63516055868734433</v>
      </c>
      <c r="BR11" s="17">
        <f>t_Presses[[#This Row],[hp2015.06]]/t_Presses[[#This Row],[ha2015.06]]</f>
        <v>0.59944627297305875</v>
      </c>
      <c r="BS11" s="17">
        <f>t_Presses[[#This Row],[hp2015.07]]/t_Presses[[#This Row],[ha2015.07]]</f>
        <v>0.63516055868734433</v>
      </c>
      <c r="BT11" s="17">
        <f>t_Presses[[#This Row],[hp2015.08]]/t_Presses[[#This Row],[ha2015.08]]</f>
        <v>0.63516055868734433</v>
      </c>
      <c r="BU11" s="17">
        <f>t_Presses[[#This Row],[hp2015.09]]/t_Presses[[#This Row],[ha2015.09]]</f>
        <v>0.59944627297305875</v>
      </c>
      <c r="BV11" s="17">
        <f>t_Presses[[#This Row],[hp2015.10]]/t_Presses[[#This Row],[ha2015.10]]</f>
        <v>0.63516055868734433</v>
      </c>
      <c r="BW11" s="17">
        <f>t_Presses[[#This Row],[hp2015.11]]/t_Presses[[#This Row],[ha2015.11]]</f>
        <v>0.63516055868734433</v>
      </c>
      <c r="BX11" s="17">
        <f>t_Presses[[#This Row],[hp2015.12]]/t_Presses[[#This Row],[ha2015.12]]</f>
        <v>0.59944627297305875</v>
      </c>
      <c r="BY11" s="17">
        <f>t_Presses[[#This Row],[hp2015.FY]]/t_Presses[[#This Row],[ha2015.FY]]</f>
        <v>0.62142429495108076</v>
      </c>
      <c r="BZ11" s="17">
        <f>t_Presses[[#This Row],[hp2016.01]]/t_Presses[[#This Row],[ha2016.01]]</f>
        <v>0.63516055868734433</v>
      </c>
      <c r="CA11" s="17">
        <f>t_Presses[[#This Row],[hp2016.02]]/t_Presses[[#This Row],[ha2016.02]]</f>
        <v>0.63516055868734433</v>
      </c>
      <c r="CB11" s="17">
        <f>t_Presses[[#This Row],[hp2016.03]]/t_Presses[[#This Row],[ha2016.03]]</f>
        <v>0.51903834756513312</v>
      </c>
      <c r="CC11" s="17">
        <f>t_Presses[[#This Row],[hp2016.04]]/t_Presses[[#This Row],[ha2016.04]]</f>
        <v>0.55189549042227615</v>
      </c>
      <c r="CD11" s="17">
        <f>t_Presses[[#This Row],[hp2016.05]]/t_Presses[[#This Row],[ha2016.05]]</f>
        <v>0.55189549042227615</v>
      </c>
      <c r="CE11" s="17">
        <f>t_Presses[[#This Row],[hp2016.06]]/t_Presses[[#This Row],[ha2016.06]]</f>
        <v>0.51903834756513312</v>
      </c>
      <c r="CF11" s="17">
        <f>t_Presses[[#This Row],[hp2016.07]]/t_Presses[[#This Row],[ha2016.07]]</f>
        <v>0.53346787636966198</v>
      </c>
      <c r="CG11" s="17">
        <f>t_Presses[[#This Row],[hp2016.08]]/t_Presses[[#This Row],[ha2016.08]]</f>
        <v>0.53346787636966198</v>
      </c>
      <c r="CH11" s="17">
        <f>t_Presses[[#This Row],[hp2016.09]]/t_Presses[[#This Row],[ha2016.09]]</f>
        <v>0.50203930494109061</v>
      </c>
      <c r="CI11" s="17">
        <f>t_Presses[[#This Row],[hp2016.10]]/t_Presses[[#This Row],[ha2016.10]]</f>
        <v>0.53346787636966198</v>
      </c>
      <c r="CJ11" s="17">
        <f>t_Presses[[#This Row],[hp2016.11]]/t_Presses[[#This Row],[ha2016.11]]</f>
        <v>0.53346787636966198</v>
      </c>
      <c r="CK11" s="17">
        <f>t_Presses[[#This Row],[hp2016.12]]/t_Presses[[#This Row],[ha2016.12]]</f>
        <v>0.50203930494109061</v>
      </c>
      <c r="CL11" s="17">
        <f>t_Presses[[#This Row],[hp2016.FY]]/t_Presses[[#This Row],[ha2016.FY]]</f>
        <v>0.54312905653564991</v>
      </c>
      <c r="CM11" s="17">
        <f>t_Presses[[#This Row],[hp2017]]/t_Presses[[#This Row],[ha2017]]</f>
        <v>0.52137996428174993</v>
      </c>
      <c r="CN11" s="17">
        <f>t_Presses[[#This Row],[hp2018]]/t_Presses[[#This Row],[ha2018]]</f>
        <v>0.37980234547198832</v>
      </c>
      <c r="CO11" s="17">
        <f>t_Presses[[#This Row],[hp2019]]/t_Presses[[#This Row],[ha2019]]</f>
        <v>0.37980234547198832</v>
      </c>
    </row>
    <row r="12" spans="1:93" x14ac:dyDescent="0.25">
      <c r="A12" s="16">
        <v>21015</v>
      </c>
      <c r="B12" t="s">
        <v>8</v>
      </c>
      <c r="C12" t="s">
        <v>122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VLOOKUP(t_Presses[[Plant]:[Plant]],t_Plants[],Plants!CN$1,FALSE)</f>
        <v>280</v>
      </c>
      <c r="H12">
        <f>VLOOKUP(t_Presses[[Plant]:[Plant]],t_Plants[],Plants!CO$1,FALSE)</f>
        <v>280</v>
      </c>
      <c r="I12" s="18">
        <f>VLOOKUP(t_Presses[[Plant]:[Plant]],t_Plants[],Plants!CP$1,FALSE)</f>
        <v>350</v>
      </c>
      <c r="J12" s="18">
        <f>VLOOKUP(t_Presses[[Plant]:[Plant]],t_Plants[],Plants!CQ$1,FALSE)</f>
        <v>280</v>
      </c>
      <c r="K12" s="18">
        <f>VLOOKUP(t_Presses[[Plant]:[Plant]],t_Plants[],Plants!CR$1,FALSE)</f>
        <v>280</v>
      </c>
      <c r="L12" s="18">
        <f>VLOOKUP(t_Presses[[Plant]:[Plant]],t_Plants[],Plants!CS$1,FALSE)</f>
        <v>350</v>
      </c>
      <c r="M12" s="18">
        <f>VLOOKUP(t_Presses[[Plant]:[Plant]],t_Plants[],Plants!CT$1,FALSE)</f>
        <v>280</v>
      </c>
      <c r="N12" s="18">
        <f>VLOOKUP(t_Presses[[Plant]:[Plant]],t_Plants[],Plants!CU$1,FALSE)</f>
        <v>280</v>
      </c>
      <c r="O12" s="18">
        <f>VLOOKUP(t_Presses[[Plant]:[Plant]],t_Plants[],Plants!CV$1,FALSE)</f>
        <v>350</v>
      </c>
      <c r="P12" s="18">
        <f>VLOOKUP(t_Presses[[Plant]:[Plant]],t_Plants[],Plants!CW$1,FALSE)</f>
        <v>280</v>
      </c>
      <c r="Q12" s="18">
        <f>VLOOKUP(t_Presses[[Plant]:[Plant]],t_Plants[],Plants!CX$1,FALSE)</f>
        <v>280</v>
      </c>
      <c r="R12" s="18">
        <f>VLOOKUP(t_Presses[[Plant]:[Plant]],t_Plants[],Plants!CY$1,FALSE)</f>
        <v>350</v>
      </c>
      <c r="S12" s="18">
        <f>SUM(t_Presses[[#This Row],[ha2015.01]:[ha2015.12]])</f>
        <v>3640</v>
      </c>
      <c r="T12">
        <f>VLOOKUP(t_Presses[[Plant]:[Plant]],t_Plants[],Plants!DA$1,FALSE)</f>
        <v>280</v>
      </c>
      <c r="U12">
        <f>VLOOKUP(t_Presses[[Plant]:[Plant]],t_Plants[],Plants!DB$1,FALSE)</f>
        <v>280</v>
      </c>
      <c r="V12">
        <f>VLOOKUP(t_Presses[[Plant]:[Plant]],t_Plants[],Plants!DC$1,FALSE)</f>
        <v>350</v>
      </c>
      <c r="W12">
        <f>VLOOKUP(t_Presses[[Plant]:[Plant]],t_Plants[],Plants!DD$1,FALSE)</f>
        <v>280</v>
      </c>
      <c r="X12">
        <f>VLOOKUP(t_Presses[[Plant]:[Plant]],t_Plants[],Plants!DE$1,FALSE)</f>
        <v>280</v>
      </c>
      <c r="Y12">
        <f>VLOOKUP(t_Presses[[Plant]:[Plant]],t_Plants[],Plants!DF$1,FALSE)</f>
        <v>350</v>
      </c>
      <c r="Z12">
        <f>VLOOKUP(t_Presses[[Plant]:[Plant]],t_Plants[],Plants!DG$1,FALSE)</f>
        <v>280</v>
      </c>
      <c r="AA12">
        <f>VLOOKUP(t_Presses[[Plant]:[Plant]],t_Plants[],Plants!DH$1,FALSE)</f>
        <v>280</v>
      </c>
      <c r="AB12">
        <f>VLOOKUP(t_Presses[[Plant]:[Plant]],t_Plants[],Plants!DI$1,FALSE)</f>
        <v>350</v>
      </c>
      <c r="AC12">
        <f>VLOOKUP(t_Presses[[Plant]:[Plant]],t_Plants[],Plants!DJ$1,FALSE)</f>
        <v>280</v>
      </c>
      <c r="AD12">
        <f>VLOOKUP(t_Presses[[Plant]:[Plant]],t_Plants[],Plants!DK$1,FALSE)</f>
        <v>280</v>
      </c>
      <c r="AE12">
        <f>VLOOKUP(t_Presses[[Plant]:[Plant]],t_Plants[],Plants!DL$1,FALSE)</f>
        <v>350</v>
      </c>
      <c r="AF12" s="18">
        <f>SUM(t_Presses[[#This Row],[ha2016.01]:[ha2016.12]])</f>
        <v>3640</v>
      </c>
      <c r="AG12">
        <f>VLOOKUP(t_Presses[[Plant]:[Plant]],t_Plants[],Plants!DN$1,FALSE)</f>
        <v>3640</v>
      </c>
      <c r="AH12">
        <f>VLOOKUP(t_Presses[[Plant]:[Plant]],t_Plants[],Plants!DO$1,FALSE)</f>
        <v>3640</v>
      </c>
      <c r="AI12">
        <f>VLOOKUP(t_Presses[[Plant]:[Plant]],t_Plants[],Plants!DP$1,FALSE)</f>
        <v>3640</v>
      </c>
      <c r="AJ12" s="43">
        <f>SUMIF(r_PartPresses,t_Presses[[PRESS]:[PRESS]],t_Parts[hp2015.01])</f>
        <v>245.46879029090567</v>
      </c>
      <c r="AK12" s="43">
        <f>SUMIF(r_PartPresses,t_Presses[[PRESS]:[PRESS]],t_Parts[hp2015.02])</f>
        <v>245.46879029090567</v>
      </c>
      <c r="AL12" s="43">
        <f>SUMIF(r_PartPresses,t_Presses[[PRESS]:[PRESS]],t_Parts[hp2015.03])</f>
        <v>297.71098786363211</v>
      </c>
      <c r="AM12" s="43">
        <f>SUMIF(r_PartPresses,t_Presses[[PRESS]:[PRESS]],t_Parts[hp2015.04])</f>
        <v>245.46879029090567</v>
      </c>
      <c r="AN12" s="43">
        <f>SUMIF(r_PartPresses,t_Presses[[PRESS]:[PRESS]],t_Parts[hp2015.05])</f>
        <v>245.46879029090567</v>
      </c>
      <c r="AO12" s="43">
        <f>SUMIF(r_PartPresses,t_Presses[[PRESS]:[PRESS]],t_Parts[hp2015.06])</f>
        <v>297.71098786363211</v>
      </c>
      <c r="AP12" s="43">
        <f>SUMIF(r_PartPresses,t_Presses[[PRESS]:[PRESS]],t_Parts[hp2015.07])</f>
        <v>245.46879029090567</v>
      </c>
      <c r="AQ12" s="43">
        <f>SUMIF(r_PartPresses,t_Presses[[PRESS]:[PRESS]],t_Parts[hp2015.08])</f>
        <v>245.46879029090567</v>
      </c>
      <c r="AR12" s="43">
        <f>SUMIF(r_PartPresses,t_Presses[[PRESS]:[PRESS]],t_Parts[hp2015.09])</f>
        <v>297.71098786363211</v>
      </c>
      <c r="AS12" s="43">
        <f>SUMIF(r_PartPresses,t_Presses[[PRESS]:[PRESS]],t_Parts[hp2015.10])</f>
        <v>245.46879029090567</v>
      </c>
      <c r="AT12" s="43">
        <f>SUMIF(r_PartPresses,t_Presses[[PRESS]:[PRESS]],t_Parts[hp2015.11])</f>
        <v>136.76701290162831</v>
      </c>
      <c r="AU12" s="43">
        <f>SUMIF(r_PartPresses,t_Presses[[PRESS]:[PRESS]],t_Parts[hp2015.12])</f>
        <v>162.83376612703532</v>
      </c>
      <c r="AV12" s="43">
        <f>SUM(t_Presses[[#This Row],[hp2015.01]:[hp2015.12]])</f>
        <v>2911.0152746558997</v>
      </c>
      <c r="AW12" s="43">
        <f>SUMIF(r_PartPresses,t_Presses[[PRESS]:[PRESS]],t_Parts[hp2016.01])</f>
        <v>98.387156646772013</v>
      </c>
      <c r="AX12" s="43">
        <f>SUMIF(r_PartPresses,t_Presses[[PRESS]:[PRESS]],t_Parts[hp2016.02])</f>
        <v>98.387156646772013</v>
      </c>
      <c r="AY12" s="43">
        <f>SUMIF(r_PartPresses,t_Presses[[PRESS]:[PRESS]],t_Parts[hp2016.03])</f>
        <v>117.85894580846502</v>
      </c>
      <c r="AZ12" s="43">
        <f>SUMIF(r_PartPresses,t_Presses[[PRESS]:[PRESS]],t_Parts[hp2016.04])</f>
        <v>98.387156646772013</v>
      </c>
      <c r="BA12" s="43">
        <f>SUMIF(r_PartPresses,t_Presses[[PRESS]:[PRESS]],t_Parts[hp2016.05])</f>
        <v>98.387156646772013</v>
      </c>
      <c r="BB12" s="43">
        <f>SUMIF(r_PartPresses,t_Presses[[PRESS]:[PRESS]],t_Parts[hp2016.06])</f>
        <v>117.85894580846502</v>
      </c>
      <c r="BC12" s="43">
        <f>SUMIF(r_PartPresses,t_Presses[[PRESS]:[PRESS]],t_Parts[hp2016.07])</f>
        <v>98.387156646772013</v>
      </c>
      <c r="BD12" s="43">
        <f>SUMIF(r_PartPresses,t_Presses[[PRESS]:[PRESS]],t_Parts[hp2016.08])</f>
        <v>98.387156646772013</v>
      </c>
      <c r="BE12" s="43">
        <f>SUMIF(r_PartPresses,t_Presses[[PRESS]:[PRESS]],t_Parts[hp2016.09])</f>
        <v>117.85894580846502</v>
      </c>
      <c r="BF12" s="43">
        <f>SUMIF(r_PartPresses,t_Presses[[PRESS]:[PRESS]],t_Parts[hp2016.10])</f>
        <v>98.387156646772013</v>
      </c>
      <c r="BG12" s="43">
        <f>SUMIF(r_PartPresses,t_Presses[[PRESS]:[PRESS]],t_Parts[hp2016.11])</f>
        <v>98.387156646772013</v>
      </c>
      <c r="BH12" s="43">
        <f>SUMIF(r_PartPresses,t_Presses[[PRESS]:[PRESS]],t_Parts[hp2016.12])</f>
        <v>117.85894580846502</v>
      </c>
      <c r="BI12" s="43">
        <f>SUMIF(r_PartPresses,t_Presses[[PRESS]:[PRESS]],t_Parts[hp2016.FY])</f>
        <v>1258.5330364080362</v>
      </c>
      <c r="BJ12" s="43">
        <f>SUMIF(r_PartPresses,t_Presses[[PRESS]:[PRESS]],t_Parts[hp2017])</f>
        <v>723.50234487734485</v>
      </c>
      <c r="BK12" s="43">
        <f>SUMIF(r_PartPresses,t_Presses[[PRESS]:[PRESS]],t_Parts[hp2018])</f>
        <v>723.50234487734485</v>
      </c>
      <c r="BL12" s="43">
        <f>SUMIF(r_PartPresses,t_Presses[[PRESS]:[PRESS]],t_Parts[hp2019])</f>
        <v>654.99729437229439</v>
      </c>
      <c r="BM12" s="17">
        <f>t_Presses[[#This Row],[hp2015.01]]/t_Presses[[#This Row],[ha2015.01]]</f>
        <v>0.8766742510389488</v>
      </c>
      <c r="BN12" s="17">
        <f>t_Presses[[#This Row],[hp2015.02]]/t_Presses[[#This Row],[ha2015.02]]</f>
        <v>0.8766742510389488</v>
      </c>
      <c r="BO12" s="17">
        <f>t_Presses[[#This Row],[hp2015.03]]/t_Presses[[#This Row],[ha2015.03]]</f>
        <v>0.85060282246752028</v>
      </c>
      <c r="BP12" s="17">
        <f>t_Presses[[#This Row],[hp2015.04]]/t_Presses[[#This Row],[ha2015.04]]</f>
        <v>0.8766742510389488</v>
      </c>
      <c r="BQ12" s="17">
        <f>t_Presses[[#This Row],[hp2015.05]]/t_Presses[[#This Row],[ha2015.05]]</f>
        <v>0.8766742510389488</v>
      </c>
      <c r="BR12" s="17">
        <f>t_Presses[[#This Row],[hp2015.06]]/t_Presses[[#This Row],[ha2015.06]]</f>
        <v>0.85060282246752028</v>
      </c>
      <c r="BS12" s="17">
        <f>t_Presses[[#This Row],[hp2015.07]]/t_Presses[[#This Row],[ha2015.07]]</f>
        <v>0.8766742510389488</v>
      </c>
      <c r="BT12" s="17">
        <f>t_Presses[[#This Row],[hp2015.08]]/t_Presses[[#This Row],[ha2015.08]]</f>
        <v>0.8766742510389488</v>
      </c>
      <c r="BU12" s="17">
        <f>t_Presses[[#This Row],[hp2015.09]]/t_Presses[[#This Row],[ha2015.09]]</f>
        <v>0.85060282246752028</v>
      </c>
      <c r="BV12" s="17">
        <f>t_Presses[[#This Row],[hp2015.10]]/t_Presses[[#This Row],[ha2015.10]]</f>
        <v>0.8766742510389488</v>
      </c>
      <c r="BW12" s="17">
        <f>t_Presses[[#This Row],[hp2015.11]]/t_Presses[[#This Row],[ha2015.11]]</f>
        <v>0.4884536175058154</v>
      </c>
      <c r="BX12" s="17">
        <f>t_Presses[[#This Row],[hp2015.12]]/t_Presses[[#This Row],[ha2015.12]]</f>
        <v>0.46523933179152949</v>
      </c>
      <c r="BY12" s="17">
        <f>t_Presses[[#This Row],[hp2015.FY]]/t_Presses[[#This Row],[ha2015.FY]]</f>
        <v>0.79972947105931314</v>
      </c>
      <c r="BZ12" s="17">
        <f>t_Presses[[#This Row],[hp2016.01]]/t_Presses[[#This Row],[ha2016.01]]</f>
        <v>0.35138270230990004</v>
      </c>
      <c r="CA12" s="17">
        <f>t_Presses[[#This Row],[hp2016.02]]/t_Presses[[#This Row],[ha2016.02]]</f>
        <v>0.35138270230990004</v>
      </c>
      <c r="CB12" s="17">
        <f>t_Presses[[#This Row],[hp2016.03]]/t_Presses[[#This Row],[ha2016.03]]</f>
        <v>0.33673984516704292</v>
      </c>
      <c r="CC12" s="17">
        <f>t_Presses[[#This Row],[hp2016.04]]/t_Presses[[#This Row],[ha2016.04]]</f>
        <v>0.35138270230990004</v>
      </c>
      <c r="CD12" s="17">
        <f>t_Presses[[#This Row],[hp2016.05]]/t_Presses[[#This Row],[ha2016.05]]</f>
        <v>0.35138270230990004</v>
      </c>
      <c r="CE12" s="17">
        <f>t_Presses[[#This Row],[hp2016.06]]/t_Presses[[#This Row],[ha2016.06]]</f>
        <v>0.33673984516704292</v>
      </c>
      <c r="CF12" s="17">
        <f>t_Presses[[#This Row],[hp2016.07]]/t_Presses[[#This Row],[ha2016.07]]</f>
        <v>0.35138270230990004</v>
      </c>
      <c r="CG12" s="17">
        <f>t_Presses[[#This Row],[hp2016.08]]/t_Presses[[#This Row],[ha2016.08]]</f>
        <v>0.35138270230990004</v>
      </c>
      <c r="CH12" s="17">
        <f>t_Presses[[#This Row],[hp2016.09]]/t_Presses[[#This Row],[ha2016.09]]</f>
        <v>0.33673984516704292</v>
      </c>
      <c r="CI12" s="17">
        <f>t_Presses[[#This Row],[hp2016.10]]/t_Presses[[#This Row],[ha2016.10]]</f>
        <v>0.35138270230990004</v>
      </c>
      <c r="CJ12" s="17">
        <f>t_Presses[[#This Row],[hp2016.11]]/t_Presses[[#This Row],[ha2016.11]]</f>
        <v>0.35138270230990004</v>
      </c>
      <c r="CK12" s="17">
        <f>t_Presses[[#This Row],[hp2016.12]]/t_Presses[[#This Row],[ha2016.12]]</f>
        <v>0.33673984516704292</v>
      </c>
      <c r="CL12" s="17">
        <f>t_Presses[[#This Row],[hp2016.FY]]/t_Presses[[#This Row],[ha2016.FY]]</f>
        <v>0.34575083417803193</v>
      </c>
      <c r="CM12" s="17">
        <f>t_Presses[[#This Row],[hp2017]]/t_Presses[[#This Row],[ha2017]]</f>
        <v>0.19876438046080902</v>
      </c>
      <c r="CN12" s="17">
        <f>t_Presses[[#This Row],[hp2018]]/t_Presses[[#This Row],[ha2018]]</f>
        <v>0.19876438046080902</v>
      </c>
      <c r="CO12" s="17">
        <f>t_Presses[[#This Row],[hp2019]]/t_Presses[[#This Row],[ha2019]]</f>
        <v>0.17994431164074021</v>
      </c>
    </row>
    <row r="13" spans="1:93" hidden="1" x14ac:dyDescent="0.25">
      <c r="A13" s="16" t="s">
        <v>123</v>
      </c>
      <c r="B13" t="s">
        <v>9</v>
      </c>
      <c r="C13" t="s">
        <v>121</v>
      </c>
      <c r="D13">
        <v>175</v>
      </c>
      <c r="E13" s="18" t="str">
        <f t="shared" si="0"/>
        <v>0-299</v>
      </c>
      <c r="F13" s="15"/>
      <c r="G13" s="18">
        <f>VLOOKUP(t_Presses[[Plant]:[Plant]],t_Plants[],Plants!CN$1,FALSE)</f>
        <v>208</v>
      </c>
      <c r="H13">
        <f>VLOOKUP(t_Presses[[Plant]:[Plant]],t_Plants[],Plants!CO$1,FALSE)</f>
        <v>208</v>
      </c>
      <c r="I13" s="18">
        <f>VLOOKUP(t_Presses[[Plant]:[Plant]],t_Plants[],Plants!CP$1,FALSE)</f>
        <v>272</v>
      </c>
      <c r="J13" s="18">
        <f>VLOOKUP(t_Presses[[Plant]:[Plant]],t_Plants[],Plants!CQ$1,FALSE)</f>
        <v>208</v>
      </c>
      <c r="K13" s="18">
        <f>VLOOKUP(t_Presses[[Plant]:[Plant]],t_Plants[],Plants!CR$1,FALSE)</f>
        <v>208</v>
      </c>
      <c r="L13" s="18">
        <f>VLOOKUP(t_Presses[[Plant]:[Plant]],t_Plants[],Plants!CS$1,FALSE)</f>
        <v>272</v>
      </c>
      <c r="M13" s="18">
        <f>VLOOKUP(t_Presses[[Plant]:[Plant]],t_Plants[],Plants!CT$1,FALSE)</f>
        <v>208</v>
      </c>
      <c r="N13" s="18">
        <f>VLOOKUP(t_Presses[[Plant]:[Plant]],t_Plants[],Plants!CU$1,FALSE)</f>
        <v>208</v>
      </c>
      <c r="O13" s="18">
        <f>VLOOKUP(t_Presses[[Plant]:[Plant]],t_Plants[],Plants!CV$1,FALSE)</f>
        <v>272</v>
      </c>
      <c r="P13" s="18">
        <f>VLOOKUP(t_Presses[[Plant]:[Plant]],t_Plants[],Plants!CW$1,FALSE)</f>
        <v>208</v>
      </c>
      <c r="Q13" s="18">
        <f>VLOOKUP(t_Presses[[Plant]:[Plant]],t_Plants[],Plants!CX$1,FALSE)</f>
        <v>208</v>
      </c>
      <c r="R13" s="18">
        <f>VLOOKUP(t_Presses[[Plant]:[Plant]],t_Plants[],Plants!CY$1,FALSE)</f>
        <v>272</v>
      </c>
      <c r="S13" s="18">
        <f>SUM(t_Presses[[#This Row],[ha2015.01]:[ha2015.12]])</f>
        <v>2752</v>
      </c>
      <c r="T13">
        <f>VLOOKUP(t_Presses[[Plant]:[Plant]],t_Plants[],Plants!DA$1,FALSE)</f>
        <v>208</v>
      </c>
      <c r="U13">
        <f>VLOOKUP(t_Presses[[Plant]:[Plant]],t_Plants[],Plants!DB$1,FALSE)</f>
        <v>208</v>
      </c>
      <c r="V13">
        <f>VLOOKUP(t_Presses[[Plant]:[Plant]],t_Plants[],Plants!DC$1,FALSE)</f>
        <v>272</v>
      </c>
      <c r="W13">
        <f>VLOOKUP(t_Presses[[Plant]:[Plant]],t_Plants[],Plants!DD$1,FALSE)</f>
        <v>208</v>
      </c>
      <c r="X13">
        <f>VLOOKUP(t_Presses[[Plant]:[Plant]],t_Plants[],Plants!DE$1,FALSE)</f>
        <v>208</v>
      </c>
      <c r="Y13">
        <f>VLOOKUP(t_Presses[[Plant]:[Plant]],t_Plants[],Plants!DF$1,FALSE)</f>
        <v>272</v>
      </c>
      <c r="Z13">
        <f>VLOOKUP(t_Presses[[Plant]:[Plant]],t_Plants[],Plants!DG$1,FALSE)</f>
        <v>208</v>
      </c>
      <c r="AA13">
        <f>VLOOKUP(t_Presses[[Plant]:[Plant]],t_Plants[],Plants!DH$1,FALSE)</f>
        <v>208</v>
      </c>
      <c r="AB13">
        <f>VLOOKUP(t_Presses[[Plant]:[Plant]],t_Plants[],Plants!DI$1,FALSE)</f>
        <v>272</v>
      </c>
      <c r="AC13">
        <f>VLOOKUP(t_Presses[[Plant]:[Plant]],t_Plants[],Plants!DJ$1,FALSE)</f>
        <v>208</v>
      </c>
      <c r="AD13">
        <f>VLOOKUP(t_Presses[[Plant]:[Plant]],t_Plants[],Plants!DK$1,FALSE)</f>
        <v>208</v>
      </c>
      <c r="AE13">
        <f>VLOOKUP(t_Presses[[Plant]:[Plant]],t_Plants[],Plants!DL$1,FALSE)</f>
        <v>272</v>
      </c>
      <c r="AF13" s="18">
        <f>SUM(t_Presses[[#This Row],[ha2016.01]:[ha2016.12]])</f>
        <v>2752</v>
      </c>
      <c r="AG13">
        <f>VLOOKUP(t_Presses[[Plant]:[Plant]],t_Plants[],Plants!DN$1,FALSE)</f>
        <v>2752</v>
      </c>
      <c r="AH13">
        <f>VLOOKUP(t_Presses[[Plant]:[Plant]],t_Plants[],Plants!DO$1,FALSE)</f>
        <v>2752</v>
      </c>
      <c r="AI13">
        <f>VLOOKUP(t_Presses[[Plant]:[Plant]],t_Plants[],Plants!DP$1,FALSE)</f>
        <v>2752</v>
      </c>
      <c r="AJ13" s="43">
        <f>SUMIF(r_PartPresses,t_Presses[[PRESS]:[PRESS]],t_Parts[hp2015.01])</f>
        <v>0</v>
      </c>
      <c r="AK13" s="43">
        <f>SUMIF(r_PartPresses,t_Presses[[PRESS]:[PRESS]],t_Parts[hp2015.02])</f>
        <v>0</v>
      </c>
      <c r="AL13" s="43">
        <f>SUMIF(r_PartPresses,t_Presses[[PRESS]:[PRESS]],t_Parts[hp2015.03])</f>
        <v>0</v>
      </c>
      <c r="AM13" s="43">
        <f>SUMIF(r_PartPresses,t_Presses[[PRESS]:[PRESS]],t_Parts[hp2015.04])</f>
        <v>0</v>
      </c>
      <c r="AN13" s="43">
        <f>SUMIF(r_PartPresses,t_Presses[[PRESS]:[PRESS]],t_Parts[hp2015.05])</f>
        <v>0</v>
      </c>
      <c r="AO13" s="43">
        <f>SUMIF(r_PartPresses,t_Presses[[PRESS]:[PRESS]],t_Parts[hp2015.06])</f>
        <v>0</v>
      </c>
      <c r="AP13" s="43">
        <f>SUMIF(r_PartPresses,t_Presses[[PRESS]:[PRESS]],t_Parts[hp2015.07])</f>
        <v>0</v>
      </c>
      <c r="AQ13" s="43">
        <f>SUMIF(r_PartPresses,t_Presses[[PRESS]:[PRESS]],t_Parts[hp2015.08])</f>
        <v>0</v>
      </c>
      <c r="AR13" s="43">
        <f>SUMIF(r_PartPresses,t_Presses[[PRESS]:[PRESS]],t_Parts[hp2015.09])</f>
        <v>0</v>
      </c>
      <c r="AS13" s="43">
        <f>SUMIF(r_PartPresses,t_Presses[[PRESS]:[PRESS]],t_Parts[hp2015.10])</f>
        <v>0</v>
      </c>
      <c r="AT13" s="43">
        <f>SUMIF(r_PartPresses,t_Presses[[PRESS]:[PRESS]],t_Parts[hp2015.11])</f>
        <v>0</v>
      </c>
      <c r="AU13" s="43">
        <f>SUMIF(r_PartPresses,t_Presses[[PRESS]:[PRESS]],t_Parts[hp2015.12])</f>
        <v>0</v>
      </c>
      <c r="AV13" s="43">
        <f>SUM(t_Presses[[#This Row],[hp2015.01]:[hp2015.12]])</f>
        <v>0</v>
      </c>
      <c r="AW13" s="43">
        <f>SUMIF(r_PartPresses,t_Presses[[PRESS]:[PRESS]],t_Parts[hp2016.01])</f>
        <v>0</v>
      </c>
      <c r="AX13" s="43">
        <f>SUMIF(r_PartPresses,t_Presses[[PRESS]:[PRESS]],t_Parts[hp2016.02])</f>
        <v>0</v>
      </c>
      <c r="AY13" s="43">
        <f>SUMIF(r_PartPresses,t_Presses[[PRESS]:[PRESS]],t_Parts[hp2016.03])</f>
        <v>0</v>
      </c>
      <c r="AZ13" s="43">
        <f>SUMIF(r_PartPresses,t_Presses[[PRESS]:[PRESS]],t_Parts[hp2016.04])</f>
        <v>0</v>
      </c>
      <c r="BA13" s="43">
        <f>SUMIF(r_PartPresses,t_Presses[[PRESS]:[PRESS]],t_Parts[hp2016.05])</f>
        <v>0</v>
      </c>
      <c r="BB13" s="43">
        <f>SUMIF(r_PartPresses,t_Presses[[PRESS]:[PRESS]],t_Parts[hp2016.06])</f>
        <v>0</v>
      </c>
      <c r="BC13" s="43">
        <f>SUMIF(r_PartPresses,t_Presses[[PRESS]:[PRESS]],t_Parts[hp2016.07])</f>
        <v>0</v>
      </c>
      <c r="BD13" s="43">
        <f>SUMIF(r_PartPresses,t_Presses[[PRESS]:[PRESS]],t_Parts[hp2016.08])</f>
        <v>0</v>
      </c>
      <c r="BE13" s="43">
        <f>SUMIF(r_PartPresses,t_Presses[[PRESS]:[PRESS]],t_Parts[hp2016.09])</f>
        <v>0</v>
      </c>
      <c r="BF13" s="43">
        <f>SUMIF(r_PartPresses,t_Presses[[PRESS]:[PRESS]],t_Parts[hp2016.10])</f>
        <v>0</v>
      </c>
      <c r="BG13" s="43">
        <f>SUMIF(r_PartPresses,t_Presses[[PRESS]:[PRESS]],t_Parts[hp2016.11])</f>
        <v>0</v>
      </c>
      <c r="BH13" s="43">
        <f>SUMIF(r_PartPresses,t_Presses[[PRESS]:[PRESS]],t_Parts[hp2016.12])</f>
        <v>0</v>
      </c>
      <c r="BI13" s="43">
        <f>SUMIF(r_PartPresses,t_Presses[[PRESS]:[PRESS]],t_Parts[hp2016.FY])</f>
        <v>0</v>
      </c>
      <c r="BJ13" s="43">
        <f>SUMIF(r_PartPresses,t_Presses[[PRESS]:[PRESS]],t_Parts[hp2017])</f>
        <v>0</v>
      </c>
      <c r="BK13" s="43">
        <f>SUMIF(r_PartPresses,t_Presses[[PRESS]:[PRESS]],t_Parts[hp2018])</f>
        <v>0</v>
      </c>
      <c r="BL13" s="43">
        <f>SUMIF(r_PartPresses,t_Presses[[PRESS]:[PRESS]],t_Parts[hp2019])</f>
        <v>0</v>
      </c>
      <c r="BM13" s="17">
        <f>t_Presses[[#This Row],[hp2015.01]]/t_Presses[[#This Row],[ha2015.01]]</f>
        <v>0</v>
      </c>
      <c r="BN13" s="17">
        <f>t_Presses[[#This Row],[hp2015.02]]/t_Presses[[#This Row],[ha2015.02]]</f>
        <v>0</v>
      </c>
      <c r="BO13" s="17">
        <f>t_Presses[[#This Row],[hp2015.03]]/t_Presses[[#This Row],[ha2015.03]]</f>
        <v>0</v>
      </c>
      <c r="BP13" s="17">
        <f>t_Presses[[#This Row],[hp2015.04]]/t_Presses[[#This Row],[ha2015.04]]</f>
        <v>0</v>
      </c>
      <c r="BQ13" s="17">
        <f>t_Presses[[#This Row],[hp2015.05]]/t_Presses[[#This Row],[ha2015.05]]</f>
        <v>0</v>
      </c>
      <c r="BR13" s="17">
        <f>t_Presses[[#This Row],[hp2015.06]]/t_Presses[[#This Row],[ha2015.06]]</f>
        <v>0</v>
      </c>
      <c r="BS13" s="17">
        <f>t_Presses[[#This Row],[hp2015.07]]/t_Presses[[#This Row],[ha2015.07]]</f>
        <v>0</v>
      </c>
      <c r="BT13" s="17">
        <f>t_Presses[[#This Row],[hp2015.08]]/t_Presses[[#This Row],[ha2015.08]]</f>
        <v>0</v>
      </c>
      <c r="BU13" s="17">
        <f>t_Presses[[#This Row],[hp2015.09]]/t_Presses[[#This Row],[ha2015.09]]</f>
        <v>0</v>
      </c>
      <c r="BV13" s="17">
        <f>t_Presses[[#This Row],[hp2015.10]]/t_Presses[[#This Row],[ha2015.10]]</f>
        <v>0</v>
      </c>
      <c r="BW13" s="17">
        <f>t_Presses[[#This Row],[hp2015.11]]/t_Presses[[#This Row],[ha2015.11]]</f>
        <v>0</v>
      </c>
      <c r="BX13" s="17">
        <f>t_Presses[[#This Row],[hp2015.12]]/t_Presses[[#This Row],[ha2015.12]]</f>
        <v>0</v>
      </c>
      <c r="BY13" s="17">
        <f>t_Presses[[#This Row],[hp2015.FY]]/t_Presses[[#This Row],[ha2015.FY]]</f>
        <v>0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hidden="1" x14ac:dyDescent="0.25">
      <c r="A14" s="16" t="s">
        <v>124</v>
      </c>
      <c r="B14" t="s">
        <v>9</v>
      </c>
      <c r="C14" t="s">
        <v>121</v>
      </c>
      <c r="D14">
        <v>160</v>
      </c>
      <c r="E14" s="18" t="str">
        <f t="shared" si="0"/>
        <v>0-299</v>
      </c>
      <c r="F14" s="15"/>
      <c r="G14" s="18">
        <f>VLOOKUP(t_Presses[[Plant]:[Plant]],t_Plants[],Plants!CN$1,FALSE)</f>
        <v>208</v>
      </c>
      <c r="H14">
        <f>VLOOKUP(t_Presses[[Plant]:[Plant]],t_Plants[],Plants!CO$1,FALSE)</f>
        <v>208</v>
      </c>
      <c r="I14" s="18">
        <f>VLOOKUP(t_Presses[[Plant]:[Plant]],t_Plants[],Plants!CP$1,FALSE)</f>
        <v>272</v>
      </c>
      <c r="J14" s="18">
        <f>VLOOKUP(t_Presses[[Plant]:[Plant]],t_Plants[],Plants!CQ$1,FALSE)</f>
        <v>208</v>
      </c>
      <c r="K14" s="18">
        <f>VLOOKUP(t_Presses[[Plant]:[Plant]],t_Plants[],Plants!CR$1,FALSE)</f>
        <v>208</v>
      </c>
      <c r="L14" s="18">
        <f>VLOOKUP(t_Presses[[Plant]:[Plant]],t_Plants[],Plants!CS$1,FALSE)</f>
        <v>272</v>
      </c>
      <c r="M14" s="18">
        <f>VLOOKUP(t_Presses[[Plant]:[Plant]],t_Plants[],Plants!CT$1,FALSE)</f>
        <v>208</v>
      </c>
      <c r="N14" s="18">
        <f>VLOOKUP(t_Presses[[Plant]:[Plant]],t_Plants[],Plants!CU$1,FALSE)</f>
        <v>208</v>
      </c>
      <c r="O14" s="18">
        <f>VLOOKUP(t_Presses[[Plant]:[Plant]],t_Plants[],Plants!CV$1,FALSE)</f>
        <v>272</v>
      </c>
      <c r="P14" s="18">
        <f>VLOOKUP(t_Presses[[Plant]:[Plant]],t_Plants[],Plants!CW$1,FALSE)</f>
        <v>208</v>
      </c>
      <c r="Q14" s="18">
        <f>VLOOKUP(t_Presses[[Plant]:[Plant]],t_Plants[],Plants!CX$1,FALSE)</f>
        <v>208</v>
      </c>
      <c r="R14" s="18">
        <f>VLOOKUP(t_Presses[[Plant]:[Plant]],t_Plants[],Plants!CY$1,FALSE)</f>
        <v>272</v>
      </c>
      <c r="S14" s="18">
        <f>SUM(t_Presses[[#This Row],[ha2015.01]:[ha2015.12]])</f>
        <v>2752</v>
      </c>
      <c r="T14">
        <f>VLOOKUP(t_Presses[[Plant]:[Plant]],t_Plants[],Plants!DA$1,FALSE)</f>
        <v>208</v>
      </c>
      <c r="U14">
        <f>VLOOKUP(t_Presses[[Plant]:[Plant]],t_Plants[],Plants!DB$1,FALSE)</f>
        <v>208</v>
      </c>
      <c r="V14">
        <f>VLOOKUP(t_Presses[[Plant]:[Plant]],t_Plants[],Plants!DC$1,FALSE)</f>
        <v>272</v>
      </c>
      <c r="W14">
        <f>VLOOKUP(t_Presses[[Plant]:[Plant]],t_Plants[],Plants!DD$1,FALSE)</f>
        <v>208</v>
      </c>
      <c r="X14">
        <f>VLOOKUP(t_Presses[[Plant]:[Plant]],t_Plants[],Plants!DE$1,FALSE)</f>
        <v>208</v>
      </c>
      <c r="Y14">
        <f>VLOOKUP(t_Presses[[Plant]:[Plant]],t_Plants[],Plants!DF$1,FALSE)</f>
        <v>272</v>
      </c>
      <c r="Z14">
        <f>VLOOKUP(t_Presses[[Plant]:[Plant]],t_Plants[],Plants!DG$1,FALSE)</f>
        <v>208</v>
      </c>
      <c r="AA14">
        <f>VLOOKUP(t_Presses[[Plant]:[Plant]],t_Plants[],Plants!DH$1,FALSE)</f>
        <v>208</v>
      </c>
      <c r="AB14">
        <f>VLOOKUP(t_Presses[[Plant]:[Plant]],t_Plants[],Plants!DI$1,FALSE)</f>
        <v>272</v>
      </c>
      <c r="AC14">
        <f>VLOOKUP(t_Presses[[Plant]:[Plant]],t_Plants[],Plants!DJ$1,FALSE)</f>
        <v>208</v>
      </c>
      <c r="AD14">
        <f>VLOOKUP(t_Presses[[Plant]:[Plant]],t_Plants[],Plants!DK$1,FALSE)</f>
        <v>208</v>
      </c>
      <c r="AE14">
        <f>VLOOKUP(t_Presses[[Plant]:[Plant]],t_Plants[],Plants!DL$1,FALSE)</f>
        <v>272</v>
      </c>
      <c r="AF14" s="18">
        <f>SUM(t_Presses[[#This Row],[ha2016.01]:[ha2016.12]])</f>
        <v>2752</v>
      </c>
      <c r="AG14">
        <f>VLOOKUP(t_Presses[[Plant]:[Plant]],t_Plants[],Plants!DN$1,FALSE)</f>
        <v>2752</v>
      </c>
      <c r="AH14">
        <f>VLOOKUP(t_Presses[[Plant]:[Plant]],t_Plants[],Plants!DO$1,FALSE)</f>
        <v>2752</v>
      </c>
      <c r="AI14">
        <f>VLOOKUP(t_Presses[[Plant]:[Plant]],t_Plants[],Plants!DP$1,FALSE)</f>
        <v>2752</v>
      </c>
      <c r="AJ14" s="43">
        <f>SUMIF(r_PartPresses,t_Presses[[PRESS]:[PRESS]],t_Parts[hp2015.01])</f>
        <v>0</v>
      </c>
      <c r="AK14" s="43">
        <f>SUMIF(r_PartPresses,t_Presses[[PRESS]:[PRESS]],t_Parts[hp2015.02])</f>
        <v>0</v>
      </c>
      <c r="AL14" s="43">
        <f>SUMIF(r_PartPresses,t_Presses[[PRESS]:[PRESS]],t_Parts[hp2015.03])</f>
        <v>0</v>
      </c>
      <c r="AM14" s="43">
        <f>SUMIF(r_PartPresses,t_Presses[[PRESS]:[PRESS]],t_Parts[hp2015.04])</f>
        <v>0</v>
      </c>
      <c r="AN14" s="43">
        <f>SUMIF(r_PartPresses,t_Presses[[PRESS]:[PRESS]],t_Parts[hp2015.05])</f>
        <v>0</v>
      </c>
      <c r="AO14" s="43">
        <f>SUMIF(r_PartPresses,t_Presses[[PRESS]:[PRESS]],t_Parts[hp2015.06])</f>
        <v>0</v>
      </c>
      <c r="AP14" s="43">
        <f>SUMIF(r_PartPresses,t_Presses[[PRESS]:[PRESS]],t_Parts[hp2015.07])</f>
        <v>0</v>
      </c>
      <c r="AQ14" s="43">
        <f>SUMIF(r_PartPresses,t_Presses[[PRESS]:[PRESS]],t_Parts[hp2015.08])</f>
        <v>0</v>
      </c>
      <c r="AR14" s="43">
        <f>SUMIF(r_PartPresses,t_Presses[[PRESS]:[PRESS]],t_Parts[hp2015.09])</f>
        <v>0</v>
      </c>
      <c r="AS14" s="43">
        <f>SUMIF(r_PartPresses,t_Presses[[PRESS]:[PRESS]],t_Parts[hp2015.10])</f>
        <v>0</v>
      </c>
      <c r="AT14" s="43">
        <f>SUMIF(r_PartPresses,t_Presses[[PRESS]:[PRESS]],t_Parts[hp2015.11])</f>
        <v>0</v>
      </c>
      <c r="AU14" s="43">
        <f>SUMIF(r_PartPresses,t_Presses[[PRESS]:[PRESS]],t_Parts[hp2015.12])</f>
        <v>0</v>
      </c>
      <c r="AV14" s="43">
        <f>SUM(t_Presses[[#This Row],[hp2015.01]:[hp2015.12]])</f>
        <v>0</v>
      </c>
      <c r="AW14" s="43">
        <f>SUMIF(r_PartPresses,t_Presses[[PRESS]:[PRESS]],t_Parts[hp2016.01])</f>
        <v>0</v>
      </c>
      <c r="AX14" s="43">
        <f>SUMIF(r_PartPresses,t_Presses[[PRESS]:[PRESS]],t_Parts[hp2016.02])</f>
        <v>0</v>
      </c>
      <c r="AY14" s="43">
        <f>SUMIF(r_PartPresses,t_Presses[[PRESS]:[PRESS]],t_Parts[hp2016.03])</f>
        <v>0</v>
      </c>
      <c r="AZ14" s="43">
        <f>SUMIF(r_PartPresses,t_Presses[[PRESS]:[PRESS]],t_Parts[hp2016.04])</f>
        <v>0</v>
      </c>
      <c r="BA14" s="43">
        <f>SUMIF(r_PartPresses,t_Presses[[PRESS]:[PRESS]],t_Parts[hp2016.05])</f>
        <v>0</v>
      </c>
      <c r="BB14" s="43">
        <f>SUMIF(r_PartPresses,t_Presses[[PRESS]:[PRESS]],t_Parts[hp2016.06])</f>
        <v>0</v>
      </c>
      <c r="BC14" s="43">
        <f>SUMIF(r_PartPresses,t_Presses[[PRESS]:[PRESS]],t_Parts[hp2016.07])</f>
        <v>0</v>
      </c>
      <c r="BD14" s="43">
        <f>SUMIF(r_PartPresses,t_Presses[[PRESS]:[PRESS]],t_Parts[hp2016.08])</f>
        <v>0</v>
      </c>
      <c r="BE14" s="43">
        <f>SUMIF(r_PartPresses,t_Presses[[PRESS]:[PRESS]],t_Parts[hp2016.09])</f>
        <v>0</v>
      </c>
      <c r="BF14" s="43">
        <f>SUMIF(r_PartPresses,t_Presses[[PRESS]:[PRESS]],t_Parts[hp2016.10])</f>
        <v>0</v>
      </c>
      <c r="BG14" s="43">
        <f>SUMIF(r_PartPresses,t_Presses[[PRESS]:[PRESS]],t_Parts[hp2016.11])</f>
        <v>0</v>
      </c>
      <c r="BH14" s="43">
        <f>SUMIF(r_PartPresses,t_Presses[[PRESS]:[PRESS]],t_Parts[hp2016.12])</f>
        <v>0</v>
      </c>
      <c r="BI14" s="43">
        <f>SUMIF(r_PartPresses,t_Presses[[PRESS]:[PRESS]],t_Parts[hp2016.FY])</f>
        <v>0</v>
      </c>
      <c r="BJ14" s="43">
        <f>SUMIF(r_PartPresses,t_Presses[[PRESS]:[PRESS]],t_Parts[hp2017])</f>
        <v>0</v>
      </c>
      <c r="BK14" s="43">
        <f>SUMIF(r_PartPresses,t_Presses[[PRESS]:[PRESS]],t_Parts[hp2018])</f>
        <v>0</v>
      </c>
      <c r="BL14" s="43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hidden="1" x14ac:dyDescent="0.25">
      <c r="A15" s="16" t="s">
        <v>125</v>
      </c>
      <c r="B15" t="s">
        <v>9</v>
      </c>
      <c r="C15" t="s">
        <v>121</v>
      </c>
      <c r="D15">
        <v>160</v>
      </c>
      <c r="E15" s="18" t="str">
        <f t="shared" si="0"/>
        <v>0-299</v>
      </c>
      <c r="F15" s="15"/>
      <c r="G15" s="18">
        <f>VLOOKUP(t_Presses[[Plant]:[Plant]],t_Plants[],Plants!CN$1,FALSE)</f>
        <v>208</v>
      </c>
      <c r="H15">
        <f>VLOOKUP(t_Presses[[Plant]:[Plant]],t_Plants[],Plants!CO$1,FALSE)</f>
        <v>208</v>
      </c>
      <c r="I15" s="18">
        <f>VLOOKUP(t_Presses[[Plant]:[Plant]],t_Plants[],Plants!CP$1,FALSE)</f>
        <v>272</v>
      </c>
      <c r="J15" s="18">
        <f>VLOOKUP(t_Presses[[Plant]:[Plant]],t_Plants[],Plants!CQ$1,FALSE)</f>
        <v>208</v>
      </c>
      <c r="K15" s="18">
        <f>VLOOKUP(t_Presses[[Plant]:[Plant]],t_Plants[],Plants!CR$1,FALSE)</f>
        <v>208</v>
      </c>
      <c r="L15" s="18">
        <f>VLOOKUP(t_Presses[[Plant]:[Plant]],t_Plants[],Plants!CS$1,FALSE)</f>
        <v>272</v>
      </c>
      <c r="M15" s="18">
        <f>VLOOKUP(t_Presses[[Plant]:[Plant]],t_Plants[],Plants!CT$1,FALSE)</f>
        <v>208</v>
      </c>
      <c r="N15" s="18">
        <f>VLOOKUP(t_Presses[[Plant]:[Plant]],t_Plants[],Plants!CU$1,FALSE)</f>
        <v>208</v>
      </c>
      <c r="O15" s="18">
        <f>VLOOKUP(t_Presses[[Plant]:[Plant]],t_Plants[],Plants!CV$1,FALSE)</f>
        <v>272</v>
      </c>
      <c r="P15" s="18">
        <f>VLOOKUP(t_Presses[[Plant]:[Plant]],t_Plants[],Plants!CW$1,FALSE)</f>
        <v>208</v>
      </c>
      <c r="Q15" s="18">
        <f>VLOOKUP(t_Presses[[Plant]:[Plant]],t_Plants[],Plants!CX$1,FALSE)</f>
        <v>208</v>
      </c>
      <c r="R15" s="18">
        <f>VLOOKUP(t_Presses[[Plant]:[Plant]],t_Plants[],Plants!CY$1,FALSE)</f>
        <v>272</v>
      </c>
      <c r="S15" s="18">
        <f>SUM(t_Presses[[#This Row],[ha2015.01]:[ha2015.12]])</f>
        <v>2752</v>
      </c>
      <c r="T15">
        <f>VLOOKUP(t_Presses[[Plant]:[Plant]],t_Plants[],Plants!DA$1,FALSE)</f>
        <v>208</v>
      </c>
      <c r="U15">
        <f>VLOOKUP(t_Presses[[Plant]:[Plant]],t_Plants[],Plants!DB$1,FALSE)</f>
        <v>208</v>
      </c>
      <c r="V15">
        <f>VLOOKUP(t_Presses[[Plant]:[Plant]],t_Plants[],Plants!DC$1,FALSE)</f>
        <v>272</v>
      </c>
      <c r="W15">
        <f>VLOOKUP(t_Presses[[Plant]:[Plant]],t_Plants[],Plants!DD$1,FALSE)</f>
        <v>208</v>
      </c>
      <c r="X15">
        <f>VLOOKUP(t_Presses[[Plant]:[Plant]],t_Plants[],Plants!DE$1,FALSE)</f>
        <v>208</v>
      </c>
      <c r="Y15">
        <f>VLOOKUP(t_Presses[[Plant]:[Plant]],t_Plants[],Plants!DF$1,FALSE)</f>
        <v>272</v>
      </c>
      <c r="Z15">
        <f>VLOOKUP(t_Presses[[Plant]:[Plant]],t_Plants[],Plants!DG$1,FALSE)</f>
        <v>208</v>
      </c>
      <c r="AA15">
        <f>VLOOKUP(t_Presses[[Plant]:[Plant]],t_Plants[],Plants!DH$1,FALSE)</f>
        <v>208</v>
      </c>
      <c r="AB15">
        <f>VLOOKUP(t_Presses[[Plant]:[Plant]],t_Plants[],Plants!DI$1,FALSE)</f>
        <v>272</v>
      </c>
      <c r="AC15">
        <f>VLOOKUP(t_Presses[[Plant]:[Plant]],t_Plants[],Plants!DJ$1,FALSE)</f>
        <v>208</v>
      </c>
      <c r="AD15">
        <f>VLOOKUP(t_Presses[[Plant]:[Plant]],t_Plants[],Plants!DK$1,FALSE)</f>
        <v>208</v>
      </c>
      <c r="AE15">
        <f>VLOOKUP(t_Presses[[Plant]:[Plant]],t_Plants[],Plants!DL$1,FALSE)</f>
        <v>272</v>
      </c>
      <c r="AF15" s="18">
        <f>SUM(t_Presses[[#This Row],[ha2016.01]:[ha2016.12]])</f>
        <v>2752</v>
      </c>
      <c r="AG15">
        <f>VLOOKUP(t_Presses[[Plant]:[Plant]],t_Plants[],Plants!DN$1,FALSE)</f>
        <v>2752</v>
      </c>
      <c r="AH15">
        <f>VLOOKUP(t_Presses[[Plant]:[Plant]],t_Plants[],Plants!DO$1,FALSE)</f>
        <v>2752</v>
      </c>
      <c r="AI15">
        <f>VLOOKUP(t_Presses[[Plant]:[Plant]],t_Plants[],Plants!DP$1,FALSE)</f>
        <v>2752</v>
      </c>
      <c r="AJ15" s="43">
        <f>SUMIF(r_PartPresses,t_Presses[[PRESS]:[PRESS]],t_Parts[hp2015.01])</f>
        <v>0</v>
      </c>
      <c r="AK15" s="43">
        <f>SUMIF(r_PartPresses,t_Presses[[PRESS]:[PRESS]],t_Parts[hp2015.02])</f>
        <v>0</v>
      </c>
      <c r="AL15" s="43">
        <f>SUMIF(r_PartPresses,t_Presses[[PRESS]:[PRESS]],t_Parts[hp2015.03])</f>
        <v>0</v>
      </c>
      <c r="AM15" s="43">
        <f>SUMIF(r_PartPresses,t_Presses[[PRESS]:[PRESS]],t_Parts[hp2015.04])</f>
        <v>0</v>
      </c>
      <c r="AN15" s="43">
        <f>SUMIF(r_PartPresses,t_Presses[[PRESS]:[PRESS]],t_Parts[hp2015.05])</f>
        <v>0</v>
      </c>
      <c r="AO15" s="43">
        <f>SUMIF(r_PartPresses,t_Presses[[PRESS]:[PRESS]],t_Parts[hp2015.06])</f>
        <v>0</v>
      </c>
      <c r="AP15" s="43">
        <f>SUMIF(r_PartPresses,t_Presses[[PRESS]:[PRESS]],t_Parts[hp2015.07])</f>
        <v>0</v>
      </c>
      <c r="AQ15" s="43">
        <f>SUMIF(r_PartPresses,t_Presses[[PRESS]:[PRESS]],t_Parts[hp2015.08])</f>
        <v>0</v>
      </c>
      <c r="AR15" s="43">
        <f>SUMIF(r_PartPresses,t_Presses[[PRESS]:[PRESS]],t_Parts[hp2015.09])</f>
        <v>0</v>
      </c>
      <c r="AS15" s="43">
        <f>SUMIF(r_PartPresses,t_Presses[[PRESS]:[PRESS]],t_Parts[hp2015.10])</f>
        <v>0</v>
      </c>
      <c r="AT15" s="43">
        <f>SUMIF(r_PartPresses,t_Presses[[PRESS]:[PRESS]],t_Parts[hp2015.11])</f>
        <v>0</v>
      </c>
      <c r="AU15" s="43">
        <f>SUMIF(r_PartPresses,t_Presses[[PRESS]:[PRESS]],t_Parts[hp2015.12])</f>
        <v>0</v>
      </c>
      <c r="AV15" s="43">
        <f>SUM(t_Presses[[#This Row],[hp2015.01]:[hp2015.12]])</f>
        <v>0</v>
      </c>
      <c r="AW15" s="43">
        <f>SUMIF(r_PartPresses,t_Presses[[PRESS]:[PRESS]],t_Parts[hp2016.01])</f>
        <v>0</v>
      </c>
      <c r="AX15" s="43">
        <f>SUMIF(r_PartPresses,t_Presses[[PRESS]:[PRESS]],t_Parts[hp2016.02])</f>
        <v>0</v>
      </c>
      <c r="AY15" s="43">
        <f>SUMIF(r_PartPresses,t_Presses[[PRESS]:[PRESS]],t_Parts[hp2016.03])</f>
        <v>0</v>
      </c>
      <c r="AZ15" s="43">
        <f>SUMIF(r_PartPresses,t_Presses[[PRESS]:[PRESS]],t_Parts[hp2016.04])</f>
        <v>0</v>
      </c>
      <c r="BA15" s="43">
        <f>SUMIF(r_PartPresses,t_Presses[[PRESS]:[PRESS]],t_Parts[hp2016.05])</f>
        <v>0</v>
      </c>
      <c r="BB15" s="43">
        <f>SUMIF(r_PartPresses,t_Presses[[PRESS]:[PRESS]],t_Parts[hp2016.06])</f>
        <v>0</v>
      </c>
      <c r="BC15" s="43">
        <f>SUMIF(r_PartPresses,t_Presses[[PRESS]:[PRESS]],t_Parts[hp2016.07])</f>
        <v>0</v>
      </c>
      <c r="BD15" s="43">
        <f>SUMIF(r_PartPresses,t_Presses[[PRESS]:[PRESS]],t_Parts[hp2016.08])</f>
        <v>0</v>
      </c>
      <c r="BE15" s="43">
        <f>SUMIF(r_PartPresses,t_Presses[[PRESS]:[PRESS]],t_Parts[hp2016.09])</f>
        <v>0</v>
      </c>
      <c r="BF15" s="43">
        <f>SUMIF(r_PartPresses,t_Presses[[PRESS]:[PRESS]],t_Parts[hp2016.10])</f>
        <v>0</v>
      </c>
      <c r="BG15" s="43">
        <f>SUMIF(r_PartPresses,t_Presses[[PRESS]:[PRESS]],t_Parts[hp2016.11])</f>
        <v>0</v>
      </c>
      <c r="BH15" s="43">
        <f>SUMIF(r_PartPresses,t_Presses[[PRESS]:[PRESS]],t_Parts[hp2016.12])</f>
        <v>0</v>
      </c>
      <c r="BI15" s="43">
        <f>SUMIF(r_PartPresses,t_Presses[[PRESS]:[PRESS]],t_Parts[hp2016.FY])</f>
        <v>0</v>
      </c>
      <c r="BJ15" s="43">
        <f>SUMIF(r_PartPresses,t_Presses[[PRESS]:[PRESS]],t_Parts[hp2017])</f>
        <v>0</v>
      </c>
      <c r="BK15" s="43">
        <f>SUMIF(r_PartPresses,t_Presses[[PRESS]:[PRESS]],t_Parts[hp2018])</f>
        <v>0</v>
      </c>
      <c r="BL15" s="43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hidden="1" x14ac:dyDescent="0.25">
      <c r="A16" s="16" t="s">
        <v>126</v>
      </c>
      <c r="B16" t="s">
        <v>9</v>
      </c>
      <c r="C16" t="s">
        <v>121</v>
      </c>
      <c r="D16">
        <v>150</v>
      </c>
      <c r="E16" s="18" t="str">
        <f t="shared" si="0"/>
        <v>0-299</v>
      </c>
      <c r="F16" s="15"/>
      <c r="G16" s="18">
        <f>VLOOKUP(t_Presses[[Plant]:[Plant]],t_Plants[],Plants!CN$1,FALSE)</f>
        <v>208</v>
      </c>
      <c r="H16">
        <f>VLOOKUP(t_Presses[[Plant]:[Plant]],t_Plants[],Plants!CO$1,FALSE)</f>
        <v>208</v>
      </c>
      <c r="I16" s="18">
        <f>VLOOKUP(t_Presses[[Plant]:[Plant]],t_Plants[],Plants!CP$1,FALSE)</f>
        <v>272</v>
      </c>
      <c r="J16" s="18">
        <f>VLOOKUP(t_Presses[[Plant]:[Plant]],t_Plants[],Plants!CQ$1,FALSE)</f>
        <v>208</v>
      </c>
      <c r="K16" s="18">
        <f>VLOOKUP(t_Presses[[Plant]:[Plant]],t_Plants[],Plants!CR$1,FALSE)</f>
        <v>208</v>
      </c>
      <c r="L16" s="18">
        <f>VLOOKUP(t_Presses[[Plant]:[Plant]],t_Plants[],Plants!CS$1,FALSE)</f>
        <v>272</v>
      </c>
      <c r="M16" s="18">
        <f>VLOOKUP(t_Presses[[Plant]:[Plant]],t_Plants[],Plants!CT$1,FALSE)</f>
        <v>208</v>
      </c>
      <c r="N16" s="18">
        <f>VLOOKUP(t_Presses[[Plant]:[Plant]],t_Plants[],Plants!CU$1,FALSE)</f>
        <v>208</v>
      </c>
      <c r="O16" s="18">
        <f>VLOOKUP(t_Presses[[Plant]:[Plant]],t_Plants[],Plants!CV$1,FALSE)</f>
        <v>272</v>
      </c>
      <c r="P16" s="18">
        <f>VLOOKUP(t_Presses[[Plant]:[Plant]],t_Plants[],Plants!CW$1,FALSE)</f>
        <v>208</v>
      </c>
      <c r="Q16" s="18">
        <f>VLOOKUP(t_Presses[[Plant]:[Plant]],t_Plants[],Plants!CX$1,FALSE)</f>
        <v>208</v>
      </c>
      <c r="R16" s="18">
        <f>VLOOKUP(t_Presses[[Plant]:[Plant]],t_Plants[],Plants!CY$1,FALSE)</f>
        <v>272</v>
      </c>
      <c r="S16" s="18">
        <f>SUM(t_Presses[[#This Row],[ha2015.01]:[ha2015.12]])</f>
        <v>2752</v>
      </c>
      <c r="T16">
        <f>VLOOKUP(t_Presses[[Plant]:[Plant]],t_Plants[],Plants!DA$1,FALSE)</f>
        <v>208</v>
      </c>
      <c r="U16">
        <f>VLOOKUP(t_Presses[[Plant]:[Plant]],t_Plants[],Plants!DB$1,FALSE)</f>
        <v>208</v>
      </c>
      <c r="V16">
        <f>VLOOKUP(t_Presses[[Plant]:[Plant]],t_Plants[],Plants!DC$1,FALSE)</f>
        <v>272</v>
      </c>
      <c r="W16">
        <f>VLOOKUP(t_Presses[[Plant]:[Plant]],t_Plants[],Plants!DD$1,FALSE)</f>
        <v>208</v>
      </c>
      <c r="X16">
        <f>VLOOKUP(t_Presses[[Plant]:[Plant]],t_Plants[],Plants!DE$1,FALSE)</f>
        <v>208</v>
      </c>
      <c r="Y16">
        <f>VLOOKUP(t_Presses[[Plant]:[Plant]],t_Plants[],Plants!DF$1,FALSE)</f>
        <v>272</v>
      </c>
      <c r="Z16">
        <f>VLOOKUP(t_Presses[[Plant]:[Plant]],t_Plants[],Plants!DG$1,FALSE)</f>
        <v>208</v>
      </c>
      <c r="AA16">
        <f>VLOOKUP(t_Presses[[Plant]:[Plant]],t_Plants[],Plants!DH$1,FALSE)</f>
        <v>208</v>
      </c>
      <c r="AB16">
        <f>VLOOKUP(t_Presses[[Plant]:[Plant]],t_Plants[],Plants!DI$1,FALSE)</f>
        <v>272</v>
      </c>
      <c r="AC16">
        <f>VLOOKUP(t_Presses[[Plant]:[Plant]],t_Plants[],Plants!DJ$1,FALSE)</f>
        <v>208</v>
      </c>
      <c r="AD16">
        <f>VLOOKUP(t_Presses[[Plant]:[Plant]],t_Plants[],Plants!DK$1,FALSE)</f>
        <v>208</v>
      </c>
      <c r="AE16">
        <f>VLOOKUP(t_Presses[[Plant]:[Plant]],t_Plants[],Plants!DL$1,FALSE)</f>
        <v>272</v>
      </c>
      <c r="AF16" s="18">
        <f>SUM(t_Presses[[#This Row],[ha2016.01]:[ha2016.12]])</f>
        <v>2752</v>
      </c>
      <c r="AG16">
        <f>VLOOKUP(t_Presses[[Plant]:[Plant]],t_Plants[],Plants!DN$1,FALSE)</f>
        <v>2752</v>
      </c>
      <c r="AH16">
        <f>VLOOKUP(t_Presses[[Plant]:[Plant]],t_Plants[],Plants!DO$1,FALSE)</f>
        <v>2752</v>
      </c>
      <c r="AI16">
        <f>VLOOKUP(t_Presses[[Plant]:[Plant]],t_Plants[],Plants!DP$1,FALSE)</f>
        <v>2752</v>
      </c>
      <c r="AJ16" s="43">
        <f>SUMIF(r_PartPresses,t_Presses[[PRESS]:[PRESS]],t_Parts[hp2015.01])</f>
        <v>0</v>
      </c>
      <c r="AK16" s="43">
        <f>SUMIF(r_PartPresses,t_Presses[[PRESS]:[PRESS]],t_Parts[hp2015.02])</f>
        <v>0</v>
      </c>
      <c r="AL16" s="43">
        <f>SUMIF(r_PartPresses,t_Presses[[PRESS]:[PRESS]],t_Parts[hp2015.03])</f>
        <v>0</v>
      </c>
      <c r="AM16" s="43">
        <f>SUMIF(r_PartPresses,t_Presses[[PRESS]:[PRESS]],t_Parts[hp2015.04])</f>
        <v>0</v>
      </c>
      <c r="AN16" s="43">
        <f>SUMIF(r_PartPresses,t_Presses[[PRESS]:[PRESS]],t_Parts[hp2015.05])</f>
        <v>0</v>
      </c>
      <c r="AO16" s="43">
        <f>SUMIF(r_PartPresses,t_Presses[[PRESS]:[PRESS]],t_Parts[hp2015.06])</f>
        <v>0</v>
      </c>
      <c r="AP16" s="43">
        <f>SUMIF(r_PartPresses,t_Presses[[PRESS]:[PRESS]],t_Parts[hp2015.07])</f>
        <v>0</v>
      </c>
      <c r="AQ16" s="43">
        <f>SUMIF(r_PartPresses,t_Presses[[PRESS]:[PRESS]],t_Parts[hp2015.08])</f>
        <v>0</v>
      </c>
      <c r="AR16" s="43">
        <f>SUMIF(r_PartPresses,t_Presses[[PRESS]:[PRESS]],t_Parts[hp2015.09])</f>
        <v>0</v>
      </c>
      <c r="AS16" s="43">
        <f>SUMIF(r_PartPresses,t_Presses[[PRESS]:[PRESS]],t_Parts[hp2015.10])</f>
        <v>0</v>
      </c>
      <c r="AT16" s="43">
        <f>SUMIF(r_PartPresses,t_Presses[[PRESS]:[PRESS]],t_Parts[hp2015.11])</f>
        <v>0</v>
      </c>
      <c r="AU16" s="43">
        <f>SUMIF(r_PartPresses,t_Presses[[PRESS]:[PRESS]],t_Parts[hp2015.12])</f>
        <v>0</v>
      </c>
      <c r="AV16" s="43">
        <f>SUM(t_Presses[[#This Row],[hp2015.01]:[hp2015.12]])</f>
        <v>0</v>
      </c>
      <c r="AW16" s="43">
        <f>SUMIF(r_PartPresses,t_Presses[[PRESS]:[PRESS]],t_Parts[hp2016.01])</f>
        <v>0</v>
      </c>
      <c r="AX16" s="43">
        <f>SUMIF(r_PartPresses,t_Presses[[PRESS]:[PRESS]],t_Parts[hp2016.02])</f>
        <v>0</v>
      </c>
      <c r="AY16" s="43">
        <f>SUMIF(r_PartPresses,t_Presses[[PRESS]:[PRESS]],t_Parts[hp2016.03])</f>
        <v>0</v>
      </c>
      <c r="AZ16" s="43">
        <f>SUMIF(r_PartPresses,t_Presses[[PRESS]:[PRESS]],t_Parts[hp2016.04])</f>
        <v>0</v>
      </c>
      <c r="BA16" s="43">
        <f>SUMIF(r_PartPresses,t_Presses[[PRESS]:[PRESS]],t_Parts[hp2016.05])</f>
        <v>0</v>
      </c>
      <c r="BB16" s="43">
        <f>SUMIF(r_PartPresses,t_Presses[[PRESS]:[PRESS]],t_Parts[hp2016.06])</f>
        <v>0</v>
      </c>
      <c r="BC16" s="43">
        <f>SUMIF(r_PartPresses,t_Presses[[PRESS]:[PRESS]],t_Parts[hp2016.07])</f>
        <v>0</v>
      </c>
      <c r="BD16" s="43">
        <f>SUMIF(r_PartPresses,t_Presses[[PRESS]:[PRESS]],t_Parts[hp2016.08])</f>
        <v>0</v>
      </c>
      <c r="BE16" s="43">
        <f>SUMIF(r_PartPresses,t_Presses[[PRESS]:[PRESS]],t_Parts[hp2016.09])</f>
        <v>0</v>
      </c>
      <c r="BF16" s="43">
        <f>SUMIF(r_PartPresses,t_Presses[[PRESS]:[PRESS]],t_Parts[hp2016.10])</f>
        <v>0</v>
      </c>
      <c r="BG16" s="43">
        <f>SUMIF(r_PartPresses,t_Presses[[PRESS]:[PRESS]],t_Parts[hp2016.11])</f>
        <v>0</v>
      </c>
      <c r="BH16" s="43">
        <f>SUMIF(r_PartPresses,t_Presses[[PRESS]:[PRESS]],t_Parts[hp2016.12])</f>
        <v>0</v>
      </c>
      <c r="BI16" s="43">
        <f>SUMIF(r_PartPresses,t_Presses[[PRESS]:[PRESS]],t_Parts[hp2016.FY])</f>
        <v>0</v>
      </c>
      <c r="BJ16" s="43">
        <f>SUMIF(r_PartPresses,t_Presses[[PRESS]:[PRESS]],t_Parts[hp2017])</f>
        <v>0</v>
      </c>
      <c r="BK16" s="43">
        <f>SUMIF(r_PartPresses,t_Presses[[PRESS]:[PRESS]],t_Parts[hp2018])</f>
        <v>0</v>
      </c>
      <c r="BL16" s="43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hidden="1" x14ac:dyDescent="0.25">
      <c r="A17" s="16" t="s">
        <v>127</v>
      </c>
      <c r="B17" t="s">
        <v>9</v>
      </c>
      <c r="C17" t="s">
        <v>121</v>
      </c>
      <c r="D17">
        <v>120</v>
      </c>
      <c r="E17" s="18" t="str">
        <f t="shared" si="0"/>
        <v>0-299</v>
      </c>
      <c r="F17" s="15"/>
      <c r="G17" s="18">
        <f>VLOOKUP(t_Presses[[Plant]:[Plant]],t_Plants[],Plants!CN$1,FALSE)</f>
        <v>208</v>
      </c>
      <c r="H17">
        <f>VLOOKUP(t_Presses[[Plant]:[Plant]],t_Plants[],Plants!CO$1,FALSE)</f>
        <v>208</v>
      </c>
      <c r="I17" s="18">
        <f>VLOOKUP(t_Presses[[Plant]:[Plant]],t_Plants[],Plants!CP$1,FALSE)</f>
        <v>272</v>
      </c>
      <c r="J17" s="18">
        <f>VLOOKUP(t_Presses[[Plant]:[Plant]],t_Plants[],Plants!CQ$1,FALSE)</f>
        <v>208</v>
      </c>
      <c r="K17" s="18">
        <f>VLOOKUP(t_Presses[[Plant]:[Plant]],t_Plants[],Plants!CR$1,FALSE)</f>
        <v>208</v>
      </c>
      <c r="L17" s="18">
        <f>VLOOKUP(t_Presses[[Plant]:[Plant]],t_Plants[],Plants!CS$1,FALSE)</f>
        <v>272</v>
      </c>
      <c r="M17" s="18">
        <f>VLOOKUP(t_Presses[[Plant]:[Plant]],t_Plants[],Plants!CT$1,FALSE)</f>
        <v>208</v>
      </c>
      <c r="N17" s="18">
        <f>VLOOKUP(t_Presses[[Plant]:[Plant]],t_Plants[],Plants!CU$1,FALSE)</f>
        <v>208</v>
      </c>
      <c r="O17" s="18">
        <f>VLOOKUP(t_Presses[[Plant]:[Plant]],t_Plants[],Plants!CV$1,FALSE)</f>
        <v>272</v>
      </c>
      <c r="P17" s="18">
        <f>VLOOKUP(t_Presses[[Plant]:[Plant]],t_Plants[],Plants!CW$1,FALSE)</f>
        <v>208</v>
      </c>
      <c r="Q17" s="18">
        <f>VLOOKUP(t_Presses[[Plant]:[Plant]],t_Plants[],Plants!CX$1,FALSE)</f>
        <v>208</v>
      </c>
      <c r="R17" s="18">
        <f>VLOOKUP(t_Presses[[Plant]:[Plant]],t_Plants[],Plants!CY$1,FALSE)</f>
        <v>272</v>
      </c>
      <c r="S17" s="18">
        <f>SUM(t_Presses[[#This Row],[ha2015.01]:[ha2015.12]])</f>
        <v>2752</v>
      </c>
      <c r="T17">
        <f>VLOOKUP(t_Presses[[Plant]:[Plant]],t_Plants[],Plants!DA$1,FALSE)</f>
        <v>208</v>
      </c>
      <c r="U17">
        <f>VLOOKUP(t_Presses[[Plant]:[Plant]],t_Plants[],Plants!DB$1,FALSE)</f>
        <v>208</v>
      </c>
      <c r="V17">
        <f>VLOOKUP(t_Presses[[Plant]:[Plant]],t_Plants[],Plants!DC$1,FALSE)</f>
        <v>272</v>
      </c>
      <c r="W17">
        <f>VLOOKUP(t_Presses[[Plant]:[Plant]],t_Plants[],Plants!DD$1,FALSE)</f>
        <v>208</v>
      </c>
      <c r="X17">
        <f>VLOOKUP(t_Presses[[Plant]:[Plant]],t_Plants[],Plants!DE$1,FALSE)</f>
        <v>208</v>
      </c>
      <c r="Y17">
        <f>VLOOKUP(t_Presses[[Plant]:[Plant]],t_Plants[],Plants!DF$1,FALSE)</f>
        <v>272</v>
      </c>
      <c r="Z17">
        <f>VLOOKUP(t_Presses[[Plant]:[Plant]],t_Plants[],Plants!DG$1,FALSE)</f>
        <v>208</v>
      </c>
      <c r="AA17">
        <f>VLOOKUP(t_Presses[[Plant]:[Plant]],t_Plants[],Plants!DH$1,FALSE)</f>
        <v>208</v>
      </c>
      <c r="AB17">
        <f>VLOOKUP(t_Presses[[Plant]:[Plant]],t_Plants[],Plants!DI$1,FALSE)</f>
        <v>272</v>
      </c>
      <c r="AC17">
        <f>VLOOKUP(t_Presses[[Plant]:[Plant]],t_Plants[],Plants!DJ$1,FALSE)</f>
        <v>208</v>
      </c>
      <c r="AD17">
        <f>VLOOKUP(t_Presses[[Plant]:[Plant]],t_Plants[],Plants!DK$1,FALSE)</f>
        <v>208</v>
      </c>
      <c r="AE17">
        <f>VLOOKUP(t_Presses[[Plant]:[Plant]],t_Plants[],Plants!DL$1,FALSE)</f>
        <v>272</v>
      </c>
      <c r="AF17" s="18">
        <f>SUM(t_Presses[[#This Row],[ha2016.01]:[ha2016.12]])</f>
        <v>2752</v>
      </c>
      <c r="AG17">
        <f>VLOOKUP(t_Presses[[Plant]:[Plant]],t_Plants[],Plants!DN$1,FALSE)</f>
        <v>2752</v>
      </c>
      <c r="AH17">
        <f>VLOOKUP(t_Presses[[Plant]:[Plant]],t_Plants[],Plants!DO$1,FALSE)</f>
        <v>2752</v>
      </c>
      <c r="AI17">
        <f>VLOOKUP(t_Presses[[Plant]:[Plant]],t_Plants[],Plants!DP$1,FALSE)</f>
        <v>2752</v>
      </c>
      <c r="AJ17" s="43">
        <f>SUMIF(r_PartPresses,t_Presses[[PRESS]:[PRESS]],t_Parts[hp2015.01])</f>
        <v>0</v>
      </c>
      <c r="AK17" s="43">
        <f>SUMIF(r_PartPresses,t_Presses[[PRESS]:[PRESS]],t_Parts[hp2015.02])</f>
        <v>0</v>
      </c>
      <c r="AL17" s="43">
        <f>SUMIF(r_PartPresses,t_Presses[[PRESS]:[PRESS]],t_Parts[hp2015.03])</f>
        <v>0</v>
      </c>
      <c r="AM17" s="43">
        <f>SUMIF(r_PartPresses,t_Presses[[PRESS]:[PRESS]],t_Parts[hp2015.04])</f>
        <v>0</v>
      </c>
      <c r="AN17" s="43">
        <f>SUMIF(r_PartPresses,t_Presses[[PRESS]:[PRESS]],t_Parts[hp2015.05])</f>
        <v>0</v>
      </c>
      <c r="AO17" s="43">
        <f>SUMIF(r_PartPresses,t_Presses[[PRESS]:[PRESS]],t_Parts[hp2015.06])</f>
        <v>0</v>
      </c>
      <c r="AP17" s="43">
        <f>SUMIF(r_PartPresses,t_Presses[[PRESS]:[PRESS]],t_Parts[hp2015.07])</f>
        <v>0</v>
      </c>
      <c r="AQ17" s="43">
        <f>SUMIF(r_PartPresses,t_Presses[[PRESS]:[PRESS]],t_Parts[hp2015.08])</f>
        <v>0</v>
      </c>
      <c r="AR17" s="43">
        <f>SUMIF(r_PartPresses,t_Presses[[PRESS]:[PRESS]],t_Parts[hp2015.09])</f>
        <v>0</v>
      </c>
      <c r="AS17" s="43">
        <f>SUMIF(r_PartPresses,t_Presses[[PRESS]:[PRESS]],t_Parts[hp2015.10])</f>
        <v>0</v>
      </c>
      <c r="AT17" s="43">
        <f>SUMIF(r_PartPresses,t_Presses[[PRESS]:[PRESS]],t_Parts[hp2015.11])</f>
        <v>0</v>
      </c>
      <c r="AU17" s="43">
        <f>SUMIF(r_PartPresses,t_Presses[[PRESS]:[PRESS]],t_Parts[hp2015.12])</f>
        <v>0</v>
      </c>
      <c r="AV17" s="43">
        <f>SUM(t_Presses[[#This Row],[hp2015.01]:[hp2015.12]])</f>
        <v>0</v>
      </c>
      <c r="AW17" s="43">
        <f>SUMIF(r_PartPresses,t_Presses[[PRESS]:[PRESS]],t_Parts[hp2016.01])</f>
        <v>0</v>
      </c>
      <c r="AX17" s="43">
        <f>SUMIF(r_PartPresses,t_Presses[[PRESS]:[PRESS]],t_Parts[hp2016.02])</f>
        <v>0</v>
      </c>
      <c r="AY17" s="43">
        <f>SUMIF(r_PartPresses,t_Presses[[PRESS]:[PRESS]],t_Parts[hp2016.03])</f>
        <v>0</v>
      </c>
      <c r="AZ17" s="43">
        <f>SUMIF(r_PartPresses,t_Presses[[PRESS]:[PRESS]],t_Parts[hp2016.04])</f>
        <v>0</v>
      </c>
      <c r="BA17" s="43">
        <f>SUMIF(r_PartPresses,t_Presses[[PRESS]:[PRESS]],t_Parts[hp2016.05])</f>
        <v>0</v>
      </c>
      <c r="BB17" s="43">
        <f>SUMIF(r_PartPresses,t_Presses[[PRESS]:[PRESS]],t_Parts[hp2016.06])</f>
        <v>0</v>
      </c>
      <c r="BC17" s="43">
        <f>SUMIF(r_PartPresses,t_Presses[[PRESS]:[PRESS]],t_Parts[hp2016.07])</f>
        <v>0</v>
      </c>
      <c r="BD17" s="43">
        <f>SUMIF(r_PartPresses,t_Presses[[PRESS]:[PRESS]],t_Parts[hp2016.08])</f>
        <v>0</v>
      </c>
      <c r="BE17" s="43">
        <f>SUMIF(r_PartPresses,t_Presses[[PRESS]:[PRESS]],t_Parts[hp2016.09])</f>
        <v>0</v>
      </c>
      <c r="BF17" s="43">
        <f>SUMIF(r_PartPresses,t_Presses[[PRESS]:[PRESS]],t_Parts[hp2016.10])</f>
        <v>0</v>
      </c>
      <c r="BG17" s="43">
        <f>SUMIF(r_PartPresses,t_Presses[[PRESS]:[PRESS]],t_Parts[hp2016.11])</f>
        <v>0</v>
      </c>
      <c r="BH17" s="43">
        <f>SUMIF(r_PartPresses,t_Presses[[PRESS]:[PRESS]],t_Parts[hp2016.12])</f>
        <v>0</v>
      </c>
      <c r="BI17" s="43">
        <f>SUMIF(r_PartPresses,t_Presses[[PRESS]:[PRESS]],t_Parts[hp2016.FY])</f>
        <v>0</v>
      </c>
      <c r="BJ17" s="43">
        <f>SUMIF(r_PartPresses,t_Presses[[PRESS]:[PRESS]],t_Parts[hp2017])</f>
        <v>0</v>
      </c>
      <c r="BK17" s="43">
        <f>SUMIF(r_PartPresses,t_Presses[[PRESS]:[PRESS]],t_Parts[hp2018])</f>
        <v>0</v>
      </c>
      <c r="BL17" s="43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hidden="1" x14ac:dyDescent="0.25">
      <c r="A18" s="16" t="s">
        <v>128</v>
      </c>
      <c r="B18" t="s">
        <v>9</v>
      </c>
      <c r="C18" t="s">
        <v>121</v>
      </c>
      <c r="D18">
        <v>110</v>
      </c>
      <c r="E18" s="18" t="str">
        <f t="shared" si="0"/>
        <v>0-299</v>
      </c>
      <c r="F18" s="15"/>
      <c r="G18" s="18">
        <f>VLOOKUP(t_Presses[[Plant]:[Plant]],t_Plants[],Plants!CN$1,FALSE)</f>
        <v>208</v>
      </c>
      <c r="H18">
        <f>VLOOKUP(t_Presses[[Plant]:[Plant]],t_Plants[],Plants!CO$1,FALSE)</f>
        <v>208</v>
      </c>
      <c r="I18" s="18">
        <f>VLOOKUP(t_Presses[[Plant]:[Plant]],t_Plants[],Plants!CP$1,FALSE)</f>
        <v>272</v>
      </c>
      <c r="J18" s="18">
        <f>VLOOKUP(t_Presses[[Plant]:[Plant]],t_Plants[],Plants!CQ$1,FALSE)</f>
        <v>208</v>
      </c>
      <c r="K18" s="18">
        <f>VLOOKUP(t_Presses[[Plant]:[Plant]],t_Plants[],Plants!CR$1,FALSE)</f>
        <v>208</v>
      </c>
      <c r="L18" s="18">
        <f>VLOOKUP(t_Presses[[Plant]:[Plant]],t_Plants[],Plants!CS$1,FALSE)</f>
        <v>272</v>
      </c>
      <c r="M18" s="18">
        <f>VLOOKUP(t_Presses[[Plant]:[Plant]],t_Plants[],Plants!CT$1,FALSE)</f>
        <v>208</v>
      </c>
      <c r="N18" s="18">
        <f>VLOOKUP(t_Presses[[Plant]:[Plant]],t_Plants[],Plants!CU$1,FALSE)</f>
        <v>208</v>
      </c>
      <c r="O18" s="18">
        <f>VLOOKUP(t_Presses[[Plant]:[Plant]],t_Plants[],Plants!CV$1,FALSE)</f>
        <v>272</v>
      </c>
      <c r="P18" s="18">
        <f>VLOOKUP(t_Presses[[Plant]:[Plant]],t_Plants[],Plants!CW$1,FALSE)</f>
        <v>208</v>
      </c>
      <c r="Q18" s="18">
        <f>VLOOKUP(t_Presses[[Plant]:[Plant]],t_Plants[],Plants!CX$1,FALSE)</f>
        <v>208</v>
      </c>
      <c r="R18" s="18">
        <f>VLOOKUP(t_Presses[[Plant]:[Plant]],t_Plants[],Plants!CY$1,FALSE)</f>
        <v>272</v>
      </c>
      <c r="S18" s="18">
        <f>SUM(t_Presses[[#This Row],[ha2015.01]:[ha2015.12]])</f>
        <v>2752</v>
      </c>
      <c r="T18">
        <f>VLOOKUP(t_Presses[[Plant]:[Plant]],t_Plants[],Plants!DA$1,FALSE)</f>
        <v>208</v>
      </c>
      <c r="U18">
        <f>VLOOKUP(t_Presses[[Plant]:[Plant]],t_Plants[],Plants!DB$1,FALSE)</f>
        <v>208</v>
      </c>
      <c r="V18">
        <f>VLOOKUP(t_Presses[[Plant]:[Plant]],t_Plants[],Plants!DC$1,FALSE)</f>
        <v>272</v>
      </c>
      <c r="W18">
        <f>VLOOKUP(t_Presses[[Plant]:[Plant]],t_Plants[],Plants!DD$1,FALSE)</f>
        <v>208</v>
      </c>
      <c r="X18">
        <f>VLOOKUP(t_Presses[[Plant]:[Plant]],t_Plants[],Plants!DE$1,FALSE)</f>
        <v>208</v>
      </c>
      <c r="Y18">
        <f>VLOOKUP(t_Presses[[Plant]:[Plant]],t_Plants[],Plants!DF$1,FALSE)</f>
        <v>272</v>
      </c>
      <c r="Z18">
        <f>VLOOKUP(t_Presses[[Plant]:[Plant]],t_Plants[],Plants!DG$1,FALSE)</f>
        <v>208</v>
      </c>
      <c r="AA18">
        <f>VLOOKUP(t_Presses[[Plant]:[Plant]],t_Plants[],Plants!DH$1,FALSE)</f>
        <v>208</v>
      </c>
      <c r="AB18">
        <f>VLOOKUP(t_Presses[[Plant]:[Plant]],t_Plants[],Plants!DI$1,FALSE)</f>
        <v>272</v>
      </c>
      <c r="AC18">
        <f>VLOOKUP(t_Presses[[Plant]:[Plant]],t_Plants[],Plants!DJ$1,FALSE)</f>
        <v>208</v>
      </c>
      <c r="AD18">
        <f>VLOOKUP(t_Presses[[Plant]:[Plant]],t_Plants[],Plants!DK$1,FALSE)</f>
        <v>208</v>
      </c>
      <c r="AE18">
        <f>VLOOKUP(t_Presses[[Plant]:[Plant]],t_Plants[],Plants!DL$1,FALSE)</f>
        <v>272</v>
      </c>
      <c r="AF18" s="18">
        <f>SUM(t_Presses[[#This Row],[ha2016.01]:[ha2016.12]])</f>
        <v>2752</v>
      </c>
      <c r="AG18">
        <f>VLOOKUP(t_Presses[[Plant]:[Plant]],t_Plants[],Plants!DN$1,FALSE)</f>
        <v>2752</v>
      </c>
      <c r="AH18">
        <f>VLOOKUP(t_Presses[[Plant]:[Plant]],t_Plants[],Plants!DO$1,FALSE)</f>
        <v>2752</v>
      </c>
      <c r="AI18">
        <f>VLOOKUP(t_Presses[[Plant]:[Plant]],t_Plants[],Plants!DP$1,FALSE)</f>
        <v>2752</v>
      </c>
      <c r="AJ18" s="43">
        <f>SUMIF(r_PartPresses,t_Presses[[PRESS]:[PRESS]],t_Parts[hp2015.01])</f>
        <v>0</v>
      </c>
      <c r="AK18" s="43">
        <f>SUMIF(r_PartPresses,t_Presses[[PRESS]:[PRESS]],t_Parts[hp2015.02])</f>
        <v>0</v>
      </c>
      <c r="AL18" s="43">
        <f>SUMIF(r_PartPresses,t_Presses[[PRESS]:[PRESS]],t_Parts[hp2015.03])</f>
        <v>0</v>
      </c>
      <c r="AM18" s="43">
        <f>SUMIF(r_PartPresses,t_Presses[[PRESS]:[PRESS]],t_Parts[hp2015.04])</f>
        <v>0</v>
      </c>
      <c r="AN18" s="43">
        <f>SUMIF(r_PartPresses,t_Presses[[PRESS]:[PRESS]],t_Parts[hp2015.05])</f>
        <v>0</v>
      </c>
      <c r="AO18" s="43">
        <f>SUMIF(r_PartPresses,t_Presses[[PRESS]:[PRESS]],t_Parts[hp2015.06])</f>
        <v>0</v>
      </c>
      <c r="AP18" s="43">
        <f>SUMIF(r_PartPresses,t_Presses[[PRESS]:[PRESS]],t_Parts[hp2015.07])</f>
        <v>0</v>
      </c>
      <c r="AQ18" s="43">
        <f>SUMIF(r_PartPresses,t_Presses[[PRESS]:[PRESS]],t_Parts[hp2015.08])</f>
        <v>0</v>
      </c>
      <c r="AR18" s="43">
        <f>SUMIF(r_PartPresses,t_Presses[[PRESS]:[PRESS]],t_Parts[hp2015.09])</f>
        <v>0</v>
      </c>
      <c r="AS18" s="43">
        <f>SUMIF(r_PartPresses,t_Presses[[PRESS]:[PRESS]],t_Parts[hp2015.10])</f>
        <v>0</v>
      </c>
      <c r="AT18" s="43">
        <f>SUMIF(r_PartPresses,t_Presses[[PRESS]:[PRESS]],t_Parts[hp2015.11])</f>
        <v>0</v>
      </c>
      <c r="AU18" s="43">
        <f>SUMIF(r_PartPresses,t_Presses[[PRESS]:[PRESS]],t_Parts[hp2015.12])</f>
        <v>0</v>
      </c>
      <c r="AV18" s="43">
        <f>SUM(t_Presses[[#This Row],[hp2015.01]:[hp2015.12]])</f>
        <v>0</v>
      </c>
      <c r="AW18" s="43">
        <f>SUMIF(r_PartPresses,t_Presses[[PRESS]:[PRESS]],t_Parts[hp2016.01])</f>
        <v>0</v>
      </c>
      <c r="AX18" s="43">
        <f>SUMIF(r_PartPresses,t_Presses[[PRESS]:[PRESS]],t_Parts[hp2016.02])</f>
        <v>0</v>
      </c>
      <c r="AY18" s="43">
        <f>SUMIF(r_PartPresses,t_Presses[[PRESS]:[PRESS]],t_Parts[hp2016.03])</f>
        <v>0</v>
      </c>
      <c r="AZ18" s="43">
        <f>SUMIF(r_PartPresses,t_Presses[[PRESS]:[PRESS]],t_Parts[hp2016.04])</f>
        <v>0</v>
      </c>
      <c r="BA18" s="43">
        <f>SUMIF(r_PartPresses,t_Presses[[PRESS]:[PRESS]],t_Parts[hp2016.05])</f>
        <v>0</v>
      </c>
      <c r="BB18" s="43">
        <f>SUMIF(r_PartPresses,t_Presses[[PRESS]:[PRESS]],t_Parts[hp2016.06])</f>
        <v>0</v>
      </c>
      <c r="BC18" s="43">
        <f>SUMIF(r_PartPresses,t_Presses[[PRESS]:[PRESS]],t_Parts[hp2016.07])</f>
        <v>0</v>
      </c>
      <c r="BD18" s="43">
        <f>SUMIF(r_PartPresses,t_Presses[[PRESS]:[PRESS]],t_Parts[hp2016.08])</f>
        <v>0</v>
      </c>
      <c r="BE18" s="43">
        <f>SUMIF(r_PartPresses,t_Presses[[PRESS]:[PRESS]],t_Parts[hp2016.09])</f>
        <v>0</v>
      </c>
      <c r="BF18" s="43">
        <f>SUMIF(r_PartPresses,t_Presses[[PRESS]:[PRESS]],t_Parts[hp2016.10])</f>
        <v>0</v>
      </c>
      <c r="BG18" s="43">
        <f>SUMIF(r_PartPresses,t_Presses[[PRESS]:[PRESS]],t_Parts[hp2016.11])</f>
        <v>0</v>
      </c>
      <c r="BH18" s="43">
        <f>SUMIF(r_PartPresses,t_Presses[[PRESS]:[PRESS]],t_Parts[hp2016.12])</f>
        <v>0</v>
      </c>
      <c r="BI18" s="43">
        <f>SUMIF(r_PartPresses,t_Presses[[PRESS]:[PRESS]],t_Parts[hp2016.FY])</f>
        <v>0</v>
      </c>
      <c r="BJ18" s="43">
        <f>SUMIF(r_PartPresses,t_Presses[[PRESS]:[PRESS]],t_Parts[hp2017])</f>
        <v>0</v>
      </c>
      <c r="BK18" s="43">
        <f>SUMIF(r_PartPresses,t_Presses[[PRESS]:[PRESS]],t_Parts[hp2018])</f>
        <v>0</v>
      </c>
      <c r="BL18" s="43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hidden="1" x14ac:dyDescent="0.25">
      <c r="A19" s="16" t="s">
        <v>129</v>
      </c>
      <c r="B19" t="s">
        <v>9</v>
      </c>
      <c r="C19" t="s">
        <v>121</v>
      </c>
      <c r="D19">
        <v>60</v>
      </c>
      <c r="E19" s="18" t="str">
        <f t="shared" si="0"/>
        <v>0-299</v>
      </c>
      <c r="F19" s="15"/>
      <c r="G19" s="18">
        <f>VLOOKUP(t_Presses[[Plant]:[Plant]],t_Plants[],Plants!CN$1,FALSE)</f>
        <v>208</v>
      </c>
      <c r="H19">
        <f>VLOOKUP(t_Presses[[Plant]:[Plant]],t_Plants[],Plants!CO$1,FALSE)</f>
        <v>208</v>
      </c>
      <c r="I19" s="18">
        <f>VLOOKUP(t_Presses[[Plant]:[Plant]],t_Plants[],Plants!CP$1,FALSE)</f>
        <v>272</v>
      </c>
      <c r="J19" s="18">
        <f>VLOOKUP(t_Presses[[Plant]:[Plant]],t_Plants[],Plants!CQ$1,FALSE)</f>
        <v>208</v>
      </c>
      <c r="K19" s="18">
        <f>VLOOKUP(t_Presses[[Plant]:[Plant]],t_Plants[],Plants!CR$1,FALSE)</f>
        <v>208</v>
      </c>
      <c r="L19" s="18">
        <f>VLOOKUP(t_Presses[[Plant]:[Plant]],t_Plants[],Plants!CS$1,FALSE)</f>
        <v>272</v>
      </c>
      <c r="M19" s="18">
        <f>VLOOKUP(t_Presses[[Plant]:[Plant]],t_Plants[],Plants!CT$1,FALSE)</f>
        <v>208</v>
      </c>
      <c r="N19" s="18">
        <f>VLOOKUP(t_Presses[[Plant]:[Plant]],t_Plants[],Plants!CU$1,FALSE)</f>
        <v>208</v>
      </c>
      <c r="O19" s="18">
        <f>VLOOKUP(t_Presses[[Plant]:[Plant]],t_Plants[],Plants!CV$1,FALSE)</f>
        <v>272</v>
      </c>
      <c r="P19" s="18">
        <f>VLOOKUP(t_Presses[[Plant]:[Plant]],t_Plants[],Plants!CW$1,FALSE)</f>
        <v>208</v>
      </c>
      <c r="Q19" s="18">
        <f>VLOOKUP(t_Presses[[Plant]:[Plant]],t_Plants[],Plants!CX$1,FALSE)</f>
        <v>208</v>
      </c>
      <c r="R19" s="18">
        <f>VLOOKUP(t_Presses[[Plant]:[Plant]],t_Plants[],Plants!CY$1,FALSE)</f>
        <v>272</v>
      </c>
      <c r="S19" s="18">
        <f>SUM(t_Presses[[#This Row],[ha2015.01]:[ha2015.12]])</f>
        <v>2752</v>
      </c>
      <c r="T19">
        <f>VLOOKUP(t_Presses[[Plant]:[Plant]],t_Plants[],Plants!DA$1,FALSE)</f>
        <v>208</v>
      </c>
      <c r="U19">
        <f>VLOOKUP(t_Presses[[Plant]:[Plant]],t_Plants[],Plants!DB$1,FALSE)</f>
        <v>208</v>
      </c>
      <c r="V19">
        <f>VLOOKUP(t_Presses[[Plant]:[Plant]],t_Plants[],Plants!DC$1,FALSE)</f>
        <v>272</v>
      </c>
      <c r="W19">
        <f>VLOOKUP(t_Presses[[Plant]:[Plant]],t_Plants[],Plants!DD$1,FALSE)</f>
        <v>208</v>
      </c>
      <c r="X19">
        <f>VLOOKUP(t_Presses[[Plant]:[Plant]],t_Plants[],Plants!DE$1,FALSE)</f>
        <v>208</v>
      </c>
      <c r="Y19">
        <f>VLOOKUP(t_Presses[[Plant]:[Plant]],t_Plants[],Plants!DF$1,FALSE)</f>
        <v>272</v>
      </c>
      <c r="Z19">
        <f>VLOOKUP(t_Presses[[Plant]:[Plant]],t_Plants[],Plants!DG$1,FALSE)</f>
        <v>208</v>
      </c>
      <c r="AA19">
        <f>VLOOKUP(t_Presses[[Plant]:[Plant]],t_Plants[],Plants!DH$1,FALSE)</f>
        <v>208</v>
      </c>
      <c r="AB19">
        <f>VLOOKUP(t_Presses[[Plant]:[Plant]],t_Plants[],Plants!DI$1,FALSE)</f>
        <v>272</v>
      </c>
      <c r="AC19">
        <f>VLOOKUP(t_Presses[[Plant]:[Plant]],t_Plants[],Plants!DJ$1,FALSE)</f>
        <v>208</v>
      </c>
      <c r="AD19">
        <f>VLOOKUP(t_Presses[[Plant]:[Plant]],t_Plants[],Plants!DK$1,FALSE)</f>
        <v>208</v>
      </c>
      <c r="AE19">
        <f>VLOOKUP(t_Presses[[Plant]:[Plant]],t_Plants[],Plants!DL$1,FALSE)</f>
        <v>272</v>
      </c>
      <c r="AF19" s="18">
        <f>SUM(t_Presses[[#This Row],[ha2016.01]:[ha2016.12]])</f>
        <v>2752</v>
      </c>
      <c r="AG19">
        <f>VLOOKUP(t_Presses[[Plant]:[Plant]],t_Plants[],Plants!DN$1,FALSE)</f>
        <v>2752</v>
      </c>
      <c r="AH19">
        <f>VLOOKUP(t_Presses[[Plant]:[Plant]],t_Plants[],Plants!DO$1,FALSE)</f>
        <v>2752</v>
      </c>
      <c r="AI19">
        <f>VLOOKUP(t_Presses[[Plant]:[Plant]],t_Plants[],Plants!DP$1,FALSE)</f>
        <v>2752</v>
      </c>
      <c r="AJ19" s="43">
        <f>SUMIF(r_PartPresses,t_Presses[[PRESS]:[PRESS]],t_Parts[hp2015.01])</f>
        <v>0</v>
      </c>
      <c r="AK19" s="43">
        <f>SUMIF(r_PartPresses,t_Presses[[PRESS]:[PRESS]],t_Parts[hp2015.02])</f>
        <v>0</v>
      </c>
      <c r="AL19" s="43">
        <f>SUMIF(r_PartPresses,t_Presses[[PRESS]:[PRESS]],t_Parts[hp2015.03])</f>
        <v>0</v>
      </c>
      <c r="AM19" s="43">
        <f>SUMIF(r_PartPresses,t_Presses[[PRESS]:[PRESS]],t_Parts[hp2015.04])</f>
        <v>0</v>
      </c>
      <c r="AN19" s="43">
        <f>SUMIF(r_PartPresses,t_Presses[[PRESS]:[PRESS]],t_Parts[hp2015.05])</f>
        <v>0</v>
      </c>
      <c r="AO19" s="43">
        <f>SUMIF(r_PartPresses,t_Presses[[PRESS]:[PRESS]],t_Parts[hp2015.06])</f>
        <v>0</v>
      </c>
      <c r="AP19" s="43">
        <f>SUMIF(r_PartPresses,t_Presses[[PRESS]:[PRESS]],t_Parts[hp2015.07])</f>
        <v>0</v>
      </c>
      <c r="AQ19" s="43">
        <f>SUMIF(r_PartPresses,t_Presses[[PRESS]:[PRESS]],t_Parts[hp2015.08])</f>
        <v>0</v>
      </c>
      <c r="AR19" s="43">
        <f>SUMIF(r_PartPresses,t_Presses[[PRESS]:[PRESS]],t_Parts[hp2015.09])</f>
        <v>0</v>
      </c>
      <c r="AS19" s="43">
        <f>SUMIF(r_PartPresses,t_Presses[[PRESS]:[PRESS]],t_Parts[hp2015.10])</f>
        <v>0</v>
      </c>
      <c r="AT19" s="43">
        <f>SUMIF(r_PartPresses,t_Presses[[PRESS]:[PRESS]],t_Parts[hp2015.11])</f>
        <v>0</v>
      </c>
      <c r="AU19" s="43">
        <f>SUMIF(r_PartPresses,t_Presses[[PRESS]:[PRESS]],t_Parts[hp2015.12])</f>
        <v>0</v>
      </c>
      <c r="AV19" s="43">
        <f>SUM(t_Presses[[#This Row],[hp2015.01]:[hp2015.12]])</f>
        <v>0</v>
      </c>
      <c r="AW19" s="43">
        <f>SUMIF(r_PartPresses,t_Presses[[PRESS]:[PRESS]],t_Parts[hp2016.01])</f>
        <v>0</v>
      </c>
      <c r="AX19" s="43">
        <f>SUMIF(r_PartPresses,t_Presses[[PRESS]:[PRESS]],t_Parts[hp2016.02])</f>
        <v>0</v>
      </c>
      <c r="AY19" s="43">
        <f>SUMIF(r_PartPresses,t_Presses[[PRESS]:[PRESS]],t_Parts[hp2016.03])</f>
        <v>0</v>
      </c>
      <c r="AZ19" s="43">
        <f>SUMIF(r_PartPresses,t_Presses[[PRESS]:[PRESS]],t_Parts[hp2016.04])</f>
        <v>0</v>
      </c>
      <c r="BA19" s="43">
        <f>SUMIF(r_PartPresses,t_Presses[[PRESS]:[PRESS]],t_Parts[hp2016.05])</f>
        <v>0</v>
      </c>
      <c r="BB19" s="43">
        <f>SUMIF(r_PartPresses,t_Presses[[PRESS]:[PRESS]],t_Parts[hp2016.06])</f>
        <v>0</v>
      </c>
      <c r="BC19" s="43">
        <f>SUMIF(r_PartPresses,t_Presses[[PRESS]:[PRESS]],t_Parts[hp2016.07])</f>
        <v>0</v>
      </c>
      <c r="BD19" s="43">
        <f>SUMIF(r_PartPresses,t_Presses[[PRESS]:[PRESS]],t_Parts[hp2016.08])</f>
        <v>0</v>
      </c>
      <c r="BE19" s="43">
        <f>SUMIF(r_PartPresses,t_Presses[[PRESS]:[PRESS]],t_Parts[hp2016.09])</f>
        <v>0</v>
      </c>
      <c r="BF19" s="43">
        <f>SUMIF(r_PartPresses,t_Presses[[PRESS]:[PRESS]],t_Parts[hp2016.10])</f>
        <v>0</v>
      </c>
      <c r="BG19" s="43">
        <f>SUMIF(r_PartPresses,t_Presses[[PRESS]:[PRESS]],t_Parts[hp2016.11])</f>
        <v>0</v>
      </c>
      <c r="BH19" s="43">
        <f>SUMIF(r_PartPresses,t_Presses[[PRESS]:[PRESS]],t_Parts[hp2016.12])</f>
        <v>0</v>
      </c>
      <c r="BI19" s="43">
        <f>SUMIF(r_PartPresses,t_Presses[[PRESS]:[PRESS]],t_Parts[hp2016.FY])</f>
        <v>0</v>
      </c>
      <c r="BJ19" s="43">
        <f>SUMIF(r_PartPresses,t_Presses[[PRESS]:[PRESS]],t_Parts[hp2017])</f>
        <v>0</v>
      </c>
      <c r="BK19" s="43">
        <f>SUMIF(r_PartPresses,t_Presses[[PRESS]:[PRESS]],t_Parts[hp2018])</f>
        <v>0</v>
      </c>
      <c r="BL19" s="43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hidden="1" x14ac:dyDescent="0.25">
      <c r="A20" s="16" t="s">
        <v>130</v>
      </c>
      <c r="B20" t="s">
        <v>9</v>
      </c>
      <c r="C20" t="s">
        <v>121</v>
      </c>
      <c r="D20">
        <v>250</v>
      </c>
      <c r="E20" s="18" t="str">
        <f t="shared" si="0"/>
        <v>0-299</v>
      </c>
      <c r="F20" s="15"/>
      <c r="G20" s="18">
        <f>VLOOKUP(t_Presses[[Plant]:[Plant]],t_Plants[],Plants!CN$1,FALSE)</f>
        <v>208</v>
      </c>
      <c r="H20">
        <f>VLOOKUP(t_Presses[[Plant]:[Plant]],t_Plants[],Plants!CO$1,FALSE)</f>
        <v>208</v>
      </c>
      <c r="I20" s="18">
        <f>VLOOKUP(t_Presses[[Plant]:[Plant]],t_Plants[],Plants!CP$1,FALSE)</f>
        <v>272</v>
      </c>
      <c r="J20" s="18">
        <f>VLOOKUP(t_Presses[[Plant]:[Plant]],t_Plants[],Plants!CQ$1,FALSE)</f>
        <v>208</v>
      </c>
      <c r="K20" s="18">
        <f>VLOOKUP(t_Presses[[Plant]:[Plant]],t_Plants[],Plants!CR$1,FALSE)</f>
        <v>208</v>
      </c>
      <c r="L20" s="18">
        <f>VLOOKUP(t_Presses[[Plant]:[Plant]],t_Plants[],Plants!CS$1,FALSE)</f>
        <v>272</v>
      </c>
      <c r="M20" s="18">
        <f>VLOOKUP(t_Presses[[Plant]:[Plant]],t_Plants[],Plants!CT$1,FALSE)</f>
        <v>208</v>
      </c>
      <c r="N20" s="18">
        <f>VLOOKUP(t_Presses[[Plant]:[Plant]],t_Plants[],Plants!CU$1,FALSE)</f>
        <v>208</v>
      </c>
      <c r="O20" s="18">
        <f>VLOOKUP(t_Presses[[Plant]:[Plant]],t_Plants[],Plants!CV$1,FALSE)</f>
        <v>272</v>
      </c>
      <c r="P20" s="18">
        <f>VLOOKUP(t_Presses[[Plant]:[Plant]],t_Plants[],Plants!CW$1,FALSE)</f>
        <v>208</v>
      </c>
      <c r="Q20" s="18">
        <f>VLOOKUP(t_Presses[[Plant]:[Plant]],t_Plants[],Plants!CX$1,FALSE)</f>
        <v>208</v>
      </c>
      <c r="R20" s="18">
        <f>VLOOKUP(t_Presses[[Plant]:[Plant]],t_Plants[],Plants!CY$1,FALSE)</f>
        <v>272</v>
      </c>
      <c r="S20" s="18">
        <f>SUM(t_Presses[[#This Row],[ha2015.01]:[ha2015.12]])</f>
        <v>2752</v>
      </c>
      <c r="T20">
        <f>VLOOKUP(t_Presses[[Plant]:[Plant]],t_Plants[],Plants!DA$1,FALSE)</f>
        <v>208</v>
      </c>
      <c r="U20">
        <f>VLOOKUP(t_Presses[[Plant]:[Plant]],t_Plants[],Plants!DB$1,FALSE)</f>
        <v>208</v>
      </c>
      <c r="V20">
        <f>VLOOKUP(t_Presses[[Plant]:[Plant]],t_Plants[],Plants!DC$1,FALSE)</f>
        <v>272</v>
      </c>
      <c r="W20">
        <f>VLOOKUP(t_Presses[[Plant]:[Plant]],t_Plants[],Plants!DD$1,FALSE)</f>
        <v>208</v>
      </c>
      <c r="X20">
        <f>VLOOKUP(t_Presses[[Plant]:[Plant]],t_Plants[],Plants!DE$1,FALSE)</f>
        <v>208</v>
      </c>
      <c r="Y20">
        <f>VLOOKUP(t_Presses[[Plant]:[Plant]],t_Plants[],Plants!DF$1,FALSE)</f>
        <v>272</v>
      </c>
      <c r="Z20">
        <f>VLOOKUP(t_Presses[[Plant]:[Plant]],t_Plants[],Plants!DG$1,FALSE)</f>
        <v>208</v>
      </c>
      <c r="AA20">
        <f>VLOOKUP(t_Presses[[Plant]:[Plant]],t_Plants[],Plants!DH$1,FALSE)</f>
        <v>208</v>
      </c>
      <c r="AB20">
        <f>VLOOKUP(t_Presses[[Plant]:[Plant]],t_Plants[],Plants!DI$1,FALSE)</f>
        <v>272</v>
      </c>
      <c r="AC20">
        <f>VLOOKUP(t_Presses[[Plant]:[Plant]],t_Plants[],Plants!DJ$1,FALSE)</f>
        <v>208</v>
      </c>
      <c r="AD20">
        <f>VLOOKUP(t_Presses[[Plant]:[Plant]],t_Plants[],Plants!DK$1,FALSE)</f>
        <v>208</v>
      </c>
      <c r="AE20">
        <f>VLOOKUP(t_Presses[[Plant]:[Plant]],t_Plants[],Plants!DL$1,FALSE)</f>
        <v>272</v>
      </c>
      <c r="AF20" s="18">
        <f>SUM(t_Presses[[#This Row],[ha2016.01]:[ha2016.12]])</f>
        <v>2752</v>
      </c>
      <c r="AG20">
        <f>VLOOKUP(t_Presses[[Plant]:[Plant]],t_Plants[],Plants!DN$1,FALSE)</f>
        <v>2752</v>
      </c>
      <c r="AH20">
        <f>VLOOKUP(t_Presses[[Plant]:[Plant]],t_Plants[],Plants!DO$1,FALSE)</f>
        <v>2752</v>
      </c>
      <c r="AI20">
        <f>VLOOKUP(t_Presses[[Plant]:[Plant]],t_Plants[],Plants!DP$1,FALSE)</f>
        <v>2752</v>
      </c>
      <c r="AJ20" s="43">
        <f>SUMIF(r_PartPresses,t_Presses[[PRESS]:[PRESS]],t_Parts[hp2015.01])</f>
        <v>0</v>
      </c>
      <c r="AK20" s="43">
        <f>SUMIF(r_PartPresses,t_Presses[[PRESS]:[PRESS]],t_Parts[hp2015.02])</f>
        <v>0</v>
      </c>
      <c r="AL20" s="43">
        <f>SUMIF(r_PartPresses,t_Presses[[PRESS]:[PRESS]],t_Parts[hp2015.03])</f>
        <v>0</v>
      </c>
      <c r="AM20" s="43">
        <f>SUMIF(r_PartPresses,t_Presses[[PRESS]:[PRESS]],t_Parts[hp2015.04])</f>
        <v>0</v>
      </c>
      <c r="AN20" s="43">
        <f>SUMIF(r_PartPresses,t_Presses[[PRESS]:[PRESS]],t_Parts[hp2015.05])</f>
        <v>0</v>
      </c>
      <c r="AO20" s="43">
        <f>SUMIF(r_PartPresses,t_Presses[[PRESS]:[PRESS]],t_Parts[hp2015.06])</f>
        <v>0</v>
      </c>
      <c r="AP20" s="43">
        <f>SUMIF(r_PartPresses,t_Presses[[PRESS]:[PRESS]],t_Parts[hp2015.07])</f>
        <v>0</v>
      </c>
      <c r="AQ20" s="43">
        <f>SUMIF(r_PartPresses,t_Presses[[PRESS]:[PRESS]],t_Parts[hp2015.08])</f>
        <v>0</v>
      </c>
      <c r="AR20" s="43">
        <f>SUMIF(r_PartPresses,t_Presses[[PRESS]:[PRESS]],t_Parts[hp2015.09])</f>
        <v>0</v>
      </c>
      <c r="AS20" s="43">
        <f>SUMIF(r_PartPresses,t_Presses[[PRESS]:[PRESS]],t_Parts[hp2015.10])</f>
        <v>0</v>
      </c>
      <c r="AT20" s="43">
        <f>SUMIF(r_PartPresses,t_Presses[[PRESS]:[PRESS]],t_Parts[hp2015.11])</f>
        <v>0</v>
      </c>
      <c r="AU20" s="43">
        <f>SUMIF(r_PartPresses,t_Presses[[PRESS]:[PRESS]],t_Parts[hp2015.12])</f>
        <v>0</v>
      </c>
      <c r="AV20" s="43">
        <f>SUM(t_Presses[[#This Row],[hp2015.01]:[hp2015.12]])</f>
        <v>0</v>
      </c>
      <c r="AW20" s="43">
        <f>SUMIF(r_PartPresses,t_Presses[[PRESS]:[PRESS]],t_Parts[hp2016.01])</f>
        <v>0</v>
      </c>
      <c r="AX20" s="43">
        <f>SUMIF(r_PartPresses,t_Presses[[PRESS]:[PRESS]],t_Parts[hp2016.02])</f>
        <v>0</v>
      </c>
      <c r="AY20" s="43">
        <f>SUMIF(r_PartPresses,t_Presses[[PRESS]:[PRESS]],t_Parts[hp2016.03])</f>
        <v>0</v>
      </c>
      <c r="AZ20" s="43">
        <f>SUMIF(r_PartPresses,t_Presses[[PRESS]:[PRESS]],t_Parts[hp2016.04])</f>
        <v>0</v>
      </c>
      <c r="BA20" s="43">
        <f>SUMIF(r_PartPresses,t_Presses[[PRESS]:[PRESS]],t_Parts[hp2016.05])</f>
        <v>0</v>
      </c>
      <c r="BB20" s="43">
        <f>SUMIF(r_PartPresses,t_Presses[[PRESS]:[PRESS]],t_Parts[hp2016.06])</f>
        <v>0</v>
      </c>
      <c r="BC20" s="43">
        <f>SUMIF(r_PartPresses,t_Presses[[PRESS]:[PRESS]],t_Parts[hp2016.07])</f>
        <v>0</v>
      </c>
      <c r="BD20" s="43">
        <f>SUMIF(r_PartPresses,t_Presses[[PRESS]:[PRESS]],t_Parts[hp2016.08])</f>
        <v>0</v>
      </c>
      <c r="BE20" s="43">
        <f>SUMIF(r_PartPresses,t_Presses[[PRESS]:[PRESS]],t_Parts[hp2016.09])</f>
        <v>0</v>
      </c>
      <c r="BF20" s="43">
        <f>SUMIF(r_PartPresses,t_Presses[[PRESS]:[PRESS]],t_Parts[hp2016.10])</f>
        <v>0</v>
      </c>
      <c r="BG20" s="43">
        <f>SUMIF(r_PartPresses,t_Presses[[PRESS]:[PRESS]],t_Parts[hp2016.11])</f>
        <v>0</v>
      </c>
      <c r="BH20" s="43">
        <f>SUMIF(r_PartPresses,t_Presses[[PRESS]:[PRESS]],t_Parts[hp2016.12])</f>
        <v>0</v>
      </c>
      <c r="BI20" s="43">
        <f>SUMIF(r_PartPresses,t_Presses[[PRESS]:[PRESS]],t_Parts[hp2016.FY])</f>
        <v>0</v>
      </c>
      <c r="BJ20" s="43">
        <f>SUMIF(r_PartPresses,t_Presses[[PRESS]:[PRESS]],t_Parts[hp2017])</f>
        <v>0</v>
      </c>
      <c r="BK20" s="43">
        <f>SUMIF(r_PartPresses,t_Presses[[PRESS]:[PRESS]],t_Parts[hp2018])</f>
        <v>0</v>
      </c>
      <c r="BL20" s="43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hidden="1" x14ac:dyDescent="0.25">
      <c r="A21" s="16" t="s">
        <v>131</v>
      </c>
      <c r="B21" t="s">
        <v>9</v>
      </c>
      <c r="C21" t="s">
        <v>121</v>
      </c>
      <c r="D21">
        <v>300</v>
      </c>
      <c r="E21" s="18" t="str">
        <f t="shared" si="0"/>
        <v>300-599</v>
      </c>
      <c r="F21" s="15"/>
      <c r="G21" s="18">
        <f>VLOOKUP(t_Presses[[Plant]:[Plant]],t_Plants[],Plants!CN$1,FALSE)</f>
        <v>208</v>
      </c>
      <c r="H21">
        <f>VLOOKUP(t_Presses[[Plant]:[Plant]],t_Plants[],Plants!CO$1,FALSE)</f>
        <v>208</v>
      </c>
      <c r="I21" s="18">
        <f>VLOOKUP(t_Presses[[Plant]:[Plant]],t_Plants[],Plants!CP$1,FALSE)</f>
        <v>272</v>
      </c>
      <c r="J21" s="18">
        <f>VLOOKUP(t_Presses[[Plant]:[Plant]],t_Plants[],Plants!CQ$1,FALSE)</f>
        <v>208</v>
      </c>
      <c r="K21" s="18">
        <f>VLOOKUP(t_Presses[[Plant]:[Plant]],t_Plants[],Plants!CR$1,FALSE)</f>
        <v>208</v>
      </c>
      <c r="L21" s="18">
        <f>VLOOKUP(t_Presses[[Plant]:[Plant]],t_Plants[],Plants!CS$1,FALSE)</f>
        <v>272</v>
      </c>
      <c r="M21" s="18">
        <f>VLOOKUP(t_Presses[[Plant]:[Plant]],t_Plants[],Plants!CT$1,FALSE)</f>
        <v>208</v>
      </c>
      <c r="N21" s="18">
        <f>VLOOKUP(t_Presses[[Plant]:[Plant]],t_Plants[],Plants!CU$1,FALSE)</f>
        <v>208</v>
      </c>
      <c r="O21" s="18">
        <f>VLOOKUP(t_Presses[[Plant]:[Plant]],t_Plants[],Plants!CV$1,FALSE)</f>
        <v>272</v>
      </c>
      <c r="P21" s="18">
        <f>VLOOKUP(t_Presses[[Plant]:[Plant]],t_Plants[],Plants!CW$1,FALSE)</f>
        <v>208</v>
      </c>
      <c r="Q21" s="18">
        <f>VLOOKUP(t_Presses[[Plant]:[Plant]],t_Plants[],Plants!CX$1,FALSE)</f>
        <v>208</v>
      </c>
      <c r="R21" s="18">
        <f>VLOOKUP(t_Presses[[Plant]:[Plant]],t_Plants[],Plants!CY$1,FALSE)</f>
        <v>272</v>
      </c>
      <c r="S21" s="18">
        <f>SUM(t_Presses[[#This Row],[ha2015.01]:[ha2015.12]])</f>
        <v>2752</v>
      </c>
      <c r="T21">
        <f>VLOOKUP(t_Presses[[Plant]:[Plant]],t_Plants[],Plants!DA$1,FALSE)</f>
        <v>208</v>
      </c>
      <c r="U21">
        <f>VLOOKUP(t_Presses[[Plant]:[Plant]],t_Plants[],Plants!DB$1,FALSE)</f>
        <v>208</v>
      </c>
      <c r="V21">
        <f>VLOOKUP(t_Presses[[Plant]:[Plant]],t_Plants[],Plants!DC$1,FALSE)</f>
        <v>272</v>
      </c>
      <c r="W21">
        <f>VLOOKUP(t_Presses[[Plant]:[Plant]],t_Plants[],Plants!DD$1,FALSE)</f>
        <v>208</v>
      </c>
      <c r="X21">
        <f>VLOOKUP(t_Presses[[Plant]:[Plant]],t_Plants[],Plants!DE$1,FALSE)</f>
        <v>208</v>
      </c>
      <c r="Y21">
        <f>VLOOKUP(t_Presses[[Plant]:[Plant]],t_Plants[],Plants!DF$1,FALSE)</f>
        <v>272</v>
      </c>
      <c r="Z21">
        <f>VLOOKUP(t_Presses[[Plant]:[Plant]],t_Plants[],Plants!DG$1,FALSE)</f>
        <v>208</v>
      </c>
      <c r="AA21">
        <f>VLOOKUP(t_Presses[[Plant]:[Plant]],t_Plants[],Plants!DH$1,FALSE)</f>
        <v>208</v>
      </c>
      <c r="AB21">
        <f>VLOOKUP(t_Presses[[Plant]:[Plant]],t_Plants[],Plants!DI$1,FALSE)</f>
        <v>272</v>
      </c>
      <c r="AC21">
        <f>VLOOKUP(t_Presses[[Plant]:[Plant]],t_Plants[],Plants!DJ$1,FALSE)</f>
        <v>208</v>
      </c>
      <c r="AD21">
        <f>VLOOKUP(t_Presses[[Plant]:[Plant]],t_Plants[],Plants!DK$1,FALSE)</f>
        <v>208</v>
      </c>
      <c r="AE21">
        <f>VLOOKUP(t_Presses[[Plant]:[Plant]],t_Plants[],Plants!DL$1,FALSE)</f>
        <v>272</v>
      </c>
      <c r="AF21" s="18">
        <f>SUM(t_Presses[[#This Row],[ha2016.01]:[ha2016.12]])</f>
        <v>2752</v>
      </c>
      <c r="AG21">
        <f>VLOOKUP(t_Presses[[Plant]:[Plant]],t_Plants[],Plants!DN$1,FALSE)</f>
        <v>2752</v>
      </c>
      <c r="AH21">
        <f>VLOOKUP(t_Presses[[Plant]:[Plant]],t_Plants[],Plants!DO$1,FALSE)</f>
        <v>2752</v>
      </c>
      <c r="AI21">
        <f>VLOOKUP(t_Presses[[Plant]:[Plant]],t_Plants[],Plants!DP$1,FALSE)</f>
        <v>2752</v>
      </c>
      <c r="AJ21" s="43">
        <f>SUMIF(r_PartPresses,t_Presses[[PRESS]:[PRESS]],t_Parts[hp2015.01])</f>
        <v>0</v>
      </c>
      <c r="AK21" s="43">
        <f>SUMIF(r_PartPresses,t_Presses[[PRESS]:[PRESS]],t_Parts[hp2015.02])</f>
        <v>0</v>
      </c>
      <c r="AL21" s="43">
        <f>SUMIF(r_PartPresses,t_Presses[[PRESS]:[PRESS]],t_Parts[hp2015.03])</f>
        <v>0</v>
      </c>
      <c r="AM21" s="43">
        <f>SUMIF(r_PartPresses,t_Presses[[PRESS]:[PRESS]],t_Parts[hp2015.04])</f>
        <v>0</v>
      </c>
      <c r="AN21" s="43">
        <f>SUMIF(r_PartPresses,t_Presses[[PRESS]:[PRESS]],t_Parts[hp2015.05])</f>
        <v>0</v>
      </c>
      <c r="AO21" s="43">
        <f>SUMIF(r_PartPresses,t_Presses[[PRESS]:[PRESS]],t_Parts[hp2015.06])</f>
        <v>0</v>
      </c>
      <c r="AP21" s="43">
        <f>SUMIF(r_PartPresses,t_Presses[[PRESS]:[PRESS]],t_Parts[hp2015.07])</f>
        <v>0</v>
      </c>
      <c r="AQ21" s="43">
        <f>SUMIF(r_PartPresses,t_Presses[[PRESS]:[PRESS]],t_Parts[hp2015.08])</f>
        <v>0</v>
      </c>
      <c r="AR21" s="43">
        <f>SUMIF(r_PartPresses,t_Presses[[PRESS]:[PRESS]],t_Parts[hp2015.09])</f>
        <v>0</v>
      </c>
      <c r="AS21" s="43">
        <f>SUMIF(r_PartPresses,t_Presses[[PRESS]:[PRESS]],t_Parts[hp2015.10])</f>
        <v>0</v>
      </c>
      <c r="AT21" s="43">
        <f>SUMIF(r_PartPresses,t_Presses[[PRESS]:[PRESS]],t_Parts[hp2015.11])</f>
        <v>0</v>
      </c>
      <c r="AU21" s="43">
        <f>SUMIF(r_PartPresses,t_Presses[[PRESS]:[PRESS]],t_Parts[hp2015.12])</f>
        <v>0</v>
      </c>
      <c r="AV21" s="43">
        <f>SUM(t_Presses[[#This Row],[hp2015.01]:[hp2015.12]])</f>
        <v>0</v>
      </c>
      <c r="AW21" s="43">
        <f>SUMIF(r_PartPresses,t_Presses[[PRESS]:[PRESS]],t_Parts[hp2016.01])</f>
        <v>0</v>
      </c>
      <c r="AX21" s="43">
        <f>SUMIF(r_PartPresses,t_Presses[[PRESS]:[PRESS]],t_Parts[hp2016.02])</f>
        <v>0</v>
      </c>
      <c r="AY21" s="43">
        <f>SUMIF(r_PartPresses,t_Presses[[PRESS]:[PRESS]],t_Parts[hp2016.03])</f>
        <v>0</v>
      </c>
      <c r="AZ21" s="43">
        <f>SUMIF(r_PartPresses,t_Presses[[PRESS]:[PRESS]],t_Parts[hp2016.04])</f>
        <v>0</v>
      </c>
      <c r="BA21" s="43">
        <f>SUMIF(r_PartPresses,t_Presses[[PRESS]:[PRESS]],t_Parts[hp2016.05])</f>
        <v>0</v>
      </c>
      <c r="BB21" s="43">
        <f>SUMIF(r_PartPresses,t_Presses[[PRESS]:[PRESS]],t_Parts[hp2016.06])</f>
        <v>0</v>
      </c>
      <c r="BC21" s="43">
        <f>SUMIF(r_PartPresses,t_Presses[[PRESS]:[PRESS]],t_Parts[hp2016.07])</f>
        <v>0</v>
      </c>
      <c r="BD21" s="43">
        <f>SUMIF(r_PartPresses,t_Presses[[PRESS]:[PRESS]],t_Parts[hp2016.08])</f>
        <v>0</v>
      </c>
      <c r="BE21" s="43">
        <f>SUMIF(r_PartPresses,t_Presses[[PRESS]:[PRESS]],t_Parts[hp2016.09])</f>
        <v>0</v>
      </c>
      <c r="BF21" s="43">
        <f>SUMIF(r_PartPresses,t_Presses[[PRESS]:[PRESS]],t_Parts[hp2016.10])</f>
        <v>0</v>
      </c>
      <c r="BG21" s="43">
        <f>SUMIF(r_PartPresses,t_Presses[[PRESS]:[PRESS]],t_Parts[hp2016.11])</f>
        <v>0</v>
      </c>
      <c r="BH21" s="43">
        <f>SUMIF(r_PartPresses,t_Presses[[PRESS]:[PRESS]],t_Parts[hp2016.12])</f>
        <v>0</v>
      </c>
      <c r="BI21" s="43">
        <f>SUMIF(r_PartPresses,t_Presses[[PRESS]:[PRESS]],t_Parts[hp2016.FY])</f>
        <v>0</v>
      </c>
      <c r="BJ21" s="43">
        <f>SUMIF(r_PartPresses,t_Presses[[PRESS]:[PRESS]],t_Parts[hp2017])</f>
        <v>0</v>
      </c>
      <c r="BK21" s="43">
        <f>SUMIF(r_PartPresses,t_Presses[[PRESS]:[PRESS]],t_Parts[hp2018])</f>
        <v>0</v>
      </c>
      <c r="BL21" s="43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hidden="1" x14ac:dyDescent="0.25">
      <c r="A22" s="16" t="s">
        <v>132</v>
      </c>
      <c r="B22" t="s">
        <v>9</v>
      </c>
      <c r="C22" t="s">
        <v>121</v>
      </c>
      <c r="D22">
        <v>200</v>
      </c>
      <c r="E22" s="18" t="str">
        <f t="shared" si="0"/>
        <v>0-299</v>
      </c>
      <c r="F22" s="15"/>
      <c r="G22" s="18">
        <f>VLOOKUP(t_Presses[[Plant]:[Plant]],t_Plants[],Plants!CN$1,FALSE)</f>
        <v>208</v>
      </c>
      <c r="H22">
        <f>VLOOKUP(t_Presses[[Plant]:[Plant]],t_Plants[],Plants!CO$1,FALSE)</f>
        <v>208</v>
      </c>
      <c r="I22" s="18">
        <f>VLOOKUP(t_Presses[[Plant]:[Plant]],t_Plants[],Plants!CP$1,FALSE)</f>
        <v>272</v>
      </c>
      <c r="J22" s="18">
        <f>VLOOKUP(t_Presses[[Plant]:[Plant]],t_Plants[],Plants!CQ$1,FALSE)</f>
        <v>208</v>
      </c>
      <c r="K22" s="18">
        <f>VLOOKUP(t_Presses[[Plant]:[Plant]],t_Plants[],Plants!CR$1,FALSE)</f>
        <v>208</v>
      </c>
      <c r="L22" s="18">
        <f>VLOOKUP(t_Presses[[Plant]:[Plant]],t_Plants[],Plants!CS$1,FALSE)</f>
        <v>272</v>
      </c>
      <c r="M22" s="18">
        <f>VLOOKUP(t_Presses[[Plant]:[Plant]],t_Plants[],Plants!CT$1,FALSE)</f>
        <v>208</v>
      </c>
      <c r="N22" s="18">
        <f>VLOOKUP(t_Presses[[Plant]:[Plant]],t_Plants[],Plants!CU$1,FALSE)</f>
        <v>208</v>
      </c>
      <c r="O22" s="18">
        <f>VLOOKUP(t_Presses[[Plant]:[Plant]],t_Plants[],Plants!CV$1,FALSE)</f>
        <v>272</v>
      </c>
      <c r="P22" s="18">
        <f>VLOOKUP(t_Presses[[Plant]:[Plant]],t_Plants[],Plants!CW$1,FALSE)</f>
        <v>208</v>
      </c>
      <c r="Q22" s="18">
        <f>VLOOKUP(t_Presses[[Plant]:[Plant]],t_Plants[],Plants!CX$1,FALSE)</f>
        <v>208</v>
      </c>
      <c r="R22" s="18">
        <f>VLOOKUP(t_Presses[[Plant]:[Plant]],t_Plants[],Plants!CY$1,FALSE)</f>
        <v>272</v>
      </c>
      <c r="S22" s="18">
        <f>SUM(t_Presses[[#This Row],[ha2015.01]:[ha2015.12]])</f>
        <v>2752</v>
      </c>
      <c r="T22">
        <f>VLOOKUP(t_Presses[[Plant]:[Plant]],t_Plants[],Plants!DA$1,FALSE)</f>
        <v>208</v>
      </c>
      <c r="U22">
        <f>VLOOKUP(t_Presses[[Plant]:[Plant]],t_Plants[],Plants!DB$1,FALSE)</f>
        <v>208</v>
      </c>
      <c r="V22">
        <f>VLOOKUP(t_Presses[[Plant]:[Plant]],t_Plants[],Plants!DC$1,FALSE)</f>
        <v>272</v>
      </c>
      <c r="W22">
        <f>VLOOKUP(t_Presses[[Plant]:[Plant]],t_Plants[],Plants!DD$1,FALSE)</f>
        <v>208</v>
      </c>
      <c r="X22">
        <f>VLOOKUP(t_Presses[[Plant]:[Plant]],t_Plants[],Plants!DE$1,FALSE)</f>
        <v>208</v>
      </c>
      <c r="Y22">
        <f>VLOOKUP(t_Presses[[Plant]:[Plant]],t_Plants[],Plants!DF$1,FALSE)</f>
        <v>272</v>
      </c>
      <c r="Z22">
        <f>VLOOKUP(t_Presses[[Plant]:[Plant]],t_Plants[],Plants!DG$1,FALSE)</f>
        <v>208</v>
      </c>
      <c r="AA22">
        <f>VLOOKUP(t_Presses[[Plant]:[Plant]],t_Plants[],Plants!DH$1,FALSE)</f>
        <v>208</v>
      </c>
      <c r="AB22">
        <f>VLOOKUP(t_Presses[[Plant]:[Plant]],t_Plants[],Plants!DI$1,FALSE)</f>
        <v>272</v>
      </c>
      <c r="AC22">
        <f>VLOOKUP(t_Presses[[Plant]:[Plant]],t_Plants[],Plants!DJ$1,FALSE)</f>
        <v>208</v>
      </c>
      <c r="AD22">
        <f>VLOOKUP(t_Presses[[Plant]:[Plant]],t_Plants[],Plants!DK$1,FALSE)</f>
        <v>208</v>
      </c>
      <c r="AE22">
        <f>VLOOKUP(t_Presses[[Plant]:[Plant]],t_Plants[],Plants!DL$1,FALSE)</f>
        <v>272</v>
      </c>
      <c r="AF22" s="18">
        <f>SUM(t_Presses[[#This Row],[ha2016.01]:[ha2016.12]])</f>
        <v>2752</v>
      </c>
      <c r="AG22">
        <f>VLOOKUP(t_Presses[[Plant]:[Plant]],t_Plants[],Plants!DN$1,FALSE)</f>
        <v>2752</v>
      </c>
      <c r="AH22">
        <f>VLOOKUP(t_Presses[[Plant]:[Plant]],t_Plants[],Plants!DO$1,FALSE)</f>
        <v>2752</v>
      </c>
      <c r="AI22">
        <f>VLOOKUP(t_Presses[[Plant]:[Plant]],t_Plants[],Plants!DP$1,FALSE)</f>
        <v>2752</v>
      </c>
      <c r="AJ22" s="43">
        <f>SUMIF(r_PartPresses,t_Presses[[PRESS]:[PRESS]],t_Parts[hp2015.01])</f>
        <v>0</v>
      </c>
      <c r="AK22" s="43">
        <f>SUMIF(r_PartPresses,t_Presses[[PRESS]:[PRESS]],t_Parts[hp2015.02])</f>
        <v>0</v>
      </c>
      <c r="AL22" s="43">
        <f>SUMIF(r_PartPresses,t_Presses[[PRESS]:[PRESS]],t_Parts[hp2015.03])</f>
        <v>0</v>
      </c>
      <c r="AM22" s="43">
        <f>SUMIF(r_PartPresses,t_Presses[[PRESS]:[PRESS]],t_Parts[hp2015.04])</f>
        <v>0</v>
      </c>
      <c r="AN22" s="43">
        <f>SUMIF(r_PartPresses,t_Presses[[PRESS]:[PRESS]],t_Parts[hp2015.05])</f>
        <v>0</v>
      </c>
      <c r="AO22" s="43">
        <f>SUMIF(r_PartPresses,t_Presses[[PRESS]:[PRESS]],t_Parts[hp2015.06])</f>
        <v>0</v>
      </c>
      <c r="AP22" s="43">
        <f>SUMIF(r_PartPresses,t_Presses[[PRESS]:[PRESS]],t_Parts[hp2015.07])</f>
        <v>0</v>
      </c>
      <c r="AQ22" s="43">
        <f>SUMIF(r_PartPresses,t_Presses[[PRESS]:[PRESS]],t_Parts[hp2015.08])</f>
        <v>0</v>
      </c>
      <c r="AR22" s="43">
        <f>SUMIF(r_PartPresses,t_Presses[[PRESS]:[PRESS]],t_Parts[hp2015.09])</f>
        <v>0</v>
      </c>
      <c r="AS22" s="43">
        <f>SUMIF(r_PartPresses,t_Presses[[PRESS]:[PRESS]],t_Parts[hp2015.10])</f>
        <v>0</v>
      </c>
      <c r="AT22" s="43">
        <f>SUMIF(r_PartPresses,t_Presses[[PRESS]:[PRESS]],t_Parts[hp2015.11])</f>
        <v>0</v>
      </c>
      <c r="AU22" s="43">
        <f>SUMIF(r_PartPresses,t_Presses[[PRESS]:[PRESS]],t_Parts[hp2015.12])</f>
        <v>0</v>
      </c>
      <c r="AV22" s="43">
        <f>SUM(t_Presses[[#This Row],[hp2015.01]:[hp2015.12]])</f>
        <v>0</v>
      </c>
      <c r="AW22" s="43">
        <f>SUMIF(r_PartPresses,t_Presses[[PRESS]:[PRESS]],t_Parts[hp2016.01])</f>
        <v>0</v>
      </c>
      <c r="AX22" s="43">
        <f>SUMIF(r_PartPresses,t_Presses[[PRESS]:[PRESS]],t_Parts[hp2016.02])</f>
        <v>0</v>
      </c>
      <c r="AY22" s="43">
        <f>SUMIF(r_PartPresses,t_Presses[[PRESS]:[PRESS]],t_Parts[hp2016.03])</f>
        <v>0</v>
      </c>
      <c r="AZ22" s="43">
        <f>SUMIF(r_PartPresses,t_Presses[[PRESS]:[PRESS]],t_Parts[hp2016.04])</f>
        <v>0</v>
      </c>
      <c r="BA22" s="43">
        <f>SUMIF(r_PartPresses,t_Presses[[PRESS]:[PRESS]],t_Parts[hp2016.05])</f>
        <v>0</v>
      </c>
      <c r="BB22" s="43">
        <f>SUMIF(r_PartPresses,t_Presses[[PRESS]:[PRESS]],t_Parts[hp2016.06])</f>
        <v>0</v>
      </c>
      <c r="BC22" s="43">
        <f>SUMIF(r_PartPresses,t_Presses[[PRESS]:[PRESS]],t_Parts[hp2016.07])</f>
        <v>0</v>
      </c>
      <c r="BD22" s="43">
        <f>SUMIF(r_PartPresses,t_Presses[[PRESS]:[PRESS]],t_Parts[hp2016.08])</f>
        <v>0</v>
      </c>
      <c r="BE22" s="43">
        <f>SUMIF(r_PartPresses,t_Presses[[PRESS]:[PRESS]],t_Parts[hp2016.09])</f>
        <v>0</v>
      </c>
      <c r="BF22" s="43">
        <f>SUMIF(r_PartPresses,t_Presses[[PRESS]:[PRESS]],t_Parts[hp2016.10])</f>
        <v>0</v>
      </c>
      <c r="BG22" s="43">
        <f>SUMIF(r_PartPresses,t_Presses[[PRESS]:[PRESS]],t_Parts[hp2016.11])</f>
        <v>0</v>
      </c>
      <c r="BH22" s="43">
        <f>SUMIF(r_PartPresses,t_Presses[[PRESS]:[PRESS]],t_Parts[hp2016.12])</f>
        <v>0</v>
      </c>
      <c r="BI22" s="43">
        <f>SUMIF(r_PartPresses,t_Presses[[PRESS]:[PRESS]],t_Parts[hp2016.FY])</f>
        <v>0</v>
      </c>
      <c r="BJ22" s="43">
        <f>SUMIF(r_PartPresses,t_Presses[[PRESS]:[PRESS]],t_Parts[hp2017])</f>
        <v>0</v>
      </c>
      <c r="BK22" s="43">
        <f>SUMIF(r_PartPresses,t_Presses[[PRESS]:[PRESS]],t_Parts[hp2018])</f>
        <v>0</v>
      </c>
      <c r="BL22" s="43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hidden="1" x14ac:dyDescent="0.25">
      <c r="A23" s="16" t="s">
        <v>133</v>
      </c>
      <c r="B23" t="s">
        <v>9</v>
      </c>
      <c r="C23" t="s">
        <v>121</v>
      </c>
      <c r="D23">
        <v>200</v>
      </c>
      <c r="E23" s="18" t="str">
        <f t="shared" si="0"/>
        <v>0-299</v>
      </c>
      <c r="F23" s="15"/>
      <c r="G23" s="18">
        <f>VLOOKUP(t_Presses[[Plant]:[Plant]],t_Plants[],Plants!CN$1,FALSE)</f>
        <v>208</v>
      </c>
      <c r="H23">
        <f>VLOOKUP(t_Presses[[Plant]:[Plant]],t_Plants[],Plants!CO$1,FALSE)</f>
        <v>208</v>
      </c>
      <c r="I23" s="18">
        <f>VLOOKUP(t_Presses[[Plant]:[Plant]],t_Plants[],Plants!CP$1,FALSE)</f>
        <v>272</v>
      </c>
      <c r="J23" s="18">
        <f>VLOOKUP(t_Presses[[Plant]:[Plant]],t_Plants[],Plants!CQ$1,FALSE)</f>
        <v>208</v>
      </c>
      <c r="K23" s="18">
        <f>VLOOKUP(t_Presses[[Plant]:[Plant]],t_Plants[],Plants!CR$1,FALSE)</f>
        <v>208</v>
      </c>
      <c r="L23" s="18">
        <f>VLOOKUP(t_Presses[[Plant]:[Plant]],t_Plants[],Plants!CS$1,FALSE)</f>
        <v>272</v>
      </c>
      <c r="M23" s="18">
        <f>VLOOKUP(t_Presses[[Plant]:[Plant]],t_Plants[],Plants!CT$1,FALSE)</f>
        <v>208</v>
      </c>
      <c r="N23" s="18">
        <f>VLOOKUP(t_Presses[[Plant]:[Plant]],t_Plants[],Plants!CU$1,FALSE)</f>
        <v>208</v>
      </c>
      <c r="O23" s="18">
        <f>VLOOKUP(t_Presses[[Plant]:[Plant]],t_Plants[],Plants!CV$1,FALSE)</f>
        <v>272</v>
      </c>
      <c r="P23" s="18">
        <f>VLOOKUP(t_Presses[[Plant]:[Plant]],t_Plants[],Plants!CW$1,FALSE)</f>
        <v>208</v>
      </c>
      <c r="Q23" s="18">
        <f>VLOOKUP(t_Presses[[Plant]:[Plant]],t_Plants[],Plants!CX$1,FALSE)</f>
        <v>208</v>
      </c>
      <c r="R23" s="18">
        <f>VLOOKUP(t_Presses[[Plant]:[Plant]],t_Plants[],Plants!CY$1,FALSE)</f>
        <v>272</v>
      </c>
      <c r="S23" s="18">
        <f>SUM(t_Presses[[#This Row],[ha2015.01]:[ha2015.12]])</f>
        <v>2752</v>
      </c>
      <c r="T23">
        <f>VLOOKUP(t_Presses[[Plant]:[Plant]],t_Plants[],Plants!DA$1,FALSE)</f>
        <v>208</v>
      </c>
      <c r="U23">
        <f>VLOOKUP(t_Presses[[Plant]:[Plant]],t_Plants[],Plants!DB$1,FALSE)</f>
        <v>208</v>
      </c>
      <c r="V23">
        <f>VLOOKUP(t_Presses[[Plant]:[Plant]],t_Plants[],Plants!DC$1,FALSE)</f>
        <v>272</v>
      </c>
      <c r="W23">
        <f>VLOOKUP(t_Presses[[Plant]:[Plant]],t_Plants[],Plants!DD$1,FALSE)</f>
        <v>208</v>
      </c>
      <c r="X23">
        <f>VLOOKUP(t_Presses[[Plant]:[Plant]],t_Plants[],Plants!DE$1,FALSE)</f>
        <v>208</v>
      </c>
      <c r="Y23">
        <f>VLOOKUP(t_Presses[[Plant]:[Plant]],t_Plants[],Plants!DF$1,FALSE)</f>
        <v>272</v>
      </c>
      <c r="Z23">
        <f>VLOOKUP(t_Presses[[Plant]:[Plant]],t_Plants[],Plants!DG$1,FALSE)</f>
        <v>208</v>
      </c>
      <c r="AA23">
        <f>VLOOKUP(t_Presses[[Plant]:[Plant]],t_Plants[],Plants!DH$1,FALSE)</f>
        <v>208</v>
      </c>
      <c r="AB23">
        <f>VLOOKUP(t_Presses[[Plant]:[Plant]],t_Plants[],Plants!DI$1,FALSE)</f>
        <v>272</v>
      </c>
      <c r="AC23">
        <f>VLOOKUP(t_Presses[[Plant]:[Plant]],t_Plants[],Plants!DJ$1,FALSE)</f>
        <v>208</v>
      </c>
      <c r="AD23">
        <f>VLOOKUP(t_Presses[[Plant]:[Plant]],t_Plants[],Plants!DK$1,FALSE)</f>
        <v>208</v>
      </c>
      <c r="AE23">
        <f>VLOOKUP(t_Presses[[Plant]:[Plant]],t_Plants[],Plants!DL$1,FALSE)</f>
        <v>272</v>
      </c>
      <c r="AF23" s="18">
        <f>SUM(t_Presses[[#This Row],[ha2016.01]:[ha2016.12]])</f>
        <v>2752</v>
      </c>
      <c r="AG23">
        <f>VLOOKUP(t_Presses[[Plant]:[Plant]],t_Plants[],Plants!DN$1,FALSE)</f>
        <v>2752</v>
      </c>
      <c r="AH23">
        <f>VLOOKUP(t_Presses[[Plant]:[Plant]],t_Plants[],Plants!DO$1,FALSE)</f>
        <v>2752</v>
      </c>
      <c r="AI23">
        <f>VLOOKUP(t_Presses[[Plant]:[Plant]],t_Plants[],Plants!DP$1,FALSE)</f>
        <v>2752</v>
      </c>
      <c r="AJ23" s="43">
        <f>SUMIF(r_PartPresses,t_Presses[[PRESS]:[PRESS]],t_Parts[hp2015.01])</f>
        <v>0</v>
      </c>
      <c r="AK23" s="43">
        <f>SUMIF(r_PartPresses,t_Presses[[PRESS]:[PRESS]],t_Parts[hp2015.02])</f>
        <v>0</v>
      </c>
      <c r="AL23" s="43">
        <f>SUMIF(r_PartPresses,t_Presses[[PRESS]:[PRESS]],t_Parts[hp2015.03])</f>
        <v>0</v>
      </c>
      <c r="AM23" s="43">
        <f>SUMIF(r_PartPresses,t_Presses[[PRESS]:[PRESS]],t_Parts[hp2015.04])</f>
        <v>0</v>
      </c>
      <c r="AN23" s="43">
        <f>SUMIF(r_PartPresses,t_Presses[[PRESS]:[PRESS]],t_Parts[hp2015.05])</f>
        <v>0</v>
      </c>
      <c r="AO23" s="43">
        <f>SUMIF(r_PartPresses,t_Presses[[PRESS]:[PRESS]],t_Parts[hp2015.06])</f>
        <v>0</v>
      </c>
      <c r="AP23" s="43">
        <f>SUMIF(r_PartPresses,t_Presses[[PRESS]:[PRESS]],t_Parts[hp2015.07])</f>
        <v>0</v>
      </c>
      <c r="AQ23" s="43">
        <f>SUMIF(r_PartPresses,t_Presses[[PRESS]:[PRESS]],t_Parts[hp2015.08])</f>
        <v>0</v>
      </c>
      <c r="AR23" s="43">
        <f>SUMIF(r_PartPresses,t_Presses[[PRESS]:[PRESS]],t_Parts[hp2015.09])</f>
        <v>0</v>
      </c>
      <c r="AS23" s="43">
        <f>SUMIF(r_PartPresses,t_Presses[[PRESS]:[PRESS]],t_Parts[hp2015.10])</f>
        <v>0</v>
      </c>
      <c r="AT23" s="43">
        <f>SUMIF(r_PartPresses,t_Presses[[PRESS]:[PRESS]],t_Parts[hp2015.11])</f>
        <v>0</v>
      </c>
      <c r="AU23" s="43">
        <f>SUMIF(r_PartPresses,t_Presses[[PRESS]:[PRESS]],t_Parts[hp2015.12])</f>
        <v>0</v>
      </c>
      <c r="AV23" s="43">
        <f>SUM(t_Presses[[#This Row],[hp2015.01]:[hp2015.12]])</f>
        <v>0</v>
      </c>
      <c r="AW23" s="43">
        <f>SUMIF(r_PartPresses,t_Presses[[PRESS]:[PRESS]],t_Parts[hp2016.01])</f>
        <v>0</v>
      </c>
      <c r="AX23" s="43">
        <f>SUMIF(r_PartPresses,t_Presses[[PRESS]:[PRESS]],t_Parts[hp2016.02])</f>
        <v>0</v>
      </c>
      <c r="AY23" s="43">
        <f>SUMIF(r_PartPresses,t_Presses[[PRESS]:[PRESS]],t_Parts[hp2016.03])</f>
        <v>0</v>
      </c>
      <c r="AZ23" s="43">
        <f>SUMIF(r_PartPresses,t_Presses[[PRESS]:[PRESS]],t_Parts[hp2016.04])</f>
        <v>0</v>
      </c>
      <c r="BA23" s="43">
        <f>SUMIF(r_PartPresses,t_Presses[[PRESS]:[PRESS]],t_Parts[hp2016.05])</f>
        <v>0</v>
      </c>
      <c r="BB23" s="43">
        <f>SUMIF(r_PartPresses,t_Presses[[PRESS]:[PRESS]],t_Parts[hp2016.06])</f>
        <v>0</v>
      </c>
      <c r="BC23" s="43">
        <f>SUMIF(r_PartPresses,t_Presses[[PRESS]:[PRESS]],t_Parts[hp2016.07])</f>
        <v>0</v>
      </c>
      <c r="BD23" s="43">
        <f>SUMIF(r_PartPresses,t_Presses[[PRESS]:[PRESS]],t_Parts[hp2016.08])</f>
        <v>0</v>
      </c>
      <c r="BE23" s="43">
        <f>SUMIF(r_PartPresses,t_Presses[[PRESS]:[PRESS]],t_Parts[hp2016.09])</f>
        <v>0</v>
      </c>
      <c r="BF23" s="43">
        <f>SUMIF(r_PartPresses,t_Presses[[PRESS]:[PRESS]],t_Parts[hp2016.10])</f>
        <v>0</v>
      </c>
      <c r="BG23" s="43">
        <f>SUMIF(r_PartPresses,t_Presses[[PRESS]:[PRESS]],t_Parts[hp2016.11])</f>
        <v>0</v>
      </c>
      <c r="BH23" s="43">
        <f>SUMIF(r_PartPresses,t_Presses[[PRESS]:[PRESS]],t_Parts[hp2016.12])</f>
        <v>0</v>
      </c>
      <c r="BI23" s="43">
        <f>SUMIF(r_PartPresses,t_Presses[[PRESS]:[PRESS]],t_Parts[hp2016.FY])</f>
        <v>0</v>
      </c>
      <c r="BJ23" s="43">
        <f>SUMIF(r_PartPresses,t_Presses[[PRESS]:[PRESS]],t_Parts[hp2017])</f>
        <v>0</v>
      </c>
      <c r="BK23" s="43">
        <f>SUMIF(r_PartPresses,t_Presses[[PRESS]:[PRESS]],t_Parts[hp2018])</f>
        <v>0</v>
      </c>
      <c r="BL23" s="43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hidden="1" x14ac:dyDescent="0.25">
      <c r="A24" s="16" t="s">
        <v>134</v>
      </c>
      <c r="B24" t="s">
        <v>9</v>
      </c>
      <c r="C24" t="s">
        <v>121</v>
      </c>
      <c r="D24">
        <v>600</v>
      </c>
      <c r="E24" s="18" t="str">
        <f t="shared" si="0"/>
        <v>600-899</v>
      </c>
      <c r="F24" s="15"/>
      <c r="G24" s="18">
        <f>VLOOKUP(t_Presses[[Plant]:[Plant]],t_Plants[],Plants!CN$1,FALSE)</f>
        <v>208</v>
      </c>
      <c r="H24">
        <f>VLOOKUP(t_Presses[[Plant]:[Plant]],t_Plants[],Plants!CO$1,FALSE)</f>
        <v>208</v>
      </c>
      <c r="I24" s="18">
        <f>VLOOKUP(t_Presses[[Plant]:[Plant]],t_Plants[],Plants!CP$1,FALSE)</f>
        <v>272</v>
      </c>
      <c r="J24" s="18">
        <f>VLOOKUP(t_Presses[[Plant]:[Plant]],t_Plants[],Plants!CQ$1,FALSE)</f>
        <v>208</v>
      </c>
      <c r="K24" s="18">
        <f>VLOOKUP(t_Presses[[Plant]:[Plant]],t_Plants[],Plants!CR$1,FALSE)</f>
        <v>208</v>
      </c>
      <c r="L24" s="18">
        <f>VLOOKUP(t_Presses[[Plant]:[Plant]],t_Plants[],Plants!CS$1,FALSE)</f>
        <v>272</v>
      </c>
      <c r="M24" s="18">
        <f>VLOOKUP(t_Presses[[Plant]:[Plant]],t_Plants[],Plants!CT$1,FALSE)</f>
        <v>208</v>
      </c>
      <c r="N24" s="18">
        <f>VLOOKUP(t_Presses[[Plant]:[Plant]],t_Plants[],Plants!CU$1,FALSE)</f>
        <v>208</v>
      </c>
      <c r="O24" s="18">
        <f>VLOOKUP(t_Presses[[Plant]:[Plant]],t_Plants[],Plants!CV$1,FALSE)</f>
        <v>272</v>
      </c>
      <c r="P24" s="18">
        <f>VLOOKUP(t_Presses[[Plant]:[Plant]],t_Plants[],Plants!CW$1,FALSE)</f>
        <v>208</v>
      </c>
      <c r="Q24" s="18">
        <f>VLOOKUP(t_Presses[[Plant]:[Plant]],t_Plants[],Plants!CX$1,FALSE)</f>
        <v>208</v>
      </c>
      <c r="R24" s="18">
        <f>VLOOKUP(t_Presses[[Plant]:[Plant]],t_Plants[],Plants!CY$1,FALSE)</f>
        <v>272</v>
      </c>
      <c r="S24" s="18">
        <f>SUM(t_Presses[[#This Row],[ha2015.01]:[ha2015.12]])</f>
        <v>2752</v>
      </c>
      <c r="T24">
        <f>VLOOKUP(t_Presses[[Plant]:[Plant]],t_Plants[],Plants!DA$1,FALSE)</f>
        <v>208</v>
      </c>
      <c r="U24">
        <f>VLOOKUP(t_Presses[[Plant]:[Plant]],t_Plants[],Plants!DB$1,FALSE)</f>
        <v>208</v>
      </c>
      <c r="V24">
        <f>VLOOKUP(t_Presses[[Plant]:[Plant]],t_Plants[],Plants!DC$1,FALSE)</f>
        <v>272</v>
      </c>
      <c r="W24">
        <f>VLOOKUP(t_Presses[[Plant]:[Plant]],t_Plants[],Plants!DD$1,FALSE)</f>
        <v>208</v>
      </c>
      <c r="X24">
        <f>VLOOKUP(t_Presses[[Plant]:[Plant]],t_Plants[],Plants!DE$1,FALSE)</f>
        <v>208</v>
      </c>
      <c r="Y24">
        <f>VLOOKUP(t_Presses[[Plant]:[Plant]],t_Plants[],Plants!DF$1,FALSE)</f>
        <v>272</v>
      </c>
      <c r="Z24">
        <f>VLOOKUP(t_Presses[[Plant]:[Plant]],t_Plants[],Plants!DG$1,FALSE)</f>
        <v>208</v>
      </c>
      <c r="AA24">
        <f>VLOOKUP(t_Presses[[Plant]:[Plant]],t_Plants[],Plants!DH$1,FALSE)</f>
        <v>208</v>
      </c>
      <c r="AB24">
        <f>VLOOKUP(t_Presses[[Plant]:[Plant]],t_Plants[],Plants!DI$1,FALSE)</f>
        <v>272</v>
      </c>
      <c r="AC24">
        <f>VLOOKUP(t_Presses[[Plant]:[Plant]],t_Plants[],Plants!DJ$1,FALSE)</f>
        <v>208</v>
      </c>
      <c r="AD24">
        <f>VLOOKUP(t_Presses[[Plant]:[Plant]],t_Plants[],Plants!DK$1,FALSE)</f>
        <v>208</v>
      </c>
      <c r="AE24">
        <f>VLOOKUP(t_Presses[[Plant]:[Plant]],t_Plants[],Plants!DL$1,FALSE)</f>
        <v>272</v>
      </c>
      <c r="AF24" s="18">
        <f>SUM(t_Presses[[#This Row],[ha2016.01]:[ha2016.12]])</f>
        <v>2752</v>
      </c>
      <c r="AG24">
        <f>VLOOKUP(t_Presses[[Plant]:[Plant]],t_Plants[],Plants!DN$1,FALSE)</f>
        <v>2752</v>
      </c>
      <c r="AH24">
        <f>VLOOKUP(t_Presses[[Plant]:[Plant]],t_Plants[],Plants!DO$1,FALSE)</f>
        <v>2752</v>
      </c>
      <c r="AI24">
        <f>VLOOKUP(t_Presses[[Plant]:[Plant]],t_Plants[],Plants!DP$1,FALSE)</f>
        <v>2752</v>
      </c>
      <c r="AJ24" s="43">
        <f>SUMIF(r_PartPresses,t_Presses[[PRESS]:[PRESS]],t_Parts[hp2015.01])</f>
        <v>0</v>
      </c>
      <c r="AK24" s="43">
        <f>SUMIF(r_PartPresses,t_Presses[[PRESS]:[PRESS]],t_Parts[hp2015.02])</f>
        <v>0</v>
      </c>
      <c r="AL24" s="43">
        <f>SUMIF(r_PartPresses,t_Presses[[PRESS]:[PRESS]],t_Parts[hp2015.03])</f>
        <v>0</v>
      </c>
      <c r="AM24" s="43">
        <f>SUMIF(r_PartPresses,t_Presses[[PRESS]:[PRESS]],t_Parts[hp2015.04])</f>
        <v>0</v>
      </c>
      <c r="AN24" s="43">
        <f>SUMIF(r_PartPresses,t_Presses[[PRESS]:[PRESS]],t_Parts[hp2015.05])</f>
        <v>0</v>
      </c>
      <c r="AO24" s="43">
        <f>SUMIF(r_PartPresses,t_Presses[[PRESS]:[PRESS]],t_Parts[hp2015.06])</f>
        <v>0</v>
      </c>
      <c r="AP24" s="43">
        <f>SUMIF(r_PartPresses,t_Presses[[PRESS]:[PRESS]],t_Parts[hp2015.07])</f>
        <v>0</v>
      </c>
      <c r="AQ24" s="43">
        <f>SUMIF(r_PartPresses,t_Presses[[PRESS]:[PRESS]],t_Parts[hp2015.08])</f>
        <v>0</v>
      </c>
      <c r="AR24" s="43">
        <f>SUMIF(r_PartPresses,t_Presses[[PRESS]:[PRESS]],t_Parts[hp2015.09])</f>
        <v>0</v>
      </c>
      <c r="AS24" s="43">
        <f>SUMIF(r_PartPresses,t_Presses[[PRESS]:[PRESS]],t_Parts[hp2015.10])</f>
        <v>0</v>
      </c>
      <c r="AT24" s="43">
        <f>SUMIF(r_PartPresses,t_Presses[[PRESS]:[PRESS]],t_Parts[hp2015.11])</f>
        <v>0</v>
      </c>
      <c r="AU24" s="43">
        <f>SUMIF(r_PartPresses,t_Presses[[PRESS]:[PRESS]],t_Parts[hp2015.12])</f>
        <v>0</v>
      </c>
      <c r="AV24" s="43">
        <f>SUM(t_Presses[[#This Row],[hp2015.01]:[hp2015.12]])</f>
        <v>0</v>
      </c>
      <c r="AW24" s="43">
        <f>SUMIF(r_PartPresses,t_Presses[[PRESS]:[PRESS]],t_Parts[hp2016.01])</f>
        <v>0</v>
      </c>
      <c r="AX24" s="43">
        <f>SUMIF(r_PartPresses,t_Presses[[PRESS]:[PRESS]],t_Parts[hp2016.02])</f>
        <v>0</v>
      </c>
      <c r="AY24" s="43">
        <f>SUMIF(r_PartPresses,t_Presses[[PRESS]:[PRESS]],t_Parts[hp2016.03])</f>
        <v>0</v>
      </c>
      <c r="AZ24" s="43">
        <f>SUMIF(r_PartPresses,t_Presses[[PRESS]:[PRESS]],t_Parts[hp2016.04])</f>
        <v>0</v>
      </c>
      <c r="BA24" s="43">
        <f>SUMIF(r_PartPresses,t_Presses[[PRESS]:[PRESS]],t_Parts[hp2016.05])</f>
        <v>0</v>
      </c>
      <c r="BB24" s="43">
        <f>SUMIF(r_PartPresses,t_Presses[[PRESS]:[PRESS]],t_Parts[hp2016.06])</f>
        <v>0</v>
      </c>
      <c r="BC24" s="43">
        <f>SUMIF(r_PartPresses,t_Presses[[PRESS]:[PRESS]],t_Parts[hp2016.07])</f>
        <v>0</v>
      </c>
      <c r="BD24" s="43">
        <f>SUMIF(r_PartPresses,t_Presses[[PRESS]:[PRESS]],t_Parts[hp2016.08])</f>
        <v>0</v>
      </c>
      <c r="BE24" s="43">
        <f>SUMIF(r_PartPresses,t_Presses[[PRESS]:[PRESS]],t_Parts[hp2016.09])</f>
        <v>0</v>
      </c>
      <c r="BF24" s="43">
        <f>SUMIF(r_PartPresses,t_Presses[[PRESS]:[PRESS]],t_Parts[hp2016.10])</f>
        <v>0</v>
      </c>
      <c r="BG24" s="43">
        <f>SUMIF(r_PartPresses,t_Presses[[PRESS]:[PRESS]],t_Parts[hp2016.11])</f>
        <v>0</v>
      </c>
      <c r="BH24" s="43">
        <f>SUMIF(r_PartPresses,t_Presses[[PRESS]:[PRESS]],t_Parts[hp2016.12])</f>
        <v>0</v>
      </c>
      <c r="BI24" s="43">
        <f>SUMIF(r_PartPresses,t_Presses[[PRESS]:[PRESS]],t_Parts[hp2016.FY])</f>
        <v>0</v>
      </c>
      <c r="BJ24" s="43">
        <f>SUMIF(r_PartPresses,t_Presses[[PRESS]:[PRESS]],t_Parts[hp2017])</f>
        <v>0</v>
      </c>
      <c r="BK24" s="43">
        <f>SUMIF(r_PartPresses,t_Presses[[PRESS]:[PRESS]],t_Parts[hp2018])</f>
        <v>0</v>
      </c>
      <c r="BL24" s="43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hidden="1" x14ac:dyDescent="0.25">
      <c r="A25" s="16" t="s">
        <v>135</v>
      </c>
      <c r="B25" t="s">
        <v>9</v>
      </c>
      <c r="C25" t="s">
        <v>121</v>
      </c>
      <c r="D25">
        <v>600</v>
      </c>
      <c r="E25" s="18" t="str">
        <f t="shared" si="0"/>
        <v>600-899</v>
      </c>
      <c r="F25" s="15"/>
      <c r="G25" s="18">
        <f>VLOOKUP(t_Presses[[Plant]:[Plant]],t_Plants[],Plants!CN$1,FALSE)</f>
        <v>208</v>
      </c>
      <c r="H25">
        <f>VLOOKUP(t_Presses[[Plant]:[Plant]],t_Plants[],Plants!CO$1,FALSE)</f>
        <v>208</v>
      </c>
      <c r="I25" s="18">
        <f>VLOOKUP(t_Presses[[Plant]:[Plant]],t_Plants[],Plants!CP$1,FALSE)</f>
        <v>272</v>
      </c>
      <c r="J25" s="18">
        <f>VLOOKUP(t_Presses[[Plant]:[Plant]],t_Plants[],Plants!CQ$1,FALSE)</f>
        <v>208</v>
      </c>
      <c r="K25" s="18">
        <f>VLOOKUP(t_Presses[[Plant]:[Plant]],t_Plants[],Plants!CR$1,FALSE)</f>
        <v>208</v>
      </c>
      <c r="L25" s="18">
        <f>VLOOKUP(t_Presses[[Plant]:[Plant]],t_Plants[],Plants!CS$1,FALSE)</f>
        <v>272</v>
      </c>
      <c r="M25" s="18">
        <f>VLOOKUP(t_Presses[[Plant]:[Plant]],t_Plants[],Plants!CT$1,FALSE)</f>
        <v>208</v>
      </c>
      <c r="N25" s="18">
        <f>VLOOKUP(t_Presses[[Plant]:[Plant]],t_Plants[],Plants!CU$1,FALSE)</f>
        <v>208</v>
      </c>
      <c r="O25" s="18">
        <f>VLOOKUP(t_Presses[[Plant]:[Plant]],t_Plants[],Plants!CV$1,FALSE)</f>
        <v>272</v>
      </c>
      <c r="P25" s="18">
        <f>VLOOKUP(t_Presses[[Plant]:[Plant]],t_Plants[],Plants!CW$1,FALSE)</f>
        <v>208</v>
      </c>
      <c r="Q25" s="18">
        <f>VLOOKUP(t_Presses[[Plant]:[Plant]],t_Plants[],Plants!CX$1,FALSE)</f>
        <v>208</v>
      </c>
      <c r="R25" s="18">
        <f>VLOOKUP(t_Presses[[Plant]:[Plant]],t_Plants[],Plants!CY$1,FALSE)</f>
        <v>272</v>
      </c>
      <c r="S25" s="18">
        <f>SUM(t_Presses[[#This Row],[ha2015.01]:[ha2015.12]])</f>
        <v>2752</v>
      </c>
      <c r="T25">
        <f>VLOOKUP(t_Presses[[Plant]:[Plant]],t_Plants[],Plants!DA$1,FALSE)</f>
        <v>208</v>
      </c>
      <c r="U25">
        <f>VLOOKUP(t_Presses[[Plant]:[Plant]],t_Plants[],Plants!DB$1,FALSE)</f>
        <v>208</v>
      </c>
      <c r="V25">
        <f>VLOOKUP(t_Presses[[Plant]:[Plant]],t_Plants[],Plants!DC$1,FALSE)</f>
        <v>272</v>
      </c>
      <c r="W25">
        <f>VLOOKUP(t_Presses[[Plant]:[Plant]],t_Plants[],Plants!DD$1,FALSE)</f>
        <v>208</v>
      </c>
      <c r="X25">
        <f>VLOOKUP(t_Presses[[Plant]:[Plant]],t_Plants[],Plants!DE$1,FALSE)</f>
        <v>208</v>
      </c>
      <c r="Y25">
        <f>VLOOKUP(t_Presses[[Plant]:[Plant]],t_Plants[],Plants!DF$1,FALSE)</f>
        <v>272</v>
      </c>
      <c r="Z25">
        <f>VLOOKUP(t_Presses[[Plant]:[Plant]],t_Plants[],Plants!DG$1,FALSE)</f>
        <v>208</v>
      </c>
      <c r="AA25">
        <f>VLOOKUP(t_Presses[[Plant]:[Plant]],t_Plants[],Plants!DH$1,FALSE)</f>
        <v>208</v>
      </c>
      <c r="AB25">
        <f>VLOOKUP(t_Presses[[Plant]:[Plant]],t_Plants[],Plants!DI$1,FALSE)</f>
        <v>272</v>
      </c>
      <c r="AC25">
        <f>VLOOKUP(t_Presses[[Plant]:[Plant]],t_Plants[],Plants!DJ$1,FALSE)</f>
        <v>208</v>
      </c>
      <c r="AD25">
        <f>VLOOKUP(t_Presses[[Plant]:[Plant]],t_Plants[],Plants!DK$1,FALSE)</f>
        <v>208</v>
      </c>
      <c r="AE25">
        <f>VLOOKUP(t_Presses[[Plant]:[Plant]],t_Plants[],Plants!DL$1,FALSE)</f>
        <v>272</v>
      </c>
      <c r="AF25" s="18">
        <f>SUM(t_Presses[[#This Row],[ha2016.01]:[ha2016.12]])</f>
        <v>2752</v>
      </c>
      <c r="AG25">
        <f>VLOOKUP(t_Presses[[Plant]:[Plant]],t_Plants[],Plants!DN$1,FALSE)</f>
        <v>2752</v>
      </c>
      <c r="AH25">
        <f>VLOOKUP(t_Presses[[Plant]:[Plant]],t_Plants[],Plants!DO$1,FALSE)</f>
        <v>2752</v>
      </c>
      <c r="AI25">
        <f>VLOOKUP(t_Presses[[Plant]:[Plant]],t_Plants[],Plants!DP$1,FALSE)</f>
        <v>2752</v>
      </c>
      <c r="AJ25" s="43">
        <f>SUMIF(r_PartPresses,t_Presses[[PRESS]:[PRESS]],t_Parts[hp2015.01])</f>
        <v>0</v>
      </c>
      <c r="AK25" s="43">
        <f>SUMIF(r_PartPresses,t_Presses[[PRESS]:[PRESS]],t_Parts[hp2015.02])</f>
        <v>0</v>
      </c>
      <c r="AL25" s="43">
        <f>SUMIF(r_PartPresses,t_Presses[[PRESS]:[PRESS]],t_Parts[hp2015.03])</f>
        <v>0</v>
      </c>
      <c r="AM25" s="43">
        <f>SUMIF(r_PartPresses,t_Presses[[PRESS]:[PRESS]],t_Parts[hp2015.04])</f>
        <v>0</v>
      </c>
      <c r="AN25" s="43">
        <f>SUMIF(r_PartPresses,t_Presses[[PRESS]:[PRESS]],t_Parts[hp2015.05])</f>
        <v>0</v>
      </c>
      <c r="AO25" s="43">
        <f>SUMIF(r_PartPresses,t_Presses[[PRESS]:[PRESS]],t_Parts[hp2015.06])</f>
        <v>0</v>
      </c>
      <c r="AP25" s="43">
        <f>SUMIF(r_PartPresses,t_Presses[[PRESS]:[PRESS]],t_Parts[hp2015.07])</f>
        <v>0</v>
      </c>
      <c r="AQ25" s="43">
        <f>SUMIF(r_PartPresses,t_Presses[[PRESS]:[PRESS]],t_Parts[hp2015.08])</f>
        <v>0</v>
      </c>
      <c r="AR25" s="43">
        <f>SUMIF(r_PartPresses,t_Presses[[PRESS]:[PRESS]],t_Parts[hp2015.09])</f>
        <v>0</v>
      </c>
      <c r="AS25" s="43">
        <f>SUMIF(r_PartPresses,t_Presses[[PRESS]:[PRESS]],t_Parts[hp2015.10])</f>
        <v>0</v>
      </c>
      <c r="AT25" s="43">
        <f>SUMIF(r_PartPresses,t_Presses[[PRESS]:[PRESS]],t_Parts[hp2015.11])</f>
        <v>0</v>
      </c>
      <c r="AU25" s="43">
        <f>SUMIF(r_PartPresses,t_Presses[[PRESS]:[PRESS]],t_Parts[hp2015.12])</f>
        <v>0</v>
      </c>
      <c r="AV25" s="43">
        <f>SUM(t_Presses[[#This Row],[hp2015.01]:[hp2015.12]])</f>
        <v>0</v>
      </c>
      <c r="AW25" s="43">
        <f>SUMIF(r_PartPresses,t_Presses[[PRESS]:[PRESS]],t_Parts[hp2016.01])</f>
        <v>0</v>
      </c>
      <c r="AX25" s="43">
        <f>SUMIF(r_PartPresses,t_Presses[[PRESS]:[PRESS]],t_Parts[hp2016.02])</f>
        <v>0</v>
      </c>
      <c r="AY25" s="43">
        <f>SUMIF(r_PartPresses,t_Presses[[PRESS]:[PRESS]],t_Parts[hp2016.03])</f>
        <v>0</v>
      </c>
      <c r="AZ25" s="43">
        <f>SUMIF(r_PartPresses,t_Presses[[PRESS]:[PRESS]],t_Parts[hp2016.04])</f>
        <v>0</v>
      </c>
      <c r="BA25" s="43">
        <f>SUMIF(r_PartPresses,t_Presses[[PRESS]:[PRESS]],t_Parts[hp2016.05])</f>
        <v>0</v>
      </c>
      <c r="BB25" s="43">
        <f>SUMIF(r_PartPresses,t_Presses[[PRESS]:[PRESS]],t_Parts[hp2016.06])</f>
        <v>0</v>
      </c>
      <c r="BC25" s="43">
        <f>SUMIF(r_PartPresses,t_Presses[[PRESS]:[PRESS]],t_Parts[hp2016.07])</f>
        <v>0</v>
      </c>
      <c r="BD25" s="43">
        <f>SUMIF(r_PartPresses,t_Presses[[PRESS]:[PRESS]],t_Parts[hp2016.08])</f>
        <v>0</v>
      </c>
      <c r="BE25" s="43">
        <f>SUMIF(r_PartPresses,t_Presses[[PRESS]:[PRESS]],t_Parts[hp2016.09])</f>
        <v>0</v>
      </c>
      <c r="BF25" s="43">
        <f>SUMIF(r_PartPresses,t_Presses[[PRESS]:[PRESS]],t_Parts[hp2016.10])</f>
        <v>0</v>
      </c>
      <c r="BG25" s="43">
        <f>SUMIF(r_PartPresses,t_Presses[[PRESS]:[PRESS]],t_Parts[hp2016.11])</f>
        <v>0</v>
      </c>
      <c r="BH25" s="43">
        <f>SUMIF(r_PartPresses,t_Presses[[PRESS]:[PRESS]],t_Parts[hp2016.12])</f>
        <v>0</v>
      </c>
      <c r="BI25" s="43">
        <f>SUMIF(r_PartPresses,t_Presses[[PRESS]:[PRESS]],t_Parts[hp2016.FY])</f>
        <v>0</v>
      </c>
      <c r="BJ25" s="43">
        <f>SUMIF(r_PartPresses,t_Presses[[PRESS]:[PRESS]],t_Parts[hp2017])</f>
        <v>0</v>
      </c>
      <c r="BK25" s="43">
        <f>SUMIF(r_PartPresses,t_Presses[[PRESS]:[PRESS]],t_Parts[hp2018])</f>
        <v>0</v>
      </c>
      <c r="BL25" s="43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hidden="1" x14ac:dyDescent="0.25">
      <c r="A26" s="16" t="s">
        <v>136</v>
      </c>
      <c r="B26" t="s">
        <v>9</v>
      </c>
      <c r="C26" t="s">
        <v>121</v>
      </c>
      <c r="D26">
        <v>500</v>
      </c>
      <c r="E26" s="18" t="str">
        <f t="shared" si="0"/>
        <v>300-599</v>
      </c>
      <c r="F26" s="15"/>
      <c r="G26" s="18">
        <f>VLOOKUP(t_Presses[[Plant]:[Plant]],t_Plants[],Plants!CN$1,FALSE)</f>
        <v>208</v>
      </c>
      <c r="H26">
        <f>VLOOKUP(t_Presses[[Plant]:[Plant]],t_Plants[],Plants!CO$1,FALSE)</f>
        <v>208</v>
      </c>
      <c r="I26" s="18">
        <f>VLOOKUP(t_Presses[[Plant]:[Plant]],t_Plants[],Plants!CP$1,FALSE)</f>
        <v>272</v>
      </c>
      <c r="J26" s="18">
        <f>VLOOKUP(t_Presses[[Plant]:[Plant]],t_Plants[],Plants!CQ$1,FALSE)</f>
        <v>208</v>
      </c>
      <c r="K26" s="18">
        <f>VLOOKUP(t_Presses[[Plant]:[Plant]],t_Plants[],Plants!CR$1,FALSE)</f>
        <v>208</v>
      </c>
      <c r="L26" s="18">
        <f>VLOOKUP(t_Presses[[Plant]:[Plant]],t_Plants[],Plants!CS$1,FALSE)</f>
        <v>272</v>
      </c>
      <c r="M26" s="18">
        <f>VLOOKUP(t_Presses[[Plant]:[Plant]],t_Plants[],Plants!CT$1,FALSE)</f>
        <v>208</v>
      </c>
      <c r="N26" s="18">
        <f>VLOOKUP(t_Presses[[Plant]:[Plant]],t_Plants[],Plants!CU$1,FALSE)</f>
        <v>208</v>
      </c>
      <c r="O26" s="18">
        <f>VLOOKUP(t_Presses[[Plant]:[Plant]],t_Plants[],Plants!CV$1,FALSE)</f>
        <v>272</v>
      </c>
      <c r="P26" s="18">
        <f>VLOOKUP(t_Presses[[Plant]:[Plant]],t_Plants[],Plants!CW$1,FALSE)</f>
        <v>208</v>
      </c>
      <c r="Q26" s="18">
        <f>VLOOKUP(t_Presses[[Plant]:[Plant]],t_Plants[],Plants!CX$1,FALSE)</f>
        <v>208</v>
      </c>
      <c r="R26" s="18">
        <f>VLOOKUP(t_Presses[[Plant]:[Plant]],t_Plants[],Plants!CY$1,FALSE)</f>
        <v>272</v>
      </c>
      <c r="S26" s="18">
        <f>SUM(t_Presses[[#This Row],[ha2015.01]:[ha2015.12]])</f>
        <v>2752</v>
      </c>
      <c r="T26">
        <f>VLOOKUP(t_Presses[[Plant]:[Plant]],t_Plants[],Plants!DA$1,FALSE)</f>
        <v>208</v>
      </c>
      <c r="U26">
        <f>VLOOKUP(t_Presses[[Plant]:[Plant]],t_Plants[],Plants!DB$1,FALSE)</f>
        <v>208</v>
      </c>
      <c r="V26">
        <f>VLOOKUP(t_Presses[[Plant]:[Plant]],t_Plants[],Plants!DC$1,FALSE)</f>
        <v>272</v>
      </c>
      <c r="W26">
        <f>VLOOKUP(t_Presses[[Plant]:[Plant]],t_Plants[],Plants!DD$1,FALSE)</f>
        <v>208</v>
      </c>
      <c r="X26">
        <f>VLOOKUP(t_Presses[[Plant]:[Plant]],t_Plants[],Plants!DE$1,FALSE)</f>
        <v>208</v>
      </c>
      <c r="Y26">
        <f>VLOOKUP(t_Presses[[Plant]:[Plant]],t_Plants[],Plants!DF$1,FALSE)</f>
        <v>272</v>
      </c>
      <c r="Z26">
        <f>VLOOKUP(t_Presses[[Plant]:[Plant]],t_Plants[],Plants!DG$1,FALSE)</f>
        <v>208</v>
      </c>
      <c r="AA26">
        <f>VLOOKUP(t_Presses[[Plant]:[Plant]],t_Plants[],Plants!DH$1,FALSE)</f>
        <v>208</v>
      </c>
      <c r="AB26">
        <f>VLOOKUP(t_Presses[[Plant]:[Plant]],t_Plants[],Plants!DI$1,FALSE)</f>
        <v>272</v>
      </c>
      <c r="AC26">
        <f>VLOOKUP(t_Presses[[Plant]:[Plant]],t_Plants[],Plants!DJ$1,FALSE)</f>
        <v>208</v>
      </c>
      <c r="AD26">
        <f>VLOOKUP(t_Presses[[Plant]:[Plant]],t_Plants[],Plants!DK$1,FALSE)</f>
        <v>208</v>
      </c>
      <c r="AE26">
        <f>VLOOKUP(t_Presses[[Plant]:[Plant]],t_Plants[],Plants!DL$1,FALSE)</f>
        <v>272</v>
      </c>
      <c r="AF26" s="18">
        <f>SUM(t_Presses[[#This Row],[ha2016.01]:[ha2016.12]])</f>
        <v>2752</v>
      </c>
      <c r="AG26">
        <f>VLOOKUP(t_Presses[[Plant]:[Plant]],t_Plants[],Plants!DN$1,FALSE)</f>
        <v>2752</v>
      </c>
      <c r="AH26">
        <f>VLOOKUP(t_Presses[[Plant]:[Plant]],t_Plants[],Plants!DO$1,FALSE)</f>
        <v>2752</v>
      </c>
      <c r="AI26">
        <f>VLOOKUP(t_Presses[[Plant]:[Plant]],t_Plants[],Plants!DP$1,FALSE)</f>
        <v>2752</v>
      </c>
      <c r="AJ26" s="43">
        <f>SUMIF(r_PartPresses,t_Presses[[PRESS]:[PRESS]],t_Parts[hp2015.01])</f>
        <v>0</v>
      </c>
      <c r="AK26" s="43">
        <f>SUMIF(r_PartPresses,t_Presses[[PRESS]:[PRESS]],t_Parts[hp2015.02])</f>
        <v>0</v>
      </c>
      <c r="AL26" s="43">
        <f>SUMIF(r_PartPresses,t_Presses[[PRESS]:[PRESS]],t_Parts[hp2015.03])</f>
        <v>0</v>
      </c>
      <c r="AM26" s="43">
        <f>SUMIF(r_PartPresses,t_Presses[[PRESS]:[PRESS]],t_Parts[hp2015.04])</f>
        <v>0</v>
      </c>
      <c r="AN26" s="43">
        <f>SUMIF(r_PartPresses,t_Presses[[PRESS]:[PRESS]],t_Parts[hp2015.05])</f>
        <v>0</v>
      </c>
      <c r="AO26" s="43">
        <f>SUMIF(r_PartPresses,t_Presses[[PRESS]:[PRESS]],t_Parts[hp2015.06])</f>
        <v>0</v>
      </c>
      <c r="AP26" s="43">
        <f>SUMIF(r_PartPresses,t_Presses[[PRESS]:[PRESS]],t_Parts[hp2015.07])</f>
        <v>0</v>
      </c>
      <c r="AQ26" s="43">
        <f>SUMIF(r_PartPresses,t_Presses[[PRESS]:[PRESS]],t_Parts[hp2015.08])</f>
        <v>0</v>
      </c>
      <c r="AR26" s="43">
        <f>SUMIF(r_PartPresses,t_Presses[[PRESS]:[PRESS]],t_Parts[hp2015.09])</f>
        <v>0</v>
      </c>
      <c r="AS26" s="43">
        <f>SUMIF(r_PartPresses,t_Presses[[PRESS]:[PRESS]],t_Parts[hp2015.10])</f>
        <v>0</v>
      </c>
      <c r="AT26" s="43">
        <f>SUMIF(r_PartPresses,t_Presses[[PRESS]:[PRESS]],t_Parts[hp2015.11])</f>
        <v>0</v>
      </c>
      <c r="AU26" s="43">
        <f>SUMIF(r_PartPresses,t_Presses[[PRESS]:[PRESS]],t_Parts[hp2015.12])</f>
        <v>0</v>
      </c>
      <c r="AV26" s="43">
        <f>SUM(t_Presses[[#This Row],[hp2015.01]:[hp2015.12]])</f>
        <v>0</v>
      </c>
      <c r="AW26" s="43">
        <f>SUMIF(r_PartPresses,t_Presses[[PRESS]:[PRESS]],t_Parts[hp2016.01])</f>
        <v>0</v>
      </c>
      <c r="AX26" s="43">
        <f>SUMIF(r_PartPresses,t_Presses[[PRESS]:[PRESS]],t_Parts[hp2016.02])</f>
        <v>0</v>
      </c>
      <c r="AY26" s="43">
        <f>SUMIF(r_PartPresses,t_Presses[[PRESS]:[PRESS]],t_Parts[hp2016.03])</f>
        <v>0</v>
      </c>
      <c r="AZ26" s="43">
        <f>SUMIF(r_PartPresses,t_Presses[[PRESS]:[PRESS]],t_Parts[hp2016.04])</f>
        <v>0</v>
      </c>
      <c r="BA26" s="43">
        <f>SUMIF(r_PartPresses,t_Presses[[PRESS]:[PRESS]],t_Parts[hp2016.05])</f>
        <v>0</v>
      </c>
      <c r="BB26" s="43">
        <f>SUMIF(r_PartPresses,t_Presses[[PRESS]:[PRESS]],t_Parts[hp2016.06])</f>
        <v>0</v>
      </c>
      <c r="BC26" s="43">
        <f>SUMIF(r_PartPresses,t_Presses[[PRESS]:[PRESS]],t_Parts[hp2016.07])</f>
        <v>0</v>
      </c>
      <c r="BD26" s="43">
        <f>SUMIF(r_PartPresses,t_Presses[[PRESS]:[PRESS]],t_Parts[hp2016.08])</f>
        <v>0</v>
      </c>
      <c r="BE26" s="43">
        <f>SUMIF(r_PartPresses,t_Presses[[PRESS]:[PRESS]],t_Parts[hp2016.09])</f>
        <v>0</v>
      </c>
      <c r="BF26" s="43">
        <f>SUMIF(r_PartPresses,t_Presses[[PRESS]:[PRESS]],t_Parts[hp2016.10])</f>
        <v>0</v>
      </c>
      <c r="BG26" s="43">
        <f>SUMIF(r_PartPresses,t_Presses[[PRESS]:[PRESS]],t_Parts[hp2016.11])</f>
        <v>0</v>
      </c>
      <c r="BH26" s="43">
        <f>SUMIF(r_PartPresses,t_Presses[[PRESS]:[PRESS]],t_Parts[hp2016.12])</f>
        <v>0</v>
      </c>
      <c r="BI26" s="43">
        <f>SUMIF(r_PartPresses,t_Presses[[PRESS]:[PRESS]],t_Parts[hp2016.FY])</f>
        <v>0</v>
      </c>
      <c r="BJ26" s="43">
        <f>SUMIF(r_PartPresses,t_Presses[[PRESS]:[PRESS]],t_Parts[hp2017])</f>
        <v>0</v>
      </c>
      <c r="BK26" s="43">
        <f>SUMIF(r_PartPresses,t_Presses[[PRESS]:[PRESS]],t_Parts[hp2018])</f>
        <v>0</v>
      </c>
      <c r="BL26" s="43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hidden="1" x14ac:dyDescent="0.25">
      <c r="A27" s="16" t="s">
        <v>137</v>
      </c>
      <c r="B27" t="s">
        <v>9</v>
      </c>
      <c r="C27" t="s">
        <v>121</v>
      </c>
      <c r="D27">
        <v>600</v>
      </c>
      <c r="E27" s="18" t="str">
        <f t="shared" si="0"/>
        <v>600-899</v>
      </c>
      <c r="F27" s="15"/>
      <c r="G27" s="18">
        <f>VLOOKUP(t_Presses[[Plant]:[Plant]],t_Plants[],Plants!CN$1,FALSE)</f>
        <v>208</v>
      </c>
      <c r="H27">
        <f>VLOOKUP(t_Presses[[Plant]:[Plant]],t_Plants[],Plants!CO$1,FALSE)</f>
        <v>208</v>
      </c>
      <c r="I27" s="18">
        <f>VLOOKUP(t_Presses[[Plant]:[Plant]],t_Plants[],Plants!CP$1,FALSE)</f>
        <v>272</v>
      </c>
      <c r="J27" s="18">
        <f>VLOOKUP(t_Presses[[Plant]:[Plant]],t_Plants[],Plants!CQ$1,FALSE)</f>
        <v>208</v>
      </c>
      <c r="K27" s="18">
        <f>VLOOKUP(t_Presses[[Plant]:[Plant]],t_Plants[],Plants!CR$1,FALSE)</f>
        <v>208</v>
      </c>
      <c r="L27" s="18">
        <f>VLOOKUP(t_Presses[[Plant]:[Plant]],t_Plants[],Plants!CS$1,FALSE)</f>
        <v>272</v>
      </c>
      <c r="M27" s="18">
        <f>VLOOKUP(t_Presses[[Plant]:[Plant]],t_Plants[],Plants!CT$1,FALSE)</f>
        <v>208</v>
      </c>
      <c r="N27" s="18">
        <f>VLOOKUP(t_Presses[[Plant]:[Plant]],t_Plants[],Plants!CU$1,FALSE)</f>
        <v>208</v>
      </c>
      <c r="O27" s="18">
        <f>VLOOKUP(t_Presses[[Plant]:[Plant]],t_Plants[],Plants!CV$1,FALSE)</f>
        <v>272</v>
      </c>
      <c r="P27" s="18">
        <f>VLOOKUP(t_Presses[[Plant]:[Plant]],t_Plants[],Plants!CW$1,FALSE)</f>
        <v>208</v>
      </c>
      <c r="Q27" s="18">
        <f>VLOOKUP(t_Presses[[Plant]:[Plant]],t_Plants[],Plants!CX$1,FALSE)</f>
        <v>208</v>
      </c>
      <c r="R27" s="18">
        <f>VLOOKUP(t_Presses[[Plant]:[Plant]],t_Plants[],Plants!CY$1,FALSE)</f>
        <v>272</v>
      </c>
      <c r="S27" s="18">
        <f>SUM(t_Presses[[#This Row],[ha2015.01]:[ha2015.12]])</f>
        <v>2752</v>
      </c>
      <c r="T27">
        <f>VLOOKUP(t_Presses[[Plant]:[Plant]],t_Plants[],Plants!DA$1,FALSE)</f>
        <v>208</v>
      </c>
      <c r="U27">
        <f>VLOOKUP(t_Presses[[Plant]:[Plant]],t_Plants[],Plants!DB$1,FALSE)</f>
        <v>208</v>
      </c>
      <c r="V27">
        <f>VLOOKUP(t_Presses[[Plant]:[Plant]],t_Plants[],Plants!DC$1,FALSE)</f>
        <v>272</v>
      </c>
      <c r="W27">
        <f>VLOOKUP(t_Presses[[Plant]:[Plant]],t_Plants[],Plants!DD$1,FALSE)</f>
        <v>208</v>
      </c>
      <c r="X27">
        <f>VLOOKUP(t_Presses[[Plant]:[Plant]],t_Plants[],Plants!DE$1,FALSE)</f>
        <v>208</v>
      </c>
      <c r="Y27">
        <f>VLOOKUP(t_Presses[[Plant]:[Plant]],t_Plants[],Plants!DF$1,FALSE)</f>
        <v>272</v>
      </c>
      <c r="Z27">
        <f>VLOOKUP(t_Presses[[Plant]:[Plant]],t_Plants[],Plants!DG$1,FALSE)</f>
        <v>208</v>
      </c>
      <c r="AA27">
        <f>VLOOKUP(t_Presses[[Plant]:[Plant]],t_Plants[],Plants!DH$1,FALSE)</f>
        <v>208</v>
      </c>
      <c r="AB27">
        <f>VLOOKUP(t_Presses[[Plant]:[Plant]],t_Plants[],Plants!DI$1,FALSE)</f>
        <v>272</v>
      </c>
      <c r="AC27">
        <f>VLOOKUP(t_Presses[[Plant]:[Plant]],t_Plants[],Plants!DJ$1,FALSE)</f>
        <v>208</v>
      </c>
      <c r="AD27">
        <f>VLOOKUP(t_Presses[[Plant]:[Plant]],t_Plants[],Plants!DK$1,FALSE)</f>
        <v>208</v>
      </c>
      <c r="AE27">
        <f>VLOOKUP(t_Presses[[Plant]:[Plant]],t_Plants[],Plants!DL$1,FALSE)</f>
        <v>272</v>
      </c>
      <c r="AF27" s="18">
        <f>SUM(t_Presses[[#This Row],[ha2016.01]:[ha2016.12]])</f>
        <v>2752</v>
      </c>
      <c r="AG27">
        <f>VLOOKUP(t_Presses[[Plant]:[Plant]],t_Plants[],Plants!DN$1,FALSE)</f>
        <v>2752</v>
      </c>
      <c r="AH27">
        <f>VLOOKUP(t_Presses[[Plant]:[Plant]],t_Plants[],Plants!DO$1,FALSE)</f>
        <v>2752</v>
      </c>
      <c r="AI27">
        <f>VLOOKUP(t_Presses[[Plant]:[Plant]],t_Plants[],Plants!DP$1,FALSE)</f>
        <v>2752</v>
      </c>
      <c r="AJ27" s="43">
        <f>SUMIF(r_PartPresses,t_Presses[[PRESS]:[PRESS]],t_Parts[hp2015.01])</f>
        <v>0</v>
      </c>
      <c r="AK27" s="43">
        <f>SUMIF(r_PartPresses,t_Presses[[PRESS]:[PRESS]],t_Parts[hp2015.02])</f>
        <v>0</v>
      </c>
      <c r="AL27" s="43">
        <f>SUMIF(r_PartPresses,t_Presses[[PRESS]:[PRESS]],t_Parts[hp2015.03])</f>
        <v>0</v>
      </c>
      <c r="AM27" s="43">
        <f>SUMIF(r_PartPresses,t_Presses[[PRESS]:[PRESS]],t_Parts[hp2015.04])</f>
        <v>0</v>
      </c>
      <c r="AN27" s="43">
        <f>SUMIF(r_PartPresses,t_Presses[[PRESS]:[PRESS]],t_Parts[hp2015.05])</f>
        <v>0</v>
      </c>
      <c r="AO27" s="43">
        <f>SUMIF(r_PartPresses,t_Presses[[PRESS]:[PRESS]],t_Parts[hp2015.06])</f>
        <v>0</v>
      </c>
      <c r="AP27" s="43">
        <f>SUMIF(r_PartPresses,t_Presses[[PRESS]:[PRESS]],t_Parts[hp2015.07])</f>
        <v>0</v>
      </c>
      <c r="AQ27" s="43">
        <f>SUMIF(r_PartPresses,t_Presses[[PRESS]:[PRESS]],t_Parts[hp2015.08])</f>
        <v>0</v>
      </c>
      <c r="AR27" s="43">
        <f>SUMIF(r_PartPresses,t_Presses[[PRESS]:[PRESS]],t_Parts[hp2015.09])</f>
        <v>0</v>
      </c>
      <c r="AS27" s="43">
        <f>SUMIF(r_PartPresses,t_Presses[[PRESS]:[PRESS]],t_Parts[hp2015.10])</f>
        <v>0</v>
      </c>
      <c r="AT27" s="43">
        <f>SUMIF(r_PartPresses,t_Presses[[PRESS]:[PRESS]],t_Parts[hp2015.11])</f>
        <v>0</v>
      </c>
      <c r="AU27" s="43">
        <f>SUMIF(r_PartPresses,t_Presses[[PRESS]:[PRESS]],t_Parts[hp2015.12])</f>
        <v>0</v>
      </c>
      <c r="AV27" s="43">
        <f>SUM(t_Presses[[#This Row],[hp2015.01]:[hp2015.12]])</f>
        <v>0</v>
      </c>
      <c r="AW27" s="43">
        <f>SUMIF(r_PartPresses,t_Presses[[PRESS]:[PRESS]],t_Parts[hp2016.01])</f>
        <v>0</v>
      </c>
      <c r="AX27" s="43">
        <f>SUMIF(r_PartPresses,t_Presses[[PRESS]:[PRESS]],t_Parts[hp2016.02])</f>
        <v>0</v>
      </c>
      <c r="AY27" s="43">
        <f>SUMIF(r_PartPresses,t_Presses[[PRESS]:[PRESS]],t_Parts[hp2016.03])</f>
        <v>0</v>
      </c>
      <c r="AZ27" s="43">
        <f>SUMIF(r_PartPresses,t_Presses[[PRESS]:[PRESS]],t_Parts[hp2016.04])</f>
        <v>0</v>
      </c>
      <c r="BA27" s="43">
        <f>SUMIF(r_PartPresses,t_Presses[[PRESS]:[PRESS]],t_Parts[hp2016.05])</f>
        <v>0</v>
      </c>
      <c r="BB27" s="43">
        <f>SUMIF(r_PartPresses,t_Presses[[PRESS]:[PRESS]],t_Parts[hp2016.06])</f>
        <v>0</v>
      </c>
      <c r="BC27" s="43">
        <f>SUMIF(r_PartPresses,t_Presses[[PRESS]:[PRESS]],t_Parts[hp2016.07])</f>
        <v>0</v>
      </c>
      <c r="BD27" s="43">
        <f>SUMIF(r_PartPresses,t_Presses[[PRESS]:[PRESS]],t_Parts[hp2016.08])</f>
        <v>0</v>
      </c>
      <c r="BE27" s="43">
        <f>SUMIF(r_PartPresses,t_Presses[[PRESS]:[PRESS]],t_Parts[hp2016.09])</f>
        <v>0</v>
      </c>
      <c r="BF27" s="43">
        <f>SUMIF(r_PartPresses,t_Presses[[PRESS]:[PRESS]],t_Parts[hp2016.10])</f>
        <v>0</v>
      </c>
      <c r="BG27" s="43">
        <f>SUMIF(r_PartPresses,t_Presses[[PRESS]:[PRESS]],t_Parts[hp2016.11])</f>
        <v>0</v>
      </c>
      <c r="BH27" s="43">
        <f>SUMIF(r_PartPresses,t_Presses[[PRESS]:[PRESS]],t_Parts[hp2016.12])</f>
        <v>0</v>
      </c>
      <c r="BI27" s="43">
        <f>SUMIF(r_PartPresses,t_Presses[[PRESS]:[PRESS]],t_Parts[hp2016.FY])</f>
        <v>0</v>
      </c>
      <c r="BJ27" s="43">
        <f>SUMIF(r_PartPresses,t_Presses[[PRESS]:[PRESS]],t_Parts[hp2017])</f>
        <v>0</v>
      </c>
      <c r="BK27" s="43">
        <f>SUMIF(r_PartPresses,t_Presses[[PRESS]:[PRESS]],t_Parts[hp2018])</f>
        <v>0</v>
      </c>
      <c r="BL27" s="43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hidden="1" x14ac:dyDescent="0.25">
      <c r="A28" s="16" t="s">
        <v>138</v>
      </c>
      <c r="B28" t="s">
        <v>9</v>
      </c>
      <c r="C28" t="s">
        <v>122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VLOOKUP(t_Presses[[Plant]:[Plant]],t_Plants[],Plants!CN$1,FALSE)</f>
        <v>208</v>
      </c>
      <c r="H28">
        <f>VLOOKUP(t_Presses[[Plant]:[Plant]],t_Plants[],Plants!CO$1,FALSE)</f>
        <v>208</v>
      </c>
      <c r="I28" s="18">
        <f>VLOOKUP(t_Presses[[Plant]:[Plant]],t_Plants[],Plants!CP$1,FALSE)</f>
        <v>272</v>
      </c>
      <c r="J28" s="18">
        <f>VLOOKUP(t_Presses[[Plant]:[Plant]],t_Plants[],Plants!CQ$1,FALSE)</f>
        <v>208</v>
      </c>
      <c r="K28" s="18">
        <f>VLOOKUP(t_Presses[[Plant]:[Plant]],t_Plants[],Plants!CR$1,FALSE)</f>
        <v>208</v>
      </c>
      <c r="L28" s="18">
        <f>VLOOKUP(t_Presses[[Plant]:[Plant]],t_Plants[],Plants!CS$1,FALSE)</f>
        <v>272</v>
      </c>
      <c r="M28" s="18">
        <f>VLOOKUP(t_Presses[[Plant]:[Plant]],t_Plants[],Plants!CT$1,FALSE)</f>
        <v>208</v>
      </c>
      <c r="N28" s="18">
        <f>VLOOKUP(t_Presses[[Plant]:[Plant]],t_Plants[],Plants!CU$1,FALSE)</f>
        <v>208</v>
      </c>
      <c r="O28" s="18">
        <f>VLOOKUP(t_Presses[[Plant]:[Plant]],t_Plants[],Plants!CV$1,FALSE)</f>
        <v>272</v>
      </c>
      <c r="P28" s="18">
        <f>VLOOKUP(t_Presses[[Plant]:[Plant]],t_Plants[],Plants!CW$1,FALSE)</f>
        <v>208</v>
      </c>
      <c r="Q28" s="18">
        <f>VLOOKUP(t_Presses[[Plant]:[Plant]],t_Plants[],Plants!CX$1,FALSE)</f>
        <v>208</v>
      </c>
      <c r="R28" s="18">
        <f>VLOOKUP(t_Presses[[Plant]:[Plant]],t_Plants[],Plants!CY$1,FALSE)</f>
        <v>272</v>
      </c>
      <c r="S28" s="18">
        <f>SUM(t_Presses[[#This Row],[ha2015.01]:[ha2015.12]])</f>
        <v>2752</v>
      </c>
      <c r="T28">
        <f>VLOOKUP(t_Presses[[Plant]:[Plant]],t_Plants[],Plants!DA$1,FALSE)</f>
        <v>208</v>
      </c>
      <c r="U28">
        <f>VLOOKUP(t_Presses[[Plant]:[Plant]],t_Plants[],Plants!DB$1,FALSE)</f>
        <v>208</v>
      </c>
      <c r="V28">
        <f>VLOOKUP(t_Presses[[Plant]:[Plant]],t_Plants[],Plants!DC$1,FALSE)</f>
        <v>272</v>
      </c>
      <c r="W28">
        <f>VLOOKUP(t_Presses[[Plant]:[Plant]],t_Plants[],Plants!DD$1,FALSE)</f>
        <v>208</v>
      </c>
      <c r="X28">
        <f>VLOOKUP(t_Presses[[Plant]:[Plant]],t_Plants[],Plants!DE$1,FALSE)</f>
        <v>208</v>
      </c>
      <c r="Y28">
        <f>VLOOKUP(t_Presses[[Plant]:[Plant]],t_Plants[],Plants!DF$1,FALSE)</f>
        <v>272</v>
      </c>
      <c r="Z28">
        <f>VLOOKUP(t_Presses[[Plant]:[Plant]],t_Plants[],Plants!DG$1,FALSE)</f>
        <v>208</v>
      </c>
      <c r="AA28">
        <f>VLOOKUP(t_Presses[[Plant]:[Plant]],t_Plants[],Plants!DH$1,FALSE)</f>
        <v>208</v>
      </c>
      <c r="AB28">
        <f>VLOOKUP(t_Presses[[Plant]:[Plant]],t_Plants[],Plants!DI$1,FALSE)</f>
        <v>272</v>
      </c>
      <c r="AC28">
        <f>VLOOKUP(t_Presses[[Plant]:[Plant]],t_Plants[],Plants!DJ$1,FALSE)</f>
        <v>208</v>
      </c>
      <c r="AD28">
        <f>VLOOKUP(t_Presses[[Plant]:[Plant]],t_Plants[],Plants!DK$1,FALSE)</f>
        <v>208</v>
      </c>
      <c r="AE28">
        <f>VLOOKUP(t_Presses[[Plant]:[Plant]],t_Plants[],Plants!DL$1,FALSE)</f>
        <v>272</v>
      </c>
      <c r="AF28" s="18">
        <f>SUM(t_Presses[[#This Row],[ha2016.01]:[ha2016.12]])</f>
        <v>2752</v>
      </c>
      <c r="AG28">
        <f>VLOOKUP(t_Presses[[Plant]:[Plant]],t_Plants[],Plants!DN$1,FALSE)</f>
        <v>2752</v>
      </c>
      <c r="AH28">
        <f>VLOOKUP(t_Presses[[Plant]:[Plant]],t_Plants[],Plants!DO$1,FALSE)</f>
        <v>2752</v>
      </c>
      <c r="AI28">
        <f>VLOOKUP(t_Presses[[Plant]:[Plant]],t_Plants[],Plants!DP$1,FALSE)</f>
        <v>2752</v>
      </c>
      <c r="AJ28" s="43">
        <f>SUMIF(r_PartPresses,t_Presses[[PRESS]:[PRESS]],t_Parts[hp2015.01])</f>
        <v>0</v>
      </c>
      <c r="AK28" s="43">
        <f>SUMIF(r_PartPresses,t_Presses[[PRESS]:[PRESS]],t_Parts[hp2015.02])</f>
        <v>0</v>
      </c>
      <c r="AL28" s="43">
        <f>SUMIF(r_PartPresses,t_Presses[[PRESS]:[PRESS]],t_Parts[hp2015.03])</f>
        <v>0</v>
      </c>
      <c r="AM28" s="43">
        <f>SUMIF(r_PartPresses,t_Presses[[PRESS]:[PRESS]],t_Parts[hp2015.04])</f>
        <v>0</v>
      </c>
      <c r="AN28" s="43">
        <f>SUMIF(r_PartPresses,t_Presses[[PRESS]:[PRESS]],t_Parts[hp2015.05])</f>
        <v>0</v>
      </c>
      <c r="AO28" s="43">
        <f>SUMIF(r_PartPresses,t_Presses[[PRESS]:[PRESS]],t_Parts[hp2015.06])</f>
        <v>0</v>
      </c>
      <c r="AP28" s="43">
        <f>SUMIF(r_PartPresses,t_Presses[[PRESS]:[PRESS]],t_Parts[hp2015.07])</f>
        <v>0</v>
      </c>
      <c r="AQ28" s="43">
        <f>SUMIF(r_PartPresses,t_Presses[[PRESS]:[PRESS]],t_Parts[hp2015.08])</f>
        <v>0</v>
      </c>
      <c r="AR28" s="43">
        <f>SUMIF(r_PartPresses,t_Presses[[PRESS]:[PRESS]],t_Parts[hp2015.09])</f>
        <v>0</v>
      </c>
      <c r="AS28" s="43">
        <f>SUMIF(r_PartPresses,t_Presses[[PRESS]:[PRESS]],t_Parts[hp2015.10])</f>
        <v>0</v>
      </c>
      <c r="AT28" s="43">
        <f>SUMIF(r_PartPresses,t_Presses[[PRESS]:[PRESS]],t_Parts[hp2015.11])</f>
        <v>0</v>
      </c>
      <c r="AU28" s="43">
        <f>SUMIF(r_PartPresses,t_Presses[[PRESS]:[PRESS]],t_Parts[hp2015.12])</f>
        <v>0</v>
      </c>
      <c r="AV28" s="43">
        <f>SUM(t_Presses[[#This Row],[hp2015.01]:[hp2015.12]])</f>
        <v>0</v>
      </c>
      <c r="AW28" s="43">
        <f>SUMIF(r_PartPresses,t_Presses[[PRESS]:[PRESS]],t_Parts[hp2016.01])</f>
        <v>0</v>
      </c>
      <c r="AX28" s="43">
        <f>SUMIF(r_PartPresses,t_Presses[[PRESS]:[PRESS]],t_Parts[hp2016.02])</f>
        <v>0</v>
      </c>
      <c r="AY28" s="43">
        <f>SUMIF(r_PartPresses,t_Presses[[PRESS]:[PRESS]],t_Parts[hp2016.03])</f>
        <v>0</v>
      </c>
      <c r="AZ28" s="43">
        <f>SUMIF(r_PartPresses,t_Presses[[PRESS]:[PRESS]],t_Parts[hp2016.04])</f>
        <v>0</v>
      </c>
      <c r="BA28" s="43">
        <f>SUMIF(r_PartPresses,t_Presses[[PRESS]:[PRESS]],t_Parts[hp2016.05])</f>
        <v>0</v>
      </c>
      <c r="BB28" s="43">
        <f>SUMIF(r_PartPresses,t_Presses[[PRESS]:[PRESS]],t_Parts[hp2016.06])</f>
        <v>0</v>
      </c>
      <c r="BC28" s="43">
        <f>SUMIF(r_PartPresses,t_Presses[[PRESS]:[PRESS]],t_Parts[hp2016.07])</f>
        <v>0</v>
      </c>
      <c r="BD28" s="43">
        <f>SUMIF(r_PartPresses,t_Presses[[PRESS]:[PRESS]],t_Parts[hp2016.08])</f>
        <v>0</v>
      </c>
      <c r="BE28" s="43">
        <f>SUMIF(r_PartPresses,t_Presses[[PRESS]:[PRESS]],t_Parts[hp2016.09])</f>
        <v>0</v>
      </c>
      <c r="BF28" s="43">
        <f>SUMIF(r_PartPresses,t_Presses[[PRESS]:[PRESS]],t_Parts[hp2016.10])</f>
        <v>0</v>
      </c>
      <c r="BG28" s="43">
        <f>SUMIF(r_PartPresses,t_Presses[[PRESS]:[PRESS]],t_Parts[hp2016.11])</f>
        <v>0</v>
      </c>
      <c r="BH28" s="43">
        <f>SUMIF(r_PartPresses,t_Presses[[PRESS]:[PRESS]],t_Parts[hp2016.12])</f>
        <v>0</v>
      </c>
      <c r="BI28" s="43">
        <f>SUMIF(r_PartPresses,t_Presses[[PRESS]:[PRESS]],t_Parts[hp2016.FY])</f>
        <v>0</v>
      </c>
      <c r="BJ28" s="43">
        <f>SUMIF(r_PartPresses,t_Presses[[PRESS]:[PRESS]],t_Parts[hp2017])</f>
        <v>0</v>
      </c>
      <c r="BK28" s="43">
        <f>SUMIF(r_PartPresses,t_Presses[[PRESS]:[PRESS]],t_Parts[hp2018])</f>
        <v>0</v>
      </c>
      <c r="BL28" s="43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hidden="1" x14ac:dyDescent="0.25">
      <c r="A29" s="16" t="s">
        <v>139</v>
      </c>
      <c r="B29" t="s">
        <v>9</v>
      </c>
      <c r="C29" t="s">
        <v>122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VLOOKUP(t_Presses[[Plant]:[Plant]],t_Plants[],Plants!CN$1,FALSE)</f>
        <v>208</v>
      </c>
      <c r="H29">
        <f>VLOOKUP(t_Presses[[Plant]:[Plant]],t_Plants[],Plants!CO$1,FALSE)</f>
        <v>208</v>
      </c>
      <c r="I29" s="18">
        <f>VLOOKUP(t_Presses[[Plant]:[Plant]],t_Plants[],Plants!CP$1,FALSE)</f>
        <v>272</v>
      </c>
      <c r="J29" s="18">
        <f>VLOOKUP(t_Presses[[Plant]:[Plant]],t_Plants[],Plants!CQ$1,FALSE)</f>
        <v>208</v>
      </c>
      <c r="K29" s="18">
        <f>VLOOKUP(t_Presses[[Plant]:[Plant]],t_Plants[],Plants!CR$1,FALSE)</f>
        <v>208</v>
      </c>
      <c r="L29" s="18">
        <f>VLOOKUP(t_Presses[[Plant]:[Plant]],t_Plants[],Plants!CS$1,FALSE)</f>
        <v>272</v>
      </c>
      <c r="M29" s="18">
        <f>VLOOKUP(t_Presses[[Plant]:[Plant]],t_Plants[],Plants!CT$1,FALSE)</f>
        <v>208</v>
      </c>
      <c r="N29" s="18">
        <f>VLOOKUP(t_Presses[[Plant]:[Plant]],t_Plants[],Plants!CU$1,FALSE)</f>
        <v>208</v>
      </c>
      <c r="O29" s="18">
        <f>VLOOKUP(t_Presses[[Plant]:[Plant]],t_Plants[],Plants!CV$1,FALSE)</f>
        <v>272</v>
      </c>
      <c r="P29" s="18">
        <f>VLOOKUP(t_Presses[[Plant]:[Plant]],t_Plants[],Plants!CW$1,FALSE)</f>
        <v>208</v>
      </c>
      <c r="Q29" s="18">
        <f>VLOOKUP(t_Presses[[Plant]:[Plant]],t_Plants[],Plants!CX$1,FALSE)</f>
        <v>208</v>
      </c>
      <c r="R29" s="18">
        <f>VLOOKUP(t_Presses[[Plant]:[Plant]],t_Plants[],Plants!CY$1,FALSE)</f>
        <v>272</v>
      </c>
      <c r="S29" s="18">
        <f>SUM(t_Presses[[#This Row],[ha2015.01]:[ha2015.12]])</f>
        <v>2752</v>
      </c>
      <c r="T29">
        <f>VLOOKUP(t_Presses[[Plant]:[Plant]],t_Plants[],Plants!DA$1,FALSE)</f>
        <v>208</v>
      </c>
      <c r="U29">
        <f>VLOOKUP(t_Presses[[Plant]:[Plant]],t_Plants[],Plants!DB$1,FALSE)</f>
        <v>208</v>
      </c>
      <c r="V29">
        <f>VLOOKUP(t_Presses[[Plant]:[Plant]],t_Plants[],Plants!DC$1,FALSE)</f>
        <v>272</v>
      </c>
      <c r="W29">
        <f>VLOOKUP(t_Presses[[Plant]:[Plant]],t_Plants[],Plants!DD$1,FALSE)</f>
        <v>208</v>
      </c>
      <c r="X29">
        <f>VLOOKUP(t_Presses[[Plant]:[Plant]],t_Plants[],Plants!DE$1,FALSE)</f>
        <v>208</v>
      </c>
      <c r="Y29">
        <f>VLOOKUP(t_Presses[[Plant]:[Plant]],t_Plants[],Plants!DF$1,FALSE)</f>
        <v>272</v>
      </c>
      <c r="Z29">
        <f>VLOOKUP(t_Presses[[Plant]:[Plant]],t_Plants[],Plants!DG$1,FALSE)</f>
        <v>208</v>
      </c>
      <c r="AA29">
        <f>VLOOKUP(t_Presses[[Plant]:[Plant]],t_Plants[],Plants!DH$1,FALSE)</f>
        <v>208</v>
      </c>
      <c r="AB29">
        <f>VLOOKUP(t_Presses[[Plant]:[Plant]],t_Plants[],Plants!DI$1,FALSE)</f>
        <v>272</v>
      </c>
      <c r="AC29">
        <f>VLOOKUP(t_Presses[[Plant]:[Plant]],t_Plants[],Plants!DJ$1,FALSE)</f>
        <v>208</v>
      </c>
      <c r="AD29">
        <f>VLOOKUP(t_Presses[[Plant]:[Plant]],t_Plants[],Plants!DK$1,FALSE)</f>
        <v>208</v>
      </c>
      <c r="AE29">
        <f>VLOOKUP(t_Presses[[Plant]:[Plant]],t_Plants[],Plants!DL$1,FALSE)</f>
        <v>272</v>
      </c>
      <c r="AF29" s="18">
        <f>SUM(t_Presses[[#This Row],[ha2016.01]:[ha2016.12]])</f>
        <v>2752</v>
      </c>
      <c r="AG29">
        <f>VLOOKUP(t_Presses[[Plant]:[Plant]],t_Plants[],Plants!DN$1,FALSE)</f>
        <v>2752</v>
      </c>
      <c r="AH29">
        <f>VLOOKUP(t_Presses[[Plant]:[Plant]],t_Plants[],Plants!DO$1,FALSE)</f>
        <v>2752</v>
      </c>
      <c r="AI29">
        <f>VLOOKUP(t_Presses[[Plant]:[Plant]],t_Plants[],Plants!DP$1,FALSE)</f>
        <v>2752</v>
      </c>
      <c r="AJ29" s="43">
        <f>SUMIF(r_PartPresses,t_Presses[[PRESS]:[PRESS]],t_Parts[hp2015.01])</f>
        <v>0</v>
      </c>
      <c r="AK29" s="43">
        <f>SUMIF(r_PartPresses,t_Presses[[PRESS]:[PRESS]],t_Parts[hp2015.02])</f>
        <v>0</v>
      </c>
      <c r="AL29" s="43">
        <f>SUMIF(r_PartPresses,t_Presses[[PRESS]:[PRESS]],t_Parts[hp2015.03])</f>
        <v>0</v>
      </c>
      <c r="AM29" s="43">
        <f>SUMIF(r_PartPresses,t_Presses[[PRESS]:[PRESS]],t_Parts[hp2015.04])</f>
        <v>0</v>
      </c>
      <c r="AN29" s="43">
        <f>SUMIF(r_PartPresses,t_Presses[[PRESS]:[PRESS]],t_Parts[hp2015.05])</f>
        <v>0</v>
      </c>
      <c r="AO29" s="43">
        <f>SUMIF(r_PartPresses,t_Presses[[PRESS]:[PRESS]],t_Parts[hp2015.06])</f>
        <v>0</v>
      </c>
      <c r="AP29" s="43">
        <f>SUMIF(r_PartPresses,t_Presses[[PRESS]:[PRESS]],t_Parts[hp2015.07])</f>
        <v>0</v>
      </c>
      <c r="AQ29" s="43">
        <f>SUMIF(r_PartPresses,t_Presses[[PRESS]:[PRESS]],t_Parts[hp2015.08])</f>
        <v>0</v>
      </c>
      <c r="AR29" s="43">
        <f>SUMIF(r_PartPresses,t_Presses[[PRESS]:[PRESS]],t_Parts[hp2015.09])</f>
        <v>0</v>
      </c>
      <c r="AS29" s="43">
        <f>SUMIF(r_PartPresses,t_Presses[[PRESS]:[PRESS]],t_Parts[hp2015.10])</f>
        <v>0</v>
      </c>
      <c r="AT29" s="43">
        <f>SUMIF(r_PartPresses,t_Presses[[PRESS]:[PRESS]],t_Parts[hp2015.11])</f>
        <v>0</v>
      </c>
      <c r="AU29" s="43">
        <f>SUMIF(r_PartPresses,t_Presses[[PRESS]:[PRESS]],t_Parts[hp2015.12])</f>
        <v>0</v>
      </c>
      <c r="AV29" s="43">
        <f>SUM(t_Presses[[#This Row],[hp2015.01]:[hp2015.12]])</f>
        <v>0</v>
      </c>
      <c r="AW29" s="43">
        <f>SUMIF(r_PartPresses,t_Presses[[PRESS]:[PRESS]],t_Parts[hp2016.01])</f>
        <v>0</v>
      </c>
      <c r="AX29" s="43">
        <f>SUMIF(r_PartPresses,t_Presses[[PRESS]:[PRESS]],t_Parts[hp2016.02])</f>
        <v>0</v>
      </c>
      <c r="AY29" s="43">
        <f>SUMIF(r_PartPresses,t_Presses[[PRESS]:[PRESS]],t_Parts[hp2016.03])</f>
        <v>0</v>
      </c>
      <c r="AZ29" s="43">
        <f>SUMIF(r_PartPresses,t_Presses[[PRESS]:[PRESS]],t_Parts[hp2016.04])</f>
        <v>0</v>
      </c>
      <c r="BA29" s="43">
        <f>SUMIF(r_PartPresses,t_Presses[[PRESS]:[PRESS]],t_Parts[hp2016.05])</f>
        <v>0</v>
      </c>
      <c r="BB29" s="43">
        <f>SUMIF(r_PartPresses,t_Presses[[PRESS]:[PRESS]],t_Parts[hp2016.06])</f>
        <v>0</v>
      </c>
      <c r="BC29" s="43">
        <f>SUMIF(r_PartPresses,t_Presses[[PRESS]:[PRESS]],t_Parts[hp2016.07])</f>
        <v>0</v>
      </c>
      <c r="BD29" s="43">
        <f>SUMIF(r_PartPresses,t_Presses[[PRESS]:[PRESS]],t_Parts[hp2016.08])</f>
        <v>0</v>
      </c>
      <c r="BE29" s="43">
        <f>SUMIF(r_PartPresses,t_Presses[[PRESS]:[PRESS]],t_Parts[hp2016.09])</f>
        <v>0</v>
      </c>
      <c r="BF29" s="43">
        <f>SUMIF(r_PartPresses,t_Presses[[PRESS]:[PRESS]],t_Parts[hp2016.10])</f>
        <v>0</v>
      </c>
      <c r="BG29" s="43">
        <f>SUMIF(r_PartPresses,t_Presses[[PRESS]:[PRESS]],t_Parts[hp2016.11])</f>
        <v>0</v>
      </c>
      <c r="BH29" s="43">
        <f>SUMIF(r_PartPresses,t_Presses[[PRESS]:[PRESS]],t_Parts[hp2016.12])</f>
        <v>0</v>
      </c>
      <c r="BI29" s="43">
        <f>SUMIF(r_PartPresses,t_Presses[[PRESS]:[PRESS]],t_Parts[hp2016.FY])</f>
        <v>0</v>
      </c>
      <c r="BJ29" s="43">
        <f>SUMIF(r_PartPresses,t_Presses[[PRESS]:[PRESS]],t_Parts[hp2017])</f>
        <v>0</v>
      </c>
      <c r="BK29" s="43">
        <f>SUMIF(r_PartPresses,t_Presses[[PRESS]:[PRESS]],t_Parts[hp2018])</f>
        <v>0</v>
      </c>
      <c r="BL29" s="43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hidden="1" x14ac:dyDescent="0.25">
      <c r="A30" s="16" t="s">
        <v>140</v>
      </c>
      <c r="B30" t="s">
        <v>9</v>
      </c>
      <c r="C30" t="s">
        <v>122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VLOOKUP(t_Presses[[Plant]:[Plant]],t_Plants[],Plants!CN$1,FALSE)</f>
        <v>208</v>
      </c>
      <c r="H30">
        <f>VLOOKUP(t_Presses[[Plant]:[Plant]],t_Plants[],Plants!CO$1,FALSE)</f>
        <v>208</v>
      </c>
      <c r="I30" s="18">
        <f>VLOOKUP(t_Presses[[Plant]:[Plant]],t_Plants[],Plants!CP$1,FALSE)</f>
        <v>272</v>
      </c>
      <c r="J30" s="18">
        <f>VLOOKUP(t_Presses[[Plant]:[Plant]],t_Plants[],Plants!CQ$1,FALSE)</f>
        <v>208</v>
      </c>
      <c r="K30" s="18">
        <f>VLOOKUP(t_Presses[[Plant]:[Plant]],t_Plants[],Plants!CR$1,FALSE)</f>
        <v>208</v>
      </c>
      <c r="L30" s="18">
        <f>VLOOKUP(t_Presses[[Plant]:[Plant]],t_Plants[],Plants!CS$1,FALSE)</f>
        <v>272</v>
      </c>
      <c r="M30" s="18">
        <f>VLOOKUP(t_Presses[[Plant]:[Plant]],t_Plants[],Plants!CT$1,FALSE)</f>
        <v>208</v>
      </c>
      <c r="N30" s="18">
        <f>VLOOKUP(t_Presses[[Plant]:[Plant]],t_Plants[],Plants!CU$1,FALSE)</f>
        <v>208</v>
      </c>
      <c r="O30" s="18">
        <f>VLOOKUP(t_Presses[[Plant]:[Plant]],t_Plants[],Plants!CV$1,FALSE)</f>
        <v>272</v>
      </c>
      <c r="P30" s="18">
        <f>VLOOKUP(t_Presses[[Plant]:[Plant]],t_Plants[],Plants!CW$1,FALSE)</f>
        <v>208</v>
      </c>
      <c r="Q30" s="18">
        <f>VLOOKUP(t_Presses[[Plant]:[Plant]],t_Plants[],Plants!CX$1,FALSE)</f>
        <v>208</v>
      </c>
      <c r="R30" s="18">
        <f>VLOOKUP(t_Presses[[Plant]:[Plant]],t_Plants[],Plants!CY$1,FALSE)</f>
        <v>272</v>
      </c>
      <c r="S30" s="18">
        <f>SUM(t_Presses[[#This Row],[ha2015.01]:[ha2015.12]])</f>
        <v>2752</v>
      </c>
      <c r="T30">
        <f>VLOOKUP(t_Presses[[Plant]:[Plant]],t_Plants[],Plants!DA$1,FALSE)</f>
        <v>208</v>
      </c>
      <c r="U30">
        <f>VLOOKUP(t_Presses[[Plant]:[Plant]],t_Plants[],Plants!DB$1,FALSE)</f>
        <v>208</v>
      </c>
      <c r="V30">
        <f>VLOOKUP(t_Presses[[Plant]:[Plant]],t_Plants[],Plants!DC$1,FALSE)</f>
        <v>272</v>
      </c>
      <c r="W30">
        <f>VLOOKUP(t_Presses[[Plant]:[Plant]],t_Plants[],Plants!DD$1,FALSE)</f>
        <v>208</v>
      </c>
      <c r="X30">
        <f>VLOOKUP(t_Presses[[Plant]:[Plant]],t_Plants[],Plants!DE$1,FALSE)</f>
        <v>208</v>
      </c>
      <c r="Y30">
        <f>VLOOKUP(t_Presses[[Plant]:[Plant]],t_Plants[],Plants!DF$1,FALSE)</f>
        <v>272</v>
      </c>
      <c r="Z30">
        <f>VLOOKUP(t_Presses[[Plant]:[Plant]],t_Plants[],Plants!DG$1,FALSE)</f>
        <v>208</v>
      </c>
      <c r="AA30">
        <f>VLOOKUP(t_Presses[[Plant]:[Plant]],t_Plants[],Plants!DH$1,FALSE)</f>
        <v>208</v>
      </c>
      <c r="AB30">
        <f>VLOOKUP(t_Presses[[Plant]:[Plant]],t_Plants[],Plants!DI$1,FALSE)</f>
        <v>272</v>
      </c>
      <c r="AC30">
        <f>VLOOKUP(t_Presses[[Plant]:[Plant]],t_Plants[],Plants!DJ$1,FALSE)</f>
        <v>208</v>
      </c>
      <c r="AD30">
        <f>VLOOKUP(t_Presses[[Plant]:[Plant]],t_Plants[],Plants!DK$1,FALSE)</f>
        <v>208</v>
      </c>
      <c r="AE30">
        <f>VLOOKUP(t_Presses[[Plant]:[Plant]],t_Plants[],Plants!DL$1,FALSE)</f>
        <v>272</v>
      </c>
      <c r="AF30" s="18">
        <f>SUM(t_Presses[[#This Row],[ha2016.01]:[ha2016.12]])</f>
        <v>2752</v>
      </c>
      <c r="AG30">
        <f>VLOOKUP(t_Presses[[Plant]:[Plant]],t_Plants[],Plants!DN$1,FALSE)</f>
        <v>2752</v>
      </c>
      <c r="AH30">
        <f>VLOOKUP(t_Presses[[Plant]:[Plant]],t_Plants[],Plants!DO$1,FALSE)</f>
        <v>2752</v>
      </c>
      <c r="AI30">
        <f>VLOOKUP(t_Presses[[Plant]:[Plant]],t_Plants[],Plants!DP$1,FALSE)</f>
        <v>2752</v>
      </c>
      <c r="AJ30" s="43">
        <f>SUMIF(r_PartPresses,t_Presses[[PRESS]:[PRESS]],t_Parts[hp2015.01])</f>
        <v>0</v>
      </c>
      <c r="AK30" s="43">
        <f>SUMIF(r_PartPresses,t_Presses[[PRESS]:[PRESS]],t_Parts[hp2015.02])</f>
        <v>0</v>
      </c>
      <c r="AL30" s="43">
        <f>SUMIF(r_PartPresses,t_Presses[[PRESS]:[PRESS]],t_Parts[hp2015.03])</f>
        <v>0</v>
      </c>
      <c r="AM30" s="43">
        <f>SUMIF(r_PartPresses,t_Presses[[PRESS]:[PRESS]],t_Parts[hp2015.04])</f>
        <v>0</v>
      </c>
      <c r="AN30" s="43">
        <f>SUMIF(r_PartPresses,t_Presses[[PRESS]:[PRESS]],t_Parts[hp2015.05])</f>
        <v>0</v>
      </c>
      <c r="AO30" s="43">
        <f>SUMIF(r_PartPresses,t_Presses[[PRESS]:[PRESS]],t_Parts[hp2015.06])</f>
        <v>0</v>
      </c>
      <c r="AP30" s="43">
        <f>SUMIF(r_PartPresses,t_Presses[[PRESS]:[PRESS]],t_Parts[hp2015.07])</f>
        <v>0</v>
      </c>
      <c r="AQ30" s="43">
        <f>SUMIF(r_PartPresses,t_Presses[[PRESS]:[PRESS]],t_Parts[hp2015.08])</f>
        <v>0</v>
      </c>
      <c r="AR30" s="43">
        <f>SUMIF(r_PartPresses,t_Presses[[PRESS]:[PRESS]],t_Parts[hp2015.09])</f>
        <v>0</v>
      </c>
      <c r="AS30" s="43">
        <f>SUMIF(r_PartPresses,t_Presses[[PRESS]:[PRESS]],t_Parts[hp2015.10])</f>
        <v>0</v>
      </c>
      <c r="AT30" s="43">
        <f>SUMIF(r_PartPresses,t_Presses[[PRESS]:[PRESS]],t_Parts[hp2015.11])</f>
        <v>0</v>
      </c>
      <c r="AU30" s="43">
        <f>SUMIF(r_PartPresses,t_Presses[[PRESS]:[PRESS]],t_Parts[hp2015.12])</f>
        <v>0</v>
      </c>
      <c r="AV30" s="43">
        <f>SUM(t_Presses[[#This Row],[hp2015.01]:[hp2015.12]])</f>
        <v>0</v>
      </c>
      <c r="AW30" s="43">
        <f>SUMIF(r_PartPresses,t_Presses[[PRESS]:[PRESS]],t_Parts[hp2016.01])</f>
        <v>0</v>
      </c>
      <c r="AX30" s="43">
        <f>SUMIF(r_PartPresses,t_Presses[[PRESS]:[PRESS]],t_Parts[hp2016.02])</f>
        <v>0</v>
      </c>
      <c r="AY30" s="43">
        <f>SUMIF(r_PartPresses,t_Presses[[PRESS]:[PRESS]],t_Parts[hp2016.03])</f>
        <v>0</v>
      </c>
      <c r="AZ30" s="43">
        <f>SUMIF(r_PartPresses,t_Presses[[PRESS]:[PRESS]],t_Parts[hp2016.04])</f>
        <v>0</v>
      </c>
      <c r="BA30" s="43">
        <f>SUMIF(r_PartPresses,t_Presses[[PRESS]:[PRESS]],t_Parts[hp2016.05])</f>
        <v>0</v>
      </c>
      <c r="BB30" s="43">
        <f>SUMIF(r_PartPresses,t_Presses[[PRESS]:[PRESS]],t_Parts[hp2016.06])</f>
        <v>0</v>
      </c>
      <c r="BC30" s="43">
        <f>SUMIF(r_PartPresses,t_Presses[[PRESS]:[PRESS]],t_Parts[hp2016.07])</f>
        <v>0</v>
      </c>
      <c r="BD30" s="43">
        <f>SUMIF(r_PartPresses,t_Presses[[PRESS]:[PRESS]],t_Parts[hp2016.08])</f>
        <v>0</v>
      </c>
      <c r="BE30" s="43">
        <f>SUMIF(r_PartPresses,t_Presses[[PRESS]:[PRESS]],t_Parts[hp2016.09])</f>
        <v>0</v>
      </c>
      <c r="BF30" s="43">
        <f>SUMIF(r_PartPresses,t_Presses[[PRESS]:[PRESS]],t_Parts[hp2016.10])</f>
        <v>0</v>
      </c>
      <c r="BG30" s="43">
        <f>SUMIF(r_PartPresses,t_Presses[[PRESS]:[PRESS]],t_Parts[hp2016.11])</f>
        <v>0</v>
      </c>
      <c r="BH30" s="43">
        <f>SUMIF(r_PartPresses,t_Presses[[PRESS]:[PRESS]],t_Parts[hp2016.12])</f>
        <v>0</v>
      </c>
      <c r="BI30" s="43">
        <f>SUMIF(r_PartPresses,t_Presses[[PRESS]:[PRESS]],t_Parts[hp2016.FY])</f>
        <v>0</v>
      </c>
      <c r="BJ30" s="43">
        <f>SUMIF(r_PartPresses,t_Presses[[PRESS]:[PRESS]],t_Parts[hp2017])</f>
        <v>0</v>
      </c>
      <c r="BK30" s="43">
        <f>SUMIF(r_PartPresses,t_Presses[[PRESS]:[PRESS]],t_Parts[hp2018])</f>
        <v>0</v>
      </c>
      <c r="BL30" s="43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hidden="1" x14ac:dyDescent="0.25">
      <c r="A31" s="16" t="s">
        <v>141</v>
      </c>
      <c r="B31" t="s">
        <v>12</v>
      </c>
      <c r="C31" t="s">
        <v>121</v>
      </c>
      <c r="D31">
        <v>200</v>
      </c>
      <c r="E31" s="18" t="str">
        <f t="shared" si="0"/>
        <v>0-299</v>
      </c>
      <c r="F31" s="15"/>
      <c r="G31" s="18">
        <f>VLOOKUP(t_Presses[[Plant]:[Plant]],t_Plants[],Plants!CN$1,FALSE)</f>
        <v>250</v>
      </c>
      <c r="H31">
        <f>VLOOKUP(t_Presses[[Plant]:[Plant]],t_Plants[],Plants!CO$1,FALSE)</f>
        <v>260</v>
      </c>
      <c r="I31" s="18">
        <f>VLOOKUP(t_Presses[[Plant]:[Plant]],t_Plants[],Plants!CP$1,FALSE)</f>
        <v>340</v>
      </c>
      <c r="J31" s="18">
        <f>VLOOKUP(t_Presses[[Plant]:[Plant]],t_Plants[],Plants!CQ$1,FALSE)</f>
        <v>250</v>
      </c>
      <c r="K31" s="18">
        <f>VLOOKUP(t_Presses[[Plant]:[Plant]],t_Plants[],Plants!CR$1,FALSE)</f>
        <v>260</v>
      </c>
      <c r="L31" s="18">
        <f>VLOOKUP(t_Presses[[Plant]:[Plant]],t_Plants[],Plants!CS$1,FALSE)</f>
        <v>340</v>
      </c>
      <c r="M31" s="18">
        <f>VLOOKUP(t_Presses[[Plant]:[Plant]],t_Plants[],Plants!CT$1,FALSE)</f>
        <v>250</v>
      </c>
      <c r="N31" s="18">
        <f>VLOOKUP(t_Presses[[Plant]:[Plant]],t_Plants[],Plants!CU$1,FALSE)</f>
        <v>260</v>
      </c>
      <c r="O31" s="18">
        <f>VLOOKUP(t_Presses[[Plant]:[Plant]],t_Plants[],Plants!CV$1,FALSE)</f>
        <v>340</v>
      </c>
      <c r="P31" s="18">
        <f>VLOOKUP(t_Presses[[Plant]:[Plant]],t_Plants[],Plants!CW$1,FALSE)</f>
        <v>250</v>
      </c>
      <c r="Q31" s="18">
        <f>VLOOKUP(t_Presses[[Plant]:[Plant]],t_Plants[],Plants!CX$1,FALSE)</f>
        <v>260</v>
      </c>
      <c r="R31" s="18">
        <f>VLOOKUP(t_Presses[[Plant]:[Plant]],t_Plants[],Plants!CY$1,FALSE)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43">
        <f>SUMIF(r_PartPresses,t_Presses[[PRESS]:[PRESS]],t_Parts[hp2015.01])</f>
        <v>0</v>
      </c>
      <c r="AK31" s="43">
        <f>SUMIF(r_PartPresses,t_Presses[[PRESS]:[PRESS]],t_Parts[hp2015.02])</f>
        <v>0</v>
      </c>
      <c r="AL31" s="43">
        <f>SUMIF(r_PartPresses,t_Presses[[PRESS]:[PRESS]],t_Parts[hp2015.03])</f>
        <v>0</v>
      </c>
      <c r="AM31" s="43">
        <f>SUMIF(r_PartPresses,t_Presses[[PRESS]:[PRESS]],t_Parts[hp2015.04])</f>
        <v>0</v>
      </c>
      <c r="AN31" s="43">
        <f>SUMIF(r_PartPresses,t_Presses[[PRESS]:[PRESS]],t_Parts[hp2015.05])</f>
        <v>0</v>
      </c>
      <c r="AO31" s="43">
        <f>SUMIF(r_PartPresses,t_Presses[[PRESS]:[PRESS]],t_Parts[hp2015.06])</f>
        <v>0</v>
      </c>
      <c r="AP31" s="43">
        <f>SUMIF(r_PartPresses,t_Presses[[PRESS]:[PRESS]],t_Parts[hp2015.07])</f>
        <v>0</v>
      </c>
      <c r="AQ31" s="43">
        <f>SUMIF(r_PartPresses,t_Presses[[PRESS]:[PRESS]],t_Parts[hp2015.08])</f>
        <v>0</v>
      </c>
      <c r="AR31" s="43">
        <f>SUMIF(r_PartPresses,t_Presses[[PRESS]:[PRESS]],t_Parts[hp2015.09])</f>
        <v>0</v>
      </c>
      <c r="AS31" s="43">
        <f>SUMIF(r_PartPresses,t_Presses[[PRESS]:[PRESS]],t_Parts[hp2015.10])</f>
        <v>0</v>
      </c>
      <c r="AT31" s="43">
        <f>SUMIF(r_PartPresses,t_Presses[[PRESS]:[PRESS]],t_Parts[hp2015.11])</f>
        <v>0</v>
      </c>
      <c r="AU31" s="43">
        <f>SUMIF(r_PartPresses,t_Presses[[PRESS]:[PRESS]],t_Parts[hp2015.12])</f>
        <v>0</v>
      </c>
      <c r="AV31" s="43">
        <f>SUM(t_Presses[[#This Row],[hp2015.01]:[hp2015.12]])</f>
        <v>0</v>
      </c>
      <c r="AW31" s="43">
        <f>SUMIF(r_PartPresses,t_Presses[[PRESS]:[PRESS]],t_Parts[hp2016.01])</f>
        <v>0</v>
      </c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 t="e">
        <f>t_Presses[[#This Row],[hp2016.02]]/t_Presses[[#This Row],[ha2016.02]]</f>
        <v>#DIV/0!</v>
      </c>
      <c r="CB31" s="17" t="e">
        <f>t_Presses[[#This Row],[hp2016.03]]/t_Presses[[#This Row],[ha2016.03]]</f>
        <v>#DIV/0!</v>
      </c>
      <c r="CC31" s="17" t="e">
        <f>t_Presses[[#This Row],[hp2016.04]]/t_Presses[[#This Row],[ha2016.04]]</f>
        <v>#DIV/0!</v>
      </c>
      <c r="CD31" s="17" t="e">
        <f>t_Presses[[#This Row],[hp2016.05]]/t_Presses[[#This Row],[ha2016.05]]</f>
        <v>#DIV/0!</v>
      </c>
      <c r="CE31" s="17" t="e">
        <f>t_Presses[[#This Row],[hp2016.06]]/t_Presses[[#This Row],[ha2016.06]]</f>
        <v>#DIV/0!</v>
      </c>
      <c r="CF31" s="17" t="e">
        <f>t_Presses[[#This Row],[hp2016.07]]/t_Presses[[#This Row],[ha2016.07]]</f>
        <v>#DIV/0!</v>
      </c>
      <c r="CG31" s="17" t="e">
        <f>t_Presses[[#This Row],[hp2016.08]]/t_Presses[[#This Row],[ha2016.08]]</f>
        <v>#DIV/0!</v>
      </c>
      <c r="CH31" s="17" t="e">
        <f>t_Presses[[#This Row],[hp2016.09]]/t_Presses[[#This Row],[ha2016.09]]</f>
        <v>#DIV/0!</v>
      </c>
      <c r="CI31" s="17" t="e">
        <f>t_Presses[[#This Row],[hp2016.10]]/t_Presses[[#This Row],[ha2016.10]]</f>
        <v>#DIV/0!</v>
      </c>
      <c r="CJ31" s="17" t="e">
        <f>t_Presses[[#This Row],[hp2016.11]]/t_Presses[[#This Row],[ha2016.11]]</f>
        <v>#DIV/0!</v>
      </c>
      <c r="CK31" s="17" t="e">
        <f>t_Presses[[#This Row],[hp2016.12]]/t_Presses[[#This Row],[ha2016.12]]</f>
        <v>#DIV/0!</v>
      </c>
      <c r="CL31" s="17" t="e">
        <f>t_Presses[[#This Row],[hp2016.FY]]/t_Presses[[#This Row],[ha2016.FY]]</f>
        <v>#DIV/0!</v>
      </c>
      <c r="CM31" s="17" t="e">
        <f>t_Presses[[#This Row],[hp2017]]/t_Presses[[#This Row],[ha2017]]</f>
        <v>#DIV/0!</v>
      </c>
      <c r="CN31" s="17" t="e">
        <f>t_Presses[[#This Row],[hp2018]]/t_Presses[[#This Row],[ha2018]]</f>
        <v>#DIV/0!</v>
      </c>
      <c r="CO31" s="17" t="e">
        <f>t_Presses[[#This Row],[hp2019]]/t_Presses[[#This Row],[ha2019]]</f>
        <v>#DIV/0!</v>
      </c>
    </row>
    <row r="32" spans="1:93" hidden="1" x14ac:dyDescent="0.25">
      <c r="A32" s="16" t="s">
        <v>142</v>
      </c>
      <c r="B32" t="s">
        <v>12</v>
      </c>
      <c r="C32" t="s">
        <v>121</v>
      </c>
      <c r="D32">
        <v>150</v>
      </c>
      <c r="E32" s="18" t="str">
        <f t="shared" si="0"/>
        <v>0-299</v>
      </c>
      <c r="F32" s="15"/>
      <c r="G32" s="18">
        <f>VLOOKUP(t_Presses[[Plant]:[Plant]],t_Plants[],Plants!CN$1,FALSE)</f>
        <v>250</v>
      </c>
      <c r="H32">
        <f>VLOOKUP(t_Presses[[Plant]:[Plant]],t_Plants[],Plants!CO$1,FALSE)</f>
        <v>260</v>
      </c>
      <c r="I32" s="18">
        <f>VLOOKUP(t_Presses[[Plant]:[Plant]],t_Plants[],Plants!CP$1,FALSE)</f>
        <v>340</v>
      </c>
      <c r="J32" s="18">
        <f>VLOOKUP(t_Presses[[Plant]:[Plant]],t_Plants[],Plants!CQ$1,FALSE)</f>
        <v>250</v>
      </c>
      <c r="K32" s="18">
        <f>VLOOKUP(t_Presses[[Plant]:[Plant]],t_Plants[],Plants!CR$1,FALSE)</f>
        <v>260</v>
      </c>
      <c r="L32" s="18">
        <f>VLOOKUP(t_Presses[[Plant]:[Plant]],t_Plants[],Plants!CS$1,FALSE)</f>
        <v>340</v>
      </c>
      <c r="M32" s="18">
        <f>VLOOKUP(t_Presses[[Plant]:[Plant]],t_Plants[],Plants!CT$1,FALSE)</f>
        <v>250</v>
      </c>
      <c r="N32" s="18">
        <f>VLOOKUP(t_Presses[[Plant]:[Plant]],t_Plants[],Plants!CU$1,FALSE)</f>
        <v>260</v>
      </c>
      <c r="O32" s="18">
        <f>VLOOKUP(t_Presses[[Plant]:[Plant]],t_Plants[],Plants!CV$1,FALSE)</f>
        <v>340</v>
      </c>
      <c r="P32" s="18">
        <f>VLOOKUP(t_Presses[[Plant]:[Plant]],t_Plants[],Plants!CW$1,FALSE)</f>
        <v>250</v>
      </c>
      <c r="Q32" s="18">
        <f>VLOOKUP(t_Presses[[Plant]:[Plant]],t_Plants[],Plants!CX$1,FALSE)</f>
        <v>260</v>
      </c>
      <c r="R32" s="18">
        <f>VLOOKUP(t_Presses[[Plant]:[Plant]],t_Plants[],Plants!CY$1,FALSE)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43">
        <f>SUMIF(r_PartPresses,t_Presses[[PRESS]:[PRESS]],t_Parts[hp2015.01])</f>
        <v>0</v>
      </c>
      <c r="AK32" s="43">
        <f>SUMIF(r_PartPresses,t_Presses[[PRESS]:[PRESS]],t_Parts[hp2015.02])</f>
        <v>0</v>
      </c>
      <c r="AL32" s="43">
        <f>SUMIF(r_PartPresses,t_Presses[[PRESS]:[PRESS]],t_Parts[hp2015.03])</f>
        <v>0</v>
      </c>
      <c r="AM32" s="43">
        <f>SUMIF(r_PartPresses,t_Presses[[PRESS]:[PRESS]],t_Parts[hp2015.04])</f>
        <v>0</v>
      </c>
      <c r="AN32" s="43">
        <f>SUMIF(r_PartPresses,t_Presses[[PRESS]:[PRESS]],t_Parts[hp2015.05])</f>
        <v>0</v>
      </c>
      <c r="AO32" s="43">
        <f>SUMIF(r_PartPresses,t_Presses[[PRESS]:[PRESS]],t_Parts[hp2015.06])</f>
        <v>0</v>
      </c>
      <c r="AP32" s="43">
        <f>SUMIF(r_PartPresses,t_Presses[[PRESS]:[PRESS]],t_Parts[hp2015.07])</f>
        <v>0</v>
      </c>
      <c r="AQ32" s="43">
        <f>SUMIF(r_PartPresses,t_Presses[[PRESS]:[PRESS]],t_Parts[hp2015.08])</f>
        <v>0</v>
      </c>
      <c r="AR32" s="43">
        <f>SUMIF(r_PartPresses,t_Presses[[PRESS]:[PRESS]],t_Parts[hp2015.09])</f>
        <v>0</v>
      </c>
      <c r="AS32" s="43">
        <f>SUMIF(r_PartPresses,t_Presses[[PRESS]:[PRESS]],t_Parts[hp2015.10])</f>
        <v>0</v>
      </c>
      <c r="AT32" s="43">
        <f>SUMIF(r_PartPresses,t_Presses[[PRESS]:[PRESS]],t_Parts[hp2015.11])</f>
        <v>0</v>
      </c>
      <c r="AU32" s="43">
        <f>SUMIF(r_PartPresses,t_Presses[[PRESS]:[PRESS]],t_Parts[hp2015.12])</f>
        <v>0</v>
      </c>
      <c r="AV32" s="43">
        <f>SUM(t_Presses[[#This Row],[hp2015.01]:[hp2015.12]])</f>
        <v>0</v>
      </c>
      <c r="AW32" s="43">
        <f>SUMIF(r_PartPresses,t_Presses[[PRESS]:[PRESS]],t_Parts[hp2016.01])</f>
        <v>0</v>
      </c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 t="e">
        <f>t_Presses[[#This Row],[hp2016.02]]/t_Presses[[#This Row],[ha2016.02]]</f>
        <v>#DIV/0!</v>
      </c>
      <c r="CB32" s="17" t="e">
        <f>t_Presses[[#This Row],[hp2016.03]]/t_Presses[[#This Row],[ha2016.03]]</f>
        <v>#DIV/0!</v>
      </c>
      <c r="CC32" s="17" t="e">
        <f>t_Presses[[#This Row],[hp2016.04]]/t_Presses[[#This Row],[ha2016.04]]</f>
        <v>#DIV/0!</v>
      </c>
      <c r="CD32" s="17" t="e">
        <f>t_Presses[[#This Row],[hp2016.05]]/t_Presses[[#This Row],[ha2016.05]]</f>
        <v>#DIV/0!</v>
      </c>
      <c r="CE32" s="17" t="e">
        <f>t_Presses[[#This Row],[hp2016.06]]/t_Presses[[#This Row],[ha2016.06]]</f>
        <v>#DIV/0!</v>
      </c>
      <c r="CF32" s="17" t="e">
        <f>t_Presses[[#This Row],[hp2016.07]]/t_Presses[[#This Row],[ha2016.07]]</f>
        <v>#DIV/0!</v>
      </c>
      <c r="CG32" s="17" t="e">
        <f>t_Presses[[#This Row],[hp2016.08]]/t_Presses[[#This Row],[ha2016.08]]</f>
        <v>#DIV/0!</v>
      </c>
      <c r="CH32" s="17" t="e">
        <f>t_Presses[[#This Row],[hp2016.09]]/t_Presses[[#This Row],[ha2016.09]]</f>
        <v>#DIV/0!</v>
      </c>
      <c r="CI32" s="17" t="e">
        <f>t_Presses[[#This Row],[hp2016.10]]/t_Presses[[#This Row],[ha2016.10]]</f>
        <v>#DIV/0!</v>
      </c>
      <c r="CJ32" s="17" t="e">
        <f>t_Presses[[#This Row],[hp2016.11]]/t_Presses[[#This Row],[ha2016.11]]</f>
        <v>#DIV/0!</v>
      </c>
      <c r="CK32" s="17" t="e">
        <f>t_Presses[[#This Row],[hp2016.12]]/t_Presses[[#This Row],[ha2016.12]]</f>
        <v>#DIV/0!</v>
      </c>
      <c r="CL32" s="17" t="e">
        <f>t_Presses[[#This Row],[hp2016.FY]]/t_Presses[[#This Row],[ha2016.FY]]</f>
        <v>#DIV/0!</v>
      </c>
      <c r="CM32" s="17" t="e">
        <f>t_Presses[[#This Row],[hp2017]]/t_Presses[[#This Row],[ha2017]]</f>
        <v>#DIV/0!</v>
      </c>
      <c r="CN32" s="17" t="e">
        <f>t_Presses[[#This Row],[hp2018]]/t_Presses[[#This Row],[ha2018]]</f>
        <v>#DIV/0!</v>
      </c>
      <c r="CO32" s="17" t="e">
        <f>t_Presses[[#This Row],[hp2019]]/t_Presses[[#This Row],[ha2019]]</f>
        <v>#DIV/0!</v>
      </c>
    </row>
    <row r="33" spans="1:93" hidden="1" x14ac:dyDescent="0.25">
      <c r="A33" s="16" t="s">
        <v>143</v>
      </c>
      <c r="B33" t="s">
        <v>12</v>
      </c>
      <c r="C33" t="s">
        <v>121</v>
      </c>
      <c r="D33">
        <v>200</v>
      </c>
      <c r="E33" s="18" t="str">
        <f t="shared" si="0"/>
        <v>0-299</v>
      </c>
      <c r="F33" s="15"/>
      <c r="G33" s="18">
        <f>VLOOKUP(t_Presses[[Plant]:[Plant]],t_Plants[],Plants!CN$1,FALSE)</f>
        <v>250</v>
      </c>
      <c r="H33">
        <f>VLOOKUP(t_Presses[[Plant]:[Plant]],t_Plants[],Plants!CO$1,FALSE)</f>
        <v>260</v>
      </c>
      <c r="I33" s="18">
        <f>VLOOKUP(t_Presses[[Plant]:[Plant]],t_Plants[],Plants!CP$1,FALSE)</f>
        <v>340</v>
      </c>
      <c r="J33" s="18">
        <f>VLOOKUP(t_Presses[[Plant]:[Plant]],t_Plants[],Plants!CQ$1,FALSE)</f>
        <v>250</v>
      </c>
      <c r="K33" s="18">
        <f>VLOOKUP(t_Presses[[Plant]:[Plant]],t_Plants[],Plants!CR$1,FALSE)</f>
        <v>260</v>
      </c>
      <c r="L33" s="18">
        <f>VLOOKUP(t_Presses[[Plant]:[Plant]],t_Plants[],Plants!CS$1,FALSE)</f>
        <v>340</v>
      </c>
      <c r="M33" s="18">
        <f>VLOOKUP(t_Presses[[Plant]:[Plant]],t_Plants[],Plants!CT$1,FALSE)</f>
        <v>250</v>
      </c>
      <c r="N33" s="18">
        <f>VLOOKUP(t_Presses[[Plant]:[Plant]],t_Plants[],Plants!CU$1,FALSE)</f>
        <v>260</v>
      </c>
      <c r="O33" s="18">
        <f>VLOOKUP(t_Presses[[Plant]:[Plant]],t_Plants[],Plants!CV$1,FALSE)</f>
        <v>340</v>
      </c>
      <c r="P33" s="18">
        <f>VLOOKUP(t_Presses[[Plant]:[Plant]],t_Plants[],Plants!CW$1,FALSE)</f>
        <v>250</v>
      </c>
      <c r="Q33" s="18">
        <f>VLOOKUP(t_Presses[[Plant]:[Plant]],t_Plants[],Plants!CX$1,FALSE)</f>
        <v>260</v>
      </c>
      <c r="R33" s="18">
        <f>VLOOKUP(t_Presses[[Plant]:[Plant]],t_Plants[],Plants!CY$1,FALSE)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43">
        <f>SUMIF(r_PartPresses,t_Presses[[PRESS]:[PRESS]],t_Parts[hp2015.01])</f>
        <v>0</v>
      </c>
      <c r="AK33" s="43">
        <f>SUMIF(r_PartPresses,t_Presses[[PRESS]:[PRESS]],t_Parts[hp2015.02])</f>
        <v>0</v>
      </c>
      <c r="AL33" s="43">
        <f>SUMIF(r_PartPresses,t_Presses[[PRESS]:[PRESS]],t_Parts[hp2015.03])</f>
        <v>0</v>
      </c>
      <c r="AM33" s="43">
        <f>SUMIF(r_PartPresses,t_Presses[[PRESS]:[PRESS]],t_Parts[hp2015.04])</f>
        <v>0</v>
      </c>
      <c r="AN33" s="43">
        <f>SUMIF(r_PartPresses,t_Presses[[PRESS]:[PRESS]],t_Parts[hp2015.05])</f>
        <v>0</v>
      </c>
      <c r="AO33" s="43">
        <f>SUMIF(r_PartPresses,t_Presses[[PRESS]:[PRESS]],t_Parts[hp2015.06])</f>
        <v>0</v>
      </c>
      <c r="AP33" s="43">
        <f>SUMIF(r_PartPresses,t_Presses[[PRESS]:[PRESS]],t_Parts[hp2015.07])</f>
        <v>0</v>
      </c>
      <c r="AQ33" s="43">
        <f>SUMIF(r_PartPresses,t_Presses[[PRESS]:[PRESS]],t_Parts[hp2015.08])</f>
        <v>0</v>
      </c>
      <c r="AR33" s="43">
        <f>SUMIF(r_PartPresses,t_Presses[[PRESS]:[PRESS]],t_Parts[hp2015.09])</f>
        <v>0</v>
      </c>
      <c r="AS33" s="43">
        <f>SUMIF(r_PartPresses,t_Presses[[PRESS]:[PRESS]],t_Parts[hp2015.10])</f>
        <v>0</v>
      </c>
      <c r="AT33" s="43">
        <f>SUMIF(r_PartPresses,t_Presses[[PRESS]:[PRESS]],t_Parts[hp2015.11])</f>
        <v>0</v>
      </c>
      <c r="AU33" s="43">
        <f>SUMIF(r_PartPresses,t_Presses[[PRESS]:[PRESS]],t_Parts[hp2015.12])</f>
        <v>0</v>
      </c>
      <c r="AV33" s="43">
        <f>SUM(t_Presses[[#This Row],[hp2015.01]:[hp2015.12]])</f>
        <v>0</v>
      </c>
      <c r="AW33" s="43">
        <f>SUMIF(r_PartPresses,t_Presses[[PRESS]:[PRESS]],t_Parts[hp2016.01])</f>
        <v>0</v>
      </c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 t="e">
        <f>t_Presses[[#This Row],[hp2016.02]]/t_Presses[[#This Row],[ha2016.02]]</f>
        <v>#DIV/0!</v>
      </c>
      <c r="CB33" s="17" t="e">
        <f>t_Presses[[#This Row],[hp2016.03]]/t_Presses[[#This Row],[ha2016.03]]</f>
        <v>#DIV/0!</v>
      </c>
      <c r="CC33" s="17" t="e">
        <f>t_Presses[[#This Row],[hp2016.04]]/t_Presses[[#This Row],[ha2016.04]]</f>
        <v>#DIV/0!</v>
      </c>
      <c r="CD33" s="17" t="e">
        <f>t_Presses[[#This Row],[hp2016.05]]/t_Presses[[#This Row],[ha2016.05]]</f>
        <v>#DIV/0!</v>
      </c>
      <c r="CE33" s="17" t="e">
        <f>t_Presses[[#This Row],[hp2016.06]]/t_Presses[[#This Row],[ha2016.06]]</f>
        <v>#DIV/0!</v>
      </c>
      <c r="CF33" s="17" t="e">
        <f>t_Presses[[#This Row],[hp2016.07]]/t_Presses[[#This Row],[ha2016.07]]</f>
        <v>#DIV/0!</v>
      </c>
      <c r="CG33" s="17" t="e">
        <f>t_Presses[[#This Row],[hp2016.08]]/t_Presses[[#This Row],[ha2016.08]]</f>
        <v>#DIV/0!</v>
      </c>
      <c r="CH33" s="17" t="e">
        <f>t_Presses[[#This Row],[hp2016.09]]/t_Presses[[#This Row],[ha2016.09]]</f>
        <v>#DIV/0!</v>
      </c>
      <c r="CI33" s="17" t="e">
        <f>t_Presses[[#This Row],[hp2016.10]]/t_Presses[[#This Row],[ha2016.10]]</f>
        <v>#DIV/0!</v>
      </c>
      <c r="CJ33" s="17" t="e">
        <f>t_Presses[[#This Row],[hp2016.11]]/t_Presses[[#This Row],[ha2016.11]]</f>
        <v>#DIV/0!</v>
      </c>
      <c r="CK33" s="17" t="e">
        <f>t_Presses[[#This Row],[hp2016.12]]/t_Presses[[#This Row],[ha2016.12]]</f>
        <v>#DIV/0!</v>
      </c>
      <c r="CL33" s="17" t="e">
        <f>t_Presses[[#This Row],[hp2016.FY]]/t_Presses[[#This Row],[ha2016.FY]]</f>
        <v>#DIV/0!</v>
      </c>
      <c r="CM33" s="17" t="e">
        <f>t_Presses[[#This Row],[hp2017]]/t_Presses[[#This Row],[ha2017]]</f>
        <v>#DIV/0!</v>
      </c>
      <c r="CN33" s="17" t="e">
        <f>t_Presses[[#This Row],[hp2018]]/t_Presses[[#This Row],[ha2018]]</f>
        <v>#DIV/0!</v>
      </c>
      <c r="CO33" s="17" t="e">
        <f>t_Presses[[#This Row],[hp2019]]/t_Presses[[#This Row],[ha2019]]</f>
        <v>#DIV/0!</v>
      </c>
    </row>
    <row r="34" spans="1:93" hidden="1" x14ac:dyDescent="0.25">
      <c r="A34" s="16" t="s">
        <v>144</v>
      </c>
      <c r="B34" t="s">
        <v>12</v>
      </c>
      <c r="C34" t="s">
        <v>121</v>
      </c>
      <c r="D34">
        <v>180</v>
      </c>
      <c r="E34" s="18" t="str">
        <f t="shared" si="0"/>
        <v>0-299</v>
      </c>
      <c r="F34" s="15"/>
      <c r="G34" s="18">
        <f>VLOOKUP(t_Presses[[Plant]:[Plant]],t_Plants[],Plants!CN$1,FALSE)</f>
        <v>250</v>
      </c>
      <c r="H34">
        <f>VLOOKUP(t_Presses[[Plant]:[Plant]],t_Plants[],Plants!CO$1,FALSE)</f>
        <v>260</v>
      </c>
      <c r="I34" s="18">
        <f>VLOOKUP(t_Presses[[Plant]:[Plant]],t_Plants[],Plants!CP$1,FALSE)</f>
        <v>340</v>
      </c>
      <c r="J34" s="18">
        <f>VLOOKUP(t_Presses[[Plant]:[Plant]],t_Plants[],Plants!CQ$1,FALSE)</f>
        <v>250</v>
      </c>
      <c r="K34" s="18">
        <f>VLOOKUP(t_Presses[[Plant]:[Plant]],t_Plants[],Plants!CR$1,FALSE)</f>
        <v>260</v>
      </c>
      <c r="L34" s="18">
        <f>VLOOKUP(t_Presses[[Plant]:[Plant]],t_Plants[],Plants!CS$1,FALSE)</f>
        <v>340</v>
      </c>
      <c r="M34" s="18">
        <f>VLOOKUP(t_Presses[[Plant]:[Plant]],t_Plants[],Plants!CT$1,FALSE)</f>
        <v>250</v>
      </c>
      <c r="N34" s="18">
        <f>VLOOKUP(t_Presses[[Plant]:[Plant]],t_Plants[],Plants!CU$1,FALSE)</f>
        <v>260</v>
      </c>
      <c r="O34" s="18">
        <f>VLOOKUP(t_Presses[[Plant]:[Plant]],t_Plants[],Plants!CV$1,FALSE)</f>
        <v>340</v>
      </c>
      <c r="P34" s="18">
        <f>VLOOKUP(t_Presses[[Plant]:[Plant]],t_Plants[],Plants!CW$1,FALSE)</f>
        <v>250</v>
      </c>
      <c r="Q34" s="18">
        <f>VLOOKUP(t_Presses[[Plant]:[Plant]],t_Plants[],Plants!CX$1,FALSE)</f>
        <v>260</v>
      </c>
      <c r="R34" s="18">
        <f>VLOOKUP(t_Presses[[Plant]:[Plant]],t_Plants[],Plants!CY$1,FALSE)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43">
        <f>SUMIF(r_PartPresses,t_Presses[[PRESS]:[PRESS]],t_Parts[hp2015.01])</f>
        <v>0</v>
      </c>
      <c r="AK34" s="43">
        <f>SUMIF(r_PartPresses,t_Presses[[PRESS]:[PRESS]],t_Parts[hp2015.02])</f>
        <v>0</v>
      </c>
      <c r="AL34" s="43">
        <f>SUMIF(r_PartPresses,t_Presses[[PRESS]:[PRESS]],t_Parts[hp2015.03])</f>
        <v>0</v>
      </c>
      <c r="AM34" s="43">
        <f>SUMIF(r_PartPresses,t_Presses[[PRESS]:[PRESS]],t_Parts[hp2015.04])</f>
        <v>0</v>
      </c>
      <c r="AN34" s="43">
        <f>SUMIF(r_PartPresses,t_Presses[[PRESS]:[PRESS]],t_Parts[hp2015.05])</f>
        <v>0</v>
      </c>
      <c r="AO34" s="43">
        <f>SUMIF(r_PartPresses,t_Presses[[PRESS]:[PRESS]],t_Parts[hp2015.06])</f>
        <v>0</v>
      </c>
      <c r="AP34" s="43">
        <f>SUMIF(r_PartPresses,t_Presses[[PRESS]:[PRESS]],t_Parts[hp2015.07])</f>
        <v>0</v>
      </c>
      <c r="AQ34" s="43">
        <f>SUMIF(r_PartPresses,t_Presses[[PRESS]:[PRESS]],t_Parts[hp2015.08])</f>
        <v>0</v>
      </c>
      <c r="AR34" s="43">
        <f>SUMIF(r_PartPresses,t_Presses[[PRESS]:[PRESS]],t_Parts[hp2015.09])</f>
        <v>0</v>
      </c>
      <c r="AS34" s="43">
        <f>SUMIF(r_PartPresses,t_Presses[[PRESS]:[PRESS]],t_Parts[hp2015.10])</f>
        <v>0</v>
      </c>
      <c r="AT34" s="43">
        <f>SUMIF(r_PartPresses,t_Presses[[PRESS]:[PRESS]],t_Parts[hp2015.11])</f>
        <v>0</v>
      </c>
      <c r="AU34" s="43">
        <f>SUMIF(r_PartPresses,t_Presses[[PRESS]:[PRESS]],t_Parts[hp2015.12])</f>
        <v>0</v>
      </c>
      <c r="AV34" s="43">
        <f>SUM(t_Presses[[#This Row],[hp2015.01]:[hp2015.12]])</f>
        <v>0</v>
      </c>
      <c r="AW34" s="43">
        <f>SUMIF(r_PartPresses,t_Presses[[PRESS]:[PRESS]],t_Parts[hp2016.01])</f>
        <v>0</v>
      </c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 t="e">
        <f>t_Presses[[#This Row],[hp2016.02]]/t_Presses[[#This Row],[ha2016.02]]</f>
        <v>#DIV/0!</v>
      </c>
      <c r="CB34" s="17" t="e">
        <f>t_Presses[[#This Row],[hp2016.03]]/t_Presses[[#This Row],[ha2016.03]]</f>
        <v>#DIV/0!</v>
      </c>
      <c r="CC34" s="17" t="e">
        <f>t_Presses[[#This Row],[hp2016.04]]/t_Presses[[#This Row],[ha2016.04]]</f>
        <v>#DIV/0!</v>
      </c>
      <c r="CD34" s="17" t="e">
        <f>t_Presses[[#This Row],[hp2016.05]]/t_Presses[[#This Row],[ha2016.05]]</f>
        <v>#DIV/0!</v>
      </c>
      <c r="CE34" s="17" t="e">
        <f>t_Presses[[#This Row],[hp2016.06]]/t_Presses[[#This Row],[ha2016.06]]</f>
        <v>#DIV/0!</v>
      </c>
      <c r="CF34" s="17" t="e">
        <f>t_Presses[[#This Row],[hp2016.07]]/t_Presses[[#This Row],[ha2016.07]]</f>
        <v>#DIV/0!</v>
      </c>
      <c r="CG34" s="17" t="e">
        <f>t_Presses[[#This Row],[hp2016.08]]/t_Presses[[#This Row],[ha2016.08]]</f>
        <v>#DIV/0!</v>
      </c>
      <c r="CH34" s="17" t="e">
        <f>t_Presses[[#This Row],[hp2016.09]]/t_Presses[[#This Row],[ha2016.09]]</f>
        <v>#DIV/0!</v>
      </c>
      <c r="CI34" s="17" t="e">
        <f>t_Presses[[#This Row],[hp2016.10]]/t_Presses[[#This Row],[ha2016.10]]</f>
        <v>#DIV/0!</v>
      </c>
      <c r="CJ34" s="17" t="e">
        <f>t_Presses[[#This Row],[hp2016.11]]/t_Presses[[#This Row],[ha2016.11]]</f>
        <v>#DIV/0!</v>
      </c>
      <c r="CK34" s="17" t="e">
        <f>t_Presses[[#This Row],[hp2016.12]]/t_Presses[[#This Row],[ha2016.12]]</f>
        <v>#DIV/0!</v>
      </c>
      <c r="CL34" s="17" t="e">
        <f>t_Presses[[#This Row],[hp2016.FY]]/t_Presses[[#This Row],[ha2016.FY]]</f>
        <v>#DIV/0!</v>
      </c>
      <c r="CM34" s="17" t="e">
        <f>t_Presses[[#This Row],[hp2017]]/t_Presses[[#This Row],[ha2017]]</f>
        <v>#DIV/0!</v>
      </c>
      <c r="CN34" s="17" t="e">
        <f>t_Presses[[#This Row],[hp2018]]/t_Presses[[#This Row],[ha2018]]</f>
        <v>#DIV/0!</v>
      </c>
      <c r="CO34" s="17" t="e">
        <f>t_Presses[[#This Row],[hp2019]]/t_Presses[[#This Row],[ha2019]]</f>
        <v>#DIV/0!</v>
      </c>
    </row>
    <row r="35" spans="1:93" hidden="1" x14ac:dyDescent="0.25">
      <c r="A35" s="16" t="s">
        <v>145</v>
      </c>
      <c r="B35" t="s">
        <v>12</v>
      </c>
      <c r="C35" t="s">
        <v>121</v>
      </c>
      <c r="D35">
        <v>150</v>
      </c>
      <c r="E35" s="18" t="str">
        <f t="shared" si="0"/>
        <v>0-299</v>
      </c>
      <c r="F35" s="15"/>
      <c r="G35" s="18">
        <f>VLOOKUP(t_Presses[[Plant]:[Plant]],t_Plants[],Plants!CN$1,FALSE)</f>
        <v>250</v>
      </c>
      <c r="H35">
        <f>VLOOKUP(t_Presses[[Plant]:[Plant]],t_Plants[],Plants!CO$1,FALSE)</f>
        <v>260</v>
      </c>
      <c r="I35" s="18">
        <f>VLOOKUP(t_Presses[[Plant]:[Plant]],t_Plants[],Plants!CP$1,FALSE)</f>
        <v>340</v>
      </c>
      <c r="J35" s="18">
        <f>VLOOKUP(t_Presses[[Plant]:[Plant]],t_Plants[],Plants!CQ$1,FALSE)</f>
        <v>250</v>
      </c>
      <c r="K35" s="18">
        <f>VLOOKUP(t_Presses[[Plant]:[Plant]],t_Plants[],Plants!CR$1,FALSE)</f>
        <v>260</v>
      </c>
      <c r="L35" s="18">
        <f>VLOOKUP(t_Presses[[Plant]:[Plant]],t_Plants[],Plants!CS$1,FALSE)</f>
        <v>340</v>
      </c>
      <c r="M35" s="18">
        <f>VLOOKUP(t_Presses[[Plant]:[Plant]],t_Plants[],Plants!CT$1,FALSE)</f>
        <v>250</v>
      </c>
      <c r="N35" s="18">
        <f>VLOOKUP(t_Presses[[Plant]:[Plant]],t_Plants[],Plants!CU$1,FALSE)</f>
        <v>260</v>
      </c>
      <c r="O35" s="18">
        <f>VLOOKUP(t_Presses[[Plant]:[Plant]],t_Plants[],Plants!CV$1,FALSE)</f>
        <v>340</v>
      </c>
      <c r="P35" s="18">
        <f>VLOOKUP(t_Presses[[Plant]:[Plant]],t_Plants[],Plants!CW$1,FALSE)</f>
        <v>250</v>
      </c>
      <c r="Q35" s="18">
        <f>VLOOKUP(t_Presses[[Plant]:[Plant]],t_Plants[],Plants!CX$1,FALSE)</f>
        <v>260</v>
      </c>
      <c r="R35" s="18">
        <f>VLOOKUP(t_Presses[[Plant]:[Plant]],t_Plants[],Plants!CY$1,FALSE)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43">
        <f>SUMIF(r_PartPresses,t_Presses[[PRESS]:[PRESS]],t_Parts[hp2015.01])</f>
        <v>0</v>
      </c>
      <c r="AK35" s="43">
        <f>SUMIF(r_PartPresses,t_Presses[[PRESS]:[PRESS]],t_Parts[hp2015.02])</f>
        <v>0</v>
      </c>
      <c r="AL35" s="43">
        <f>SUMIF(r_PartPresses,t_Presses[[PRESS]:[PRESS]],t_Parts[hp2015.03])</f>
        <v>0</v>
      </c>
      <c r="AM35" s="43">
        <f>SUMIF(r_PartPresses,t_Presses[[PRESS]:[PRESS]],t_Parts[hp2015.04])</f>
        <v>0</v>
      </c>
      <c r="AN35" s="43">
        <f>SUMIF(r_PartPresses,t_Presses[[PRESS]:[PRESS]],t_Parts[hp2015.05])</f>
        <v>0</v>
      </c>
      <c r="AO35" s="43">
        <f>SUMIF(r_PartPresses,t_Presses[[PRESS]:[PRESS]],t_Parts[hp2015.06])</f>
        <v>0</v>
      </c>
      <c r="AP35" s="43">
        <f>SUMIF(r_PartPresses,t_Presses[[PRESS]:[PRESS]],t_Parts[hp2015.07])</f>
        <v>0</v>
      </c>
      <c r="AQ35" s="43">
        <f>SUMIF(r_PartPresses,t_Presses[[PRESS]:[PRESS]],t_Parts[hp2015.08])</f>
        <v>0</v>
      </c>
      <c r="AR35" s="43">
        <f>SUMIF(r_PartPresses,t_Presses[[PRESS]:[PRESS]],t_Parts[hp2015.09])</f>
        <v>0</v>
      </c>
      <c r="AS35" s="43">
        <f>SUMIF(r_PartPresses,t_Presses[[PRESS]:[PRESS]],t_Parts[hp2015.10])</f>
        <v>0</v>
      </c>
      <c r="AT35" s="43">
        <f>SUMIF(r_PartPresses,t_Presses[[PRESS]:[PRESS]],t_Parts[hp2015.11])</f>
        <v>0</v>
      </c>
      <c r="AU35" s="43">
        <f>SUMIF(r_PartPresses,t_Presses[[PRESS]:[PRESS]],t_Parts[hp2015.12])</f>
        <v>0</v>
      </c>
      <c r="AV35" s="43">
        <f>SUM(t_Presses[[#This Row],[hp2015.01]:[hp2015.12]])</f>
        <v>0</v>
      </c>
      <c r="AW35" s="43">
        <f>SUMIF(r_PartPresses,t_Presses[[PRESS]:[PRESS]],t_Parts[hp2016.01])</f>
        <v>0</v>
      </c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 t="e">
        <f>t_Presses[[#This Row],[hp2016.02]]/t_Presses[[#This Row],[ha2016.02]]</f>
        <v>#DIV/0!</v>
      </c>
      <c r="CB35" s="17" t="e">
        <f>t_Presses[[#This Row],[hp2016.03]]/t_Presses[[#This Row],[ha2016.03]]</f>
        <v>#DIV/0!</v>
      </c>
      <c r="CC35" s="17" t="e">
        <f>t_Presses[[#This Row],[hp2016.04]]/t_Presses[[#This Row],[ha2016.04]]</f>
        <v>#DIV/0!</v>
      </c>
      <c r="CD35" s="17" t="e">
        <f>t_Presses[[#This Row],[hp2016.05]]/t_Presses[[#This Row],[ha2016.05]]</f>
        <v>#DIV/0!</v>
      </c>
      <c r="CE35" s="17" t="e">
        <f>t_Presses[[#This Row],[hp2016.06]]/t_Presses[[#This Row],[ha2016.06]]</f>
        <v>#DIV/0!</v>
      </c>
      <c r="CF35" s="17" t="e">
        <f>t_Presses[[#This Row],[hp2016.07]]/t_Presses[[#This Row],[ha2016.07]]</f>
        <v>#DIV/0!</v>
      </c>
      <c r="CG35" s="17" t="e">
        <f>t_Presses[[#This Row],[hp2016.08]]/t_Presses[[#This Row],[ha2016.08]]</f>
        <v>#DIV/0!</v>
      </c>
      <c r="CH35" s="17" t="e">
        <f>t_Presses[[#This Row],[hp2016.09]]/t_Presses[[#This Row],[ha2016.09]]</f>
        <v>#DIV/0!</v>
      </c>
      <c r="CI35" s="17" t="e">
        <f>t_Presses[[#This Row],[hp2016.10]]/t_Presses[[#This Row],[ha2016.10]]</f>
        <v>#DIV/0!</v>
      </c>
      <c r="CJ35" s="17" t="e">
        <f>t_Presses[[#This Row],[hp2016.11]]/t_Presses[[#This Row],[ha2016.11]]</f>
        <v>#DIV/0!</v>
      </c>
      <c r="CK35" s="17" t="e">
        <f>t_Presses[[#This Row],[hp2016.12]]/t_Presses[[#This Row],[ha2016.12]]</f>
        <v>#DIV/0!</v>
      </c>
      <c r="CL35" s="17" t="e">
        <f>t_Presses[[#This Row],[hp2016.FY]]/t_Presses[[#This Row],[ha2016.FY]]</f>
        <v>#DIV/0!</v>
      </c>
      <c r="CM35" s="17" t="e">
        <f>t_Presses[[#This Row],[hp2017]]/t_Presses[[#This Row],[ha2017]]</f>
        <v>#DIV/0!</v>
      </c>
      <c r="CN35" s="17" t="e">
        <f>t_Presses[[#This Row],[hp2018]]/t_Presses[[#This Row],[ha2018]]</f>
        <v>#DIV/0!</v>
      </c>
      <c r="CO35" s="17" t="e">
        <f>t_Presses[[#This Row],[hp2019]]/t_Presses[[#This Row],[ha2019]]</f>
        <v>#DIV/0!</v>
      </c>
    </row>
    <row r="36" spans="1:93" hidden="1" x14ac:dyDescent="0.25">
      <c r="A36" s="16" t="s">
        <v>146</v>
      </c>
      <c r="B36" t="s">
        <v>12</v>
      </c>
      <c r="C36" t="s">
        <v>121</v>
      </c>
      <c r="D36">
        <v>330</v>
      </c>
      <c r="E36" s="18" t="str">
        <f t="shared" si="0"/>
        <v>300-599</v>
      </c>
      <c r="F36" s="15"/>
      <c r="G36" s="18">
        <f>VLOOKUP(t_Presses[[Plant]:[Plant]],t_Plants[],Plants!CN$1,FALSE)</f>
        <v>250</v>
      </c>
      <c r="H36">
        <f>VLOOKUP(t_Presses[[Plant]:[Plant]],t_Plants[],Plants!CO$1,FALSE)</f>
        <v>260</v>
      </c>
      <c r="I36" s="18">
        <f>VLOOKUP(t_Presses[[Plant]:[Plant]],t_Plants[],Plants!CP$1,FALSE)</f>
        <v>340</v>
      </c>
      <c r="J36" s="18">
        <f>VLOOKUP(t_Presses[[Plant]:[Plant]],t_Plants[],Plants!CQ$1,FALSE)</f>
        <v>250</v>
      </c>
      <c r="K36" s="18">
        <f>VLOOKUP(t_Presses[[Plant]:[Plant]],t_Plants[],Plants!CR$1,FALSE)</f>
        <v>260</v>
      </c>
      <c r="L36" s="18">
        <f>VLOOKUP(t_Presses[[Plant]:[Plant]],t_Plants[],Plants!CS$1,FALSE)</f>
        <v>340</v>
      </c>
      <c r="M36" s="18">
        <f>VLOOKUP(t_Presses[[Plant]:[Plant]],t_Plants[],Plants!CT$1,FALSE)</f>
        <v>250</v>
      </c>
      <c r="N36" s="18">
        <f>VLOOKUP(t_Presses[[Plant]:[Plant]],t_Plants[],Plants!CU$1,FALSE)</f>
        <v>260</v>
      </c>
      <c r="O36" s="18">
        <f>VLOOKUP(t_Presses[[Plant]:[Plant]],t_Plants[],Plants!CV$1,FALSE)</f>
        <v>340</v>
      </c>
      <c r="P36" s="18">
        <f>VLOOKUP(t_Presses[[Plant]:[Plant]],t_Plants[],Plants!CW$1,FALSE)</f>
        <v>250</v>
      </c>
      <c r="Q36" s="18">
        <f>VLOOKUP(t_Presses[[Plant]:[Plant]],t_Plants[],Plants!CX$1,FALSE)</f>
        <v>260</v>
      </c>
      <c r="R36" s="18">
        <f>VLOOKUP(t_Presses[[Plant]:[Plant]],t_Plants[],Plants!CY$1,FALSE)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43">
        <f>SUMIF(r_PartPresses,t_Presses[[PRESS]:[PRESS]],t_Parts[hp2015.01])</f>
        <v>0</v>
      </c>
      <c r="AK36" s="43">
        <f>SUMIF(r_PartPresses,t_Presses[[PRESS]:[PRESS]],t_Parts[hp2015.02])</f>
        <v>0</v>
      </c>
      <c r="AL36" s="43">
        <f>SUMIF(r_PartPresses,t_Presses[[PRESS]:[PRESS]],t_Parts[hp2015.03])</f>
        <v>0</v>
      </c>
      <c r="AM36" s="43">
        <f>SUMIF(r_PartPresses,t_Presses[[PRESS]:[PRESS]],t_Parts[hp2015.04])</f>
        <v>0</v>
      </c>
      <c r="AN36" s="43">
        <f>SUMIF(r_PartPresses,t_Presses[[PRESS]:[PRESS]],t_Parts[hp2015.05])</f>
        <v>0</v>
      </c>
      <c r="AO36" s="43">
        <f>SUMIF(r_PartPresses,t_Presses[[PRESS]:[PRESS]],t_Parts[hp2015.06])</f>
        <v>0</v>
      </c>
      <c r="AP36" s="43">
        <f>SUMIF(r_PartPresses,t_Presses[[PRESS]:[PRESS]],t_Parts[hp2015.07])</f>
        <v>0</v>
      </c>
      <c r="AQ36" s="43">
        <f>SUMIF(r_PartPresses,t_Presses[[PRESS]:[PRESS]],t_Parts[hp2015.08])</f>
        <v>0</v>
      </c>
      <c r="AR36" s="43">
        <f>SUMIF(r_PartPresses,t_Presses[[PRESS]:[PRESS]],t_Parts[hp2015.09])</f>
        <v>0</v>
      </c>
      <c r="AS36" s="43">
        <f>SUMIF(r_PartPresses,t_Presses[[PRESS]:[PRESS]],t_Parts[hp2015.10])</f>
        <v>0</v>
      </c>
      <c r="AT36" s="43">
        <f>SUMIF(r_PartPresses,t_Presses[[PRESS]:[PRESS]],t_Parts[hp2015.11])</f>
        <v>0</v>
      </c>
      <c r="AU36" s="43">
        <f>SUMIF(r_PartPresses,t_Presses[[PRESS]:[PRESS]],t_Parts[hp2015.12])</f>
        <v>0</v>
      </c>
      <c r="AV36" s="43">
        <f>SUM(t_Presses[[#This Row],[hp2015.01]:[hp2015.12]])</f>
        <v>0</v>
      </c>
      <c r="AW36" s="43">
        <f>SUMIF(r_PartPresses,t_Presses[[PRESS]:[PRESS]],t_Parts[hp2016.01])</f>
        <v>0</v>
      </c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 t="e">
        <f>t_Presses[[#This Row],[hp2016.02]]/t_Presses[[#This Row],[ha2016.02]]</f>
        <v>#DIV/0!</v>
      </c>
      <c r="CB36" s="17" t="e">
        <f>t_Presses[[#This Row],[hp2016.03]]/t_Presses[[#This Row],[ha2016.03]]</f>
        <v>#DIV/0!</v>
      </c>
      <c r="CC36" s="17" t="e">
        <f>t_Presses[[#This Row],[hp2016.04]]/t_Presses[[#This Row],[ha2016.04]]</f>
        <v>#DIV/0!</v>
      </c>
      <c r="CD36" s="17" t="e">
        <f>t_Presses[[#This Row],[hp2016.05]]/t_Presses[[#This Row],[ha2016.05]]</f>
        <v>#DIV/0!</v>
      </c>
      <c r="CE36" s="17" t="e">
        <f>t_Presses[[#This Row],[hp2016.06]]/t_Presses[[#This Row],[ha2016.06]]</f>
        <v>#DIV/0!</v>
      </c>
      <c r="CF36" s="17" t="e">
        <f>t_Presses[[#This Row],[hp2016.07]]/t_Presses[[#This Row],[ha2016.07]]</f>
        <v>#DIV/0!</v>
      </c>
      <c r="CG36" s="17" t="e">
        <f>t_Presses[[#This Row],[hp2016.08]]/t_Presses[[#This Row],[ha2016.08]]</f>
        <v>#DIV/0!</v>
      </c>
      <c r="CH36" s="17" t="e">
        <f>t_Presses[[#This Row],[hp2016.09]]/t_Presses[[#This Row],[ha2016.09]]</f>
        <v>#DIV/0!</v>
      </c>
      <c r="CI36" s="17" t="e">
        <f>t_Presses[[#This Row],[hp2016.10]]/t_Presses[[#This Row],[ha2016.10]]</f>
        <v>#DIV/0!</v>
      </c>
      <c r="CJ36" s="17" t="e">
        <f>t_Presses[[#This Row],[hp2016.11]]/t_Presses[[#This Row],[ha2016.11]]</f>
        <v>#DIV/0!</v>
      </c>
      <c r="CK36" s="17" t="e">
        <f>t_Presses[[#This Row],[hp2016.12]]/t_Presses[[#This Row],[ha2016.12]]</f>
        <v>#DIV/0!</v>
      </c>
      <c r="CL36" s="17" t="e">
        <f>t_Presses[[#This Row],[hp2016.FY]]/t_Presses[[#This Row],[ha2016.FY]]</f>
        <v>#DIV/0!</v>
      </c>
      <c r="CM36" s="17" t="e">
        <f>t_Presses[[#This Row],[hp2017]]/t_Presses[[#This Row],[ha2017]]</f>
        <v>#DIV/0!</v>
      </c>
      <c r="CN36" s="17" t="e">
        <f>t_Presses[[#This Row],[hp2018]]/t_Presses[[#This Row],[ha2018]]</f>
        <v>#DIV/0!</v>
      </c>
      <c r="CO36" s="17" t="e">
        <f>t_Presses[[#This Row],[hp2019]]/t_Presses[[#This Row],[ha2019]]</f>
        <v>#DIV/0!</v>
      </c>
    </row>
    <row r="37" spans="1:93" hidden="1" x14ac:dyDescent="0.25">
      <c r="A37" s="16" t="s">
        <v>147</v>
      </c>
      <c r="B37" t="s">
        <v>12</v>
      </c>
      <c r="C37" t="s">
        <v>121</v>
      </c>
      <c r="D37">
        <v>400</v>
      </c>
      <c r="E37" s="18" t="str">
        <f t="shared" si="0"/>
        <v>300-599</v>
      </c>
      <c r="F37" s="15"/>
      <c r="G37" s="18">
        <f>VLOOKUP(t_Presses[[Plant]:[Plant]],t_Plants[],Plants!CN$1,FALSE)</f>
        <v>250</v>
      </c>
      <c r="H37">
        <f>VLOOKUP(t_Presses[[Plant]:[Plant]],t_Plants[],Plants!CO$1,FALSE)</f>
        <v>260</v>
      </c>
      <c r="I37" s="18">
        <f>VLOOKUP(t_Presses[[Plant]:[Plant]],t_Plants[],Plants!CP$1,FALSE)</f>
        <v>340</v>
      </c>
      <c r="J37" s="18">
        <f>VLOOKUP(t_Presses[[Plant]:[Plant]],t_Plants[],Plants!CQ$1,FALSE)</f>
        <v>250</v>
      </c>
      <c r="K37" s="18">
        <f>VLOOKUP(t_Presses[[Plant]:[Plant]],t_Plants[],Plants!CR$1,FALSE)</f>
        <v>260</v>
      </c>
      <c r="L37" s="18">
        <f>VLOOKUP(t_Presses[[Plant]:[Plant]],t_Plants[],Plants!CS$1,FALSE)</f>
        <v>340</v>
      </c>
      <c r="M37" s="18">
        <f>VLOOKUP(t_Presses[[Plant]:[Plant]],t_Plants[],Plants!CT$1,FALSE)</f>
        <v>250</v>
      </c>
      <c r="N37" s="18">
        <f>VLOOKUP(t_Presses[[Plant]:[Plant]],t_Plants[],Plants!CU$1,FALSE)</f>
        <v>260</v>
      </c>
      <c r="O37" s="18">
        <f>VLOOKUP(t_Presses[[Plant]:[Plant]],t_Plants[],Plants!CV$1,FALSE)</f>
        <v>340</v>
      </c>
      <c r="P37" s="18">
        <f>VLOOKUP(t_Presses[[Plant]:[Plant]],t_Plants[],Plants!CW$1,FALSE)</f>
        <v>250</v>
      </c>
      <c r="Q37" s="18">
        <f>VLOOKUP(t_Presses[[Plant]:[Plant]],t_Plants[],Plants!CX$1,FALSE)</f>
        <v>260</v>
      </c>
      <c r="R37" s="18">
        <f>VLOOKUP(t_Presses[[Plant]:[Plant]],t_Plants[],Plants!CY$1,FALSE)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43">
        <f>SUMIF(r_PartPresses,t_Presses[[PRESS]:[PRESS]],t_Parts[hp2015.01])</f>
        <v>0</v>
      </c>
      <c r="AK37" s="43">
        <f>SUMIF(r_PartPresses,t_Presses[[PRESS]:[PRESS]],t_Parts[hp2015.02])</f>
        <v>0</v>
      </c>
      <c r="AL37" s="43">
        <f>SUMIF(r_PartPresses,t_Presses[[PRESS]:[PRESS]],t_Parts[hp2015.03])</f>
        <v>0</v>
      </c>
      <c r="AM37" s="43">
        <f>SUMIF(r_PartPresses,t_Presses[[PRESS]:[PRESS]],t_Parts[hp2015.04])</f>
        <v>0</v>
      </c>
      <c r="AN37" s="43">
        <f>SUMIF(r_PartPresses,t_Presses[[PRESS]:[PRESS]],t_Parts[hp2015.05])</f>
        <v>0</v>
      </c>
      <c r="AO37" s="43">
        <f>SUMIF(r_PartPresses,t_Presses[[PRESS]:[PRESS]],t_Parts[hp2015.06])</f>
        <v>0</v>
      </c>
      <c r="AP37" s="43">
        <f>SUMIF(r_PartPresses,t_Presses[[PRESS]:[PRESS]],t_Parts[hp2015.07])</f>
        <v>0</v>
      </c>
      <c r="AQ37" s="43">
        <f>SUMIF(r_PartPresses,t_Presses[[PRESS]:[PRESS]],t_Parts[hp2015.08])</f>
        <v>0</v>
      </c>
      <c r="AR37" s="43">
        <f>SUMIF(r_PartPresses,t_Presses[[PRESS]:[PRESS]],t_Parts[hp2015.09])</f>
        <v>0</v>
      </c>
      <c r="AS37" s="43">
        <f>SUMIF(r_PartPresses,t_Presses[[PRESS]:[PRESS]],t_Parts[hp2015.10])</f>
        <v>0</v>
      </c>
      <c r="AT37" s="43">
        <f>SUMIF(r_PartPresses,t_Presses[[PRESS]:[PRESS]],t_Parts[hp2015.11])</f>
        <v>0</v>
      </c>
      <c r="AU37" s="43">
        <f>SUMIF(r_PartPresses,t_Presses[[PRESS]:[PRESS]],t_Parts[hp2015.12])</f>
        <v>0</v>
      </c>
      <c r="AV37" s="43">
        <f>SUM(t_Presses[[#This Row],[hp2015.01]:[hp2015.12]])</f>
        <v>0</v>
      </c>
      <c r="AW37" s="43">
        <f>SUMIF(r_PartPresses,t_Presses[[PRESS]:[PRESS]],t_Parts[hp2016.01])</f>
        <v>0</v>
      </c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 t="e">
        <f>t_Presses[[#This Row],[hp2016.02]]/t_Presses[[#This Row],[ha2016.02]]</f>
        <v>#DIV/0!</v>
      </c>
      <c r="CB37" s="17" t="e">
        <f>t_Presses[[#This Row],[hp2016.03]]/t_Presses[[#This Row],[ha2016.03]]</f>
        <v>#DIV/0!</v>
      </c>
      <c r="CC37" s="17" t="e">
        <f>t_Presses[[#This Row],[hp2016.04]]/t_Presses[[#This Row],[ha2016.04]]</f>
        <v>#DIV/0!</v>
      </c>
      <c r="CD37" s="17" t="e">
        <f>t_Presses[[#This Row],[hp2016.05]]/t_Presses[[#This Row],[ha2016.05]]</f>
        <v>#DIV/0!</v>
      </c>
      <c r="CE37" s="17" t="e">
        <f>t_Presses[[#This Row],[hp2016.06]]/t_Presses[[#This Row],[ha2016.06]]</f>
        <v>#DIV/0!</v>
      </c>
      <c r="CF37" s="17" t="e">
        <f>t_Presses[[#This Row],[hp2016.07]]/t_Presses[[#This Row],[ha2016.07]]</f>
        <v>#DIV/0!</v>
      </c>
      <c r="CG37" s="17" t="e">
        <f>t_Presses[[#This Row],[hp2016.08]]/t_Presses[[#This Row],[ha2016.08]]</f>
        <v>#DIV/0!</v>
      </c>
      <c r="CH37" s="17" t="e">
        <f>t_Presses[[#This Row],[hp2016.09]]/t_Presses[[#This Row],[ha2016.09]]</f>
        <v>#DIV/0!</v>
      </c>
      <c r="CI37" s="17" t="e">
        <f>t_Presses[[#This Row],[hp2016.10]]/t_Presses[[#This Row],[ha2016.10]]</f>
        <v>#DIV/0!</v>
      </c>
      <c r="CJ37" s="17" t="e">
        <f>t_Presses[[#This Row],[hp2016.11]]/t_Presses[[#This Row],[ha2016.11]]</f>
        <v>#DIV/0!</v>
      </c>
      <c r="CK37" s="17" t="e">
        <f>t_Presses[[#This Row],[hp2016.12]]/t_Presses[[#This Row],[ha2016.12]]</f>
        <v>#DIV/0!</v>
      </c>
      <c r="CL37" s="17" t="e">
        <f>t_Presses[[#This Row],[hp2016.FY]]/t_Presses[[#This Row],[ha2016.FY]]</f>
        <v>#DIV/0!</v>
      </c>
      <c r="CM37" s="17" t="e">
        <f>t_Presses[[#This Row],[hp2017]]/t_Presses[[#This Row],[ha2017]]</f>
        <v>#DIV/0!</v>
      </c>
      <c r="CN37" s="17" t="e">
        <f>t_Presses[[#This Row],[hp2018]]/t_Presses[[#This Row],[ha2018]]</f>
        <v>#DIV/0!</v>
      </c>
      <c r="CO37" s="17" t="e">
        <f>t_Presses[[#This Row],[hp2019]]/t_Presses[[#This Row],[ha2019]]</f>
        <v>#DIV/0!</v>
      </c>
    </row>
    <row r="38" spans="1:93" hidden="1" x14ac:dyDescent="0.25">
      <c r="A38" s="16" t="s">
        <v>148</v>
      </c>
      <c r="B38" t="s">
        <v>12</v>
      </c>
      <c r="C38" t="s">
        <v>121</v>
      </c>
      <c r="D38">
        <v>100</v>
      </c>
      <c r="E38" s="18" t="str">
        <f t="shared" si="0"/>
        <v>0-299</v>
      </c>
      <c r="F38" s="15"/>
      <c r="G38" s="18">
        <f>VLOOKUP(t_Presses[[Plant]:[Plant]],t_Plants[],Plants!CN$1,FALSE)</f>
        <v>250</v>
      </c>
      <c r="H38">
        <f>VLOOKUP(t_Presses[[Plant]:[Plant]],t_Plants[],Plants!CO$1,FALSE)</f>
        <v>260</v>
      </c>
      <c r="I38" s="18">
        <f>VLOOKUP(t_Presses[[Plant]:[Plant]],t_Plants[],Plants!CP$1,FALSE)</f>
        <v>340</v>
      </c>
      <c r="J38" s="18">
        <f>VLOOKUP(t_Presses[[Plant]:[Plant]],t_Plants[],Plants!CQ$1,FALSE)</f>
        <v>250</v>
      </c>
      <c r="K38" s="18">
        <f>VLOOKUP(t_Presses[[Plant]:[Plant]],t_Plants[],Plants!CR$1,FALSE)</f>
        <v>260</v>
      </c>
      <c r="L38" s="18">
        <f>VLOOKUP(t_Presses[[Plant]:[Plant]],t_Plants[],Plants!CS$1,FALSE)</f>
        <v>340</v>
      </c>
      <c r="M38" s="18">
        <f>VLOOKUP(t_Presses[[Plant]:[Plant]],t_Plants[],Plants!CT$1,FALSE)</f>
        <v>250</v>
      </c>
      <c r="N38" s="18">
        <f>VLOOKUP(t_Presses[[Plant]:[Plant]],t_Plants[],Plants!CU$1,FALSE)</f>
        <v>260</v>
      </c>
      <c r="O38" s="18">
        <f>VLOOKUP(t_Presses[[Plant]:[Plant]],t_Plants[],Plants!CV$1,FALSE)</f>
        <v>340</v>
      </c>
      <c r="P38" s="18">
        <f>VLOOKUP(t_Presses[[Plant]:[Plant]],t_Plants[],Plants!CW$1,FALSE)</f>
        <v>250</v>
      </c>
      <c r="Q38" s="18">
        <f>VLOOKUP(t_Presses[[Plant]:[Plant]],t_Plants[],Plants!CX$1,FALSE)</f>
        <v>260</v>
      </c>
      <c r="R38" s="18">
        <f>VLOOKUP(t_Presses[[Plant]:[Plant]],t_Plants[],Plants!CY$1,FALSE)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43">
        <f>SUMIF(r_PartPresses,t_Presses[[PRESS]:[PRESS]],t_Parts[hp2015.01])</f>
        <v>0</v>
      </c>
      <c r="AK38" s="43">
        <f>SUMIF(r_PartPresses,t_Presses[[PRESS]:[PRESS]],t_Parts[hp2015.02])</f>
        <v>0</v>
      </c>
      <c r="AL38" s="43">
        <f>SUMIF(r_PartPresses,t_Presses[[PRESS]:[PRESS]],t_Parts[hp2015.03])</f>
        <v>0</v>
      </c>
      <c r="AM38" s="43">
        <f>SUMIF(r_PartPresses,t_Presses[[PRESS]:[PRESS]],t_Parts[hp2015.04])</f>
        <v>0</v>
      </c>
      <c r="AN38" s="43">
        <f>SUMIF(r_PartPresses,t_Presses[[PRESS]:[PRESS]],t_Parts[hp2015.05])</f>
        <v>0</v>
      </c>
      <c r="AO38" s="43">
        <f>SUMIF(r_PartPresses,t_Presses[[PRESS]:[PRESS]],t_Parts[hp2015.06])</f>
        <v>0</v>
      </c>
      <c r="AP38" s="43">
        <f>SUMIF(r_PartPresses,t_Presses[[PRESS]:[PRESS]],t_Parts[hp2015.07])</f>
        <v>0</v>
      </c>
      <c r="AQ38" s="43">
        <f>SUMIF(r_PartPresses,t_Presses[[PRESS]:[PRESS]],t_Parts[hp2015.08])</f>
        <v>0</v>
      </c>
      <c r="AR38" s="43">
        <f>SUMIF(r_PartPresses,t_Presses[[PRESS]:[PRESS]],t_Parts[hp2015.09])</f>
        <v>0</v>
      </c>
      <c r="AS38" s="43">
        <f>SUMIF(r_PartPresses,t_Presses[[PRESS]:[PRESS]],t_Parts[hp2015.10])</f>
        <v>0</v>
      </c>
      <c r="AT38" s="43">
        <f>SUMIF(r_PartPresses,t_Presses[[PRESS]:[PRESS]],t_Parts[hp2015.11])</f>
        <v>0</v>
      </c>
      <c r="AU38" s="43">
        <f>SUMIF(r_PartPresses,t_Presses[[PRESS]:[PRESS]],t_Parts[hp2015.12])</f>
        <v>0</v>
      </c>
      <c r="AV38" s="43">
        <f>SUM(t_Presses[[#This Row],[hp2015.01]:[hp2015.12]])</f>
        <v>0</v>
      </c>
      <c r="AW38" s="43">
        <f>SUMIF(r_PartPresses,t_Presses[[PRESS]:[PRESS]],t_Parts[hp2016.01])</f>
        <v>0</v>
      </c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 t="e">
        <f>t_Presses[[#This Row],[hp2016.02]]/t_Presses[[#This Row],[ha2016.02]]</f>
        <v>#DIV/0!</v>
      </c>
      <c r="CB38" s="17" t="e">
        <f>t_Presses[[#This Row],[hp2016.03]]/t_Presses[[#This Row],[ha2016.03]]</f>
        <v>#DIV/0!</v>
      </c>
      <c r="CC38" s="17" t="e">
        <f>t_Presses[[#This Row],[hp2016.04]]/t_Presses[[#This Row],[ha2016.04]]</f>
        <v>#DIV/0!</v>
      </c>
      <c r="CD38" s="17" t="e">
        <f>t_Presses[[#This Row],[hp2016.05]]/t_Presses[[#This Row],[ha2016.05]]</f>
        <v>#DIV/0!</v>
      </c>
      <c r="CE38" s="17" t="e">
        <f>t_Presses[[#This Row],[hp2016.06]]/t_Presses[[#This Row],[ha2016.06]]</f>
        <v>#DIV/0!</v>
      </c>
      <c r="CF38" s="17" t="e">
        <f>t_Presses[[#This Row],[hp2016.07]]/t_Presses[[#This Row],[ha2016.07]]</f>
        <v>#DIV/0!</v>
      </c>
      <c r="CG38" s="17" t="e">
        <f>t_Presses[[#This Row],[hp2016.08]]/t_Presses[[#This Row],[ha2016.08]]</f>
        <v>#DIV/0!</v>
      </c>
      <c r="CH38" s="17" t="e">
        <f>t_Presses[[#This Row],[hp2016.09]]/t_Presses[[#This Row],[ha2016.09]]</f>
        <v>#DIV/0!</v>
      </c>
      <c r="CI38" s="17" t="e">
        <f>t_Presses[[#This Row],[hp2016.10]]/t_Presses[[#This Row],[ha2016.10]]</f>
        <v>#DIV/0!</v>
      </c>
      <c r="CJ38" s="17" t="e">
        <f>t_Presses[[#This Row],[hp2016.11]]/t_Presses[[#This Row],[ha2016.11]]</f>
        <v>#DIV/0!</v>
      </c>
      <c r="CK38" s="17" t="e">
        <f>t_Presses[[#This Row],[hp2016.12]]/t_Presses[[#This Row],[ha2016.12]]</f>
        <v>#DIV/0!</v>
      </c>
      <c r="CL38" s="17" t="e">
        <f>t_Presses[[#This Row],[hp2016.FY]]/t_Presses[[#This Row],[ha2016.FY]]</f>
        <v>#DIV/0!</v>
      </c>
      <c r="CM38" s="17" t="e">
        <f>t_Presses[[#This Row],[hp2017]]/t_Presses[[#This Row],[ha2017]]</f>
        <v>#DIV/0!</v>
      </c>
      <c r="CN38" s="17" t="e">
        <f>t_Presses[[#This Row],[hp2018]]/t_Presses[[#This Row],[ha2018]]</f>
        <v>#DIV/0!</v>
      </c>
      <c r="CO38" s="17" t="e">
        <f>t_Presses[[#This Row],[hp2019]]/t_Presses[[#This Row],[ha2019]]</f>
        <v>#DIV/0!</v>
      </c>
    </row>
    <row r="39" spans="1:93" hidden="1" x14ac:dyDescent="0.25">
      <c r="A39" s="16" t="s">
        <v>149</v>
      </c>
      <c r="B39" t="s">
        <v>12</v>
      </c>
      <c r="C39" t="s">
        <v>121</v>
      </c>
      <c r="D39">
        <v>400</v>
      </c>
      <c r="E39" s="18" t="str">
        <f t="shared" si="0"/>
        <v>300-599</v>
      </c>
      <c r="F39" s="15"/>
      <c r="G39" s="18">
        <f>VLOOKUP(t_Presses[[Plant]:[Plant]],t_Plants[],Plants!CN$1,FALSE)</f>
        <v>250</v>
      </c>
      <c r="H39">
        <f>VLOOKUP(t_Presses[[Plant]:[Plant]],t_Plants[],Plants!CO$1,FALSE)</f>
        <v>260</v>
      </c>
      <c r="I39" s="18">
        <f>VLOOKUP(t_Presses[[Plant]:[Plant]],t_Plants[],Plants!CP$1,FALSE)</f>
        <v>340</v>
      </c>
      <c r="J39" s="18">
        <f>VLOOKUP(t_Presses[[Plant]:[Plant]],t_Plants[],Plants!CQ$1,FALSE)</f>
        <v>250</v>
      </c>
      <c r="K39" s="18">
        <f>VLOOKUP(t_Presses[[Plant]:[Plant]],t_Plants[],Plants!CR$1,FALSE)</f>
        <v>260</v>
      </c>
      <c r="L39" s="18">
        <f>VLOOKUP(t_Presses[[Plant]:[Plant]],t_Plants[],Plants!CS$1,FALSE)</f>
        <v>340</v>
      </c>
      <c r="M39" s="18">
        <f>VLOOKUP(t_Presses[[Plant]:[Plant]],t_Plants[],Plants!CT$1,FALSE)</f>
        <v>250</v>
      </c>
      <c r="N39" s="18">
        <f>VLOOKUP(t_Presses[[Plant]:[Plant]],t_Plants[],Plants!CU$1,FALSE)</f>
        <v>260</v>
      </c>
      <c r="O39" s="18">
        <f>VLOOKUP(t_Presses[[Plant]:[Plant]],t_Plants[],Plants!CV$1,FALSE)</f>
        <v>340</v>
      </c>
      <c r="P39" s="18">
        <f>VLOOKUP(t_Presses[[Plant]:[Plant]],t_Plants[],Plants!CW$1,FALSE)</f>
        <v>250</v>
      </c>
      <c r="Q39" s="18">
        <f>VLOOKUP(t_Presses[[Plant]:[Plant]],t_Plants[],Plants!CX$1,FALSE)</f>
        <v>260</v>
      </c>
      <c r="R39" s="18">
        <f>VLOOKUP(t_Presses[[Plant]:[Plant]],t_Plants[],Plants!CY$1,FALSE)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43">
        <f>SUMIF(r_PartPresses,t_Presses[[PRESS]:[PRESS]],t_Parts[hp2015.01])</f>
        <v>0</v>
      </c>
      <c r="AK39" s="43">
        <f>SUMIF(r_PartPresses,t_Presses[[PRESS]:[PRESS]],t_Parts[hp2015.02])</f>
        <v>0</v>
      </c>
      <c r="AL39" s="43">
        <f>SUMIF(r_PartPresses,t_Presses[[PRESS]:[PRESS]],t_Parts[hp2015.03])</f>
        <v>0</v>
      </c>
      <c r="AM39" s="43">
        <f>SUMIF(r_PartPresses,t_Presses[[PRESS]:[PRESS]],t_Parts[hp2015.04])</f>
        <v>0</v>
      </c>
      <c r="AN39" s="43">
        <f>SUMIF(r_PartPresses,t_Presses[[PRESS]:[PRESS]],t_Parts[hp2015.05])</f>
        <v>0</v>
      </c>
      <c r="AO39" s="43">
        <f>SUMIF(r_PartPresses,t_Presses[[PRESS]:[PRESS]],t_Parts[hp2015.06])</f>
        <v>0</v>
      </c>
      <c r="AP39" s="43">
        <f>SUMIF(r_PartPresses,t_Presses[[PRESS]:[PRESS]],t_Parts[hp2015.07])</f>
        <v>0</v>
      </c>
      <c r="AQ39" s="43">
        <f>SUMIF(r_PartPresses,t_Presses[[PRESS]:[PRESS]],t_Parts[hp2015.08])</f>
        <v>0</v>
      </c>
      <c r="AR39" s="43">
        <f>SUMIF(r_PartPresses,t_Presses[[PRESS]:[PRESS]],t_Parts[hp2015.09])</f>
        <v>0</v>
      </c>
      <c r="AS39" s="43">
        <f>SUMIF(r_PartPresses,t_Presses[[PRESS]:[PRESS]],t_Parts[hp2015.10])</f>
        <v>0</v>
      </c>
      <c r="AT39" s="43">
        <f>SUMIF(r_PartPresses,t_Presses[[PRESS]:[PRESS]],t_Parts[hp2015.11])</f>
        <v>0</v>
      </c>
      <c r="AU39" s="43">
        <f>SUMIF(r_PartPresses,t_Presses[[PRESS]:[PRESS]],t_Parts[hp2015.12])</f>
        <v>0</v>
      </c>
      <c r="AV39" s="43">
        <f>SUM(t_Presses[[#This Row],[hp2015.01]:[hp2015.12]])</f>
        <v>0</v>
      </c>
      <c r="AW39" s="43">
        <f>SUMIF(r_PartPresses,t_Presses[[PRESS]:[PRESS]],t_Parts[hp2016.01])</f>
        <v>0</v>
      </c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 t="e">
        <f>t_Presses[[#This Row],[hp2016.02]]/t_Presses[[#This Row],[ha2016.02]]</f>
        <v>#DIV/0!</v>
      </c>
      <c r="CB39" s="17" t="e">
        <f>t_Presses[[#This Row],[hp2016.03]]/t_Presses[[#This Row],[ha2016.03]]</f>
        <v>#DIV/0!</v>
      </c>
      <c r="CC39" s="17" t="e">
        <f>t_Presses[[#This Row],[hp2016.04]]/t_Presses[[#This Row],[ha2016.04]]</f>
        <v>#DIV/0!</v>
      </c>
      <c r="CD39" s="17" t="e">
        <f>t_Presses[[#This Row],[hp2016.05]]/t_Presses[[#This Row],[ha2016.05]]</f>
        <v>#DIV/0!</v>
      </c>
      <c r="CE39" s="17" t="e">
        <f>t_Presses[[#This Row],[hp2016.06]]/t_Presses[[#This Row],[ha2016.06]]</f>
        <v>#DIV/0!</v>
      </c>
      <c r="CF39" s="17" t="e">
        <f>t_Presses[[#This Row],[hp2016.07]]/t_Presses[[#This Row],[ha2016.07]]</f>
        <v>#DIV/0!</v>
      </c>
      <c r="CG39" s="17" t="e">
        <f>t_Presses[[#This Row],[hp2016.08]]/t_Presses[[#This Row],[ha2016.08]]</f>
        <v>#DIV/0!</v>
      </c>
      <c r="CH39" s="17" t="e">
        <f>t_Presses[[#This Row],[hp2016.09]]/t_Presses[[#This Row],[ha2016.09]]</f>
        <v>#DIV/0!</v>
      </c>
      <c r="CI39" s="17" t="e">
        <f>t_Presses[[#This Row],[hp2016.10]]/t_Presses[[#This Row],[ha2016.10]]</f>
        <v>#DIV/0!</v>
      </c>
      <c r="CJ39" s="17" t="e">
        <f>t_Presses[[#This Row],[hp2016.11]]/t_Presses[[#This Row],[ha2016.11]]</f>
        <v>#DIV/0!</v>
      </c>
      <c r="CK39" s="17" t="e">
        <f>t_Presses[[#This Row],[hp2016.12]]/t_Presses[[#This Row],[ha2016.12]]</f>
        <v>#DIV/0!</v>
      </c>
      <c r="CL39" s="17" t="e">
        <f>t_Presses[[#This Row],[hp2016.FY]]/t_Presses[[#This Row],[ha2016.FY]]</f>
        <v>#DIV/0!</v>
      </c>
      <c r="CM39" s="17" t="e">
        <f>t_Presses[[#This Row],[hp2017]]/t_Presses[[#This Row],[ha2017]]</f>
        <v>#DIV/0!</v>
      </c>
      <c r="CN39" s="17" t="e">
        <f>t_Presses[[#This Row],[hp2018]]/t_Presses[[#This Row],[ha2018]]</f>
        <v>#DIV/0!</v>
      </c>
      <c r="CO39" s="17" t="e">
        <f>t_Presses[[#This Row],[hp2019]]/t_Presses[[#This Row],[ha2019]]</f>
        <v>#DIV/0!</v>
      </c>
    </row>
    <row r="40" spans="1:93" hidden="1" x14ac:dyDescent="0.25">
      <c r="A40" s="16" t="s">
        <v>150</v>
      </c>
      <c r="B40" t="s">
        <v>12</v>
      </c>
      <c r="C40" t="s">
        <v>121</v>
      </c>
      <c r="D40">
        <v>300</v>
      </c>
      <c r="E40" s="18" t="str">
        <f t="shared" si="0"/>
        <v>300-599</v>
      </c>
      <c r="F40" s="15"/>
      <c r="G40" s="18">
        <f>VLOOKUP(t_Presses[[Plant]:[Plant]],t_Plants[],Plants!CN$1,FALSE)</f>
        <v>250</v>
      </c>
      <c r="H40">
        <f>VLOOKUP(t_Presses[[Plant]:[Plant]],t_Plants[],Plants!CO$1,FALSE)</f>
        <v>260</v>
      </c>
      <c r="I40" s="18">
        <f>VLOOKUP(t_Presses[[Plant]:[Plant]],t_Plants[],Plants!CP$1,FALSE)</f>
        <v>340</v>
      </c>
      <c r="J40" s="18">
        <f>VLOOKUP(t_Presses[[Plant]:[Plant]],t_Plants[],Plants!CQ$1,FALSE)</f>
        <v>250</v>
      </c>
      <c r="K40" s="18">
        <f>VLOOKUP(t_Presses[[Plant]:[Plant]],t_Plants[],Plants!CR$1,FALSE)</f>
        <v>260</v>
      </c>
      <c r="L40" s="18">
        <f>VLOOKUP(t_Presses[[Plant]:[Plant]],t_Plants[],Plants!CS$1,FALSE)</f>
        <v>340</v>
      </c>
      <c r="M40" s="18">
        <f>VLOOKUP(t_Presses[[Plant]:[Plant]],t_Plants[],Plants!CT$1,FALSE)</f>
        <v>250</v>
      </c>
      <c r="N40" s="18">
        <f>VLOOKUP(t_Presses[[Plant]:[Plant]],t_Plants[],Plants!CU$1,FALSE)</f>
        <v>260</v>
      </c>
      <c r="O40" s="18">
        <f>VLOOKUP(t_Presses[[Plant]:[Plant]],t_Plants[],Plants!CV$1,FALSE)</f>
        <v>340</v>
      </c>
      <c r="P40" s="18">
        <f>VLOOKUP(t_Presses[[Plant]:[Plant]],t_Plants[],Plants!CW$1,FALSE)</f>
        <v>250</v>
      </c>
      <c r="Q40" s="18">
        <f>VLOOKUP(t_Presses[[Plant]:[Plant]],t_Plants[],Plants!CX$1,FALSE)</f>
        <v>260</v>
      </c>
      <c r="R40" s="18">
        <f>VLOOKUP(t_Presses[[Plant]:[Plant]],t_Plants[],Plants!CY$1,FALSE)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43">
        <f>SUMIF(r_PartPresses,t_Presses[[PRESS]:[PRESS]],t_Parts[hp2015.01])</f>
        <v>0</v>
      </c>
      <c r="AK40" s="43">
        <f>SUMIF(r_PartPresses,t_Presses[[PRESS]:[PRESS]],t_Parts[hp2015.02])</f>
        <v>0</v>
      </c>
      <c r="AL40" s="43">
        <f>SUMIF(r_PartPresses,t_Presses[[PRESS]:[PRESS]],t_Parts[hp2015.03])</f>
        <v>0</v>
      </c>
      <c r="AM40" s="43">
        <f>SUMIF(r_PartPresses,t_Presses[[PRESS]:[PRESS]],t_Parts[hp2015.04])</f>
        <v>0</v>
      </c>
      <c r="AN40" s="43">
        <f>SUMIF(r_PartPresses,t_Presses[[PRESS]:[PRESS]],t_Parts[hp2015.05])</f>
        <v>0</v>
      </c>
      <c r="AO40" s="43">
        <f>SUMIF(r_PartPresses,t_Presses[[PRESS]:[PRESS]],t_Parts[hp2015.06])</f>
        <v>0</v>
      </c>
      <c r="AP40" s="43">
        <f>SUMIF(r_PartPresses,t_Presses[[PRESS]:[PRESS]],t_Parts[hp2015.07])</f>
        <v>0</v>
      </c>
      <c r="AQ40" s="43">
        <f>SUMIF(r_PartPresses,t_Presses[[PRESS]:[PRESS]],t_Parts[hp2015.08])</f>
        <v>0</v>
      </c>
      <c r="AR40" s="43">
        <f>SUMIF(r_PartPresses,t_Presses[[PRESS]:[PRESS]],t_Parts[hp2015.09])</f>
        <v>0</v>
      </c>
      <c r="AS40" s="43">
        <f>SUMIF(r_PartPresses,t_Presses[[PRESS]:[PRESS]],t_Parts[hp2015.10])</f>
        <v>0</v>
      </c>
      <c r="AT40" s="43">
        <f>SUMIF(r_PartPresses,t_Presses[[PRESS]:[PRESS]],t_Parts[hp2015.11])</f>
        <v>0</v>
      </c>
      <c r="AU40" s="43">
        <f>SUMIF(r_PartPresses,t_Presses[[PRESS]:[PRESS]],t_Parts[hp2015.12])</f>
        <v>0</v>
      </c>
      <c r="AV40" s="43">
        <f>SUM(t_Presses[[#This Row],[hp2015.01]:[hp2015.12]])</f>
        <v>0</v>
      </c>
      <c r="AW40" s="43">
        <f>SUMIF(r_PartPresses,t_Presses[[PRESS]:[PRESS]],t_Parts[hp2016.01])</f>
        <v>0</v>
      </c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 t="e">
        <f>t_Presses[[#This Row],[hp2016.02]]/t_Presses[[#This Row],[ha2016.02]]</f>
        <v>#DIV/0!</v>
      </c>
      <c r="CB40" s="17" t="e">
        <f>t_Presses[[#This Row],[hp2016.03]]/t_Presses[[#This Row],[ha2016.03]]</f>
        <v>#DIV/0!</v>
      </c>
      <c r="CC40" s="17" t="e">
        <f>t_Presses[[#This Row],[hp2016.04]]/t_Presses[[#This Row],[ha2016.04]]</f>
        <v>#DIV/0!</v>
      </c>
      <c r="CD40" s="17" t="e">
        <f>t_Presses[[#This Row],[hp2016.05]]/t_Presses[[#This Row],[ha2016.05]]</f>
        <v>#DIV/0!</v>
      </c>
      <c r="CE40" s="17" t="e">
        <f>t_Presses[[#This Row],[hp2016.06]]/t_Presses[[#This Row],[ha2016.06]]</f>
        <v>#DIV/0!</v>
      </c>
      <c r="CF40" s="17" t="e">
        <f>t_Presses[[#This Row],[hp2016.07]]/t_Presses[[#This Row],[ha2016.07]]</f>
        <v>#DIV/0!</v>
      </c>
      <c r="CG40" s="17" t="e">
        <f>t_Presses[[#This Row],[hp2016.08]]/t_Presses[[#This Row],[ha2016.08]]</f>
        <v>#DIV/0!</v>
      </c>
      <c r="CH40" s="17" t="e">
        <f>t_Presses[[#This Row],[hp2016.09]]/t_Presses[[#This Row],[ha2016.09]]</f>
        <v>#DIV/0!</v>
      </c>
      <c r="CI40" s="17" t="e">
        <f>t_Presses[[#This Row],[hp2016.10]]/t_Presses[[#This Row],[ha2016.10]]</f>
        <v>#DIV/0!</v>
      </c>
      <c r="CJ40" s="17" t="e">
        <f>t_Presses[[#This Row],[hp2016.11]]/t_Presses[[#This Row],[ha2016.11]]</f>
        <v>#DIV/0!</v>
      </c>
      <c r="CK40" s="17" t="e">
        <f>t_Presses[[#This Row],[hp2016.12]]/t_Presses[[#This Row],[ha2016.12]]</f>
        <v>#DIV/0!</v>
      </c>
      <c r="CL40" s="17" t="e">
        <f>t_Presses[[#This Row],[hp2016.FY]]/t_Presses[[#This Row],[ha2016.FY]]</f>
        <v>#DIV/0!</v>
      </c>
      <c r="CM40" s="17" t="e">
        <f>t_Presses[[#This Row],[hp2017]]/t_Presses[[#This Row],[ha2017]]</f>
        <v>#DIV/0!</v>
      </c>
      <c r="CN40" s="17" t="e">
        <f>t_Presses[[#This Row],[hp2018]]/t_Presses[[#This Row],[ha2018]]</f>
        <v>#DIV/0!</v>
      </c>
      <c r="CO40" s="17" t="e">
        <f>t_Presses[[#This Row],[hp2019]]/t_Presses[[#This Row],[ha2019]]</f>
        <v>#DIV/0!</v>
      </c>
    </row>
    <row r="41" spans="1:93" hidden="1" x14ac:dyDescent="0.25">
      <c r="A41" s="16" t="s">
        <v>151</v>
      </c>
      <c r="B41" t="s">
        <v>12</v>
      </c>
      <c r="C41" t="s">
        <v>121</v>
      </c>
      <c r="D41">
        <v>330</v>
      </c>
      <c r="E41" s="18" t="str">
        <f t="shared" si="0"/>
        <v>300-599</v>
      </c>
      <c r="F41" s="15"/>
      <c r="G41" s="18">
        <f>VLOOKUP(t_Presses[[Plant]:[Plant]],t_Plants[],Plants!CN$1,FALSE)</f>
        <v>250</v>
      </c>
      <c r="H41">
        <f>VLOOKUP(t_Presses[[Plant]:[Plant]],t_Plants[],Plants!CO$1,FALSE)</f>
        <v>260</v>
      </c>
      <c r="I41" s="18">
        <f>VLOOKUP(t_Presses[[Plant]:[Plant]],t_Plants[],Plants!CP$1,FALSE)</f>
        <v>340</v>
      </c>
      <c r="J41" s="18">
        <f>VLOOKUP(t_Presses[[Plant]:[Plant]],t_Plants[],Plants!CQ$1,FALSE)</f>
        <v>250</v>
      </c>
      <c r="K41" s="18">
        <f>VLOOKUP(t_Presses[[Plant]:[Plant]],t_Plants[],Plants!CR$1,FALSE)</f>
        <v>260</v>
      </c>
      <c r="L41" s="18">
        <f>VLOOKUP(t_Presses[[Plant]:[Plant]],t_Plants[],Plants!CS$1,FALSE)</f>
        <v>340</v>
      </c>
      <c r="M41" s="18">
        <f>VLOOKUP(t_Presses[[Plant]:[Plant]],t_Plants[],Plants!CT$1,FALSE)</f>
        <v>250</v>
      </c>
      <c r="N41" s="18">
        <f>VLOOKUP(t_Presses[[Plant]:[Plant]],t_Plants[],Plants!CU$1,FALSE)</f>
        <v>260</v>
      </c>
      <c r="O41" s="18">
        <f>VLOOKUP(t_Presses[[Plant]:[Plant]],t_Plants[],Plants!CV$1,FALSE)</f>
        <v>340</v>
      </c>
      <c r="P41" s="18">
        <f>VLOOKUP(t_Presses[[Plant]:[Plant]],t_Plants[],Plants!CW$1,FALSE)</f>
        <v>250</v>
      </c>
      <c r="Q41" s="18">
        <f>VLOOKUP(t_Presses[[Plant]:[Plant]],t_Plants[],Plants!CX$1,FALSE)</f>
        <v>260</v>
      </c>
      <c r="R41" s="18">
        <f>VLOOKUP(t_Presses[[Plant]:[Plant]],t_Plants[],Plants!CY$1,FALSE)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43">
        <f>SUMIF(r_PartPresses,t_Presses[[PRESS]:[PRESS]],t_Parts[hp2015.01])</f>
        <v>0</v>
      </c>
      <c r="AK41" s="43">
        <f>SUMIF(r_PartPresses,t_Presses[[PRESS]:[PRESS]],t_Parts[hp2015.02])</f>
        <v>0</v>
      </c>
      <c r="AL41" s="43">
        <f>SUMIF(r_PartPresses,t_Presses[[PRESS]:[PRESS]],t_Parts[hp2015.03])</f>
        <v>0</v>
      </c>
      <c r="AM41" s="43">
        <f>SUMIF(r_PartPresses,t_Presses[[PRESS]:[PRESS]],t_Parts[hp2015.04])</f>
        <v>0</v>
      </c>
      <c r="AN41" s="43">
        <f>SUMIF(r_PartPresses,t_Presses[[PRESS]:[PRESS]],t_Parts[hp2015.05])</f>
        <v>0</v>
      </c>
      <c r="AO41" s="43">
        <f>SUMIF(r_PartPresses,t_Presses[[PRESS]:[PRESS]],t_Parts[hp2015.06])</f>
        <v>0</v>
      </c>
      <c r="AP41" s="43">
        <f>SUMIF(r_PartPresses,t_Presses[[PRESS]:[PRESS]],t_Parts[hp2015.07])</f>
        <v>0</v>
      </c>
      <c r="AQ41" s="43">
        <f>SUMIF(r_PartPresses,t_Presses[[PRESS]:[PRESS]],t_Parts[hp2015.08])</f>
        <v>0</v>
      </c>
      <c r="AR41" s="43">
        <f>SUMIF(r_PartPresses,t_Presses[[PRESS]:[PRESS]],t_Parts[hp2015.09])</f>
        <v>0</v>
      </c>
      <c r="AS41" s="43">
        <f>SUMIF(r_PartPresses,t_Presses[[PRESS]:[PRESS]],t_Parts[hp2015.10])</f>
        <v>0</v>
      </c>
      <c r="AT41" s="43">
        <f>SUMIF(r_PartPresses,t_Presses[[PRESS]:[PRESS]],t_Parts[hp2015.11])</f>
        <v>0</v>
      </c>
      <c r="AU41" s="43">
        <f>SUMIF(r_PartPresses,t_Presses[[PRESS]:[PRESS]],t_Parts[hp2015.12])</f>
        <v>0</v>
      </c>
      <c r="AV41" s="43">
        <f>SUM(t_Presses[[#This Row],[hp2015.01]:[hp2015.12]])</f>
        <v>0</v>
      </c>
      <c r="AW41" s="43">
        <f>SUMIF(r_PartPresses,t_Presses[[PRESS]:[PRESS]],t_Parts[hp2016.01])</f>
        <v>0</v>
      </c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 t="e">
        <f>t_Presses[[#This Row],[hp2016.02]]/t_Presses[[#This Row],[ha2016.02]]</f>
        <v>#DIV/0!</v>
      </c>
      <c r="CB41" s="17" t="e">
        <f>t_Presses[[#This Row],[hp2016.03]]/t_Presses[[#This Row],[ha2016.03]]</f>
        <v>#DIV/0!</v>
      </c>
      <c r="CC41" s="17" t="e">
        <f>t_Presses[[#This Row],[hp2016.04]]/t_Presses[[#This Row],[ha2016.04]]</f>
        <v>#DIV/0!</v>
      </c>
      <c r="CD41" s="17" t="e">
        <f>t_Presses[[#This Row],[hp2016.05]]/t_Presses[[#This Row],[ha2016.05]]</f>
        <v>#DIV/0!</v>
      </c>
      <c r="CE41" s="17" t="e">
        <f>t_Presses[[#This Row],[hp2016.06]]/t_Presses[[#This Row],[ha2016.06]]</f>
        <v>#DIV/0!</v>
      </c>
      <c r="CF41" s="17" t="e">
        <f>t_Presses[[#This Row],[hp2016.07]]/t_Presses[[#This Row],[ha2016.07]]</f>
        <v>#DIV/0!</v>
      </c>
      <c r="CG41" s="17" t="e">
        <f>t_Presses[[#This Row],[hp2016.08]]/t_Presses[[#This Row],[ha2016.08]]</f>
        <v>#DIV/0!</v>
      </c>
      <c r="CH41" s="17" t="e">
        <f>t_Presses[[#This Row],[hp2016.09]]/t_Presses[[#This Row],[ha2016.09]]</f>
        <v>#DIV/0!</v>
      </c>
      <c r="CI41" s="17" t="e">
        <f>t_Presses[[#This Row],[hp2016.10]]/t_Presses[[#This Row],[ha2016.10]]</f>
        <v>#DIV/0!</v>
      </c>
      <c r="CJ41" s="17" t="e">
        <f>t_Presses[[#This Row],[hp2016.11]]/t_Presses[[#This Row],[ha2016.11]]</f>
        <v>#DIV/0!</v>
      </c>
      <c r="CK41" s="17" t="e">
        <f>t_Presses[[#This Row],[hp2016.12]]/t_Presses[[#This Row],[ha2016.12]]</f>
        <v>#DIV/0!</v>
      </c>
      <c r="CL41" s="17" t="e">
        <f>t_Presses[[#This Row],[hp2016.FY]]/t_Presses[[#This Row],[ha2016.FY]]</f>
        <v>#DIV/0!</v>
      </c>
      <c r="CM41" s="17" t="e">
        <f>t_Presses[[#This Row],[hp2017]]/t_Presses[[#This Row],[ha2017]]</f>
        <v>#DIV/0!</v>
      </c>
      <c r="CN41" s="17" t="e">
        <f>t_Presses[[#This Row],[hp2018]]/t_Presses[[#This Row],[ha2018]]</f>
        <v>#DIV/0!</v>
      </c>
      <c r="CO41" s="17" t="e">
        <f>t_Presses[[#This Row],[hp2019]]/t_Presses[[#This Row],[ha2019]]</f>
        <v>#DIV/0!</v>
      </c>
    </row>
    <row r="42" spans="1:93" hidden="1" x14ac:dyDescent="0.25">
      <c r="A42" s="16" t="s">
        <v>152</v>
      </c>
      <c r="B42" t="s">
        <v>12</v>
      </c>
      <c r="C42" t="s">
        <v>121</v>
      </c>
      <c r="D42">
        <v>600</v>
      </c>
      <c r="E42" s="18" t="str">
        <f t="shared" si="0"/>
        <v>600-899</v>
      </c>
      <c r="F42" s="15"/>
      <c r="G42" s="18">
        <f>VLOOKUP(t_Presses[[Plant]:[Plant]],t_Plants[],Plants!CN$1,FALSE)</f>
        <v>250</v>
      </c>
      <c r="H42">
        <f>VLOOKUP(t_Presses[[Plant]:[Plant]],t_Plants[],Plants!CO$1,FALSE)</f>
        <v>260</v>
      </c>
      <c r="I42" s="18">
        <f>VLOOKUP(t_Presses[[Plant]:[Plant]],t_Plants[],Plants!CP$1,FALSE)</f>
        <v>340</v>
      </c>
      <c r="J42" s="18">
        <f>VLOOKUP(t_Presses[[Plant]:[Plant]],t_Plants[],Plants!CQ$1,FALSE)</f>
        <v>250</v>
      </c>
      <c r="K42" s="18">
        <f>VLOOKUP(t_Presses[[Plant]:[Plant]],t_Plants[],Plants!CR$1,FALSE)</f>
        <v>260</v>
      </c>
      <c r="L42" s="18">
        <f>VLOOKUP(t_Presses[[Plant]:[Plant]],t_Plants[],Plants!CS$1,FALSE)</f>
        <v>340</v>
      </c>
      <c r="M42" s="18">
        <f>VLOOKUP(t_Presses[[Plant]:[Plant]],t_Plants[],Plants!CT$1,FALSE)</f>
        <v>250</v>
      </c>
      <c r="N42" s="18">
        <f>VLOOKUP(t_Presses[[Plant]:[Plant]],t_Plants[],Plants!CU$1,FALSE)</f>
        <v>260</v>
      </c>
      <c r="O42" s="18">
        <f>VLOOKUP(t_Presses[[Plant]:[Plant]],t_Plants[],Plants!CV$1,FALSE)</f>
        <v>340</v>
      </c>
      <c r="P42" s="18">
        <f>VLOOKUP(t_Presses[[Plant]:[Plant]],t_Plants[],Plants!CW$1,FALSE)</f>
        <v>250</v>
      </c>
      <c r="Q42" s="18">
        <f>VLOOKUP(t_Presses[[Plant]:[Plant]],t_Plants[],Plants!CX$1,FALSE)</f>
        <v>260</v>
      </c>
      <c r="R42" s="18">
        <f>VLOOKUP(t_Presses[[Plant]:[Plant]],t_Plants[],Plants!CY$1,FALSE)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43">
        <f>SUMIF(r_PartPresses,t_Presses[[PRESS]:[PRESS]],t_Parts[hp2015.01])</f>
        <v>0</v>
      </c>
      <c r="AK42" s="43">
        <f>SUMIF(r_PartPresses,t_Presses[[PRESS]:[PRESS]],t_Parts[hp2015.02])</f>
        <v>0</v>
      </c>
      <c r="AL42" s="43">
        <f>SUMIF(r_PartPresses,t_Presses[[PRESS]:[PRESS]],t_Parts[hp2015.03])</f>
        <v>0</v>
      </c>
      <c r="AM42" s="43">
        <f>SUMIF(r_PartPresses,t_Presses[[PRESS]:[PRESS]],t_Parts[hp2015.04])</f>
        <v>0</v>
      </c>
      <c r="AN42" s="43">
        <f>SUMIF(r_PartPresses,t_Presses[[PRESS]:[PRESS]],t_Parts[hp2015.05])</f>
        <v>0</v>
      </c>
      <c r="AO42" s="43">
        <f>SUMIF(r_PartPresses,t_Presses[[PRESS]:[PRESS]],t_Parts[hp2015.06])</f>
        <v>0</v>
      </c>
      <c r="AP42" s="43">
        <f>SUMIF(r_PartPresses,t_Presses[[PRESS]:[PRESS]],t_Parts[hp2015.07])</f>
        <v>0</v>
      </c>
      <c r="AQ42" s="43">
        <f>SUMIF(r_PartPresses,t_Presses[[PRESS]:[PRESS]],t_Parts[hp2015.08])</f>
        <v>0</v>
      </c>
      <c r="AR42" s="43">
        <f>SUMIF(r_PartPresses,t_Presses[[PRESS]:[PRESS]],t_Parts[hp2015.09])</f>
        <v>0</v>
      </c>
      <c r="AS42" s="43">
        <f>SUMIF(r_PartPresses,t_Presses[[PRESS]:[PRESS]],t_Parts[hp2015.10])</f>
        <v>0</v>
      </c>
      <c r="AT42" s="43">
        <f>SUMIF(r_PartPresses,t_Presses[[PRESS]:[PRESS]],t_Parts[hp2015.11])</f>
        <v>0</v>
      </c>
      <c r="AU42" s="43">
        <f>SUMIF(r_PartPresses,t_Presses[[PRESS]:[PRESS]],t_Parts[hp2015.12])</f>
        <v>0</v>
      </c>
      <c r="AV42" s="43">
        <f>SUM(t_Presses[[#This Row],[hp2015.01]:[hp2015.12]])</f>
        <v>0</v>
      </c>
      <c r="AW42" s="43">
        <f>SUMIF(r_PartPresses,t_Presses[[PRESS]:[PRESS]],t_Parts[hp2016.01])</f>
        <v>0</v>
      </c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 t="e">
        <f>t_Presses[[#This Row],[hp2016.02]]/t_Presses[[#This Row],[ha2016.02]]</f>
        <v>#DIV/0!</v>
      </c>
      <c r="CB42" s="17" t="e">
        <f>t_Presses[[#This Row],[hp2016.03]]/t_Presses[[#This Row],[ha2016.03]]</f>
        <v>#DIV/0!</v>
      </c>
      <c r="CC42" s="17" t="e">
        <f>t_Presses[[#This Row],[hp2016.04]]/t_Presses[[#This Row],[ha2016.04]]</f>
        <v>#DIV/0!</v>
      </c>
      <c r="CD42" s="17" t="e">
        <f>t_Presses[[#This Row],[hp2016.05]]/t_Presses[[#This Row],[ha2016.05]]</f>
        <v>#DIV/0!</v>
      </c>
      <c r="CE42" s="17" t="e">
        <f>t_Presses[[#This Row],[hp2016.06]]/t_Presses[[#This Row],[ha2016.06]]</f>
        <v>#DIV/0!</v>
      </c>
      <c r="CF42" s="17" t="e">
        <f>t_Presses[[#This Row],[hp2016.07]]/t_Presses[[#This Row],[ha2016.07]]</f>
        <v>#DIV/0!</v>
      </c>
      <c r="CG42" s="17" t="e">
        <f>t_Presses[[#This Row],[hp2016.08]]/t_Presses[[#This Row],[ha2016.08]]</f>
        <v>#DIV/0!</v>
      </c>
      <c r="CH42" s="17" t="e">
        <f>t_Presses[[#This Row],[hp2016.09]]/t_Presses[[#This Row],[ha2016.09]]</f>
        <v>#DIV/0!</v>
      </c>
      <c r="CI42" s="17" t="e">
        <f>t_Presses[[#This Row],[hp2016.10]]/t_Presses[[#This Row],[ha2016.10]]</f>
        <v>#DIV/0!</v>
      </c>
      <c r="CJ42" s="17" t="e">
        <f>t_Presses[[#This Row],[hp2016.11]]/t_Presses[[#This Row],[ha2016.11]]</f>
        <v>#DIV/0!</v>
      </c>
      <c r="CK42" s="17" t="e">
        <f>t_Presses[[#This Row],[hp2016.12]]/t_Presses[[#This Row],[ha2016.12]]</f>
        <v>#DIV/0!</v>
      </c>
      <c r="CL42" s="17" t="e">
        <f>t_Presses[[#This Row],[hp2016.FY]]/t_Presses[[#This Row],[ha2016.FY]]</f>
        <v>#DIV/0!</v>
      </c>
      <c r="CM42" s="17" t="e">
        <f>t_Presses[[#This Row],[hp2017]]/t_Presses[[#This Row],[ha2017]]</f>
        <v>#DIV/0!</v>
      </c>
      <c r="CN42" s="17" t="e">
        <f>t_Presses[[#This Row],[hp2018]]/t_Presses[[#This Row],[ha2018]]</f>
        <v>#DIV/0!</v>
      </c>
      <c r="CO42" s="17" t="e">
        <f>t_Presses[[#This Row],[hp2019]]/t_Presses[[#This Row],[ha2019]]</f>
        <v>#DIV/0!</v>
      </c>
    </row>
    <row r="43" spans="1:93" hidden="1" x14ac:dyDescent="0.25">
      <c r="A43" s="16" t="s">
        <v>153</v>
      </c>
      <c r="B43" t="s">
        <v>12</v>
      </c>
      <c r="C43" t="s">
        <v>122</v>
      </c>
      <c r="D43">
        <v>800</v>
      </c>
      <c r="E43" s="18" t="str">
        <f t="shared" si="0"/>
        <v>600-899</v>
      </c>
      <c r="F43" s="15"/>
      <c r="G43" s="18">
        <f>VLOOKUP(t_Presses[[Plant]:[Plant]],t_Plants[],Plants!CN$1,FALSE)</f>
        <v>250</v>
      </c>
      <c r="H43">
        <f>VLOOKUP(t_Presses[[Plant]:[Plant]],t_Plants[],Plants!CO$1,FALSE)</f>
        <v>260</v>
      </c>
      <c r="I43" s="18">
        <f>VLOOKUP(t_Presses[[Plant]:[Plant]],t_Plants[],Plants!CP$1,FALSE)</f>
        <v>340</v>
      </c>
      <c r="J43" s="18">
        <f>VLOOKUP(t_Presses[[Plant]:[Plant]],t_Plants[],Plants!CQ$1,FALSE)</f>
        <v>250</v>
      </c>
      <c r="K43" s="18">
        <f>VLOOKUP(t_Presses[[Plant]:[Plant]],t_Plants[],Plants!CR$1,FALSE)</f>
        <v>260</v>
      </c>
      <c r="L43" s="18">
        <f>VLOOKUP(t_Presses[[Plant]:[Plant]],t_Plants[],Plants!CS$1,FALSE)</f>
        <v>340</v>
      </c>
      <c r="M43" s="18">
        <f>VLOOKUP(t_Presses[[Plant]:[Plant]],t_Plants[],Plants!CT$1,FALSE)</f>
        <v>250</v>
      </c>
      <c r="N43" s="18">
        <f>VLOOKUP(t_Presses[[Plant]:[Plant]],t_Plants[],Plants!CU$1,FALSE)</f>
        <v>260</v>
      </c>
      <c r="O43" s="18">
        <f>VLOOKUP(t_Presses[[Plant]:[Plant]],t_Plants[],Plants!CV$1,FALSE)</f>
        <v>340</v>
      </c>
      <c r="P43" s="18">
        <f>VLOOKUP(t_Presses[[Plant]:[Plant]],t_Plants[],Plants!CW$1,FALSE)</f>
        <v>250</v>
      </c>
      <c r="Q43" s="18">
        <f>VLOOKUP(t_Presses[[Plant]:[Plant]],t_Plants[],Plants!CX$1,FALSE)</f>
        <v>260</v>
      </c>
      <c r="R43" s="18">
        <f>VLOOKUP(t_Presses[[Plant]:[Plant]],t_Plants[],Plants!CY$1,FALSE)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43">
        <f>SUMIF(r_PartPresses,t_Presses[[PRESS]:[PRESS]],t_Parts[hp2015.01])</f>
        <v>0</v>
      </c>
      <c r="AK43" s="43">
        <f>SUMIF(r_PartPresses,t_Presses[[PRESS]:[PRESS]],t_Parts[hp2015.02])</f>
        <v>0</v>
      </c>
      <c r="AL43" s="43">
        <f>SUMIF(r_PartPresses,t_Presses[[PRESS]:[PRESS]],t_Parts[hp2015.03])</f>
        <v>0</v>
      </c>
      <c r="AM43" s="43">
        <f>SUMIF(r_PartPresses,t_Presses[[PRESS]:[PRESS]],t_Parts[hp2015.04])</f>
        <v>0</v>
      </c>
      <c r="AN43" s="43">
        <f>SUMIF(r_PartPresses,t_Presses[[PRESS]:[PRESS]],t_Parts[hp2015.05])</f>
        <v>0</v>
      </c>
      <c r="AO43" s="43">
        <f>SUMIF(r_PartPresses,t_Presses[[PRESS]:[PRESS]],t_Parts[hp2015.06])</f>
        <v>0</v>
      </c>
      <c r="AP43" s="43">
        <f>SUMIF(r_PartPresses,t_Presses[[PRESS]:[PRESS]],t_Parts[hp2015.07])</f>
        <v>0</v>
      </c>
      <c r="AQ43" s="43">
        <f>SUMIF(r_PartPresses,t_Presses[[PRESS]:[PRESS]],t_Parts[hp2015.08])</f>
        <v>0</v>
      </c>
      <c r="AR43" s="43">
        <f>SUMIF(r_PartPresses,t_Presses[[PRESS]:[PRESS]],t_Parts[hp2015.09])</f>
        <v>0</v>
      </c>
      <c r="AS43" s="43">
        <f>SUMIF(r_PartPresses,t_Presses[[PRESS]:[PRESS]],t_Parts[hp2015.10])</f>
        <v>0</v>
      </c>
      <c r="AT43" s="43">
        <f>SUMIF(r_PartPresses,t_Presses[[PRESS]:[PRESS]],t_Parts[hp2015.11])</f>
        <v>0</v>
      </c>
      <c r="AU43" s="43">
        <f>SUMIF(r_PartPresses,t_Presses[[PRESS]:[PRESS]],t_Parts[hp2015.12])</f>
        <v>0</v>
      </c>
      <c r="AV43" s="43">
        <f>SUM(t_Presses[[#This Row],[hp2015.01]:[hp2015.12]])</f>
        <v>0</v>
      </c>
      <c r="AW43" s="43">
        <f>SUMIF(r_PartPresses,t_Presses[[PRESS]:[PRESS]],t_Parts[hp2016.01])</f>
        <v>0</v>
      </c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 t="e">
        <f>t_Presses[[#This Row],[hp2016.02]]/t_Presses[[#This Row],[ha2016.02]]</f>
        <v>#DIV/0!</v>
      </c>
      <c r="CB43" s="17" t="e">
        <f>t_Presses[[#This Row],[hp2016.03]]/t_Presses[[#This Row],[ha2016.03]]</f>
        <v>#DIV/0!</v>
      </c>
      <c r="CC43" s="17" t="e">
        <f>t_Presses[[#This Row],[hp2016.04]]/t_Presses[[#This Row],[ha2016.04]]</f>
        <v>#DIV/0!</v>
      </c>
      <c r="CD43" s="17" t="e">
        <f>t_Presses[[#This Row],[hp2016.05]]/t_Presses[[#This Row],[ha2016.05]]</f>
        <v>#DIV/0!</v>
      </c>
      <c r="CE43" s="17" t="e">
        <f>t_Presses[[#This Row],[hp2016.06]]/t_Presses[[#This Row],[ha2016.06]]</f>
        <v>#DIV/0!</v>
      </c>
      <c r="CF43" s="17" t="e">
        <f>t_Presses[[#This Row],[hp2016.07]]/t_Presses[[#This Row],[ha2016.07]]</f>
        <v>#DIV/0!</v>
      </c>
      <c r="CG43" s="17" t="e">
        <f>t_Presses[[#This Row],[hp2016.08]]/t_Presses[[#This Row],[ha2016.08]]</f>
        <v>#DIV/0!</v>
      </c>
      <c r="CH43" s="17" t="e">
        <f>t_Presses[[#This Row],[hp2016.09]]/t_Presses[[#This Row],[ha2016.09]]</f>
        <v>#DIV/0!</v>
      </c>
      <c r="CI43" s="17" t="e">
        <f>t_Presses[[#This Row],[hp2016.10]]/t_Presses[[#This Row],[ha2016.10]]</f>
        <v>#DIV/0!</v>
      </c>
      <c r="CJ43" s="17" t="e">
        <f>t_Presses[[#This Row],[hp2016.11]]/t_Presses[[#This Row],[ha2016.11]]</f>
        <v>#DIV/0!</v>
      </c>
      <c r="CK43" s="17" t="e">
        <f>t_Presses[[#This Row],[hp2016.12]]/t_Presses[[#This Row],[ha2016.12]]</f>
        <v>#DIV/0!</v>
      </c>
      <c r="CL43" s="17" t="e">
        <f>t_Presses[[#This Row],[hp2016.FY]]/t_Presses[[#This Row],[ha2016.FY]]</f>
        <v>#DIV/0!</v>
      </c>
      <c r="CM43" s="17" t="e">
        <f>t_Presses[[#This Row],[hp2017]]/t_Presses[[#This Row],[ha2017]]</f>
        <v>#DIV/0!</v>
      </c>
      <c r="CN43" s="17" t="e">
        <f>t_Presses[[#This Row],[hp2018]]/t_Presses[[#This Row],[ha2018]]</f>
        <v>#DIV/0!</v>
      </c>
      <c r="CO43" s="17" t="e">
        <f>t_Presses[[#This Row],[hp2019]]/t_Presses[[#This Row],[ha2019]]</f>
        <v>#DIV/0!</v>
      </c>
    </row>
    <row r="44" spans="1:93" hidden="1" x14ac:dyDescent="0.25">
      <c r="A44" s="16" t="s">
        <v>154</v>
      </c>
      <c r="B44" t="s">
        <v>12</v>
      </c>
      <c r="C44" t="s">
        <v>121</v>
      </c>
      <c r="D44">
        <v>400</v>
      </c>
      <c r="E44" s="18" t="str">
        <f t="shared" si="0"/>
        <v>300-599</v>
      </c>
      <c r="F44" s="15"/>
      <c r="G44" s="18">
        <f>VLOOKUP(t_Presses[[Plant]:[Plant]],t_Plants[],Plants!CN$1,FALSE)</f>
        <v>250</v>
      </c>
      <c r="H44">
        <f>VLOOKUP(t_Presses[[Plant]:[Plant]],t_Plants[],Plants!CO$1,FALSE)</f>
        <v>260</v>
      </c>
      <c r="I44" s="18">
        <f>VLOOKUP(t_Presses[[Plant]:[Plant]],t_Plants[],Plants!CP$1,FALSE)</f>
        <v>340</v>
      </c>
      <c r="J44" s="18">
        <f>VLOOKUP(t_Presses[[Plant]:[Plant]],t_Plants[],Plants!CQ$1,FALSE)</f>
        <v>250</v>
      </c>
      <c r="K44" s="18">
        <f>VLOOKUP(t_Presses[[Plant]:[Plant]],t_Plants[],Plants!CR$1,FALSE)</f>
        <v>260</v>
      </c>
      <c r="L44" s="18">
        <f>VLOOKUP(t_Presses[[Plant]:[Plant]],t_Plants[],Plants!CS$1,FALSE)</f>
        <v>340</v>
      </c>
      <c r="M44" s="18">
        <f>VLOOKUP(t_Presses[[Plant]:[Plant]],t_Plants[],Plants!CT$1,FALSE)</f>
        <v>250</v>
      </c>
      <c r="N44" s="18">
        <f>VLOOKUP(t_Presses[[Plant]:[Plant]],t_Plants[],Plants!CU$1,FALSE)</f>
        <v>260</v>
      </c>
      <c r="O44" s="18">
        <f>VLOOKUP(t_Presses[[Plant]:[Plant]],t_Plants[],Plants!CV$1,FALSE)</f>
        <v>340</v>
      </c>
      <c r="P44" s="18">
        <f>VLOOKUP(t_Presses[[Plant]:[Plant]],t_Plants[],Plants!CW$1,FALSE)</f>
        <v>250</v>
      </c>
      <c r="Q44" s="18">
        <f>VLOOKUP(t_Presses[[Plant]:[Plant]],t_Plants[],Plants!CX$1,FALSE)</f>
        <v>260</v>
      </c>
      <c r="R44" s="18">
        <f>VLOOKUP(t_Presses[[Plant]:[Plant]],t_Plants[],Plants!CY$1,FALSE)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43">
        <f>SUMIF(r_PartPresses,t_Presses[[PRESS]:[PRESS]],t_Parts[hp2015.01])</f>
        <v>0</v>
      </c>
      <c r="AK44" s="43">
        <f>SUMIF(r_PartPresses,t_Presses[[PRESS]:[PRESS]],t_Parts[hp2015.02])</f>
        <v>0</v>
      </c>
      <c r="AL44" s="43">
        <f>SUMIF(r_PartPresses,t_Presses[[PRESS]:[PRESS]],t_Parts[hp2015.03])</f>
        <v>0</v>
      </c>
      <c r="AM44" s="43">
        <f>SUMIF(r_PartPresses,t_Presses[[PRESS]:[PRESS]],t_Parts[hp2015.04])</f>
        <v>0</v>
      </c>
      <c r="AN44" s="43">
        <f>SUMIF(r_PartPresses,t_Presses[[PRESS]:[PRESS]],t_Parts[hp2015.05])</f>
        <v>0</v>
      </c>
      <c r="AO44" s="43">
        <f>SUMIF(r_PartPresses,t_Presses[[PRESS]:[PRESS]],t_Parts[hp2015.06])</f>
        <v>0</v>
      </c>
      <c r="AP44" s="43">
        <f>SUMIF(r_PartPresses,t_Presses[[PRESS]:[PRESS]],t_Parts[hp2015.07])</f>
        <v>0</v>
      </c>
      <c r="AQ44" s="43">
        <f>SUMIF(r_PartPresses,t_Presses[[PRESS]:[PRESS]],t_Parts[hp2015.08])</f>
        <v>0</v>
      </c>
      <c r="AR44" s="43">
        <f>SUMIF(r_PartPresses,t_Presses[[PRESS]:[PRESS]],t_Parts[hp2015.09])</f>
        <v>0</v>
      </c>
      <c r="AS44" s="43">
        <f>SUMIF(r_PartPresses,t_Presses[[PRESS]:[PRESS]],t_Parts[hp2015.10])</f>
        <v>0</v>
      </c>
      <c r="AT44" s="43">
        <f>SUMIF(r_PartPresses,t_Presses[[PRESS]:[PRESS]],t_Parts[hp2015.11])</f>
        <v>0</v>
      </c>
      <c r="AU44" s="43">
        <f>SUMIF(r_PartPresses,t_Presses[[PRESS]:[PRESS]],t_Parts[hp2015.12])</f>
        <v>0</v>
      </c>
      <c r="AV44" s="43">
        <f>SUM(t_Presses[[#This Row],[hp2015.01]:[hp2015.12]])</f>
        <v>0</v>
      </c>
      <c r="AW44" s="43">
        <f>SUMIF(r_PartPresses,t_Presses[[PRESS]:[PRESS]],t_Parts[hp2016.01])</f>
        <v>0</v>
      </c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 t="e">
        <f>t_Presses[[#This Row],[hp2016.02]]/t_Presses[[#This Row],[ha2016.02]]</f>
        <v>#DIV/0!</v>
      </c>
      <c r="CB44" s="17" t="e">
        <f>t_Presses[[#This Row],[hp2016.03]]/t_Presses[[#This Row],[ha2016.03]]</f>
        <v>#DIV/0!</v>
      </c>
      <c r="CC44" s="17" t="e">
        <f>t_Presses[[#This Row],[hp2016.04]]/t_Presses[[#This Row],[ha2016.04]]</f>
        <v>#DIV/0!</v>
      </c>
      <c r="CD44" s="17" t="e">
        <f>t_Presses[[#This Row],[hp2016.05]]/t_Presses[[#This Row],[ha2016.05]]</f>
        <v>#DIV/0!</v>
      </c>
      <c r="CE44" s="17" t="e">
        <f>t_Presses[[#This Row],[hp2016.06]]/t_Presses[[#This Row],[ha2016.06]]</f>
        <v>#DIV/0!</v>
      </c>
      <c r="CF44" s="17" t="e">
        <f>t_Presses[[#This Row],[hp2016.07]]/t_Presses[[#This Row],[ha2016.07]]</f>
        <v>#DIV/0!</v>
      </c>
      <c r="CG44" s="17" t="e">
        <f>t_Presses[[#This Row],[hp2016.08]]/t_Presses[[#This Row],[ha2016.08]]</f>
        <v>#DIV/0!</v>
      </c>
      <c r="CH44" s="17" t="e">
        <f>t_Presses[[#This Row],[hp2016.09]]/t_Presses[[#This Row],[ha2016.09]]</f>
        <v>#DIV/0!</v>
      </c>
      <c r="CI44" s="17" t="e">
        <f>t_Presses[[#This Row],[hp2016.10]]/t_Presses[[#This Row],[ha2016.10]]</f>
        <v>#DIV/0!</v>
      </c>
      <c r="CJ44" s="17" t="e">
        <f>t_Presses[[#This Row],[hp2016.11]]/t_Presses[[#This Row],[ha2016.11]]</f>
        <v>#DIV/0!</v>
      </c>
      <c r="CK44" s="17" t="e">
        <f>t_Presses[[#This Row],[hp2016.12]]/t_Presses[[#This Row],[ha2016.12]]</f>
        <v>#DIV/0!</v>
      </c>
      <c r="CL44" s="17" t="e">
        <f>t_Presses[[#This Row],[hp2016.FY]]/t_Presses[[#This Row],[ha2016.FY]]</f>
        <v>#DIV/0!</v>
      </c>
      <c r="CM44" s="17" t="e">
        <f>t_Presses[[#This Row],[hp2017]]/t_Presses[[#This Row],[ha2017]]</f>
        <v>#DIV/0!</v>
      </c>
      <c r="CN44" s="17" t="e">
        <f>t_Presses[[#This Row],[hp2018]]/t_Presses[[#This Row],[ha2018]]</f>
        <v>#DIV/0!</v>
      </c>
      <c r="CO44" s="17" t="e">
        <f>t_Presses[[#This Row],[hp2019]]/t_Presses[[#This Row],[ha2019]]</f>
        <v>#DIV/0!</v>
      </c>
    </row>
    <row r="45" spans="1:93" hidden="1" x14ac:dyDescent="0.25">
      <c r="A45" s="16" t="s">
        <v>155</v>
      </c>
      <c r="B45" t="s">
        <v>11</v>
      </c>
      <c r="C45" t="s">
        <v>121</v>
      </c>
      <c r="D45">
        <v>200</v>
      </c>
      <c r="E45" s="18" t="str">
        <f t="shared" si="0"/>
        <v>0-299</v>
      </c>
      <c r="F45" s="15"/>
      <c r="G45" s="18">
        <f>VLOOKUP(t_Presses[[Plant]:[Plant]],t_Plants[],Plants!CN$1,FALSE)</f>
        <v>300</v>
      </c>
      <c r="H45">
        <f>VLOOKUP(t_Presses[[Plant]:[Plant]],t_Plants[],Plants!CO$1,FALSE)</f>
        <v>312</v>
      </c>
      <c r="I45" s="18">
        <f>VLOOKUP(t_Presses[[Plant]:[Plant]],t_Plants[],Plants!CP$1,FALSE)</f>
        <v>408</v>
      </c>
      <c r="J45" s="18">
        <f>VLOOKUP(t_Presses[[Plant]:[Plant]],t_Plants[],Plants!CQ$1,FALSE)</f>
        <v>300</v>
      </c>
      <c r="K45" s="18">
        <f>VLOOKUP(t_Presses[[Plant]:[Plant]],t_Plants[],Plants!CR$1,FALSE)</f>
        <v>312</v>
      </c>
      <c r="L45" s="18">
        <f>VLOOKUP(t_Presses[[Plant]:[Plant]],t_Plants[],Plants!CS$1,FALSE)</f>
        <v>408</v>
      </c>
      <c r="M45" s="18">
        <f>VLOOKUP(t_Presses[[Plant]:[Plant]],t_Plants[],Plants!CT$1,FALSE)</f>
        <v>300</v>
      </c>
      <c r="N45" s="18">
        <f>VLOOKUP(t_Presses[[Plant]:[Plant]],t_Plants[],Plants!CU$1,FALSE)</f>
        <v>312</v>
      </c>
      <c r="O45" s="18">
        <f>VLOOKUP(t_Presses[[Plant]:[Plant]],t_Plants[],Plants!CV$1,FALSE)</f>
        <v>408</v>
      </c>
      <c r="P45" s="18">
        <f>VLOOKUP(t_Presses[[Plant]:[Plant]],t_Plants[],Plants!CW$1,FALSE)</f>
        <v>300</v>
      </c>
      <c r="Q45" s="18">
        <f>VLOOKUP(t_Presses[[Plant]:[Plant]],t_Plants[],Plants!CX$1,FALSE)</f>
        <v>312</v>
      </c>
      <c r="R45" s="18">
        <f>VLOOKUP(t_Presses[[Plant]:[Plant]],t_Plants[],Plants!CY$1,FALSE)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43">
        <f>SUMIF(r_PartPresses,t_Presses[[PRESS]:[PRESS]],t_Parts[hp2015.01])</f>
        <v>0</v>
      </c>
      <c r="AK45" s="43">
        <f>SUMIF(r_PartPresses,t_Presses[[PRESS]:[PRESS]],t_Parts[hp2015.02])</f>
        <v>0</v>
      </c>
      <c r="AL45" s="43">
        <f>SUMIF(r_PartPresses,t_Presses[[PRESS]:[PRESS]],t_Parts[hp2015.03])</f>
        <v>0</v>
      </c>
      <c r="AM45" s="43">
        <f>SUMIF(r_PartPresses,t_Presses[[PRESS]:[PRESS]],t_Parts[hp2015.04])</f>
        <v>0</v>
      </c>
      <c r="AN45" s="43">
        <f>SUMIF(r_PartPresses,t_Presses[[PRESS]:[PRESS]],t_Parts[hp2015.05])</f>
        <v>0</v>
      </c>
      <c r="AO45" s="43">
        <f>SUMIF(r_PartPresses,t_Presses[[PRESS]:[PRESS]],t_Parts[hp2015.06])</f>
        <v>0</v>
      </c>
      <c r="AP45" s="43">
        <f>SUMIF(r_PartPresses,t_Presses[[PRESS]:[PRESS]],t_Parts[hp2015.07])</f>
        <v>0</v>
      </c>
      <c r="AQ45" s="43">
        <f>SUMIF(r_PartPresses,t_Presses[[PRESS]:[PRESS]],t_Parts[hp2015.08])</f>
        <v>0</v>
      </c>
      <c r="AR45" s="43">
        <f>SUMIF(r_PartPresses,t_Presses[[PRESS]:[PRESS]],t_Parts[hp2015.09])</f>
        <v>0</v>
      </c>
      <c r="AS45" s="43">
        <f>SUMIF(r_PartPresses,t_Presses[[PRESS]:[PRESS]],t_Parts[hp2015.10])</f>
        <v>0</v>
      </c>
      <c r="AT45" s="43">
        <f>SUMIF(r_PartPresses,t_Presses[[PRESS]:[PRESS]],t_Parts[hp2015.11])</f>
        <v>0</v>
      </c>
      <c r="AU45" s="43">
        <f>SUMIF(r_PartPresses,t_Presses[[PRESS]:[PRESS]],t_Parts[hp2015.12])</f>
        <v>0</v>
      </c>
      <c r="AV45" s="43">
        <f>SUM(t_Presses[[#This Row],[hp2015.01]:[hp2015.12]])</f>
        <v>0</v>
      </c>
      <c r="AW45" s="43">
        <f>SUMIF(r_PartPresses,t_Presses[[PRESS]:[PRESS]],t_Parts[hp2016.01])</f>
        <v>0</v>
      </c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 t="e">
        <f>t_Presses[[#This Row],[hp2016.02]]/t_Presses[[#This Row],[ha2016.02]]</f>
        <v>#DIV/0!</v>
      </c>
      <c r="CB45" s="17" t="e">
        <f>t_Presses[[#This Row],[hp2016.03]]/t_Presses[[#This Row],[ha2016.03]]</f>
        <v>#DIV/0!</v>
      </c>
      <c r="CC45" s="17" t="e">
        <f>t_Presses[[#This Row],[hp2016.04]]/t_Presses[[#This Row],[ha2016.04]]</f>
        <v>#DIV/0!</v>
      </c>
      <c r="CD45" s="17" t="e">
        <f>t_Presses[[#This Row],[hp2016.05]]/t_Presses[[#This Row],[ha2016.05]]</f>
        <v>#DIV/0!</v>
      </c>
      <c r="CE45" s="17" t="e">
        <f>t_Presses[[#This Row],[hp2016.06]]/t_Presses[[#This Row],[ha2016.06]]</f>
        <v>#DIV/0!</v>
      </c>
      <c r="CF45" s="17" t="e">
        <f>t_Presses[[#This Row],[hp2016.07]]/t_Presses[[#This Row],[ha2016.07]]</f>
        <v>#DIV/0!</v>
      </c>
      <c r="CG45" s="17" t="e">
        <f>t_Presses[[#This Row],[hp2016.08]]/t_Presses[[#This Row],[ha2016.08]]</f>
        <v>#DIV/0!</v>
      </c>
      <c r="CH45" s="17" t="e">
        <f>t_Presses[[#This Row],[hp2016.09]]/t_Presses[[#This Row],[ha2016.09]]</f>
        <v>#DIV/0!</v>
      </c>
      <c r="CI45" s="17" t="e">
        <f>t_Presses[[#This Row],[hp2016.10]]/t_Presses[[#This Row],[ha2016.10]]</f>
        <v>#DIV/0!</v>
      </c>
      <c r="CJ45" s="17" t="e">
        <f>t_Presses[[#This Row],[hp2016.11]]/t_Presses[[#This Row],[ha2016.11]]</f>
        <v>#DIV/0!</v>
      </c>
      <c r="CK45" s="17" t="e">
        <f>t_Presses[[#This Row],[hp2016.12]]/t_Presses[[#This Row],[ha2016.12]]</f>
        <v>#DIV/0!</v>
      </c>
      <c r="CL45" s="17" t="e">
        <f>t_Presses[[#This Row],[hp2016.FY]]/t_Presses[[#This Row],[ha2016.FY]]</f>
        <v>#DIV/0!</v>
      </c>
      <c r="CM45" s="17" t="e">
        <f>t_Presses[[#This Row],[hp2017]]/t_Presses[[#This Row],[ha2017]]</f>
        <v>#DIV/0!</v>
      </c>
      <c r="CN45" s="17" t="e">
        <f>t_Presses[[#This Row],[hp2018]]/t_Presses[[#This Row],[ha2018]]</f>
        <v>#DIV/0!</v>
      </c>
      <c r="CO45" s="17" t="e">
        <f>t_Presses[[#This Row],[hp2019]]/t_Presses[[#This Row],[ha2019]]</f>
        <v>#DIV/0!</v>
      </c>
    </row>
    <row r="46" spans="1:93" hidden="1" x14ac:dyDescent="0.25">
      <c r="A46" s="16" t="s">
        <v>156</v>
      </c>
      <c r="B46" t="s">
        <v>11</v>
      </c>
      <c r="C46" t="s">
        <v>121</v>
      </c>
      <c r="D46">
        <v>300</v>
      </c>
      <c r="E46" s="18" t="str">
        <f t="shared" si="0"/>
        <v>300-599</v>
      </c>
      <c r="F46" s="15"/>
      <c r="G46" s="18">
        <f>VLOOKUP(t_Presses[[Plant]:[Plant]],t_Plants[],Plants!CN$1,FALSE)</f>
        <v>300</v>
      </c>
      <c r="H46">
        <f>VLOOKUP(t_Presses[[Plant]:[Plant]],t_Plants[],Plants!CO$1,FALSE)</f>
        <v>312</v>
      </c>
      <c r="I46" s="18">
        <f>VLOOKUP(t_Presses[[Plant]:[Plant]],t_Plants[],Plants!CP$1,FALSE)</f>
        <v>408</v>
      </c>
      <c r="J46" s="18">
        <f>VLOOKUP(t_Presses[[Plant]:[Plant]],t_Plants[],Plants!CQ$1,FALSE)</f>
        <v>300</v>
      </c>
      <c r="K46" s="18">
        <f>VLOOKUP(t_Presses[[Plant]:[Plant]],t_Plants[],Plants!CR$1,FALSE)</f>
        <v>312</v>
      </c>
      <c r="L46" s="18">
        <f>VLOOKUP(t_Presses[[Plant]:[Plant]],t_Plants[],Plants!CS$1,FALSE)</f>
        <v>408</v>
      </c>
      <c r="M46" s="18">
        <f>VLOOKUP(t_Presses[[Plant]:[Plant]],t_Plants[],Plants!CT$1,FALSE)</f>
        <v>300</v>
      </c>
      <c r="N46" s="18">
        <f>VLOOKUP(t_Presses[[Plant]:[Plant]],t_Plants[],Plants!CU$1,FALSE)</f>
        <v>312</v>
      </c>
      <c r="O46" s="18">
        <f>VLOOKUP(t_Presses[[Plant]:[Plant]],t_Plants[],Plants!CV$1,FALSE)</f>
        <v>408</v>
      </c>
      <c r="P46" s="18">
        <f>VLOOKUP(t_Presses[[Plant]:[Plant]],t_Plants[],Plants!CW$1,FALSE)</f>
        <v>300</v>
      </c>
      <c r="Q46" s="18">
        <f>VLOOKUP(t_Presses[[Plant]:[Plant]],t_Plants[],Plants!CX$1,FALSE)</f>
        <v>312</v>
      </c>
      <c r="R46" s="18">
        <f>VLOOKUP(t_Presses[[Plant]:[Plant]],t_Plants[],Plants!CY$1,FALSE)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43">
        <f>SUMIF(r_PartPresses,t_Presses[[PRESS]:[PRESS]],t_Parts[hp2015.01])</f>
        <v>0</v>
      </c>
      <c r="AK46" s="43">
        <f>SUMIF(r_PartPresses,t_Presses[[PRESS]:[PRESS]],t_Parts[hp2015.02])</f>
        <v>0</v>
      </c>
      <c r="AL46" s="43">
        <f>SUMIF(r_PartPresses,t_Presses[[PRESS]:[PRESS]],t_Parts[hp2015.03])</f>
        <v>0</v>
      </c>
      <c r="AM46" s="43">
        <f>SUMIF(r_PartPresses,t_Presses[[PRESS]:[PRESS]],t_Parts[hp2015.04])</f>
        <v>0</v>
      </c>
      <c r="AN46" s="43">
        <f>SUMIF(r_PartPresses,t_Presses[[PRESS]:[PRESS]],t_Parts[hp2015.05])</f>
        <v>0</v>
      </c>
      <c r="AO46" s="43">
        <f>SUMIF(r_PartPresses,t_Presses[[PRESS]:[PRESS]],t_Parts[hp2015.06])</f>
        <v>0</v>
      </c>
      <c r="AP46" s="43">
        <f>SUMIF(r_PartPresses,t_Presses[[PRESS]:[PRESS]],t_Parts[hp2015.07])</f>
        <v>0</v>
      </c>
      <c r="AQ46" s="43">
        <f>SUMIF(r_PartPresses,t_Presses[[PRESS]:[PRESS]],t_Parts[hp2015.08])</f>
        <v>0</v>
      </c>
      <c r="AR46" s="43">
        <f>SUMIF(r_PartPresses,t_Presses[[PRESS]:[PRESS]],t_Parts[hp2015.09])</f>
        <v>0</v>
      </c>
      <c r="AS46" s="43">
        <f>SUMIF(r_PartPresses,t_Presses[[PRESS]:[PRESS]],t_Parts[hp2015.10])</f>
        <v>0</v>
      </c>
      <c r="AT46" s="43">
        <f>SUMIF(r_PartPresses,t_Presses[[PRESS]:[PRESS]],t_Parts[hp2015.11])</f>
        <v>0</v>
      </c>
      <c r="AU46" s="43">
        <f>SUMIF(r_PartPresses,t_Presses[[PRESS]:[PRESS]],t_Parts[hp2015.12])</f>
        <v>0</v>
      </c>
      <c r="AV46" s="43">
        <f>SUM(t_Presses[[#This Row],[hp2015.01]:[hp2015.12]])</f>
        <v>0</v>
      </c>
      <c r="AW46" s="43">
        <f>SUMIF(r_PartPresses,t_Presses[[PRESS]:[PRESS]],t_Parts[hp2016.01])</f>
        <v>0</v>
      </c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 t="e">
        <f>t_Presses[[#This Row],[hp2016.02]]/t_Presses[[#This Row],[ha2016.02]]</f>
        <v>#DIV/0!</v>
      </c>
      <c r="CB46" s="17" t="e">
        <f>t_Presses[[#This Row],[hp2016.03]]/t_Presses[[#This Row],[ha2016.03]]</f>
        <v>#DIV/0!</v>
      </c>
      <c r="CC46" s="17" t="e">
        <f>t_Presses[[#This Row],[hp2016.04]]/t_Presses[[#This Row],[ha2016.04]]</f>
        <v>#DIV/0!</v>
      </c>
      <c r="CD46" s="17" t="e">
        <f>t_Presses[[#This Row],[hp2016.05]]/t_Presses[[#This Row],[ha2016.05]]</f>
        <v>#DIV/0!</v>
      </c>
      <c r="CE46" s="17" t="e">
        <f>t_Presses[[#This Row],[hp2016.06]]/t_Presses[[#This Row],[ha2016.06]]</f>
        <v>#DIV/0!</v>
      </c>
      <c r="CF46" s="17" t="e">
        <f>t_Presses[[#This Row],[hp2016.07]]/t_Presses[[#This Row],[ha2016.07]]</f>
        <v>#DIV/0!</v>
      </c>
      <c r="CG46" s="17" t="e">
        <f>t_Presses[[#This Row],[hp2016.08]]/t_Presses[[#This Row],[ha2016.08]]</f>
        <v>#DIV/0!</v>
      </c>
      <c r="CH46" s="17" t="e">
        <f>t_Presses[[#This Row],[hp2016.09]]/t_Presses[[#This Row],[ha2016.09]]</f>
        <v>#DIV/0!</v>
      </c>
      <c r="CI46" s="17" t="e">
        <f>t_Presses[[#This Row],[hp2016.10]]/t_Presses[[#This Row],[ha2016.10]]</f>
        <v>#DIV/0!</v>
      </c>
      <c r="CJ46" s="17" t="e">
        <f>t_Presses[[#This Row],[hp2016.11]]/t_Presses[[#This Row],[ha2016.11]]</f>
        <v>#DIV/0!</v>
      </c>
      <c r="CK46" s="17" t="e">
        <f>t_Presses[[#This Row],[hp2016.12]]/t_Presses[[#This Row],[ha2016.12]]</f>
        <v>#DIV/0!</v>
      </c>
      <c r="CL46" s="17" t="e">
        <f>t_Presses[[#This Row],[hp2016.FY]]/t_Presses[[#This Row],[ha2016.FY]]</f>
        <v>#DIV/0!</v>
      </c>
      <c r="CM46" s="17" t="e">
        <f>t_Presses[[#This Row],[hp2017]]/t_Presses[[#This Row],[ha2017]]</f>
        <v>#DIV/0!</v>
      </c>
      <c r="CN46" s="17" t="e">
        <f>t_Presses[[#This Row],[hp2018]]/t_Presses[[#This Row],[ha2018]]</f>
        <v>#DIV/0!</v>
      </c>
      <c r="CO46" s="17" t="e">
        <f>t_Presses[[#This Row],[hp2019]]/t_Presses[[#This Row],[ha2019]]</f>
        <v>#DIV/0!</v>
      </c>
    </row>
    <row r="47" spans="1:93" hidden="1" x14ac:dyDescent="0.25">
      <c r="A47" s="16" t="s">
        <v>157</v>
      </c>
      <c r="B47" t="s">
        <v>11</v>
      </c>
      <c r="C47" t="s">
        <v>121</v>
      </c>
      <c r="D47">
        <v>400</v>
      </c>
      <c r="E47" s="18" t="str">
        <f t="shared" si="0"/>
        <v>300-599</v>
      </c>
      <c r="F47" s="15"/>
      <c r="G47" s="18">
        <f>VLOOKUP(t_Presses[[Plant]:[Plant]],t_Plants[],Plants!CN$1,FALSE)</f>
        <v>300</v>
      </c>
      <c r="H47">
        <f>VLOOKUP(t_Presses[[Plant]:[Plant]],t_Plants[],Plants!CO$1,FALSE)</f>
        <v>312</v>
      </c>
      <c r="I47" s="18">
        <f>VLOOKUP(t_Presses[[Plant]:[Plant]],t_Plants[],Plants!CP$1,FALSE)</f>
        <v>408</v>
      </c>
      <c r="J47" s="18">
        <f>VLOOKUP(t_Presses[[Plant]:[Plant]],t_Plants[],Plants!CQ$1,FALSE)</f>
        <v>300</v>
      </c>
      <c r="K47" s="18">
        <f>VLOOKUP(t_Presses[[Plant]:[Plant]],t_Plants[],Plants!CR$1,FALSE)</f>
        <v>312</v>
      </c>
      <c r="L47" s="18">
        <f>VLOOKUP(t_Presses[[Plant]:[Plant]],t_Plants[],Plants!CS$1,FALSE)</f>
        <v>408</v>
      </c>
      <c r="M47" s="18">
        <f>VLOOKUP(t_Presses[[Plant]:[Plant]],t_Plants[],Plants!CT$1,FALSE)</f>
        <v>300</v>
      </c>
      <c r="N47" s="18">
        <f>VLOOKUP(t_Presses[[Plant]:[Plant]],t_Plants[],Plants!CU$1,FALSE)</f>
        <v>312</v>
      </c>
      <c r="O47" s="18">
        <f>VLOOKUP(t_Presses[[Plant]:[Plant]],t_Plants[],Plants!CV$1,FALSE)</f>
        <v>408</v>
      </c>
      <c r="P47" s="18">
        <f>VLOOKUP(t_Presses[[Plant]:[Plant]],t_Plants[],Plants!CW$1,FALSE)</f>
        <v>300</v>
      </c>
      <c r="Q47" s="18">
        <f>VLOOKUP(t_Presses[[Plant]:[Plant]],t_Plants[],Plants!CX$1,FALSE)</f>
        <v>312</v>
      </c>
      <c r="R47" s="18">
        <f>VLOOKUP(t_Presses[[Plant]:[Plant]],t_Plants[],Plants!CY$1,FALSE)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43">
        <f>SUMIF(r_PartPresses,t_Presses[[PRESS]:[PRESS]],t_Parts[hp2015.01])</f>
        <v>0</v>
      </c>
      <c r="AK47" s="43">
        <f>SUMIF(r_PartPresses,t_Presses[[PRESS]:[PRESS]],t_Parts[hp2015.02])</f>
        <v>0</v>
      </c>
      <c r="AL47" s="43">
        <f>SUMIF(r_PartPresses,t_Presses[[PRESS]:[PRESS]],t_Parts[hp2015.03])</f>
        <v>0</v>
      </c>
      <c r="AM47" s="43">
        <f>SUMIF(r_PartPresses,t_Presses[[PRESS]:[PRESS]],t_Parts[hp2015.04])</f>
        <v>0</v>
      </c>
      <c r="AN47" s="43">
        <f>SUMIF(r_PartPresses,t_Presses[[PRESS]:[PRESS]],t_Parts[hp2015.05])</f>
        <v>0</v>
      </c>
      <c r="AO47" s="43">
        <f>SUMIF(r_PartPresses,t_Presses[[PRESS]:[PRESS]],t_Parts[hp2015.06])</f>
        <v>0</v>
      </c>
      <c r="AP47" s="43">
        <f>SUMIF(r_PartPresses,t_Presses[[PRESS]:[PRESS]],t_Parts[hp2015.07])</f>
        <v>0</v>
      </c>
      <c r="AQ47" s="43">
        <f>SUMIF(r_PartPresses,t_Presses[[PRESS]:[PRESS]],t_Parts[hp2015.08])</f>
        <v>0</v>
      </c>
      <c r="AR47" s="43">
        <f>SUMIF(r_PartPresses,t_Presses[[PRESS]:[PRESS]],t_Parts[hp2015.09])</f>
        <v>0</v>
      </c>
      <c r="AS47" s="43">
        <f>SUMIF(r_PartPresses,t_Presses[[PRESS]:[PRESS]],t_Parts[hp2015.10])</f>
        <v>0</v>
      </c>
      <c r="AT47" s="43">
        <f>SUMIF(r_PartPresses,t_Presses[[PRESS]:[PRESS]],t_Parts[hp2015.11])</f>
        <v>0</v>
      </c>
      <c r="AU47" s="43">
        <f>SUMIF(r_PartPresses,t_Presses[[PRESS]:[PRESS]],t_Parts[hp2015.12])</f>
        <v>0</v>
      </c>
      <c r="AV47" s="43">
        <f>SUM(t_Presses[[#This Row],[hp2015.01]:[hp2015.12]])</f>
        <v>0</v>
      </c>
      <c r="AW47" s="43">
        <f>SUMIF(r_PartPresses,t_Presses[[PRESS]:[PRESS]],t_Parts[hp2016.01])</f>
        <v>0</v>
      </c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 t="e">
        <f>t_Presses[[#This Row],[hp2016.02]]/t_Presses[[#This Row],[ha2016.02]]</f>
        <v>#DIV/0!</v>
      </c>
      <c r="CB47" s="17" t="e">
        <f>t_Presses[[#This Row],[hp2016.03]]/t_Presses[[#This Row],[ha2016.03]]</f>
        <v>#DIV/0!</v>
      </c>
      <c r="CC47" s="17" t="e">
        <f>t_Presses[[#This Row],[hp2016.04]]/t_Presses[[#This Row],[ha2016.04]]</f>
        <v>#DIV/0!</v>
      </c>
      <c r="CD47" s="17" t="e">
        <f>t_Presses[[#This Row],[hp2016.05]]/t_Presses[[#This Row],[ha2016.05]]</f>
        <v>#DIV/0!</v>
      </c>
      <c r="CE47" s="17" t="e">
        <f>t_Presses[[#This Row],[hp2016.06]]/t_Presses[[#This Row],[ha2016.06]]</f>
        <v>#DIV/0!</v>
      </c>
      <c r="CF47" s="17" t="e">
        <f>t_Presses[[#This Row],[hp2016.07]]/t_Presses[[#This Row],[ha2016.07]]</f>
        <v>#DIV/0!</v>
      </c>
      <c r="CG47" s="17" t="e">
        <f>t_Presses[[#This Row],[hp2016.08]]/t_Presses[[#This Row],[ha2016.08]]</f>
        <v>#DIV/0!</v>
      </c>
      <c r="CH47" s="17" t="e">
        <f>t_Presses[[#This Row],[hp2016.09]]/t_Presses[[#This Row],[ha2016.09]]</f>
        <v>#DIV/0!</v>
      </c>
      <c r="CI47" s="17" t="e">
        <f>t_Presses[[#This Row],[hp2016.10]]/t_Presses[[#This Row],[ha2016.10]]</f>
        <v>#DIV/0!</v>
      </c>
      <c r="CJ47" s="17" t="e">
        <f>t_Presses[[#This Row],[hp2016.11]]/t_Presses[[#This Row],[ha2016.11]]</f>
        <v>#DIV/0!</v>
      </c>
      <c r="CK47" s="17" t="e">
        <f>t_Presses[[#This Row],[hp2016.12]]/t_Presses[[#This Row],[ha2016.12]]</f>
        <v>#DIV/0!</v>
      </c>
      <c r="CL47" s="17" t="e">
        <f>t_Presses[[#This Row],[hp2016.FY]]/t_Presses[[#This Row],[ha2016.FY]]</f>
        <v>#DIV/0!</v>
      </c>
      <c r="CM47" s="17" t="e">
        <f>t_Presses[[#This Row],[hp2017]]/t_Presses[[#This Row],[ha2017]]</f>
        <v>#DIV/0!</v>
      </c>
      <c r="CN47" s="17" t="e">
        <f>t_Presses[[#This Row],[hp2018]]/t_Presses[[#This Row],[ha2018]]</f>
        <v>#DIV/0!</v>
      </c>
      <c r="CO47" s="17" t="e">
        <f>t_Presses[[#This Row],[hp2019]]/t_Presses[[#This Row],[ha2019]]</f>
        <v>#DIV/0!</v>
      </c>
    </row>
    <row r="48" spans="1:93" hidden="1" x14ac:dyDescent="0.25">
      <c r="A48" s="16" t="s">
        <v>158</v>
      </c>
      <c r="B48" t="s">
        <v>11</v>
      </c>
      <c r="C48" t="s">
        <v>122</v>
      </c>
      <c r="D48">
        <v>600</v>
      </c>
      <c r="E48" s="18" t="str">
        <f t="shared" si="0"/>
        <v>600-899</v>
      </c>
      <c r="F48" s="15"/>
      <c r="G48" s="18">
        <f>VLOOKUP(t_Presses[[Plant]:[Plant]],t_Plants[],Plants!CN$1,FALSE)</f>
        <v>300</v>
      </c>
      <c r="H48">
        <f>VLOOKUP(t_Presses[[Plant]:[Plant]],t_Plants[],Plants!CO$1,FALSE)</f>
        <v>312</v>
      </c>
      <c r="I48" s="18">
        <f>VLOOKUP(t_Presses[[Plant]:[Plant]],t_Plants[],Plants!CP$1,FALSE)</f>
        <v>408</v>
      </c>
      <c r="J48" s="18">
        <f>VLOOKUP(t_Presses[[Plant]:[Plant]],t_Plants[],Plants!CQ$1,FALSE)</f>
        <v>300</v>
      </c>
      <c r="K48" s="18">
        <f>VLOOKUP(t_Presses[[Plant]:[Plant]],t_Plants[],Plants!CR$1,FALSE)</f>
        <v>312</v>
      </c>
      <c r="L48" s="18">
        <f>VLOOKUP(t_Presses[[Plant]:[Plant]],t_Plants[],Plants!CS$1,FALSE)</f>
        <v>408</v>
      </c>
      <c r="M48" s="18">
        <f>VLOOKUP(t_Presses[[Plant]:[Plant]],t_Plants[],Plants!CT$1,FALSE)</f>
        <v>300</v>
      </c>
      <c r="N48" s="18">
        <f>VLOOKUP(t_Presses[[Plant]:[Plant]],t_Plants[],Plants!CU$1,FALSE)</f>
        <v>312</v>
      </c>
      <c r="O48" s="18">
        <f>VLOOKUP(t_Presses[[Plant]:[Plant]],t_Plants[],Plants!CV$1,FALSE)</f>
        <v>408</v>
      </c>
      <c r="P48" s="18">
        <f>VLOOKUP(t_Presses[[Plant]:[Plant]],t_Plants[],Plants!CW$1,FALSE)</f>
        <v>300</v>
      </c>
      <c r="Q48" s="18">
        <f>VLOOKUP(t_Presses[[Plant]:[Plant]],t_Plants[],Plants!CX$1,FALSE)</f>
        <v>312</v>
      </c>
      <c r="R48" s="18">
        <f>VLOOKUP(t_Presses[[Plant]:[Plant]],t_Plants[],Plants!CY$1,FALSE)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43">
        <f>SUMIF(r_PartPresses,t_Presses[[PRESS]:[PRESS]],t_Parts[hp2015.01])</f>
        <v>0</v>
      </c>
      <c r="AK48" s="43">
        <f>SUMIF(r_PartPresses,t_Presses[[PRESS]:[PRESS]],t_Parts[hp2015.02])</f>
        <v>0</v>
      </c>
      <c r="AL48" s="43">
        <f>SUMIF(r_PartPresses,t_Presses[[PRESS]:[PRESS]],t_Parts[hp2015.03])</f>
        <v>0</v>
      </c>
      <c r="AM48" s="43">
        <f>SUMIF(r_PartPresses,t_Presses[[PRESS]:[PRESS]],t_Parts[hp2015.04])</f>
        <v>0</v>
      </c>
      <c r="AN48" s="43">
        <f>SUMIF(r_PartPresses,t_Presses[[PRESS]:[PRESS]],t_Parts[hp2015.05])</f>
        <v>0</v>
      </c>
      <c r="AO48" s="43">
        <f>SUMIF(r_PartPresses,t_Presses[[PRESS]:[PRESS]],t_Parts[hp2015.06])</f>
        <v>0</v>
      </c>
      <c r="AP48" s="43">
        <f>SUMIF(r_PartPresses,t_Presses[[PRESS]:[PRESS]],t_Parts[hp2015.07])</f>
        <v>0</v>
      </c>
      <c r="AQ48" s="43">
        <f>SUMIF(r_PartPresses,t_Presses[[PRESS]:[PRESS]],t_Parts[hp2015.08])</f>
        <v>0</v>
      </c>
      <c r="AR48" s="43">
        <f>SUMIF(r_PartPresses,t_Presses[[PRESS]:[PRESS]],t_Parts[hp2015.09])</f>
        <v>0</v>
      </c>
      <c r="AS48" s="43">
        <f>SUMIF(r_PartPresses,t_Presses[[PRESS]:[PRESS]],t_Parts[hp2015.10])</f>
        <v>0</v>
      </c>
      <c r="AT48" s="43">
        <f>SUMIF(r_PartPresses,t_Presses[[PRESS]:[PRESS]],t_Parts[hp2015.11])</f>
        <v>0</v>
      </c>
      <c r="AU48" s="43">
        <f>SUMIF(r_PartPresses,t_Presses[[PRESS]:[PRESS]],t_Parts[hp2015.12])</f>
        <v>0</v>
      </c>
      <c r="AV48" s="43">
        <f>SUM(t_Presses[[#This Row],[hp2015.01]:[hp2015.12]])</f>
        <v>0</v>
      </c>
      <c r="AW48" s="43">
        <f>SUMIF(r_PartPresses,t_Presses[[PRESS]:[PRESS]],t_Parts[hp2016.01])</f>
        <v>0</v>
      </c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 t="e">
        <f>t_Presses[[#This Row],[hp2016.02]]/t_Presses[[#This Row],[ha2016.02]]</f>
        <v>#DIV/0!</v>
      </c>
      <c r="CB48" s="17" t="e">
        <f>t_Presses[[#This Row],[hp2016.03]]/t_Presses[[#This Row],[ha2016.03]]</f>
        <v>#DIV/0!</v>
      </c>
      <c r="CC48" s="17" t="e">
        <f>t_Presses[[#This Row],[hp2016.04]]/t_Presses[[#This Row],[ha2016.04]]</f>
        <v>#DIV/0!</v>
      </c>
      <c r="CD48" s="17" t="e">
        <f>t_Presses[[#This Row],[hp2016.05]]/t_Presses[[#This Row],[ha2016.05]]</f>
        <v>#DIV/0!</v>
      </c>
      <c r="CE48" s="17" t="e">
        <f>t_Presses[[#This Row],[hp2016.06]]/t_Presses[[#This Row],[ha2016.06]]</f>
        <v>#DIV/0!</v>
      </c>
      <c r="CF48" s="17" t="e">
        <f>t_Presses[[#This Row],[hp2016.07]]/t_Presses[[#This Row],[ha2016.07]]</f>
        <v>#DIV/0!</v>
      </c>
      <c r="CG48" s="17" t="e">
        <f>t_Presses[[#This Row],[hp2016.08]]/t_Presses[[#This Row],[ha2016.08]]</f>
        <v>#DIV/0!</v>
      </c>
      <c r="CH48" s="17" t="e">
        <f>t_Presses[[#This Row],[hp2016.09]]/t_Presses[[#This Row],[ha2016.09]]</f>
        <v>#DIV/0!</v>
      </c>
      <c r="CI48" s="17" t="e">
        <f>t_Presses[[#This Row],[hp2016.10]]/t_Presses[[#This Row],[ha2016.10]]</f>
        <v>#DIV/0!</v>
      </c>
      <c r="CJ48" s="17" t="e">
        <f>t_Presses[[#This Row],[hp2016.11]]/t_Presses[[#This Row],[ha2016.11]]</f>
        <v>#DIV/0!</v>
      </c>
      <c r="CK48" s="17" t="e">
        <f>t_Presses[[#This Row],[hp2016.12]]/t_Presses[[#This Row],[ha2016.12]]</f>
        <v>#DIV/0!</v>
      </c>
      <c r="CL48" s="17" t="e">
        <f>t_Presses[[#This Row],[hp2016.FY]]/t_Presses[[#This Row],[ha2016.FY]]</f>
        <v>#DIV/0!</v>
      </c>
      <c r="CM48" s="17" t="e">
        <f>t_Presses[[#This Row],[hp2017]]/t_Presses[[#This Row],[ha2017]]</f>
        <v>#DIV/0!</v>
      </c>
      <c r="CN48" s="17" t="e">
        <f>t_Presses[[#This Row],[hp2018]]/t_Presses[[#This Row],[ha2018]]</f>
        <v>#DIV/0!</v>
      </c>
      <c r="CO48" s="17" t="e">
        <f>t_Presses[[#This Row],[hp2019]]/t_Presses[[#This Row],[ha2019]]</f>
        <v>#DIV/0!</v>
      </c>
    </row>
    <row r="49" spans="1:93" hidden="1" x14ac:dyDescent="0.25">
      <c r="A49" s="16" t="s">
        <v>159</v>
      </c>
      <c r="B49" t="s">
        <v>11</v>
      </c>
      <c r="C49" t="s">
        <v>122</v>
      </c>
      <c r="D49">
        <v>600</v>
      </c>
      <c r="E49" s="18" t="str">
        <f t="shared" si="0"/>
        <v>600-899</v>
      </c>
      <c r="F49" s="15"/>
      <c r="G49" s="18">
        <f>VLOOKUP(t_Presses[[Plant]:[Plant]],t_Plants[],Plants!CN$1,FALSE)</f>
        <v>300</v>
      </c>
      <c r="H49">
        <f>VLOOKUP(t_Presses[[Plant]:[Plant]],t_Plants[],Plants!CO$1,FALSE)</f>
        <v>312</v>
      </c>
      <c r="I49" s="18">
        <f>VLOOKUP(t_Presses[[Plant]:[Plant]],t_Plants[],Plants!CP$1,FALSE)</f>
        <v>408</v>
      </c>
      <c r="J49" s="18">
        <f>VLOOKUP(t_Presses[[Plant]:[Plant]],t_Plants[],Plants!CQ$1,FALSE)</f>
        <v>300</v>
      </c>
      <c r="K49" s="18">
        <f>VLOOKUP(t_Presses[[Plant]:[Plant]],t_Plants[],Plants!CR$1,FALSE)</f>
        <v>312</v>
      </c>
      <c r="L49" s="18">
        <f>VLOOKUP(t_Presses[[Plant]:[Plant]],t_Plants[],Plants!CS$1,FALSE)</f>
        <v>408</v>
      </c>
      <c r="M49" s="18">
        <f>VLOOKUP(t_Presses[[Plant]:[Plant]],t_Plants[],Plants!CT$1,FALSE)</f>
        <v>300</v>
      </c>
      <c r="N49" s="18">
        <f>VLOOKUP(t_Presses[[Plant]:[Plant]],t_Plants[],Plants!CU$1,FALSE)</f>
        <v>312</v>
      </c>
      <c r="O49" s="18">
        <f>VLOOKUP(t_Presses[[Plant]:[Plant]],t_Plants[],Plants!CV$1,FALSE)</f>
        <v>408</v>
      </c>
      <c r="P49" s="18">
        <f>VLOOKUP(t_Presses[[Plant]:[Plant]],t_Plants[],Plants!CW$1,FALSE)</f>
        <v>300</v>
      </c>
      <c r="Q49" s="18">
        <f>VLOOKUP(t_Presses[[Plant]:[Plant]],t_Plants[],Plants!CX$1,FALSE)</f>
        <v>312</v>
      </c>
      <c r="R49" s="18">
        <f>VLOOKUP(t_Presses[[Plant]:[Plant]],t_Plants[],Plants!CY$1,FALSE)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43">
        <f>SUMIF(r_PartPresses,t_Presses[[PRESS]:[PRESS]],t_Parts[hp2015.01])</f>
        <v>0</v>
      </c>
      <c r="AK49" s="43">
        <f>SUMIF(r_PartPresses,t_Presses[[PRESS]:[PRESS]],t_Parts[hp2015.02])</f>
        <v>0</v>
      </c>
      <c r="AL49" s="43">
        <f>SUMIF(r_PartPresses,t_Presses[[PRESS]:[PRESS]],t_Parts[hp2015.03])</f>
        <v>0</v>
      </c>
      <c r="AM49" s="43">
        <f>SUMIF(r_PartPresses,t_Presses[[PRESS]:[PRESS]],t_Parts[hp2015.04])</f>
        <v>0</v>
      </c>
      <c r="AN49" s="43">
        <f>SUMIF(r_PartPresses,t_Presses[[PRESS]:[PRESS]],t_Parts[hp2015.05])</f>
        <v>0</v>
      </c>
      <c r="AO49" s="43">
        <f>SUMIF(r_PartPresses,t_Presses[[PRESS]:[PRESS]],t_Parts[hp2015.06])</f>
        <v>0</v>
      </c>
      <c r="AP49" s="43">
        <f>SUMIF(r_PartPresses,t_Presses[[PRESS]:[PRESS]],t_Parts[hp2015.07])</f>
        <v>0</v>
      </c>
      <c r="AQ49" s="43">
        <f>SUMIF(r_PartPresses,t_Presses[[PRESS]:[PRESS]],t_Parts[hp2015.08])</f>
        <v>0</v>
      </c>
      <c r="AR49" s="43">
        <f>SUMIF(r_PartPresses,t_Presses[[PRESS]:[PRESS]],t_Parts[hp2015.09])</f>
        <v>0</v>
      </c>
      <c r="AS49" s="43">
        <f>SUMIF(r_PartPresses,t_Presses[[PRESS]:[PRESS]],t_Parts[hp2015.10])</f>
        <v>0</v>
      </c>
      <c r="AT49" s="43">
        <f>SUMIF(r_PartPresses,t_Presses[[PRESS]:[PRESS]],t_Parts[hp2015.11])</f>
        <v>0</v>
      </c>
      <c r="AU49" s="43">
        <f>SUMIF(r_PartPresses,t_Presses[[PRESS]:[PRESS]],t_Parts[hp2015.12])</f>
        <v>0</v>
      </c>
      <c r="AV49" s="43">
        <f>SUM(t_Presses[[#This Row],[hp2015.01]:[hp2015.12]])</f>
        <v>0</v>
      </c>
      <c r="AW49" s="43">
        <f>SUMIF(r_PartPresses,t_Presses[[PRESS]:[PRESS]],t_Parts[hp2016.01])</f>
        <v>0</v>
      </c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 t="e">
        <f>t_Presses[[#This Row],[hp2016.02]]/t_Presses[[#This Row],[ha2016.02]]</f>
        <v>#DIV/0!</v>
      </c>
      <c r="CB49" s="17" t="e">
        <f>t_Presses[[#This Row],[hp2016.03]]/t_Presses[[#This Row],[ha2016.03]]</f>
        <v>#DIV/0!</v>
      </c>
      <c r="CC49" s="17" t="e">
        <f>t_Presses[[#This Row],[hp2016.04]]/t_Presses[[#This Row],[ha2016.04]]</f>
        <v>#DIV/0!</v>
      </c>
      <c r="CD49" s="17" t="e">
        <f>t_Presses[[#This Row],[hp2016.05]]/t_Presses[[#This Row],[ha2016.05]]</f>
        <v>#DIV/0!</v>
      </c>
      <c r="CE49" s="17" t="e">
        <f>t_Presses[[#This Row],[hp2016.06]]/t_Presses[[#This Row],[ha2016.06]]</f>
        <v>#DIV/0!</v>
      </c>
      <c r="CF49" s="17" t="e">
        <f>t_Presses[[#This Row],[hp2016.07]]/t_Presses[[#This Row],[ha2016.07]]</f>
        <v>#DIV/0!</v>
      </c>
      <c r="CG49" s="17" t="e">
        <f>t_Presses[[#This Row],[hp2016.08]]/t_Presses[[#This Row],[ha2016.08]]</f>
        <v>#DIV/0!</v>
      </c>
      <c r="CH49" s="17" t="e">
        <f>t_Presses[[#This Row],[hp2016.09]]/t_Presses[[#This Row],[ha2016.09]]</f>
        <v>#DIV/0!</v>
      </c>
      <c r="CI49" s="17" t="e">
        <f>t_Presses[[#This Row],[hp2016.10]]/t_Presses[[#This Row],[ha2016.10]]</f>
        <v>#DIV/0!</v>
      </c>
      <c r="CJ49" s="17" t="e">
        <f>t_Presses[[#This Row],[hp2016.11]]/t_Presses[[#This Row],[ha2016.11]]</f>
        <v>#DIV/0!</v>
      </c>
      <c r="CK49" s="17" t="e">
        <f>t_Presses[[#This Row],[hp2016.12]]/t_Presses[[#This Row],[ha2016.12]]</f>
        <v>#DIV/0!</v>
      </c>
      <c r="CL49" s="17" t="e">
        <f>t_Presses[[#This Row],[hp2016.FY]]/t_Presses[[#This Row],[ha2016.FY]]</f>
        <v>#DIV/0!</v>
      </c>
      <c r="CM49" s="17" t="e">
        <f>t_Presses[[#This Row],[hp2017]]/t_Presses[[#This Row],[ha2017]]</f>
        <v>#DIV/0!</v>
      </c>
      <c r="CN49" s="17" t="e">
        <f>t_Presses[[#This Row],[hp2018]]/t_Presses[[#This Row],[ha2018]]</f>
        <v>#DIV/0!</v>
      </c>
      <c r="CO49" s="17" t="e">
        <f>t_Presses[[#This Row],[hp2019]]/t_Presses[[#This Row],[ha2019]]</f>
        <v>#DIV/0!</v>
      </c>
    </row>
    <row r="50" spans="1:93" hidden="1" x14ac:dyDescent="0.25">
      <c r="E50" s="18"/>
      <c r="F50" s="15"/>
      <c r="G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V50" s="18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17" t="e">
        <f>t_Presses[[#This Row],[hp2015.01]]/t_Presses[[#This Row],[ha2015.01]]</f>
        <v>#DIV/0!</v>
      </c>
      <c r="BN50" s="17" t="e">
        <f>t_Presses[[#This Row],[hp2015.02]]/t_Presses[[#This Row],[ha2015.02]]</f>
        <v>#DIV/0!</v>
      </c>
      <c r="BO50" s="17" t="e">
        <f>t_Presses[[#This Row],[hp2015.03]]/t_Presses[[#This Row],[ha2015.03]]</f>
        <v>#DIV/0!</v>
      </c>
      <c r="BP50" s="17" t="e">
        <f>t_Presses[[#This Row],[hp2015.04]]/t_Presses[[#This Row],[ha2015.04]]</f>
        <v>#DIV/0!</v>
      </c>
      <c r="BQ50" s="17" t="e">
        <f>t_Presses[[#This Row],[hp2015.05]]/t_Presses[[#This Row],[ha2015.05]]</f>
        <v>#DIV/0!</v>
      </c>
      <c r="BR50" s="17" t="e">
        <f>t_Presses[[#This Row],[hp2015.06]]/t_Presses[[#This Row],[ha2015.06]]</f>
        <v>#DIV/0!</v>
      </c>
      <c r="BS50" s="17" t="e">
        <f>t_Presses[[#This Row],[hp2015.07]]/t_Presses[[#This Row],[ha2015.07]]</f>
        <v>#DIV/0!</v>
      </c>
      <c r="BT50" s="17" t="e">
        <f>t_Presses[[#This Row],[hp2015.08]]/t_Presses[[#This Row],[ha2015.08]]</f>
        <v>#DIV/0!</v>
      </c>
      <c r="BU50" s="17" t="e">
        <f>t_Presses[[#This Row],[hp2015.09]]/t_Presses[[#This Row],[ha2015.09]]</f>
        <v>#DIV/0!</v>
      </c>
      <c r="BV50" s="17" t="e">
        <f>t_Presses[[#This Row],[hp2015.10]]/t_Presses[[#This Row],[ha2015.10]]</f>
        <v>#DIV/0!</v>
      </c>
      <c r="BW50" s="17" t="e">
        <f>t_Presses[[#This Row],[hp2015.11]]/t_Presses[[#This Row],[ha2015.11]]</f>
        <v>#DIV/0!</v>
      </c>
      <c r="BX50" s="17" t="e">
        <f>t_Presses[[#This Row],[hp2015.12]]/t_Presses[[#This Row],[ha2015.12]]</f>
        <v>#DIV/0!</v>
      </c>
      <c r="BY50" s="17" t="e">
        <f>t_Presses[[#This Row],[hp2015.FY]]/t_Presses[[#This Row],[ha2015.FY]]</f>
        <v>#DIV/0!</v>
      </c>
      <c r="BZ50" s="17" t="e">
        <f>t_Presses[[#This Row],[hp2016.01]]/t_Presses[[#This Row],[ha2016.01]]</f>
        <v>#DIV/0!</v>
      </c>
      <c r="CA50" s="17" t="e">
        <f>t_Presses[[#This Row],[hp2016.02]]/t_Presses[[#This Row],[ha2016.02]]</f>
        <v>#DIV/0!</v>
      </c>
      <c r="CB50" s="17" t="e">
        <f>t_Presses[[#This Row],[hp2016.03]]/t_Presses[[#This Row],[ha2016.03]]</f>
        <v>#DIV/0!</v>
      </c>
      <c r="CC50" s="17" t="e">
        <f>t_Presses[[#This Row],[hp2016.04]]/t_Presses[[#This Row],[ha2016.04]]</f>
        <v>#DIV/0!</v>
      </c>
      <c r="CD50" s="17" t="e">
        <f>t_Presses[[#This Row],[hp2016.05]]/t_Presses[[#This Row],[ha2016.05]]</f>
        <v>#DIV/0!</v>
      </c>
      <c r="CE50" s="17" t="e">
        <f>t_Presses[[#This Row],[hp2016.06]]/t_Presses[[#This Row],[ha2016.06]]</f>
        <v>#DIV/0!</v>
      </c>
      <c r="CF50" s="17" t="e">
        <f>t_Presses[[#This Row],[hp2016.07]]/t_Presses[[#This Row],[ha2016.07]]</f>
        <v>#DIV/0!</v>
      </c>
      <c r="CG50" s="17" t="e">
        <f>t_Presses[[#This Row],[hp2016.08]]/t_Presses[[#This Row],[ha2016.08]]</f>
        <v>#DIV/0!</v>
      </c>
      <c r="CH50" s="17" t="e">
        <f>t_Presses[[#This Row],[hp2016.09]]/t_Presses[[#This Row],[ha2016.09]]</f>
        <v>#DIV/0!</v>
      </c>
      <c r="CI50" s="17" t="e">
        <f>t_Presses[[#This Row],[hp2016.10]]/t_Presses[[#This Row],[ha2016.10]]</f>
        <v>#DIV/0!</v>
      </c>
      <c r="CJ50" s="17" t="e">
        <f>t_Presses[[#This Row],[hp2016.11]]/t_Presses[[#This Row],[ha2016.11]]</f>
        <v>#DIV/0!</v>
      </c>
      <c r="CK50" s="17" t="e">
        <f>t_Presses[[#This Row],[hp2016.12]]/t_Presses[[#This Row],[ha2016.12]]</f>
        <v>#DIV/0!</v>
      </c>
      <c r="CL50" s="17" t="e">
        <f>t_Presses[[#This Row],[hp2016.FY]]/t_Presses[[#This Row],[ha2016.FY]]</f>
        <v>#DIV/0!</v>
      </c>
      <c r="CM50" s="17" t="e">
        <f>t_Presses[[#This Row],[hp2017]]/t_Presses[[#This Row],[ha2017]]</f>
        <v>#DIV/0!</v>
      </c>
      <c r="CN50" s="17" t="e">
        <f>t_Presses[[#This Row],[hp2018]]/t_Presses[[#This Row],[ha2018]]</f>
        <v>#DIV/0!</v>
      </c>
      <c r="CO50" s="17" t="e">
        <f>t_Presses[[#This Row],[hp2019]]/t_Presses[[#This Row],[ha2019]]</f>
        <v>#DIV/0!</v>
      </c>
    </row>
    <row r="51" spans="1:93" x14ac:dyDescent="0.25">
      <c r="BM51" s="4"/>
    </row>
    <row r="54" spans="1:93" x14ac:dyDescent="0.25">
      <c r="G54" s="3"/>
    </row>
  </sheetData>
  <sheetProtection autoFilter="0"/>
  <dataValidations count="2">
    <dataValidation type="list" allowBlank="1" showInputMessage="1" showErrorMessage="1" sqref="B5:B50">
      <formula1>list_Plants</formula1>
    </dataValidation>
    <dataValidation type="list" allowBlank="1" showInputMessage="1" showErrorMessage="1" sqref="C5:C50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DownPressViews">
              <controlPr defaultSize="0" autoLine="0" autoPict="0" macro="[0]!DropDownPressViews_Change">
                <anchor moveWithCells="1">
                  <from>
                    <xdr:col>0</xdr:col>
                    <xdr:colOff>28575</xdr:colOff>
                    <xdr:row>1</xdr:row>
                    <xdr:rowOff>228600</xdr:rowOff>
                  </from>
                  <to>
                    <xdr:col>2</xdr:col>
                    <xdr:colOff>581025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D194620-0EC8-4FD5-B9A4-E83245444FC2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BV5:CO50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Z118"/>
  <sheetViews>
    <sheetView zoomScaleNormal="100" workbookViewId="0">
      <pane xSplit="3" ySplit="5" topLeftCell="BB6" activePane="bottomRight" state="frozen"/>
      <selection activeCell="A2" sqref="A2"/>
      <selection pane="topRight" activeCell="C2" sqref="C2"/>
      <selection pane="bottomLeft" activeCell="A6" sqref="A6"/>
      <selection pane="bottomRight" activeCell="BN6" sqref="BN6"/>
    </sheetView>
  </sheetViews>
  <sheetFormatPr defaultRowHeight="15" x14ac:dyDescent="0.25"/>
  <cols>
    <col min="1" max="1" width="15.140625" style="16" customWidth="1"/>
    <col min="2" max="2" width="8.85546875" style="16" customWidth="1"/>
    <col min="3" max="3" width="9.140625" customWidth="1"/>
    <col min="4" max="4" width="15.85546875" customWidth="1"/>
    <col min="5" max="5" width="15.7109375" customWidth="1"/>
    <col min="6" max="6" width="11.42578125" customWidth="1"/>
    <col min="7" max="7" width="15.28515625" customWidth="1"/>
    <col min="8" max="9" width="9.140625" customWidth="1"/>
    <col min="10" max="14" width="11.7109375" customWidth="1"/>
    <col min="15" max="15" width="8.42578125" customWidth="1"/>
    <col min="16" max="16" width="8.28515625" customWidth="1"/>
    <col min="17" max="18" width="12.28515625" customWidth="1"/>
    <col min="19" max="19" width="13.7109375" customWidth="1"/>
    <col min="20" max="21" width="9.7109375" customWidth="1"/>
    <col min="22" max="22" width="10.42578125" customWidth="1"/>
    <col min="23" max="23" width="10.85546875" customWidth="1"/>
    <col min="24" max="24" width="13.28515625" customWidth="1"/>
    <col min="25" max="28" width="10.85546875" customWidth="1"/>
    <col min="29" max="29" width="14.140625" customWidth="1"/>
    <col min="30" max="30" width="11.42578125" customWidth="1"/>
    <col min="31" max="31" width="10.5703125" customWidth="1"/>
    <col min="32" max="32" width="11" customWidth="1"/>
    <col min="33" max="33" width="11.140625" customWidth="1"/>
    <col min="34" max="34" width="10.85546875" customWidth="1"/>
    <col min="35" max="35" width="11.5703125" customWidth="1"/>
    <col min="36" max="36" width="11" customWidth="1"/>
    <col min="37" max="37" width="13.42578125" customWidth="1"/>
    <col min="38" max="63" width="11.7109375" customWidth="1"/>
    <col min="64" max="83" width="11.85546875" customWidth="1"/>
    <col min="84" max="84" width="9.140625" customWidth="1"/>
    <col min="85" max="112" width="11.85546875" customWidth="1"/>
    <col min="113" max="113" width="9.140625" customWidth="1"/>
    <col min="114" max="122" width="11.85546875" customWidth="1"/>
    <col min="123" max="151" width="12" customWidth="1"/>
    <col min="152" max="153" width="9.7109375" customWidth="1"/>
    <col min="154" max="165" width="11.7109375" customWidth="1"/>
    <col min="166" max="166" width="14.7109375" customWidth="1"/>
    <col min="167" max="178" width="11.7109375" customWidth="1"/>
    <col min="179" max="182" width="14.7109375" customWidth="1"/>
  </cols>
  <sheetData>
    <row r="1" spans="1:182" s="69" customFormat="1" ht="29.25" hidden="1" customHeight="1" x14ac:dyDescent="0.25">
      <c r="A1" s="71"/>
      <c r="B1" s="71"/>
    </row>
    <row r="2" spans="1:182" s="32" customFormat="1" ht="108.75" hidden="1" customHeight="1" x14ac:dyDescent="0.25">
      <c r="A2" s="72" t="s">
        <v>442</v>
      </c>
      <c r="B2" s="72"/>
    </row>
    <row r="3" spans="1:182" s="16" customFormat="1" ht="18" customHeight="1" x14ac:dyDescent="0.25">
      <c r="A3" s="12" t="s">
        <v>34</v>
      </c>
      <c r="B3" s="12"/>
      <c r="C3" s="13"/>
      <c r="D3" s="22"/>
      <c r="E3" s="22"/>
      <c r="F3" s="22"/>
      <c r="G3" s="22"/>
      <c r="H3" s="22"/>
      <c r="I3" s="22"/>
      <c r="J3" s="22" t="s">
        <v>99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6"/>
      <c r="AD3" s="22"/>
      <c r="AE3" s="22"/>
      <c r="AF3" s="22"/>
      <c r="AG3" s="22"/>
      <c r="AH3" s="22"/>
      <c r="AI3" s="22"/>
      <c r="AJ3" s="22"/>
      <c r="AK3" s="6" t="s">
        <v>118</v>
      </c>
      <c r="AL3" s="23">
        <v>2015.01</v>
      </c>
      <c r="AM3" s="23">
        <v>2015.02</v>
      </c>
      <c r="AN3" s="23">
        <v>2015.03</v>
      </c>
      <c r="AO3" s="23">
        <v>2015.04</v>
      </c>
      <c r="AP3" s="23">
        <v>2015.05</v>
      </c>
      <c r="AQ3" s="23">
        <v>2015.06</v>
      </c>
      <c r="AR3" s="23">
        <v>2015.07</v>
      </c>
      <c r="AS3" s="23">
        <v>2015.08</v>
      </c>
      <c r="AT3" s="23">
        <v>2015.09</v>
      </c>
      <c r="AU3" s="23">
        <v>2015.1</v>
      </c>
      <c r="AV3" s="23">
        <v>2015.11</v>
      </c>
      <c r="AW3" s="23">
        <v>2015.12</v>
      </c>
      <c r="AX3" s="23">
        <v>2015.13</v>
      </c>
      <c r="AY3" s="23">
        <v>2016.01</v>
      </c>
      <c r="AZ3" s="23">
        <v>2016.02</v>
      </c>
      <c r="BA3" s="23">
        <v>2016.03</v>
      </c>
      <c r="BB3" s="23">
        <v>2016.04</v>
      </c>
      <c r="BC3" s="23">
        <v>2016.05</v>
      </c>
      <c r="BD3" s="23">
        <v>2016.06</v>
      </c>
      <c r="BE3" s="23">
        <v>2016.07</v>
      </c>
      <c r="BF3" s="23">
        <v>2016.08</v>
      </c>
      <c r="BG3" s="23">
        <v>2016.09</v>
      </c>
      <c r="BH3" s="23">
        <v>2016.1</v>
      </c>
      <c r="BI3" s="23">
        <v>2016.11</v>
      </c>
      <c r="BJ3" s="23">
        <v>2016.12</v>
      </c>
      <c r="BK3" s="23">
        <v>2016.13</v>
      </c>
      <c r="BL3" s="23">
        <v>2017</v>
      </c>
      <c r="BM3" s="23">
        <v>2018</v>
      </c>
      <c r="BN3" s="23">
        <v>2019</v>
      </c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9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55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2" t="s">
        <v>7</v>
      </c>
      <c r="DV3" s="42"/>
      <c r="DW3" s="42"/>
      <c r="DX3" s="41" t="s">
        <v>5</v>
      </c>
      <c r="DY3" s="42"/>
      <c r="DZ3" s="42"/>
      <c r="EA3" s="42"/>
      <c r="EB3" s="42"/>
      <c r="EC3" s="42"/>
      <c r="ED3" s="42"/>
      <c r="EE3" s="42"/>
      <c r="EF3" s="42"/>
      <c r="EG3" s="2" t="s">
        <v>116</v>
      </c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56" t="s">
        <v>670</v>
      </c>
      <c r="EY3" s="56"/>
      <c r="EZ3" s="56"/>
      <c r="FA3" s="56"/>
      <c r="FB3" s="56"/>
      <c r="FC3" s="56"/>
      <c r="FD3" s="56"/>
      <c r="FE3" s="56"/>
      <c r="FF3" s="56"/>
      <c r="FG3" s="56"/>
      <c r="FH3" s="56"/>
      <c r="FI3" s="56"/>
      <c r="FJ3" s="56"/>
      <c r="FK3" s="56"/>
      <c r="FL3" s="56"/>
      <c r="FM3" s="56"/>
      <c r="FN3" s="56"/>
      <c r="FO3" s="56"/>
      <c r="FP3" s="56"/>
      <c r="FQ3" s="56"/>
      <c r="FR3" s="56"/>
      <c r="FS3" s="56"/>
      <c r="FT3" s="56"/>
      <c r="FU3" s="56"/>
      <c r="FV3" s="56"/>
      <c r="FW3" s="56"/>
      <c r="FX3" s="56"/>
      <c r="FY3" s="56"/>
      <c r="FZ3" s="59" t="s">
        <v>419</v>
      </c>
    </row>
    <row r="4" spans="1:182" x14ac:dyDescent="0.25">
      <c r="A4" s="21"/>
      <c r="B4" s="21"/>
      <c r="C4" s="6"/>
      <c r="D4" s="6"/>
      <c r="E4" s="6"/>
      <c r="F4" s="6"/>
      <c r="G4" s="6"/>
      <c r="H4" s="6" t="s">
        <v>422</v>
      </c>
      <c r="I4" s="6"/>
      <c r="J4" s="25" t="s">
        <v>19</v>
      </c>
      <c r="K4" s="25" t="s">
        <v>20</v>
      </c>
      <c r="L4" s="25" t="s">
        <v>21</v>
      </c>
      <c r="M4" s="25" t="s">
        <v>22</v>
      </c>
      <c r="N4" s="25" t="s">
        <v>23</v>
      </c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 t="s">
        <v>388</v>
      </c>
      <c r="AL4" s="11" t="s">
        <v>117</v>
      </c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51" t="s">
        <v>119</v>
      </c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24" t="s">
        <v>119</v>
      </c>
      <c r="BO4" s="28" t="s">
        <v>3</v>
      </c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9" t="s">
        <v>52</v>
      </c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55" t="s">
        <v>52</v>
      </c>
      <c r="CR4" s="19" t="s">
        <v>66</v>
      </c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31" t="s">
        <v>97</v>
      </c>
      <c r="DE4" s="31"/>
      <c r="DF4" s="31"/>
      <c r="DG4" s="31"/>
      <c r="DH4" s="31"/>
      <c r="DI4" s="31"/>
      <c r="DJ4" s="31"/>
      <c r="DK4" s="31"/>
      <c r="DL4" s="31"/>
      <c r="DM4" s="31"/>
      <c r="DN4" s="31"/>
      <c r="DO4" s="31"/>
      <c r="DP4" s="31"/>
      <c r="DQ4" s="31"/>
      <c r="DR4" s="31"/>
      <c r="DS4" s="31"/>
      <c r="DT4" s="31" t="s">
        <v>97</v>
      </c>
      <c r="DU4" s="2"/>
      <c r="DV4" s="2"/>
      <c r="DW4" s="2"/>
      <c r="DX4" s="41"/>
      <c r="DY4" s="2"/>
      <c r="DZ4" s="2"/>
      <c r="EA4" s="2"/>
      <c r="EB4" s="2"/>
      <c r="EC4" s="2"/>
      <c r="ED4" s="2"/>
      <c r="EE4" s="2"/>
      <c r="EF4" s="2"/>
      <c r="EG4" s="2" t="s">
        <v>100</v>
      </c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57"/>
      <c r="EY4" s="57"/>
      <c r="EZ4" s="57"/>
      <c r="FA4" s="57"/>
      <c r="FB4" s="57"/>
      <c r="FC4" s="57"/>
      <c r="FD4" s="57"/>
      <c r="FE4" s="57"/>
      <c r="FF4" s="57"/>
      <c r="FG4" s="57"/>
      <c r="FH4" s="57"/>
      <c r="FI4" s="57"/>
      <c r="FJ4" s="57"/>
      <c r="FK4" s="57"/>
      <c r="FL4" s="57"/>
      <c r="FM4" s="57"/>
      <c r="FN4" s="57"/>
      <c r="FO4" s="57"/>
      <c r="FP4" s="57"/>
      <c r="FQ4" s="57"/>
      <c r="FR4" s="57"/>
      <c r="FS4" s="57"/>
      <c r="FT4" s="57"/>
      <c r="FU4" s="57"/>
      <c r="FV4" s="57"/>
      <c r="FW4" s="57"/>
      <c r="FX4" s="57"/>
      <c r="FY4" s="57"/>
      <c r="FZ4" s="57"/>
    </row>
    <row r="5" spans="1:182" x14ac:dyDescent="0.25">
      <c r="A5" s="34" t="s">
        <v>389</v>
      </c>
      <c r="B5" s="34" t="s">
        <v>488</v>
      </c>
      <c r="C5" s="7" t="s">
        <v>35</v>
      </c>
      <c r="D5" s="7" t="s">
        <v>487</v>
      </c>
      <c r="E5" s="7" t="s">
        <v>486</v>
      </c>
      <c r="F5" s="7" t="s">
        <v>101</v>
      </c>
      <c r="G5" s="7" t="s">
        <v>102</v>
      </c>
      <c r="H5" s="7" t="s">
        <v>94</v>
      </c>
      <c r="I5" s="7" t="s">
        <v>95</v>
      </c>
      <c r="J5" s="26" t="s">
        <v>350</v>
      </c>
      <c r="K5" s="26" t="s">
        <v>351</v>
      </c>
      <c r="L5" s="26" t="s">
        <v>352</v>
      </c>
      <c r="M5" s="26" t="s">
        <v>353</v>
      </c>
      <c r="N5" s="26" t="s">
        <v>354</v>
      </c>
      <c r="O5" s="7" t="s">
        <v>113</v>
      </c>
      <c r="P5" s="7" t="s">
        <v>114</v>
      </c>
      <c r="Q5" s="7" t="s">
        <v>115</v>
      </c>
      <c r="R5" s="7" t="s">
        <v>449</v>
      </c>
      <c r="S5" s="7" t="s">
        <v>105</v>
      </c>
      <c r="T5" s="7" t="s">
        <v>106</v>
      </c>
      <c r="U5" s="7" t="s">
        <v>489</v>
      </c>
      <c r="V5" s="7" t="s">
        <v>107</v>
      </c>
      <c r="W5" s="7" t="s">
        <v>108</v>
      </c>
      <c r="X5" s="7" t="s">
        <v>490</v>
      </c>
      <c r="Y5" s="7" t="s">
        <v>491</v>
      </c>
      <c r="Z5" s="7" t="s">
        <v>492</v>
      </c>
      <c r="AA5" s="7" t="s">
        <v>668</v>
      </c>
      <c r="AB5" s="7" t="s">
        <v>493</v>
      </c>
      <c r="AC5" s="7" t="s">
        <v>109</v>
      </c>
      <c r="AD5" s="5" t="s">
        <v>36</v>
      </c>
      <c r="AE5" s="5" t="s">
        <v>37</v>
      </c>
      <c r="AF5" s="5" t="s">
        <v>55</v>
      </c>
      <c r="AG5" s="5" t="s">
        <v>28</v>
      </c>
      <c r="AH5" s="7" t="s">
        <v>54</v>
      </c>
      <c r="AI5" s="5" t="s">
        <v>93</v>
      </c>
      <c r="AJ5" s="5" t="s">
        <v>104</v>
      </c>
      <c r="AK5" s="5" t="s">
        <v>103</v>
      </c>
      <c r="AL5" s="11" t="s">
        <v>38</v>
      </c>
      <c r="AM5" s="11" t="s">
        <v>39</v>
      </c>
      <c r="AN5" s="11" t="s">
        <v>40</v>
      </c>
      <c r="AO5" s="11" t="s">
        <v>56</v>
      </c>
      <c r="AP5" s="11" t="s">
        <v>57</v>
      </c>
      <c r="AQ5" s="11" t="s">
        <v>58</v>
      </c>
      <c r="AR5" s="11" t="s">
        <v>59</v>
      </c>
      <c r="AS5" s="11" t="s">
        <v>60</v>
      </c>
      <c r="AT5" s="11" t="s">
        <v>61</v>
      </c>
      <c r="AU5" s="11" t="s">
        <v>62</v>
      </c>
      <c r="AV5" s="11" t="s">
        <v>63</v>
      </c>
      <c r="AW5" s="11" t="s">
        <v>64</v>
      </c>
      <c r="AX5" s="11" t="s">
        <v>65</v>
      </c>
      <c r="AY5" s="11" t="s">
        <v>175</v>
      </c>
      <c r="AZ5" s="11" t="s">
        <v>176</v>
      </c>
      <c r="BA5" s="11" t="s">
        <v>177</v>
      </c>
      <c r="BB5" s="11" t="s">
        <v>178</v>
      </c>
      <c r="BC5" s="11" t="s">
        <v>179</v>
      </c>
      <c r="BD5" s="11" t="s">
        <v>180</v>
      </c>
      <c r="BE5" s="11" t="s">
        <v>181</v>
      </c>
      <c r="BF5" s="11" t="s">
        <v>182</v>
      </c>
      <c r="BG5" s="11" t="s">
        <v>183</v>
      </c>
      <c r="BH5" s="11" t="s">
        <v>184</v>
      </c>
      <c r="BI5" s="11" t="s">
        <v>185</v>
      </c>
      <c r="BJ5" s="11" t="s">
        <v>186</v>
      </c>
      <c r="BK5" s="11" t="s">
        <v>187</v>
      </c>
      <c r="BL5" s="11" t="s">
        <v>188</v>
      </c>
      <c r="BM5" s="11" t="s">
        <v>189</v>
      </c>
      <c r="BN5" s="11" t="s">
        <v>190</v>
      </c>
      <c r="BO5" s="28" t="s">
        <v>14</v>
      </c>
      <c r="BP5" s="28" t="s">
        <v>13</v>
      </c>
      <c r="BQ5" s="28" t="s">
        <v>15</v>
      </c>
      <c r="BR5" s="28" t="s">
        <v>41</v>
      </c>
      <c r="BS5" s="28" t="s">
        <v>42</v>
      </c>
      <c r="BT5" s="28" t="s">
        <v>43</v>
      </c>
      <c r="BU5" s="28" t="s">
        <v>44</v>
      </c>
      <c r="BV5" s="28" t="s">
        <v>45</v>
      </c>
      <c r="BW5" s="28" t="s">
        <v>46</v>
      </c>
      <c r="BX5" s="28" t="s">
        <v>47</v>
      </c>
      <c r="BY5" s="28" t="s">
        <v>48</v>
      </c>
      <c r="BZ5" s="28" t="s">
        <v>49</v>
      </c>
      <c r="CA5" s="28" t="s">
        <v>50</v>
      </c>
      <c r="CB5" s="28" t="s">
        <v>356</v>
      </c>
      <c r="CC5" s="28" t="s">
        <v>357</v>
      </c>
      <c r="CD5" s="28" t="s">
        <v>358</v>
      </c>
      <c r="CE5" s="28" t="s">
        <v>359</v>
      </c>
      <c r="CF5" s="28" t="s">
        <v>360</v>
      </c>
      <c r="CG5" s="28" t="s">
        <v>361</v>
      </c>
      <c r="CH5" s="28" t="s">
        <v>362</v>
      </c>
      <c r="CI5" s="28" t="s">
        <v>363</v>
      </c>
      <c r="CJ5" s="28" t="s">
        <v>364</v>
      </c>
      <c r="CK5" s="28" t="s">
        <v>365</v>
      </c>
      <c r="CL5" s="28" t="s">
        <v>366</v>
      </c>
      <c r="CM5" s="28" t="s">
        <v>367</v>
      </c>
      <c r="CN5" s="28" t="s">
        <v>368</v>
      </c>
      <c r="CO5" s="28" t="s">
        <v>369</v>
      </c>
      <c r="CP5" s="28" t="s">
        <v>370</v>
      </c>
      <c r="CQ5" s="28" t="s">
        <v>387</v>
      </c>
      <c r="CR5" s="19" t="s">
        <v>67</v>
      </c>
      <c r="CS5" s="19" t="s">
        <v>68</v>
      </c>
      <c r="CT5" s="19" t="s">
        <v>69</v>
      </c>
      <c r="CU5" s="19" t="s">
        <v>70</v>
      </c>
      <c r="CV5" s="19" t="s">
        <v>71</v>
      </c>
      <c r="CW5" s="19" t="s">
        <v>72</v>
      </c>
      <c r="CX5" s="19" t="s">
        <v>73</v>
      </c>
      <c r="CY5" s="19" t="s">
        <v>74</v>
      </c>
      <c r="CZ5" s="19" t="s">
        <v>75</v>
      </c>
      <c r="DA5" s="19" t="s">
        <v>76</v>
      </c>
      <c r="DB5" s="19" t="s">
        <v>77</v>
      </c>
      <c r="DC5" s="19" t="s">
        <v>78</v>
      </c>
      <c r="DD5" s="19" t="s">
        <v>79</v>
      </c>
      <c r="DE5" s="19" t="s">
        <v>371</v>
      </c>
      <c r="DF5" s="19" t="s">
        <v>372</v>
      </c>
      <c r="DG5" s="19" t="s">
        <v>373</v>
      </c>
      <c r="DH5" s="19" t="s">
        <v>374</v>
      </c>
      <c r="DI5" s="19" t="s">
        <v>375</v>
      </c>
      <c r="DJ5" s="19" t="s">
        <v>376</v>
      </c>
      <c r="DK5" s="19" t="s">
        <v>377</v>
      </c>
      <c r="DL5" s="19" t="s">
        <v>378</v>
      </c>
      <c r="DM5" s="19" t="s">
        <v>379</v>
      </c>
      <c r="DN5" s="19" t="s">
        <v>380</v>
      </c>
      <c r="DO5" s="19" t="s">
        <v>381</v>
      </c>
      <c r="DP5" s="19" t="s">
        <v>382</v>
      </c>
      <c r="DQ5" s="19" t="s">
        <v>383</v>
      </c>
      <c r="DR5" s="19" t="s">
        <v>384</v>
      </c>
      <c r="DS5" s="19" t="s">
        <v>385</v>
      </c>
      <c r="DT5" s="19" t="s">
        <v>386</v>
      </c>
      <c r="DU5" s="2" t="s">
        <v>16</v>
      </c>
      <c r="DV5" s="2" t="s">
        <v>17</v>
      </c>
      <c r="DW5" s="2" t="s">
        <v>18</v>
      </c>
      <c r="DX5" s="2" t="s">
        <v>84</v>
      </c>
      <c r="DY5" s="2" t="s">
        <v>85</v>
      </c>
      <c r="DZ5" s="2" t="s">
        <v>86</v>
      </c>
      <c r="EA5" s="2" t="s">
        <v>87</v>
      </c>
      <c r="EB5" s="2" t="s">
        <v>88</v>
      </c>
      <c r="EC5" s="2" t="s">
        <v>89</v>
      </c>
      <c r="ED5" s="2" t="s">
        <v>90</v>
      </c>
      <c r="EE5" s="2" t="s">
        <v>91</v>
      </c>
      <c r="EF5" s="2" t="s">
        <v>92</v>
      </c>
      <c r="EG5" s="2" t="s">
        <v>80</v>
      </c>
      <c r="EH5" s="2" t="s">
        <v>321</v>
      </c>
      <c r="EI5" s="2" t="s">
        <v>322</v>
      </c>
      <c r="EJ5" s="2" t="s">
        <v>323</v>
      </c>
      <c r="EK5" s="2" t="s">
        <v>324</v>
      </c>
      <c r="EL5" s="2" t="s">
        <v>325</v>
      </c>
      <c r="EM5" s="2" t="s">
        <v>326</v>
      </c>
      <c r="EN5" s="2" t="s">
        <v>327</v>
      </c>
      <c r="EO5" s="2" t="s">
        <v>328</v>
      </c>
      <c r="EP5" s="2" t="s">
        <v>329</v>
      </c>
      <c r="EQ5" s="2" t="s">
        <v>330</v>
      </c>
      <c r="ER5" s="2" t="s">
        <v>331</v>
      </c>
      <c r="ES5" s="2" t="s">
        <v>332</v>
      </c>
      <c r="ET5" s="2" t="s">
        <v>333</v>
      </c>
      <c r="EU5" s="2" t="s">
        <v>81</v>
      </c>
      <c r="EV5" s="2" t="s">
        <v>82</v>
      </c>
      <c r="EW5" s="2" t="s">
        <v>83</v>
      </c>
      <c r="EX5" s="57" t="s">
        <v>390</v>
      </c>
      <c r="EY5" s="57" t="s">
        <v>391</v>
      </c>
      <c r="EZ5" s="57" t="s">
        <v>392</v>
      </c>
      <c r="FA5" s="57" t="s">
        <v>393</v>
      </c>
      <c r="FB5" s="57" t="s">
        <v>394</v>
      </c>
      <c r="FC5" s="57" t="s">
        <v>395</v>
      </c>
      <c r="FD5" s="57" t="s">
        <v>396</v>
      </c>
      <c r="FE5" s="57" t="s">
        <v>397</v>
      </c>
      <c r="FF5" s="57" t="s">
        <v>398</v>
      </c>
      <c r="FG5" s="57" t="s">
        <v>399</v>
      </c>
      <c r="FH5" s="57" t="s">
        <v>400</v>
      </c>
      <c r="FI5" s="57" t="s">
        <v>401</v>
      </c>
      <c r="FJ5" s="57" t="s">
        <v>402</v>
      </c>
      <c r="FK5" s="57" t="s">
        <v>403</v>
      </c>
      <c r="FL5" s="57" t="s">
        <v>404</v>
      </c>
      <c r="FM5" s="57" t="s">
        <v>405</v>
      </c>
      <c r="FN5" s="57" t="s">
        <v>406</v>
      </c>
      <c r="FO5" s="57" t="s">
        <v>407</v>
      </c>
      <c r="FP5" s="57" t="s">
        <v>408</v>
      </c>
      <c r="FQ5" s="57" t="s">
        <v>409</v>
      </c>
      <c r="FR5" s="57" t="s">
        <v>410</v>
      </c>
      <c r="FS5" s="57" t="s">
        <v>411</v>
      </c>
      <c r="FT5" s="57" t="s">
        <v>412</v>
      </c>
      <c r="FU5" s="57" t="s">
        <v>413</v>
      </c>
      <c r="FV5" s="57" t="s">
        <v>414</v>
      </c>
      <c r="FW5" s="57" t="s">
        <v>415</v>
      </c>
      <c r="FX5" s="57" t="s">
        <v>416</v>
      </c>
      <c r="FY5" s="57" t="s">
        <v>417</v>
      </c>
      <c r="FZ5" s="57" t="s">
        <v>418</v>
      </c>
    </row>
    <row r="6" spans="1:182" s="14" customFormat="1" x14ac:dyDescent="0.25">
      <c r="A6" s="74" t="s">
        <v>627</v>
      </c>
      <c r="B6" s="74"/>
      <c r="C6" s="74">
        <v>21014</v>
      </c>
      <c r="D6" s="75">
        <v>1</v>
      </c>
      <c r="E6" s="73">
        <v>2400</v>
      </c>
      <c r="F6" s="76">
        <v>1</v>
      </c>
      <c r="G6" s="77">
        <v>4</v>
      </c>
      <c r="H6" s="16">
        <v>2015.01</v>
      </c>
      <c r="I6" s="16" t="s">
        <v>81</v>
      </c>
      <c r="J6" s="73">
        <v>189992</v>
      </c>
      <c r="K6" s="73">
        <v>189992</v>
      </c>
      <c r="L6" s="73">
        <v>189992</v>
      </c>
      <c r="M6" s="73">
        <v>189992</v>
      </c>
      <c r="N6" s="73">
        <v>189992</v>
      </c>
      <c r="O6" s="78">
        <v>32</v>
      </c>
      <c r="P6" s="78">
        <v>69</v>
      </c>
      <c r="Q6" s="79">
        <v>20.984999999999999</v>
      </c>
      <c r="R6" s="79"/>
      <c r="S6" s="78">
        <v>107</v>
      </c>
      <c r="T6" s="80">
        <v>13</v>
      </c>
      <c r="U6" s="80" t="s">
        <v>121</v>
      </c>
      <c r="V6" s="81" t="s">
        <v>628</v>
      </c>
      <c r="W6" s="82">
        <v>1.65</v>
      </c>
      <c r="X6" s="82" t="s">
        <v>608</v>
      </c>
      <c r="Y6" s="82"/>
      <c r="Z6" s="82"/>
      <c r="AA6" s="82"/>
      <c r="AB6" s="82"/>
      <c r="AC6" s="83" t="s">
        <v>667</v>
      </c>
      <c r="AD6" s="40" t="str">
        <f>VLOOKUP(t_Parts[[#This Row],[Press]],t_Presses[],Press!B$1,FALSE)</f>
        <v>Plainfield</v>
      </c>
      <c r="AE6" s="40" t="str">
        <f>VLOOKUP(t_Parts[[#This Row],[Press]],t_Presses[],Press!E$1,FALSE)</f>
        <v>300-599</v>
      </c>
      <c r="AF6" s="47">
        <f>VLOOKUP(t_Parts[[#This Row],[Plant]],t_Plants[],Plants!C$1,FALSE)</f>
        <v>0.55000000000000004</v>
      </c>
      <c r="AG6" s="47">
        <f>VLOOKUP(t_Parts[[#This Row],[Press]],t_Presses[],Press!F$1,FALSE)</f>
        <v>0</v>
      </c>
      <c r="AH6" s="84"/>
      <c r="AI6" s="47">
        <f>IF(ISBLANK(t_Parts[[#This Row],[PartOEE]])=FALSE,t_Parts[[#This Row],[PartOEE]], IF(t_Parts[[#This Row],[PressOEE]]&gt;0, t_Parts[[#This Row],[PressOEE]], t_Parts[[#This Row],[PlantOEE]] ))</f>
        <v>0.55000000000000004</v>
      </c>
      <c r="AJ6" s="70">
        <f>t_Parts[[#This Row],[SetupsPerMo]]*t_Parts[[#This Row],[SetupHrs]]</f>
        <v>4</v>
      </c>
      <c r="AK6" s="39">
        <f>(t_Parts[[#This Row],[PartsPerStroke]]*t_Parts[[#This Row],[StrokesPerHr]])*t_Parts[[#This Row],[UseOEE]]</f>
        <v>1320</v>
      </c>
      <c r="AL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14614.76923076923</v>
      </c>
      <c r="AM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14614.76923076923</v>
      </c>
      <c r="AN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18268.461538461535</v>
      </c>
      <c r="AO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14614.76923076923</v>
      </c>
      <c r="AP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14614.76923076923</v>
      </c>
      <c r="AQ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18268.461538461535</v>
      </c>
      <c r="AR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14614.76923076923</v>
      </c>
      <c r="AS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14614.76923076923</v>
      </c>
      <c r="AT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18268.461538461535</v>
      </c>
      <c r="AU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14614.76923076923</v>
      </c>
      <c r="AV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14614.76923076923</v>
      </c>
      <c r="AW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18268.461538461535</v>
      </c>
      <c r="AX6" s="39">
        <f>SUM(t_Parts[[#This Row],[pv2015.01]:[pv2015.12]])</f>
        <v>189991.99999999997</v>
      </c>
      <c r="AY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14614.76923076923</v>
      </c>
      <c r="AZ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14614.76923076923</v>
      </c>
      <c r="BA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18268.461538461535</v>
      </c>
      <c r="BB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14614.76923076923</v>
      </c>
      <c r="BC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14614.76923076923</v>
      </c>
      <c r="BD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18268.461538461535</v>
      </c>
      <c r="BE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14614.76923076923</v>
      </c>
      <c r="BF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14614.76923076923</v>
      </c>
      <c r="BG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18268.461538461535</v>
      </c>
      <c r="BH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14614.76923076923</v>
      </c>
      <c r="BI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14614.76923076923</v>
      </c>
      <c r="BJ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18268.461538461535</v>
      </c>
      <c r="BK6" s="39">
        <f>SUM(t_Parts[[#This Row],[pv2016.01]:[pv2016.12]])</f>
        <v>189991.99999999997</v>
      </c>
      <c r="BL6" s="39">
        <f>t_Parts[[#This Row],[2017vol]]</f>
        <v>189992</v>
      </c>
      <c r="BM6" s="39">
        <f>t_Parts[[#This Row],[2018vol]]</f>
        <v>189992</v>
      </c>
      <c r="BN6" s="39">
        <f>t_Parts[[#This Row],[2019vol]]</f>
        <v>189992</v>
      </c>
      <c r="BO6" s="40">
        <f>VLOOKUP(t_Parts[[Plant]:[Plant]],t_Plants[],Plants!CN$1,FALSE)</f>
        <v>280</v>
      </c>
      <c r="BP6" s="14">
        <f>VLOOKUP(t_Parts[[Plant]:[Plant]],t_Plants[],Plants!CO$1,FALSE)</f>
        <v>280</v>
      </c>
      <c r="BQ6" s="14">
        <f>VLOOKUP(t_Parts[[Plant]:[Plant]],t_Plants[],Plants!CP$1,FALSE)</f>
        <v>350</v>
      </c>
      <c r="BR6" s="14">
        <f>VLOOKUP(t_Parts[[Plant]:[Plant]],t_Plants[],Plants!CQ$1,FALSE)</f>
        <v>280</v>
      </c>
      <c r="BS6" s="14">
        <f>VLOOKUP(t_Parts[[Plant]:[Plant]],t_Plants[],Plants!CR$1,FALSE)</f>
        <v>280</v>
      </c>
      <c r="BT6" s="14">
        <f>VLOOKUP(t_Parts[[Plant]:[Plant]],t_Plants[],Plants!CS$1,FALSE)</f>
        <v>350</v>
      </c>
      <c r="BU6" s="14">
        <f>VLOOKUP(t_Parts[[Plant]:[Plant]],t_Plants[],Plants!CT$1,FALSE)</f>
        <v>280</v>
      </c>
      <c r="BV6" s="14">
        <f>VLOOKUP(t_Parts[[Plant]:[Plant]],t_Plants[],Plants!CU$1,FALSE)</f>
        <v>280</v>
      </c>
      <c r="BW6" s="14">
        <f>VLOOKUP(t_Parts[[Plant]:[Plant]],t_Plants[],Plants!CV$1,FALSE)</f>
        <v>350</v>
      </c>
      <c r="BX6" s="14">
        <f>VLOOKUP(t_Parts[[Plant]:[Plant]],t_Plants[],Plants!CW$1,FALSE)</f>
        <v>280</v>
      </c>
      <c r="BY6" s="14">
        <f>VLOOKUP(t_Parts[[Plant]:[Plant]],t_Plants[],Plants!CX$1,FALSE)</f>
        <v>280</v>
      </c>
      <c r="BZ6" s="14">
        <f>VLOOKUP(t_Parts[[Plant]:[Plant]],t_Plants[],Plants!CY$1,FALSE)</f>
        <v>350</v>
      </c>
      <c r="CA6" s="40">
        <f>SUM(t_Parts[[#This Row],[ha2015.01]:[ha2015.12]])</f>
        <v>3640</v>
      </c>
      <c r="CB6" s="14">
        <f>VLOOKUP(t_Parts[[Plant]:[Plant]],t_Plants[],Plants!DA$1,FALSE)</f>
        <v>280</v>
      </c>
      <c r="CC6" s="14">
        <f>VLOOKUP(t_Parts[[Plant]:[Plant]],t_Plants[],Plants!DB$1,FALSE)</f>
        <v>280</v>
      </c>
      <c r="CD6" s="14">
        <f>VLOOKUP(t_Parts[[Plant]:[Plant]],t_Plants[],Plants!DC$1,FALSE)</f>
        <v>350</v>
      </c>
      <c r="CE6" s="14">
        <f>VLOOKUP(t_Parts[[Plant]:[Plant]],t_Plants[],Plants!DD$1,FALSE)</f>
        <v>280</v>
      </c>
      <c r="CF6" s="14">
        <f>VLOOKUP(t_Parts[[Plant]:[Plant]],t_Plants[],Plants!DE$1,FALSE)</f>
        <v>280</v>
      </c>
      <c r="CG6" s="14">
        <f>VLOOKUP(t_Parts[[Plant]:[Plant]],t_Plants[],Plants!DF$1,FALSE)</f>
        <v>350</v>
      </c>
      <c r="CH6" s="14">
        <f>VLOOKUP(t_Parts[[Plant]:[Plant]],t_Plants[],Plants!DG$1,FALSE)</f>
        <v>280</v>
      </c>
      <c r="CI6" s="14">
        <f>VLOOKUP(t_Parts[[Plant]:[Plant]],t_Plants[],Plants!DH$1,FALSE)</f>
        <v>280</v>
      </c>
      <c r="CJ6" s="14">
        <f>VLOOKUP(t_Parts[[Plant]:[Plant]],t_Plants[],Plants!DI$1,FALSE)</f>
        <v>350</v>
      </c>
      <c r="CK6" s="14">
        <f>VLOOKUP(t_Parts[[Plant]:[Plant]],t_Plants[],Plants!DJ$1,FALSE)</f>
        <v>280</v>
      </c>
      <c r="CL6" s="14">
        <f>VLOOKUP(t_Parts[[Plant]:[Plant]],t_Plants[],Plants!DK$1,FALSE)</f>
        <v>280</v>
      </c>
      <c r="CM6" s="14">
        <f>VLOOKUP(t_Parts[[Plant]:[Plant]],t_Plants[],Plants!DL$1,FALSE)</f>
        <v>350</v>
      </c>
      <c r="CN6" s="14">
        <f>VLOOKUP(t_Parts[[Plant]:[Plant]],t_Plants[],Plants!DM$1,FALSE)</f>
        <v>3640</v>
      </c>
      <c r="CO6" s="14">
        <f>VLOOKUP(t_Parts[[Plant]:[Plant]],t_Plants[],Plants!DN$1,FALSE)</f>
        <v>3640</v>
      </c>
      <c r="CP6" s="14">
        <f>VLOOKUP(t_Parts[[Plant]:[Plant]],t_Plants[],Plants!DO$1,FALSE)</f>
        <v>3640</v>
      </c>
      <c r="CQ6" s="14">
        <f>VLOOKUP(t_Parts[[Plant]:[Plant]],t_Plants[],Plants!DP$1,FALSE)</f>
        <v>3640</v>
      </c>
      <c r="CR6" s="39">
        <f>IF(AND(AL$3&gt;=VALUE(t_Parts[[SOP]:[SOP]]),AL$3&lt;=VALUE(t_Parts[[EOP]:[EOP]])), t_Parts[[SetupHrsPerMo]:[SetupHrsPerMo]]+(t_Parts[[#This Row],[pv2015.01]]/t_Parts[[NetPPH]:[NetPPH]]),0)</f>
        <v>15.071794871794872</v>
      </c>
      <c r="CS6" s="39">
        <f>IF(AND(AM$3&gt;=VALUE(t_Parts[[SOP]:[SOP]]),AM$3&lt;=VALUE(t_Parts[[EOP]:[EOP]])), t_Parts[[SetupHrsPerMo]:[SetupHrsPerMo]]+(t_Parts[[#This Row],[pv2015.02]]/t_Parts[[NetPPH]:[NetPPH]]),0)</f>
        <v>15.071794871794872</v>
      </c>
      <c r="CT6" s="39">
        <f>IF(AND(AN$3&gt;=VALUE(t_Parts[[SOP]:[SOP]]),AN$3&lt;=VALUE(t_Parts[[EOP]:[EOP]])), t_Parts[[SetupHrsPerMo]:[SetupHrsPerMo]]+(t_Parts[[#This Row],[pv2015.03]]/t_Parts[[NetPPH]:[NetPPH]]),0)</f>
        <v>17.839743589743588</v>
      </c>
      <c r="CU6" s="39">
        <f>IF(AND(AO$3&gt;=VALUE(t_Parts[[SOP]:[SOP]]),AO$3&lt;=VALUE(t_Parts[[EOP]:[EOP]])), t_Parts[[SetupHrsPerMo]:[SetupHrsPerMo]]+(t_Parts[[#This Row],[pv2015.04]]/t_Parts[[NetPPH]:[NetPPH]]),0)</f>
        <v>15.071794871794872</v>
      </c>
      <c r="CV6" s="39">
        <f>IF(AND(AP$3&gt;=VALUE(t_Parts[[SOP]:[SOP]]),AP$3&lt;=VALUE(t_Parts[[EOP]:[EOP]])), t_Parts[[SetupHrsPerMo]:[SetupHrsPerMo]]+(t_Parts[[#This Row],[pv2015.05]]/t_Parts[[NetPPH]:[NetPPH]]),0)</f>
        <v>15.071794871794872</v>
      </c>
      <c r="CW6" s="39">
        <f>IF(AND(AQ$3&gt;=VALUE(t_Parts[[SOP]:[SOP]]),AQ$3&lt;=VALUE(t_Parts[[EOP]:[EOP]])), t_Parts[[SetupHrsPerMo]:[SetupHrsPerMo]]+(t_Parts[[#This Row],[pv2015.06]]/t_Parts[[NetPPH]:[NetPPH]]),0)</f>
        <v>17.839743589743588</v>
      </c>
      <c r="CX6" s="39">
        <f>IF(AND(AR$3&gt;=VALUE(t_Parts[[SOP]:[SOP]]),AR$3&lt;=VALUE(t_Parts[[EOP]:[EOP]])), t_Parts[[SetupHrsPerMo]:[SetupHrsPerMo]]+(t_Parts[[#This Row],[pv2015.07]]/t_Parts[[NetPPH]:[NetPPH]]),0)</f>
        <v>15.071794871794872</v>
      </c>
      <c r="CY6" s="39">
        <f>IF(AND(AS$3&gt;=VALUE(t_Parts[[SOP]:[SOP]]),AS$3&lt;=VALUE(t_Parts[[EOP]:[EOP]])), t_Parts[[SetupHrsPerMo]:[SetupHrsPerMo]]+(t_Parts[[#This Row],[pv2015.08]]/t_Parts[[NetPPH]:[NetPPH]]),0)</f>
        <v>15.071794871794872</v>
      </c>
      <c r="CZ6" s="39">
        <f>IF(AND(AT$3&gt;=VALUE(t_Parts[[SOP]:[SOP]]),AT$3&lt;=VALUE(t_Parts[[EOP]:[EOP]])), t_Parts[[SetupHrsPerMo]:[SetupHrsPerMo]]+(t_Parts[[#This Row],[pv2015.09]]/t_Parts[[NetPPH]:[NetPPH]]),0)</f>
        <v>17.839743589743588</v>
      </c>
      <c r="DA6" s="39">
        <f>IF(AND(AU$3&gt;=VALUE(t_Parts[[SOP]:[SOP]]),AU$3&lt;=VALUE(t_Parts[[EOP]:[EOP]])), t_Parts[[SetupHrsPerMo]:[SetupHrsPerMo]]+(t_Parts[[#This Row],[pv2015.10]]/t_Parts[[NetPPH]:[NetPPH]]),0)</f>
        <v>15.071794871794872</v>
      </c>
      <c r="DB6" s="39">
        <f>IF(AND(AV$3&gt;=VALUE(t_Parts[[SOP]:[SOP]]),AV$3&lt;=VALUE(t_Parts[[EOP]:[EOP]])), t_Parts[[SetupHrsPerMo]:[SetupHrsPerMo]]+(t_Parts[[#This Row],[pv2015.11]]/t_Parts[[NetPPH]:[NetPPH]]),0)</f>
        <v>15.071794871794872</v>
      </c>
      <c r="DC6" s="39">
        <f>IF(AND(AW$3&gt;=VALUE(t_Parts[[SOP]:[SOP]]),AW$3&lt;=VALUE(t_Parts[[EOP]:[EOP]])), t_Parts[[SetupHrsPerMo]:[SetupHrsPerMo]]+(t_Parts[[#This Row],[pv2015.12]]/t_Parts[[NetPPH]:[NetPPH]]),0)</f>
        <v>17.839743589743588</v>
      </c>
      <c r="DD6" s="39">
        <f>SUM(t_Parts[[#This Row],[hp2015.01]:[hp2015.12]])</f>
        <v>191.93333333333337</v>
      </c>
      <c r="DE6" s="39">
        <f>IF(AND(AY$3&gt;=VALUE(t_Parts[[SOP]:[SOP]]),AY$3&lt;=VALUE(t_Parts[[EOP]:[EOP]])), t_Parts[[SetupHrsPerMo]:[SetupHrsPerMo]]+(t_Parts[[#This Row],[pv2016.01]]/t_Parts[[NetPPH]:[NetPPH]]),0)</f>
        <v>15.071794871794872</v>
      </c>
      <c r="DF6" s="39">
        <f>IF(AND(AZ$3&gt;=VALUE(t_Parts[[SOP]:[SOP]]),AZ$3&lt;=VALUE(t_Parts[[EOP]:[EOP]])), t_Parts[[SetupHrsPerMo]:[SetupHrsPerMo]]+(t_Parts[[#This Row],[pv2016.02]]/t_Parts[[NetPPH]:[NetPPH]]),0)</f>
        <v>15.071794871794872</v>
      </c>
      <c r="DG6" s="39">
        <f>IF(AND(BA$3&gt;=VALUE(t_Parts[[SOP]:[SOP]]),BA$3&lt;=VALUE(t_Parts[[EOP]:[EOP]])), t_Parts[[SetupHrsPerMo]:[SetupHrsPerMo]]+(t_Parts[[#This Row],[pv2016.03]]/t_Parts[[NetPPH]:[NetPPH]]),0)</f>
        <v>17.839743589743588</v>
      </c>
      <c r="DH6" s="39">
        <f>IF(AND(BB$3&gt;=VALUE(t_Parts[[SOP]:[SOP]]),BB$3&lt;=VALUE(t_Parts[[EOP]:[EOP]])), t_Parts[[SetupHrsPerMo]:[SetupHrsPerMo]]+(t_Parts[[#This Row],[pv2016.04]]/t_Parts[[NetPPH]:[NetPPH]]),0)</f>
        <v>15.071794871794872</v>
      </c>
      <c r="DI6" s="39">
        <f>IF(AND(BC$3&gt;=VALUE(t_Parts[[SOP]:[SOP]]),BC$3&lt;=VALUE(t_Parts[[EOP]:[EOP]])), t_Parts[[SetupHrsPerMo]:[SetupHrsPerMo]]+(t_Parts[[#This Row],[pv2016.05]]/t_Parts[[NetPPH]:[NetPPH]]),0)</f>
        <v>15.071794871794872</v>
      </c>
      <c r="DJ6" s="39">
        <f>IF(AND(BD$3&gt;=VALUE(t_Parts[[SOP]:[SOP]]),BD$3&lt;=VALUE(t_Parts[[EOP]:[EOP]])), t_Parts[[SetupHrsPerMo]:[SetupHrsPerMo]]+(t_Parts[[#This Row],[pv2016.06]]/t_Parts[[NetPPH]:[NetPPH]]),0)</f>
        <v>17.839743589743588</v>
      </c>
      <c r="DK6" s="39">
        <f>IF(AND(BE$3&gt;=VALUE(t_Parts[[SOP]:[SOP]]),BE$3&lt;=VALUE(t_Parts[[EOP]:[EOP]])), t_Parts[[SetupHrsPerMo]:[SetupHrsPerMo]]+(t_Parts[[#This Row],[pv2016.07]]/t_Parts[[NetPPH]:[NetPPH]]),0)</f>
        <v>15.071794871794872</v>
      </c>
      <c r="DL6" s="39">
        <f>IF(AND(BF$3&gt;=VALUE(t_Parts[[SOP]:[SOP]]),BF$3&lt;=VALUE(t_Parts[[EOP]:[EOP]])), t_Parts[[SetupHrsPerMo]:[SetupHrsPerMo]]+(t_Parts[[#This Row],[pv2016.08]]/t_Parts[[NetPPH]:[NetPPH]]),0)</f>
        <v>15.071794871794872</v>
      </c>
      <c r="DM6" s="39">
        <f>IF(AND(BG$3&gt;=VALUE(t_Parts[[SOP]:[SOP]]),BG$3&lt;=VALUE(t_Parts[[EOP]:[EOP]])), t_Parts[[SetupHrsPerMo]:[SetupHrsPerMo]]+(t_Parts[[#This Row],[pv2016.09]]/t_Parts[[NetPPH]:[NetPPH]]),0)</f>
        <v>17.839743589743588</v>
      </c>
      <c r="DN6" s="39">
        <f>IF(AND(BH$3&gt;=VALUE(t_Parts[[SOP]:[SOP]]),BH$3&lt;=VALUE(t_Parts[[EOP]:[EOP]])), t_Parts[[SetupHrsPerMo]:[SetupHrsPerMo]]+(t_Parts[[#This Row],[pv2016.10]]/t_Parts[[NetPPH]:[NetPPH]]),0)</f>
        <v>15.071794871794872</v>
      </c>
      <c r="DO6" s="39">
        <f>IF(AND(BI$3&gt;=VALUE(t_Parts[[SOP]:[SOP]]),BI$3&lt;=VALUE(t_Parts[[EOP]:[EOP]])), t_Parts[[SetupHrsPerMo]:[SetupHrsPerMo]]+(t_Parts[[#This Row],[pv2016.11]]/t_Parts[[NetPPH]:[NetPPH]]),0)</f>
        <v>15.071794871794872</v>
      </c>
      <c r="DP6" s="39">
        <f>IF(AND(BJ$3&gt;=VALUE(t_Parts[[SOP]:[SOP]]),BJ$3&lt;=VALUE(t_Parts[[EOP]:[EOP]])), t_Parts[[SetupHrsPerMo]:[SetupHrsPerMo]]+(t_Parts[[#This Row],[pv2016.12]]/t_Parts[[NetPPH]:[NetPPH]]),0)</f>
        <v>17.839743589743588</v>
      </c>
      <c r="DQ6" s="39">
        <f>SUM(t_Parts[[#This Row],[hp2016.01]:[hp2016.12]])</f>
        <v>191.93333333333337</v>
      </c>
      <c r="DR6" s="39">
        <f>IF(AND(BL$3&gt;=VALUE(t_Parts[[SOP]:[SOP]]),BL$3&lt;=VALUE(t_Parts[[EOP]:[EOP]])), 12*t_Parts[[SetupHrsPerMo]:[SetupHrsPerMo]]+(t_Parts[[#This Row],[pv2017]]/t_Parts[[NetPPH]:[NetPPH]]),0)</f>
        <v>191.93333333333334</v>
      </c>
      <c r="DS6" s="39">
        <f>IF(AND(BM$3&gt;=VALUE(t_Parts[[SOP]:[SOP]]),BM$3&lt;=VALUE(t_Parts[[EOP]:[EOP]])), 12*t_Parts[[SetupHrsPerMo]:[SetupHrsPerMo]]+(t_Parts[[#This Row],[pv2018]]/t_Parts[[NetPPH]:[NetPPH]]),0)</f>
        <v>0</v>
      </c>
      <c r="DT6" s="39">
        <f>IF(AND(BN$3&gt;=VALUE(t_Parts[[SOP]:[SOP]]),BN$3&lt;=VALUE(t_Parts[[EOP]:[EOP]])), 12*t_Parts[[SetupHrsPerMo]:[SetupHrsPerMo]]+(t_Parts[[#This Row],[pv2019]]/t_Parts[[NetPPH]:[NetPPH]]),0)</f>
        <v>0</v>
      </c>
      <c r="DU6" s="47">
        <f>t_Parts[[#This Row],[hp2015.01]]/t_Parts[[#This Row],[ha2015.01]]</f>
        <v>5.3827838827838828E-2</v>
      </c>
      <c r="DV6" s="47">
        <f>t_Parts[[#This Row],[hp2015.02]]/t_Parts[[#This Row],[ha2015.02]]</f>
        <v>5.3827838827838828E-2</v>
      </c>
      <c r="DW6" s="47">
        <f>t_Parts[[#This Row],[hp2015.03]]/t_Parts[[#This Row],[ha2015.03]]</f>
        <v>5.0970695970695964E-2</v>
      </c>
      <c r="DX6" s="47">
        <f>t_Parts[[#This Row],[hp2015.04]]/t_Parts[[#This Row],[ha2015.04]]</f>
        <v>5.3827838827838828E-2</v>
      </c>
      <c r="DY6" s="47">
        <f>t_Parts[[#This Row],[hp2015.05]]/t_Parts[[#This Row],[ha2015.05]]</f>
        <v>5.3827838827838828E-2</v>
      </c>
      <c r="DZ6" s="47">
        <f>t_Parts[[#This Row],[hp2015.06]]/t_Parts[[#This Row],[ha2015.06]]</f>
        <v>5.0970695970695964E-2</v>
      </c>
      <c r="EA6" s="47">
        <f>t_Parts[[#This Row],[hp2015.07]]/t_Parts[[#This Row],[ha2015.07]]</f>
        <v>5.3827838827838828E-2</v>
      </c>
      <c r="EB6" s="47">
        <f>t_Parts[[#This Row],[hp2015.08]]/t_Parts[[#This Row],[ha2015.08]]</f>
        <v>5.3827838827838828E-2</v>
      </c>
      <c r="EC6" s="47">
        <f>t_Parts[[#This Row],[hp2015.09]]/t_Parts[[#This Row],[ha2015.09]]</f>
        <v>5.0970695970695964E-2</v>
      </c>
      <c r="ED6" s="47">
        <f>t_Parts[[#This Row],[hp2015.10]]/t_Parts[[#This Row],[ha2015.10]]</f>
        <v>5.3827838827838828E-2</v>
      </c>
      <c r="EE6" s="47">
        <f>t_Parts[[#This Row],[hp2015.11]]/t_Parts[[#This Row],[ha2015.11]]</f>
        <v>5.3827838827838828E-2</v>
      </c>
      <c r="EF6" s="47">
        <f>t_Parts[[#This Row],[hp2015.12]]/t_Parts[[#This Row],[ha2015.12]]</f>
        <v>5.0970695970695964E-2</v>
      </c>
      <c r="EG6" s="47">
        <f>t_Parts[[#This Row],[hp2015.FY]]/t_Parts[[#This Row],[ha2015.FY]]</f>
        <v>5.272893772893774E-2</v>
      </c>
      <c r="EH6" s="47">
        <f>t_Parts[[#This Row],[hp2016.01]]/t_Parts[[#This Row],[ha2016.01]]</f>
        <v>5.3827838827838828E-2</v>
      </c>
      <c r="EI6" s="47">
        <f>t_Parts[[#This Row],[hp2016.02]]/t_Parts[[#This Row],[ha2016.02]]</f>
        <v>5.3827838827838828E-2</v>
      </c>
      <c r="EJ6" s="47">
        <f>t_Parts[[#This Row],[hp2016.03]]/t_Parts[[#This Row],[ha2016.03]]</f>
        <v>5.0970695970695964E-2</v>
      </c>
      <c r="EK6" s="47">
        <f>t_Parts[[#This Row],[hp2016.04]]/t_Parts[[#This Row],[ha2016.04]]</f>
        <v>5.3827838827838828E-2</v>
      </c>
      <c r="EL6" s="47">
        <f>t_Parts[[#This Row],[hp2016.05]]/t_Parts[[#This Row],[ha2016.05]]</f>
        <v>5.3827838827838828E-2</v>
      </c>
      <c r="EM6" s="47">
        <f>t_Parts[[#This Row],[hp2016.06]]/t_Parts[[#This Row],[ha2016.06]]</f>
        <v>5.0970695970695964E-2</v>
      </c>
      <c r="EN6" s="47">
        <f>t_Parts[[#This Row],[hp2016.07]]/t_Parts[[#This Row],[ha2016.07]]</f>
        <v>5.3827838827838828E-2</v>
      </c>
      <c r="EO6" s="47">
        <f>t_Parts[[#This Row],[hp2016.08]]/t_Parts[[#This Row],[ha2016.08]]</f>
        <v>5.3827838827838828E-2</v>
      </c>
      <c r="EP6" s="47">
        <f>t_Parts[[#This Row],[hp2016.09]]/t_Parts[[#This Row],[ha2016.09]]</f>
        <v>5.0970695970695964E-2</v>
      </c>
      <c r="EQ6" s="47">
        <f>t_Parts[[#This Row],[hp2016.10]]/t_Parts[[#This Row],[ha2016.10]]</f>
        <v>5.3827838827838828E-2</v>
      </c>
      <c r="ER6" s="47">
        <f>t_Parts[[#This Row],[hp2016.11]]/t_Parts[[#This Row],[ha2016.11]]</f>
        <v>5.3827838827838828E-2</v>
      </c>
      <c r="ES6" s="47">
        <f>t_Parts[[#This Row],[hp2016.12]]/t_Parts[[#This Row],[ha2016.12]]</f>
        <v>5.0970695970695964E-2</v>
      </c>
      <c r="ET6" s="47">
        <f>t_Parts[[#This Row],[hp2016.FY]]/t_Parts[[#This Row],[ha2016.FY]]</f>
        <v>5.272893772893774E-2</v>
      </c>
      <c r="EU6" s="47">
        <f>t_Parts[[#This Row],[hp2017]]/t_Parts[[#This Row],[ha2017]]</f>
        <v>5.2728937728937733E-2</v>
      </c>
      <c r="EV6" s="47">
        <f>t_Parts[[#This Row],[hp2018]]/t_Parts[[#This Row],[ha2018]]</f>
        <v>0</v>
      </c>
      <c r="EW6" s="47">
        <f>t_Parts[[#This Row],[hp2019]]/t_Parts[[#This Row],[hp2015.01]]</f>
        <v>0</v>
      </c>
      <c r="EX6" s="58">
        <f>(t_Parts[[#This Row],[ha2015.01]]-t_Parts[[#This Row],[hp2015.01]])*t_Parts[[NetPPH]:[NetPPH]]</f>
        <v>349705.23076923081</v>
      </c>
      <c r="EY6" s="58">
        <f>(t_Parts[[#This Row],[ha2015.02]]-t_Parts[[#This Row],[hp2015.02]])*t_Parts[[NetPPH]:[NetPPH]]</f>
        <v>349705.23076923081</v>
      </c>
      <c r="EZ6" s="58">
        <f>(t_Parts[[#This Row],[ha2015.03]]-t_Parts[[#This Row],[hp2015.03]])*t_Parts[[NetPPH]:[NetPPH]]</f>
        <v>438451.53846153844</v>
      </c>
      <c r="FA6" s="58">
        <f>(t_Parts[[#This Row],[ha2015.04]]-t_Parts[[#This Row],[hp2015.04]])*t_Parts[[NetPPH]:[NetPPH]]</f>
        <v>349705.23076923081</v>
      </c>
      <c r="FB6" s="58">
        <f>(t_Parts[[#This Row],[ha2015.05]]-t_Parts[[#This Row],[hp2015.05]])*t_Parts[[NetPPH]:[NetPPH]]</f>
        <v>349705.23076923081</v>
      </c>
      <c r="FC6" s="58">
        <f>(t_Parts[[#This Row],[ha2015.06]]-t_Parts[[#This Row],[hp2015.06]])*t_Parts[[NetPPH]:[NetPPH]]</f>
        <v>438451.53846153844</v>
      </c>
      <c r="FD6" s="58">
        <f>(t_Parts[[#This Row],[ha2015.07]]-t_Parts[[#This Row],[hp2015.07]])*t_Parts[[NetPPH]:[NetPPH]]</f>
        <v>349705.23076923081</v>
      </c>
      <c r="FE6" s="58">
        <f>(t_Parts[[#This Row],[ha2015.08]]-t_Parts[[#This Row],[hp2015.08]])*t_Parts[[NetPPH]:[NetPPH]]</f>
        <v>349705.23076923081</v>
      </c>
      <c r="FF6" s="58">
        <f>(t_Parts[[#This Row],[ha2015.09]]-t_Parts[[#This Row],[hp2015.09]])*t_Parts[[NetPPH]:[NetPPH]]</f>
        <v>438451.53846153844</v>
      </c>
      <c r="FG6" s="58">
        <f>(t_Parts[[#This Row],[ha2015.10]]-t_Parts[[#This Row],[hp2015.10]])*t_Parts[[NetPPH]:[NetPPH]]</f>
        <v>349705.23076923081</v>
      </c>
      <c r="FH6" s="58">
        <f>(t_Parts[[#This Row],[ha2015.11]]-t_Parts[[#This Row],[hp2015.11]])*t_Parts[[NetPPH]:[NetPPH]]</f>
        <v>349705.23076923081</v>
      </c>
      <c r="FI6" s="58">
        <f>(t_Parts[[#This Row],[ha2015.12]]-t_Parts[[#This Row],[hp2015.12]])*t_Parts[[NetPPH]:[NetPPH]]</f>
        <v>438451.53846153844</v>
      </c>
      <c r="FJ6" s="58">
        <f>(t_Parts[[#This Row],[ha2015.FY]]-t_Parts[[#This Row],[hp2015.FY]])*t_Parts[[NetPPH]:[NetPPH]]</f>
        <v>4551448</v>
      </c>
      <c r="FK6" s="58">
        <f>(t_Parts[[#This Row],[ha2016.01]]-t_Parts[[#This Row],[hp2016.01]])*t_Parts[[NetPPH]:[NetPPH]]</f>
        <v>349705.23076923081</v>
      </c>
      <c r="FL6" s="58">
        <f>(t_Parts[[#This Row],[ha2016.02]]-t_Parts[[#This Row],[hp2016.02]])*t_Parts[[NetPPH]:[NetPPH]]</f>
        <v>349705.23076923081</v>
      </c>
      <c r="FM6" s="58">
        <f>(t_Parts[[#This Row],[ha2016.03]]-t_Parts[[#This Row],[hp2016.03]])*t_Parts[[NetPPH]:[NetPPH]]</f>
        <v>438451.53846153844</v>
      </c>
      <c r="FN6" s="58">
        <f>(t_Parts[[#This Row],[ha2016.04]]-t_Parts[[#This Row],[hp2016.04]])*t_Parts[[NetPPH]:[NetPPH]]</f>
        <v>349705.23076923081</v>
      </c>
      <c r="FO6" s="58">
        <f>(t_Parts[[#This Row],[ha2016.05]]-t_Parts[[#This Row],[hp2016.05]])*t_Parts[[NetPPH]:[NetPPH]]</f>
        <v>349705.23076923081</v>
      </c>
      <c r="FP6" s="58">
        <f>(t_Parts[[#This Row],[ha2016.06]]-t_Parts[[#This Row],[hp2016.06]])*t_Parts[[NetPPH]:[NetPPH]]</f>
        <v>438451.53846153844</v>
      </c>
      <c r="FQ6" s="58">
        <f>(t_Parts[[#This Row],[ha2016.07]]-t_Parts[[#This Row],[hp2016.07]])*t_Parts[[NetPPH]:[NetPPH]]</f>
        <v>349705.23076923081</v>
      </c>
      <c r="FR6" s="58">
        <f>(t_Parts[[#This Row],[ha2016.08]]-t_Parts[[#This Row],[hp2016.08]])*t_Parts[[NetPPH]:[NetPPH]]</f>
        <v>349705.23076923081</v>
      </c>
      <c r="FS6" s="58">
        <f>(t_Parts[[#This Row],[ha2016.09]]-t_Parts[[#This Row],[hp2016.09]])*t_Parts[[NetPPH]:[NetPPH]]</f>
        <v>438451.53846153844</v>
      </c>
      <c r="FT6" s="58">
        <f>(t_Parts[[#This Row],[ha2016.10]]-t_Parts[[#This Row],[hp2016.10]])*t_Parts[[NetPPH]:[NetPPH]]</f>
        <v>349705.23076923081</v>
      </c>
      <c r="FU6" s="58">
        <f>(t_Parts[[#This Row],[ha2016.11]]-t_Parts[[#This Row],[hp2016.11]])*t_Parts[[NetPPH]:[NetPPH]]</f>
        <v>349705.23076923081</v>
      </c>
      <c r="FV6" s="58">
        <f>(t_Parts[[#This Row],[ha2016.12]]-t_Parts[[#This Row],[hp2016.12]])*t_Parts[[NetPPH]:[NetPPH]]</f>
        <v>438451.53846153844</v>
      </c>
      <c r="FW6" s="58">
        <f>(t_Parts[[#This Row],[ha2016.FY]]-t_Parts[[#This Row],[hp2016.FY]])*t_Parts[[NetPPH]:[NetPPH]]</f>
        <v>4551448</v>
      </c>
      <c r="FX6" s="58">
        <f>(t_Parts[[#This Row],[ha2017]]-t_Parts[[#This Row],[hp2017]])*t_Parts[[NetPPH]:[NetPPH]]</f>
        <v>4551448</v>
      </c>
      <c r="FY6" s="58">
        <f>(t_Parts[[#This Row],[ha2018]]-t_Parts[[#This Row],[hp2018]])*t_Parts[[NetPPH]:[NetPPH]]</f>
        <v>4804800</v>
      </c>
      <c r="FZ6" s="58">
        <f>(t_Parts[[#This Row],[ha2019]]-t_Parts[[#This Row],[hp2019]])*t_Parts[[NetPPH]:[NetPPH]]</f>
        <v>4804800</v>
      </c>
    </row>
    <row r="7" spans="1:182" s="14" customFormat="1" x14ac:dyDescent="0.25">
      <c r="A7" s="74" t="s">
        <v>656</v>
      </c>
      <c r="B7" s="74"/>
      <c r="C7" s="74">
        <v>21003</v>
      </c>
      <c r="D7" s="75">
        <v>1</v>
      </c>
      <c r="E7" s="73">
        <v>2400</v>
      </c>
      <c r="F7" s="76">
        <v>1</v>
      </c>
      <c r="G7" s="77">
        <v>4</v>
      </c>
      <c r="H7" s="16">
        <v>2015.01</v>
      </c>
      <c r="I7" s="16" t="s">
        <v>81</v>
      </c>
      <c r="J7" s="73">
        <v>372824</v>
      </c>
      <c r="K7" s="73">
        <v>372824</v>
      </c>
      <c r="L7" s="73">
        <v>372824</v>
      </c>
      <c r="M7" s="73">
        <v>372824</v>
      </c>
      <c r="N7" s="73">
        <v>372824</v>
      </c>
      <c r="O7" s="78">
        <v>28</v>
      </c>
      <c r="P7" s="78">
        <v>54</v>
      </c>
      <c r="Q7" s="79">
        <v>20.99</v>
      </c>
      <c r="R7" s="79"/>
      <c r="S7" s="78">
        <v>210</v>
      </c>
      <c r="T7" s="80">
        <v>15</v>
      </c>
      <c r="U7" s="80" t="s">
        <v>121</v>
      </c>
      <c r="V7" s="81" t="s">
        <v>657</v>
      </c>
      <c r="W7" s="82">
        <v>1.32</v>
      </c>
      <c r="X7" s="82" t="s">
        <v>608</v>
      </c>
      <c r="Y7" s="82"/>
      <c r="Z7" s="82"/>
      <c r="AA7" s="82"/>
      <c r="AB7" s="82"/>
      <c r="AC7" s="83" t="s">
        <v>667</v>
      </c>
      <c r="AD7" s="40" t="str">
        <f>VLOOKUP(t_Parts[[#This Row],[Press]],t_Presses[],Press!B$1,FALSE)</f>
        <v>Plainfield</v>
      </c>
      <c r="AE7" s="40" t="str">
        <f>VLOOKUP(t_Parts[[#This Row],[Press]],t_Presses[],Press!E$1,FALSE)</f>
        <v>300-599</v>
      </c>
      <c r="AF7" s="47">
        <f>VLOOKUP(t_Parts[[#This Row],[Plant]],t_Plants[],Plants!C$1,FALSE)</f>
        <v>0.55000000000000004</v>
      </c>
      <c r="AG7" s="47">
        <f>VLOOKUP(t_Parts[[#This Row],[Press]],t_Presses[],Press!F$1,FALSE)</f>
        <v>0</v>
      </c>
      <c r="AH7" s="84"/>
      <c r="AI7" s="47">
        <f>IF(ISBLANK(t_Parts[[#This Row],[PartOEE]])=FALSE,t_Parts[[#This Row],[PartOEE]], IF(t_Parts[[#This Row],[PressOEE]]&gt;0, t_Parts[[#This Row],[PressOEE]], t_Parts[[#This Row],[PlantOEE]] ))</f>
        <v>0.55000000000000004</v>
      </c>
      <c r="AJ7" s="70">
        <f>t_Parts[[#This Row],[SetupsPerMo]]*t_Parts[[#This Row],[SetupHrs]]</f>
        <v>4</v>
      </c>
      <c r="AK7" s="39">
        <f>(t_Parts[[#This Row],[PartsPerStroke]]*t_Parts[[#This Row],[StrokesPerHr]])*t_Parts[[#This Row],[UseOEE]]</f>
        <v>1320</v>
      </c>
      <c r="AL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28678.769230769227</v>
      </c>
      <c r="AM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28678.769230769227</v>
      </c>
      <c r="AN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35848.461538461532</v>
      </c>
      <c r="AO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28678.769230769227</v>
      </c>
      <c r="AP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28678.769230769227</v>
      </c>
      <c r="AQ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35848.461538461532</v>
      </c>
      <c r="AR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28678.769230769227</v>
      </c>
      <c r="AS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28678.769230769227</v>
      </c>
      <c r="AT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35848.461538461532</v>
      </c>
      <c r="AU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28678.769230769227</v>
      </c>
      <c r="AV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28678.769230769227</v>
      </c>
      <c r="AW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35848.461538461532</v>
      </c>
      <c r="AX7" s="39">
        <f>SUM(t_Parts[[#This Row],[pv2015.01]:[pv2015.12]])</f>
        <v>372824</v>
      </c>
      <c r="AY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28678.769230769227</v>
      </c>
      <c r="AZ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28678.769230769227</v>
      </c>
      <c r="BA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35848.461538461532</v>
      </c>
      <c r="BB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28678.769230769227</v>
      </c>
      <c r="BC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28678.769230769227</v>
      </c>
      <c r="BD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35848.461538461532</v>
      </c>
      <c r="BE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28678.769230769227</v>
      </c>
      <c r="BF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28678.769230769227</v>
      </c>
      <c r="BG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35848.461538461532</v>
      </c>
      <c r="BH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28678.769230769227</v>
      </c>
      <c r="BI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28678.769230769227</v>
      </c>
      <c r="BJ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35848.461538461532</v>
      </c>
      <c r="BK7" s="39">
        <f>SUM(t_Parts[[#This Row],[pv2016.01]:[pv2016.12]])</f>
        <v>372824</v>
      </c>
      <c r="BL7" s="39">
        <f>t_Parts[[#This Row],[2017vol]]</f>
        <v>372824</v>
      </c>
      <c r="BM7" s="39">
        <f>t_Parts[[#This Row],[2018vol]]</f>
        <v>372824</v>
      </c>
      <c r="BN7" s="39">
        <f>t_Parts[[#This Row],[2019vol]]</f>
        <v>372824</v>
      </c>
      <c r="BO7" s="40">
        <f>VLOOKUP(t_Parts[[Plant]:[Plant]],t_Plants[],Plants!CN$1,FALSE)</f>
        <v>280</v>
      </c>
      <c r="BP7" s="14">
        <f>VLOOKUP(t_Parts[[Plant]:[Plant]],t_Plants[],Plants!CO$1,FALSE)</f>
        <v>280</v>
      </c>
      <c r="BQ7" s="14">
        <f>VLOOKUP(t_Parts[[Plant]:[Plant]],t_Plants[],Plants!CP$1,FALSE)</f>
        <v>350</v>
      </c>
      <c r="BR7" s="14">
        <f>VLOOKUP(t_Parts[[Plant]:[Plant]],t_Plants[],Plants!CQ$1,FALSE)</f>
        <v>280</v>
      </c>
      <c r="BS7" s="14">
        <f>VLOOKUP(t_Parts[[Plant]:[Plant]],t_Plants[],Plants!CR$1,FALSE)</f>
        <v>280</v>
      </c>
      <c r="BT7" s="14">
        <f>VLOOKUP(t_Parts[[Plant]:[Plant]],t_Plants[],Plants!CS$1,FALSE)</f>
        <v>350</v>
      </c>
      <c r="BU7" s="14">
        <f>VLOOKUP(t_Parts[[Plant]:[Plant]],t_Plants[],Plants!CT$1,FALSE)</f>
        <v>280</v>
      </c>
      <c r="BV7" s="14">
        <f>VLOOKUP(t_Parts[[Plant]:[Plant]],t_Plants[],Plants!CU$1,FALSE)</f>
        <v>280</v>
      </c>
      <c r="BW7" s="14">
        <f>VLOOKUP(t_Parts[[Plant]:[Plant]],t_Plants[],Plants!CV$1,FALSE)</f>
        <v>350</v>
      </c>
      <c r="BX7" s="14">
        <f>VLOOKUP(t_Parts[[Plant]:[Plant]],t_Plants[],Plants!CW$1,FALSE)</f>
        <v>280</v>
      </c>
      <c r="BY7" s="14">
        <f>VLOOKUP(t_Parts[[Plant]:[Plant]],t_Plants[],Plants!CX$1,FALSE)</f>
        <v>280</v>
      </c>
      <c r="BZ7" s="14">
        <f>VLOOKUP(t_Parts[[Plant]:[Plant]],t_Plants[],Plants!CY$1,FALSE)</f>
        <v>350</v>
      </c>
      <c r="CA7" s="40">
        <f>SUM(t_Parts[[#This Row],[ha2015.01]:[ha2015.12]])</f>
        <v>3640</v>
      </c>
      <c r="CB7" s="14">
        <f>VLOOKUP(t_Parts[[Plant]:[Plant]],t_Plants[],Plants!DA$1,FALSE)</f>
        <v>280</v>
      </c>
      <c r="CC7" s="14">
        <f>VLOOKUP(t_Parts[[Plant]:[Plant]],t_Plants[],Plants!DB$1,FALSE)</f>
        <v>280</v>
      </c>
      <c r="CD7" s="14">
        <f>VLOOKUP(t_Parts[[Plant]:[Plant]],t_Plants[],Plants!DC$1,FALSE)</f>
        <v>350</v>
      </c>
      <c r="CE7" s="14">
        <f>VLOOKUP(t_Parts[[Plant]:[Plant]],t_Plants[],Plants!DD$1,FALSE)</f>
        <v>280</v>
      </c>
      <c r="CF7" s="14">
        <f>VLOOKUP(t_Parts[[Plant]:[Plant]],t_Plants[],Plants!DE$1,FALSE)</f>
        <v>280</v>
      </c>
      <c r="CG7" s="14">
        <f>VLOOKUP(t_Parts[[Plant]:[Plant]],t_Plants[],Plants!DF$1,FALSE)</f>
        <v>350</v>
      </c>
      <c r="CH7" s="14">
        <f>VLOOKUP(t_Parts[[Plant]:[Plant]],t_Plants[],Plants!DG$1,FALSE)</f>
        <v>280</v>
      </c>
      <c r="CI7" s="14">
        <f>VLOOKUP(t_Parts[[Plant]:[Plant]],t_Plants[],Plants!DH$1,FALSE)</f>
        <v>280</v>
      </c>
      <c r="CJ7" s="14">
        <f>VLOOKUP(t_Parts[[Plant]:[Plant]],t_Plants[],Plants!DI$1,FALSE)</f>
        <v>350</v>
      </c>
      <c r="CK7" s="14">
        <f>VLOOKUP(t_Parts[[Plant]:[Plant]],t_Plants[],Plants!DJ$1,FALSE)</f>
        <v>280</v>
      </c>
      <c r="CL7" s="14">
        <f>VLOOKUP(t_Parts[[Plant]:[Plant]],t_Plants[],Plants!DK$1,FALSE)</f>
        <v>280</v>
      </c>
      <c r="CM7" s="14">
        <f>VLOOKUP(t_Parts[[Plant]:[Plant]],t_Plants[],Plants!DL$1,FALSE)</f>
        <v>350</v>
      </c>
      <c r="CN7" s="14">
        <f>VLOOKUP(t_Parts[[Plant]:[Plant]],t_Plants[],Plants!DM$1,FALSE)</f>
        <v>3640</v>
      </c>
      <c r="CO7" s="14">
        <f>VLOOKUP(t_Parts[[Plant]:[Plant]],t_Plants[],Plants!DN$1,FALSE)</f>
        <v>3640</v>
      </c>
      <c r="CP7" s="14">
        <f>VLOOKUP(t_Parts[[Plant]:[Plant]],t_Plants[],Plants!DO$1,FALSE)</f>
        <v>3640</v>
      </c>
      <c r="CQ7" s="14">
        <f>VLOOKUP(t_Parts[[Plant]:[Plant]],t_Plants[],Plants!DP$1,FALSE)</f>
        <v>3640</v>
      </c>
      <c r="CR7" s="39">
        <f>IF(AND(AL$3&gt;=VALUE(t_Parts[[SOP]:[SOP]]),AL$3&lt;=VALUE(t_Parts[[EOP]:[EOP]])), t_Parts[[SetupHrsPerMo]:[SetupHrsPerMo]]+(t_Parts[[#This Row],[pv2015.01]]/t_Parts[[NetPPH]:[NetPPH]]),0)</f>
        <v>25.726340326340324</v>
      </c>
      <c r="CS7" s="39">
        <f>IF(AND(AM$3&gt;=VALUE(t_Parts[[SOP]:[SOP]]),AM$3&lt;=VALUE(t_Parts[[EOP]:[EOP]])), t_Parts[[SetupHrsPerMo]:[SetupHrsPerMo]]+(t_Parts[[#This Row],[pv2015.02]]/t_Parts[[NetPPH]:[NetPPH]]),0)</f>
        <v>25.726340326340324</v>
      </c>
      <c r="CT7" s="39">
        <f>IF(AND(AN$3&gt;=VALUE(t_Parts[[SOP]:[SOP]]),AN$3&lt;=VALUE(t_Parts[[EOP]:[EOP]])), t_Parts[[SetupHrsPerMo]:[SetupHrsPerMo]]+(t_Parts[[#This Row],[pv2015.03]]/t_Parts[[NetPPH]:[NetPPH]]),0)</f>
        <v>31.157925407925404</v>
      </c>
      <c r="CU7" s="39">
        <f>IF(AND(AO$3&gt;=VALUE(t_Parts[[SOP]:[SOP]]),AO$3&lt;=VALUE(t_Parts[[EOP]:[EOP]])), t_Parts[[SetupHrsPerMo]:[SetupHrsPerMo]]+(t_Parts[[#This Row],[pv2015.04]]/t_Parts[[NetPPH]:[NetPPH]]),0)</f>
        <v>25.726340326340324</v>
      </c>
      <c r="CV7" s="39">
        <f>IF(AND(AP$3&gt;=VALUE(t_Parts[[SOP]:[SOP]]),AP$3&lt;=VALUE(t_Parts[[EOP]:[EOP]])), t_Parts[[SetupHrsPerMo]:[SetupHrsPerMo]]+(t_Parts[[#This Row],[pv2015.05]]/t_Parts[[NetPPH]:[NetPPH]]),0)</f>
        <v>25.726340326340324</v>
      </c>
      <c r="CW7" s="39">
        <f>IF(AND(AQ$3&gt;=VALUE(t_Parts[[SOP]:[SOP]]),AQ$3&lt;=VALUE(t_Parts[[EOP]:[EOP]])), t_Parts[[SetupHrsPerMo]:[SetupHrsPerMo]]+(t_Parts[[#This Row],[pv2015.06]]/t_Parts[[NetPPH]:[NetPPH]]),0)</f>
        <v>31.157925407925404</v>
      </c>
      <c r="CX7" s="39">
        <f>IF(AND(AR$3&gt;=VALUE(t_Parts[[SOP]:[SOP]]),AR$3&lt;=VALUE(t_Parts[[EOP]:[EOP]])), t_Parts[[SetupHrsPerMo]:[SetupHrsPerMo]]+(t_Parts[[#This Row],[pv2015.07]]/t_Parts[[NetPPH]:[NetPPH]]),0)</f>
        <v>25.726340326340324</v>
      </c>
      <c r="CY7" s="39">
        <f>IF(AND(AS$3&gt;=VALUE(t_Parts[[SOP]:[SOP]]),AS$3&lt;=VALUE(t_Parts[[EOP]:[EOP]])), t_Parts[[SetupHrsPerMo]:[SetupHrsPerMo]]+(t_Parts[[#This Row],[pv2015.08]]/t_Parts[[NetPPH]:[NetPPH]]),0)</f>
        <v>25.726340326340324</v>
      </c>
      <c r="CZ7" s="39">
        <f>IF(AND(AT$3&gt;=VALUE(t_Parts[[SOP]:[SOP]]),AT$3&lt;=VALUE(t_Parts[[EOP]:[EOP]])), t_Parts[[SetupHrsPerMo]:[SetupHrsPerMo]]+(t_Parts[[#This Row],[pv2015.09]]/t_Parts[[NetPPH]:[NetPPH]]),0)</f>
        <v>31.157925407925404</v>
      </c>
      <c r="DA7" s="39">
        <f>IF(AND(AU$3&gt;=VALUE(t_Parts[[SOP]:[SOP]]),AU$3&lt;=VALUE(t_Parts[[EOP]:[EOP]])), t_Parts[[SetupHrsPerMo]:[SetupHrsPerMo]]+(t_Parts[[#This Row],[pv2015.10]]/t_Parts[[NetPPH]:[NetPPH]]),0)</f>
        <v>25.726340326340324</v>
      </c>
      <c r="DB7" s="39">
        <f>IF(AND(AV$3&gt;=VALUE(t_Parts[[SOP]:[SOP]]),AV$3&lt;=VALUE(t_Parts[[EOP]:[EOP]])), t_Parts[[SetupHrsPerMo]:[SetupHrsPerMo]]+(t_Parts[[#This Row],[pv2015.11]]/t_Parts[[NetPPH]:[NetPPH]]),0)</f>
        <v>25.726340326340324</v>
      </c>
      <c r="DC7" s="39">
        <f>IF(AND(AW$3&gt;=VALUE(t_Parts[[SOP]:[SOP]]),AW$3&lt;=VALUE(t_Parts[[EOP]:[EOP]])), t_Parts[[SetupHrsPerMo]:[SetupHrsPerMo]]+(t_Parts[[#This Row],[pv2015.12]]/t_Parts[[NetPPH]:[NetPPH]]),0)</f>
        <v>31.157925407925404</v>
      </c>
      <c r="DD7" s="39">
        <f>SUM(t_Parts[[#This Row],[hp2015.01]:[hp2015.12]])</f>
        <v>330.44242424242424</v>
      </c>
      <c r="DE7" s="39">
        <f>IF(AND(AY$3&gt;=VALUE(t_Parts[[SOP]:[SOP]]),AY$3&lt;=VALUE(t_Parts[[EOP]:[EOP]])), t_Parts[[SetupHrsPerMo]:[SetupHrsPerMo]]+(t_Parts[[#This Row],[pv2016.01]]/t_Parts[[NetPPH]:[NetPPH]]),0)</f>
        <v>25.726340326340324</v>
      </c>
      <c r="DF7" s="39">
        <f>IF(AND(AZ$3&gt;=VALUE(t_Parts[[SOP]:[SOP]]),AZ$3&lt;=VALUE(t_Parts[[EOP]:[EOP]])), t_Parts[[SetupHrsPerMo]:[SetupHrsPerMo]]+(t_Parts[[#This Row],[pv2016.02]]/t_Parts[[NetPPH]:[NetPPH]]),0)</f>
        <v>25.726340326340324</v>
      </c>
      <c r="DG7" s="39">
        <f>IF(AND(BA$3&gt;=VALUE(t_Parts[[SOP]:[SOP]]),BA$3&lt;=VALUE(t_Parts[[EOP]:[EOP]])), t_Parts[[SetupHrsPerMo]:[SetupHrsPerMo]]+(t_Parts[[#This Row],[pv2016.03]]/t_Parts[[NetPPH]:[NetPPH]]),0)</f>
        <v>31.157925407925404</v>
      </c>
      <c r="DH7" s="39">
        <f>IF(AND(BB$3&gt;=VALUE(t_Parts[[SOP]:[SOP]]),BB$3&lt;=VALUE(t_Parts[[EOP]:[EOP]])), t_Parts[[SetupHrsPerMo]:[SetupHrsPerMo]]+(t_Parts[[#This Row],[pv2016.04]]/t_Parts[[NetPPH]:[NetPPH]]),0)</f>
        <v>25.726340326340324</v>
      </c>
      <c r="DI7" s="39">
        <f>IF(AND(BC$3&gt;=VALUE(t_Parts[[SOP]:[SOP]]),BC$3&lt;=VALUE(t_Parts[[EOP]:[EOP]])), t_Parts[[SetupHrsPerMo]:[SetupHrsPerMo]]+(t_Parts[[#This Row],[pv2016.05]]/t_Parts[[NetPPH]:[NetPPH]]),0)</f>
        <v>25.726340326340324</v>
      </c>
      <c r="DJ7" s="39">
        <f>IF(AND(BD$3&gt;=VALUE(t_Parts[[SOP]:[SOP]]),BD$3&lt;=VALUE(t_Parts[[EOP]:[EOP]])), t_Parts[[SetupHrsPerMo]:[SetupHrsPerMo]]+(t_Parts[[#This Row],[pv2016.06]]/t_Parts[[NetPPH]:[NetPPH]]),0)</f>
        <v>31.157925407925404</v>
      </c>
      <c r="DK7" s="39">
        <f>IF(AND(BE$3&gt;=VALUE(t_Parts[[SOP]:[SOP]]),BE$3&lt;=VALUE(t_Parts[[EOP]:[EOP]])), t_Parts[[SetupHrsPerMo]:[SetupHrsPerMo]]+(t_Parts[[#This Row],[pv2016.07]]/t_Parts[[NetPPH]:[NetPPH]]),0)</f>
        <v>25.726340326340324</v>
      </c>
      <c r="DL7" s="39">
        <f>IF(AND(BF$3&gt;=VALUE(t_Parts[[SOP]:[SOP]]),BF$3&lt;=VALUE(t_Parts[[EOP]:[EOP]])), t_Parts[[SetupHrsPerMo]:[SetupHrsPerMo]]+(t_Parts[[#This Row],[pv2016.08]]/t_Parts[[NetPPH]:[NetPPH]]),0)</f>
        <v>25.726340326340324</v>
      </c>
      <c r="DM7" s="39">
        <f>IF(AND(BG$3&gt;=VALUE(t_Parts[[SOP]:[SOP]]),BG$3&lt;=VALUE(t_Parts[[EOP]:[EOP]])), t_Parts[[SetupHrsPerMo]:[SetupHrsPerMo]]+(t_Parts[[#This Row],[pv2016.09]]/t_Parts[[NetPPH]:[NetPPH]]),0)</f>
        <v>31.157925407925404</v>
      </c>
      <c r="DN7" s="39">
        <f>IF(AND(BH$3&gt;=VALUE(t_Parts[[SOP]:[SOP]]),BH$3&lt;=VALUE(t_Parts[[EOP]:[EOP]])), t_Parts[[SetupHrsPerMo]:[SetupHrsPerMo]]+(t_Parts[[#This Row],[pv2016.10]]/t_Parts[[NetPPH]:[NetPPH]]),0)</f>
        <v>25.726340326340324</v>
      </c>
      <c r="DO7" s="39">
        <f>IF(AND(BI$3&gt;=VALUE(t_Parts[[SOP]:[SOP]]),BI$3&lt;=VALUE(t_Parts[[EOP]:[EOP]])), t_Parts[[SetupHrsPerMo]:[SetupHrsPerMo]]+(t_Parts[[#This Row],[pv2016.11]]/t_Parts[[NetPPH]:[NetPPH]]),0)</f>
        <v>25.726340326340324</v>
      </c>
      <c r="DP7" s="39">
        <f>IF(AND(BJ$3&gt;=VALUE(t_Parts[[SOP]:[SOP]]),BJ$3&lt;=VALUE(t_Parts[[EOP]:[EOP]])), t_Parts[[SetupHrsPerMo]:[SetupHrsPerMo]]+(t_Parts[[#This Row],[pv2016.12]]/t_Parts[[NetPPH]:[NetPPH]]),0)</f>
        <v>31.157925407925404</v>
      </c>
      <c r="DQ7" s="39">
        <f>SUM(t_Parts[[#This Row],[hp2016.01]:[hp2016.12]])</f>
        <v>330.44242424242424</v>
      </c>
      <c r="DR7" s="39">
        <f>IF(AND(BL$3&gt;=VALUE(t_Parts[[SOP]:[SOP]]),BL$3&lt;=VALUE(t_Parts[[EOP]:[EOP]])), 12*t_Parts[[SetupHrsPerMo]:[SetupHrsPerMo]]+(t_Parts[[#This Row],[pv2017]]/t_Parts[[NetPPH]:[NetPPH]]),0)</f>
        <v>330.44242424242424</v>
      </c>
      <c r="DS7" s="39">
        <f>IF(AND(BM$3&gt;=VALUE(t_Parts[[SOP]:[SOP]]),BM$3&lt;=VALUE(t_Parts[[EOP]:[EOP]])), 12*t_Parts[[SetupHrsPerMo]:[SetupHrsPerMo]]+(t_Parts[[#This Row],[pv2018]]/t_Parts[[NetPPH]:[NetPPH]]),0)</f>
        <v>0</v>
      </c>
      <c r="DT7" s="39">
        <f>IF(AND(BN$3&gt;=VALUE(t_Parts[[SOP]:[SOP]]),BN$3&lt;=VALUE(t_Parts[[EOP]:[EOP]])), 12*t_Parts[[SetupHrsPerMo]:[SetupHrsPerMo]]+(t_Parts[[#This Row],[pv2019]]/t_Parts[[NetPPH]:[NetPPH]]),0)</f>
        <v>0</v>
      </c>
      <c r="DU7" s="47">
        <f>t_Parts[[#This Row],[hp2015.01]]/t_Parts[[#This Row],[ha2015.01]]</f>
        <v>9.1879786879786873E-2</v>
      </c>
      <c r="DV7" s="47">
        <f>t_Parts[[#This Row],[hp2015.02]]/t_Parts[[#This Row],[ha2015.02]]</f>
        <v>9.1879786879786873E-2</v>
      </c>
      <c r="DW7" s="47">
        <f>t_Parts[[#This Row],[hp2015.03]]/t_Parts[[#This Row],[ha2015.03]]</f>
        <v>8.902264402264401E-2</v>
      </c>
      <c r="DX7" s="47">
        <f>t_Parts[[#This Row],[hp2015.04]]/t_Parts[[#This Row],[ha2015.04]]</f>
        <v>9.1879786879786873E-2</v>
      </c>
      <c r="DY7" s="47">
        <f>t_Parts[[#This Row],[hp2015.05]]/t_Parts[[#This Row],[ha2015.05]]</f>
        <v>9.1879786879786873E-2</v>
      </c>
      <c r="DZ7" s="47">
        <f>t_Parts[[#This Row],[hp2015.06]]/t_Parts[[#This Row],[ha2015.06]]</f>
        <v>8.902264402264401E-2</v>
      </c>
      <c r="EA7" s="47">
        <f>t_Parts[[#This Row],[hp2015.07]]/t_Parts[[#This Row],[ha2015.07]]</f>
        <v>9.1879786879786873E-2</v>
      </c>
      <c r="EB7" s="47">
        <f>t_Parts[[#This Row],[hp2015.08]]/t_Parts[[#This Row],[ha2015.08]]</f>
        <v>9.1879786879786873E-2</v>
      </c>
      <c r="EC7" s="47">
        <f>t_Parts[[#This Row],[hp2015.09]]/t_Parts[[#This Row],[ha2015.09]]</f>
        <v>8.902264402264401E-2</v>
      </c>
      <c r="ED7" s="47">
        <f>t_Parts[[#This Row],[hp2015.10]]/t_Parts[[#This Row],[ha2015.10]]</f>
        <v>9.1879786879786873E-2</v>
      </c>
      <c r="EE7" s="47">
        <f>t_Parts[[#This Row],[hp2015.11]]/t_Parts[[#This Row],[ha2015.11]]</f>
        <v>9.1879786879786873E-2</v>
      </c>
      <c r="EF7" s="47">
        <f>t_Parts[[#This Row],[hp2015.12]]/t_Parts[[#This Row],[ha2015.12]]</f>
        <v>8.902264402264401E-2</v>
      </c>
      <c r="EG7" s="47">
        <f>t_Parts[[#This Row],[hp2015.FY]]/t_Parts[[#This Row],[ha2015.FY]]</f>
        <v>9.0780885780885778E-2</v>
      </c>
      <c r="EH7" s="47">
        <f>t_Parts[[#This Row],[hp2016.01]]/t_Parts[[#This Row],[ha2016.01]]</f>
        <v>9.1879786879786873E-2</v>
      </c>
      <c r="EI7" s="47">
        <f>t_Parts[[#This Row],[hp2016.02]]/t_Parts[[#This Row],[ha2016.02]]</f>
        <v>9.1879786879786873E-2</v>
      </c>
      <c r="EJ7" s="47">
        <f>t_Parts[[#This Row],[hp2016.03]]/t_Parts[[#This Row],[ha2016.03]]</f>
        <v>8.902264402264401E-2</v>
      </c>
      <c r="EK7" s="47">
        <f>t_Parts[[#This Row],[hp2016.04]]/t_Parts[[#This Row],[ha2016.04]]</f>
        <v>9.1879786879786873E-2</v>
      </c>
      <c r="EL7" s="47">
        <f>t_Parts[[#This Row],[hp2016.05]]/t_Parts[[#This Row],[ha2016.05]]</f>
        <v>9.1879786879786873E-2</v>
      </c>
      <c r="EM7" s="47">
        <f>t_Parts[[#This Row],[hp2016.06]]/t_Parts[[#This Row],[ha2016.06]]</f>
        <v>8.902264402264401E-2</v>
      </c>
      <c r="EN7" s="47">
        <f>t_Parts[[#This Row],[hp2016.07]]/t_Parts[[#This Row],[ha2016.07]]</f>
        <v>9.1879786879786873E-2</v>
      </c>
      <c r="EO7" s="47">
        <f>t_Parts[[#This Row],[hp2016.08]]/t_Parts[[#This Row],[ha2016.08]]</f>
        <v>9.1879786879786873E-2</v>
      </c>
      <c r="EP7" s="47">
        <f>t_Parts[[#This Row],[hp2016.09]]/t_Parts[[#This Row],[ha2016.09]]</f>
        <v>8.902264402264401E-2</v>
      </c>
      <c r="EQ7" s="47">
        <f>t_Parts[[#This Row],[hp2016.10]]/t_Parts[[#This Row],[ha2016.10]]</f>
        <v>9.1879786879786873E-2</v>
      </c>
      <c r="ER7" s="47">
        <f>t_Parts[[#This Row],[hp2016.11]]/t_Parts[[#This Row],[ha2016.11]]</f>
        <v>9.1879786879786873E-2</v>
      </c>
      <c r="ES7" s="47">
        <f>t_Parts[[#This Row],[hp2016.12]]/t_Parts[[#This Row],[ha2016.12]]</f>
        <v>8.902264402264401E-2</v>
      </c>
      <c r="ET7" s="47">
        <f>t_Parts[[#This Row],[hp2016.FY]]/t_Parts[[#This Row],[ha2016.FY]]</f>
        <v>9.0780885780885778E-2</v>
      </c>
      <c r="EU7" s="47">
        <f>t_Parts[[#This Row],[hp2017]]/t_Parts[[#This Row],[ha2017]]</f>
        <v>9.0780885780885778E-2</v>
      </c>
      <c r="EV7" s="47">
        <f>t_Parts[[#This Row],[hp2018]]/t_Parts[[#This Row],[ha2018]]</f>
        <v>0</v>
      </c>
      <c r="EW7" s="47">
        <f>t_Parts[[#This Row],[hp2019]]/t_Parts[[#This Row],[hp2015.01]]</f>
        <v>0</v>
      </c>
      <c r="EX7" s="58">
        <f>(t_Parts[[#This Row],[ha2015.01]]-t_Parts[[#This Row],[hp2015.01]])*t_Parts[[NetPPH]:[NetPPH]]</f>
        <v>335641.23076923075</v>
      </c>
      <c r="EY7" s="58">
        <f>(t_Parts[[#This Row],[ha2015.02]]-t_Parts[[#This Row],[hp2015.02]])*t_Parts[[NetPPH]:[NetPPH]]</f>
        <v>335641.23076923075</v>
      </c>
      <c r="EZ7" s="58">
        <f>(t_Parts[[#This Row],[ha2015.03]]-t_Parts[[#This Row],[hp2015.03]])*t_Parts[[NetPPH]:[NetPPH]]</f>
        <v>420871.53846153844</v>
      </c>
      <c r="FA7" s="58">
        <f>(t_Parts[[#This Row],[ha2015.04]]-t_Parts[[#This Row],[hp2015.04]])*t_Parts[[NetPPH]:[NetPPH]]</f>
        <v>335641.23076923075</v>
      </c>
      <c r="FB7" s="58">
        <f>(t_Parts[[#This Row],[ha2015.05]]-t_Parts[[#This Row],[hp2015.05]])*t_Parts[[NetPPH]:[NetPPH]]</f>
        <v>335641.23076923075</v>
      </c>
      <c r="FC7" s="58">
        <f>(t_Parts[[#This Row],[ha2015.06]]-t_Parts[[#This Row],[hp2015.06]])*t_Parts[[NetPPH]:[NetPPH]]</f>
        <v>420871.53846153844</v>
      </c>
      <c r="FD7" s="58">
        <f>(t_Parts[[#This Row],[ha2015.07]]-t_Parts[[#This Row],[hp2015.07]])*t_Parts[[NetPPH]:[NetPPH]]</f>
        <v>335641.23076923075</v>
      </c>
      <c r="FE7" s="58">
        <f>(t_Parts[[#This Row],[ha2015.08]]-t_Parts[[#This Row],[hp2015.08]])*t_Parts[[NetPPH]:[NetPPH]]</f>
        <v>335641.23076923075</v>
      </c>
      <c r="FF7" s="58">
        <f>(t_Parts[[#This Row],[ha2015.09]]-t_Parts[[#This Row],[hp2015.09]])*t_Parts[[NetPPH]:[NetPPH]]</f>
        <v>420871.53846153844</v>
      </c>
      <c r="FG7" s="58">
        <f>(t_Parts[[#This Row],[ha2015.10]]-t_Parts[[#This Row],[hp2015.10]])*t_Parts[[NetPPH]:[NetPPH]]</f>
        <v>335641.23076923075</v>
      </c>
      <c r="FH7" s="58">
        <f>(t_Parts[[#This Row],[ha2015.11]]-t_Parts[[#This Row],[hp2015.11]])*t_Parts[[NetPPH]:[NetPPH]]</f>
        <v>335641.23076923075</v>
      </c>
      <c r="FI7" s="58">
        <f>(t_Parts[[#This Row],[ha2015.12]]-t_Parts[[#This Row],[hp2015.12]])*t_Parts[[NetPPH]:[NetPPH]]</f>
        <v>420871.53846153844</v>
      </c>
      <c r="FJ7" s="58">
        <f>(t_Parts[[#This Row],[ha2015.FY]]-t_Parts[[#This Row],[hp2015.FY]])*t_Parts[[NetPPH]:[NetPPH]]</f>
        <v>4368616</v>
      </c>
      <c r="FK7" s="58">
        <f>(t_Parts[[#This Row],[ha2016.01]]-t_Parts[[#This Row],[hp2016.01]])*t_Parts[[NetPPH]:[NetPPH]]</f>
        <v>335641.23076923075</v>
      </c>
      <c r="FL7" s="58">
        <f>(t_Parts[[#This Row],[ha2016.02]]-t_Parts[[#This Row],[hp2016.02]])*t_Parts[[NetPPH]:[NetPPH]]</f>
        <v>335641.23076923075</v>
      </c>
      <c r="FM7" s="58">
        <f>(t_Parts[[#This Row],[ha2016.03]]-t_Parts[[#This Row],[hp2016.03]])*t_Parts[[NetPPH]:[NetPPH]]</f>
        <v>420871.53846153844</v>
      </c>
      <c r="FN7" s="58">
        <f>(t_Parts[[#This Row],[ha2016.04]]-t_Parts[[#This Row],[hp2016.04]])*t_Parts[[NetPPH]:[NetPPH]]</f>
        <v>335641.23076923075</v>
      </c>
      <c r="FO7" s="58">
        <f>(t_Parts[[#This Row],[ha2016.05]]-t_Parts[[#This Row],[hp2016.05]])*t_Parts[[NetPPH]:[NetPPH]]</f>
        <v>335641.23076923075</v>
      </c>
      <c r="FP7" s="58">
        <f>(t_Parts[[#This Row],[ha2016.06]]-t_Parts[[#This Row],[hp2016.06]])*t_Parts[[NetPPH]:[NetPPH]]</f>
        <v>420871.53846153844</v>
      </c>
      <c r="FQ7" s="58">
        <f>(t_Parts[[#This Row],[ha2016.07]]-t_Parts[[#This Row],[hp2016.07]])*t_Parts[[NetPPH]:[NetPPH]]</f>
        <v>335641.23076923075</v>
      </c>
      <c r="FR7" s="58">
        <f>(t_Parts[[#This Row],[ha2016.08]]-t_Parts[[#This Row],[hp2016.08]])*t_Parts[[NetPPH]:[NetPPH]]</f>
        <v>335641.23076923075</v>
      </c>
      <c r="FS7" s="58">
        <f>(t_Parts[[#This Row],[ha2016.09]]-t_Parts[[#This Row],[hp2016.09]])*t_Parts[[NetPPH]:[NetPPH]]</f>
        <v>420871.53846153844</v>
      </c>
      <c r="FT7" s="58">
        <f>(t_Parts[[#This Row],[ha2016.10]]-t_Parts[[#This Row],[hp2016.10]])*t_Parts[[NetPPH]:[NetPPH]]</f>
        <v>335641.23076923075</v>
      </c>
      <c r="FU7" s="58">
        <f>(t_Parts[[#This Row],[ha2016.11]]-t_Parts[[#This Row],[hp2016.11]])*t_Parts[[NetPPH]:[NetPPH]]</f>
        <v>335641.23076923075</v>
      </c>
      <c r="FV7" s="58">
        <f>(t_Parts[[#This Row],[ha2016.12]]-t_Parts[[#This Row],[hp2016.12]])*t_Parts[[NetPPH]:[NetPPH]]</f>
        <v>420871.53846153844</v>
      </c>
      <c r="FW7" s="58">
        <f>(t_Parts[[#This Row],[ha2016.FY]]-t_Parts[[#This Row],[hp2016.FY]])*t_Parts[[NetPPH]:[NetPPH]]</f>
        <v>4368616</v>
      </c>
      <c r="FX7" s="58">
        <f>(t_Parts[[#This Row],[ha2017]]-t_Parts[[#This Row],[hp2017]])*t_Parts[[NetPPH]:[NetPPH]]</f>
        <v>4368616</v>
      </c>
      <c r="FY7" s="58">
        <f>(t_Parts[[#This Row],[ha2018]]-t_Parts[[#This Row],[hp2018]])*t_Parts[[NetPPH]:[NetPPH]]</f>
        <v>4804800</v>
      </c>
      <c r="FZ7" s="58">
        <f>(t_Parts[[#This Row],[ha2019]]-t_Parts[[#This Row],[hp2019]])*t_Parts[[NetPPH]:[NetPPH]]</f>
        <v>4804800</v>
      </c>
    </row>
    <row r="8" spans="1:182" s="14" customFormat="1" x14ac:dyDescent="0.25">
      <c r="A8" s="74" t="s">
        <v>587</v>
      </c>
      <c r="B8" s="74"/>
      <c r="C8" s="74">
        <v>21015</v>
      </c>
      <c r="D8" s="75">
        <v>1</v>
      </c>
      <c r="E8" s="73">
        <v>780</v>
      </c>
      <c r="F8" s="76">
        <v>1.5</v>
      </c>
      <c r="G8" s="77">
        <v>2</v>
      </c>
      <c r="H8" s="16">
        <v>2015.01</v>
      </c>
      <c r="I8" s="16" t="s">
        <v>332</v>
      </c>
      <c r="J8" s="73">
        <v>82393</v>
      </c>
      <c r="K8" s="73">
        <v>82393</v>
      </c>
      <c r="L8" s="73">
        <v>82393</v>
      </c>
      <c r="M8" s="73">
        <v>82393</v>
      </c>
      <c r="N8" s="73">
        <v>82393</v>
      </c>
      <c r="O8" s="78">
        <v>72</v>
      </c>
      <c r="P8" s="78">
        <v>179</v>
      </c>
      <c r="Q8" s="79">
        <v>36.832999999999998</v>
      </c>
      <c r="R8" s="79"/>
      <c r="S8" s="78">
        <v>720</v>
      </c>
      <c r="T8" s="80">
        <v>23</v>
      </c>
      <c r="U8" s="80" t="s">
        <v>122</v>
      </c>
      <c r="V8" s="81" t="s">
        <v>585</v>
      </c>
      <c r="W8" s="82">
        <v>2.2999999999999998</v>
      </c>
      <c r="X8" s="82">
        <v>42734</v>
      </c>
      <c r="Y8" s="82"/>
      <c r="Z8" s="82"/>
      <c r="AA8" s="82"/>
      <c r="AB8" s="82"/>
      <c r="AC8" s="83" t="s">
        <v>111</v>
      </c>
      <c r="AD8" s="40" t="str">
        <f>VLOOKUP(t_Parts[[#This Row],[Press]],t_Presses[],Press!B$1,FALSE)</f>
        <v>Plainfield</v>
      </c>
      <c r="AE8" s="40" t="str">
        <f>VLOOKUP(t_Parts[[#This Row],[Press]],t_Presses[],Press!E$1,FALSE)</f>
        <v>900-1199</v>
      </c>
      <c r="AF8" s="47">
        <f>VLOOKUP(t_Parts[[#This Row],[Plant]],t_Plants[],Plants!C$1,FALSE)</f>
        <v>0.55000000000000004</v>
      </c>
      <c r="AG8" s="47">
        <f>VLOOKUP(t_Parts[[#This Row],[Press]],t_Presses[],Press!F$1,FALSE)</f>
        <v>0</v>
      </c>
      <c r="AH8" s="84"/>
      <c r="AI8" s="47">
        <f>IF(ISBLANK(t_Parts[[#This Row],[PartOEE]])=FALSE,t_Parts[[#This Row],[PartOEE]], IF(t_Parts[[#This Row],[PressOEE]]&gt;0, t_Parts[[#This Row],[PressOEE]], t_Parts[[#This Row],[PlantOEE]] ))</f>
        <v>0.55000000000000004</v>
      </c>
      <c r="AJ8" s="70">
        <f>t_Parts[[#This Row],[SetupsPerMo]]*t_Parts[[#This Row],[SetupHrs]]</f>
        <v>3</v>
      </c>
      <c r="AK8" s="39">
        <f>(t_Parts[[#This Row],[PartsPerStroke]]*t_Parts[[#This Row],[StrokesPerHr]])*t_Parts[[#This Row],[UseOEE]]</f>
        <v>429.00000000000006</v>
      </c>
      <c r="AL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6337.9230769230762</v>
      </c>
      <c r="AM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6337.9230769230762</v>
      </c>
      <c r="AN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7922.4038461538457</v>
      </c>
      <c r="AO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6337.9230769230762</v>
      </c>
      <c r="AP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6337.9230769230762</v>
      </c>
      <c r="AQ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7922.4038461538457</v>
      </c>
      <c r="AR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6337.9230769230762</v>
      </c>
      <c r="AS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6337.9230769230762</v>
      </c>
      <c r="AT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7922.4038461538457</v>
      </c>
      <c r="AU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6337.9230769230762</v>
      </c>
      <c r="AV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6337.9230769230762</v>
      </c>
      <c r="AW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7922.4038461538457</v>
      </c>
      <c r="AX8" s="39">
        <f>SUM(t_Parts[[#This Row],[pv2015.01]:[pv2015.12]])</f>
        <v>82393</v>
      </c>
      <c r="AY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6337.9230769230762</v>
      </c>
      <c r="AZ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6337.9230769230762</v>
      </c>
      <c r="BA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7922.4038461538457</v>
      </c>
      <c r="BB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6337.9230769230762</v>
      </c>
      <c r="BC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6337.9230769230762</v>
      </c>
      <c r="BD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7922.4038461538457</v>
      </c>
      <c r="BE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6337.9230769230762</v>
      </c>
      <c r="BF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6337.9230769230762</v>
      </c>
      <c r="BG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7922.4038461538457</v>
      </c>
      <c r="BH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6337.9230769230762</v>
      </c>
      <c r="BI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6337.9230769230762</v>
      </c>
      <c r="BJ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7922.4038461538457</v>
      </c>
      <c r="BK8" s="39">
        <f>SUM(t_Parts[[#This Row],[pv2016.01]:[pv2016.12]])</f>
        <v>82393</v>
      </c>
      <c r="BL8" s="39">
        <f>t_Parts[[#This Row],[2017vol]]</f>
        <v>82393</v>
      </c>
      <c r="BM8" s="39">
        <f>t_Parts[[#This Row],[2018vol]]</f>
        <v>82393</v>
      </c>
      <c r="BN8" s="39">
        <f>t_Parts[[#This Row],[2019vol]]</f>
        <v>82393</v>
      </c>
      <c r="BO8" s="40">
        <f>VLOOKUP(t_Parts[[Plant]:[Plant]],t_Plants[],Plants!CN$1,FALSE)</f>
        <v>280</v>
      </c>
      <c r="BP8" s="14">
        <f>VLOOKUP(t_Parts[[Plant]:[Plant]],t_Plants[],Plants!CO$1,FALSE)</f>
        <v>280</v>
      </c>
      <c r="BQ8" s="14">
        <f>VLOOKUP(t_Parts[[Plant]:[Plant]],t_Plants[],Plants!CP$1,FALSE)</f>
        <v>350</v>
      </c>
      <c r="BR8" s="14">
        <f>VLOOKUP(t_Parts[[Plant]:[Plant]],t_Plants[],Plants!CQ$1,FALSE)</f>
        <v>280</v>
      </c>
      <c r="BS8" s="14">
        <f>VLOOKUP(t_Parts[[Plant]:[Plant]],t_Plants[],Plants!CR$1,FALSE)</f>
        <v>280</v>
      </c>
      <c r="BT8" s="14">
        <f>VLOOKUP(t_Parts[[Plant]:[Plant]],t_Plants[],Plants!CS$1,FALSE)</f>
        <v>350</v>
      </c>
      <c r="BU8" s="14">
        <f>VLOOKUP(t_Parts[[Plant]:[Plant]],t_Plants[],Plants!CT$1,FALSE)</f>
        <v>280</v>
      </c>
      <c r="BV8" s="14">
        <f>VLOOKUP(t_Parts[[Plant]:[Plant]],t_Plants[],Plants!CU$1,FALSE)</f>
        <v>280</v>
      </c>
      <c r="BW8" s="14">
        <f>VLOOKUP(t_Parts[[Plant]:[Plant]],t_Plants[],Plants!CV$1,FALSE)</f>
        <v>350</v>
      </c>
      <c r="BX8" s="14">
        <f>VLOOKUP(t_Parts[[Plant]:[Plant]],t_Plants[],Plants!CW$1,FALSE)</f>
        <v>280</v>
      </c>
      <c r="BY8" s="14">
        <f>VLOOKUP(t_Parts[[Plant]:[Plant]],t_Plants[],Plants!CX$1,FALSE)</f>
        <v>280</v>
      </c>
      <c r="BZ8" s="14">
        <f>VLOOKUP(t_Parts[[Plant]:[Plant]],t_Plants[],Plants!CY$1,FALSE)</f>
        <v>350</v>
      </c>
      <c r="CA8" s="40">
        <f>SUM(t_Parts[[#This Row],[ha2015.01]:[ha2015.12]])</f>
        <v>3640</v>
      </c>
      <c r="CB8" s="14">
        <f>VLOOKUP(t_Parts[[Plant]:[Plant]],t_Plants[],Plants!DA$1,FALSE)</f>
        <v>280</v>
      </c>
      <c r="CC8" s="14">
        <f>VLOOKUP(t_Parts[[Plant]:[Plant]],t_Plants[],Plants!DB$1,FALSE)</f>
        <v>280</v>
      </c>
      <c r="CD8" s="14">
        <f>VLOOKUP(t_Parts[[Plant]:[Plant]],t_Plants[],Plants!DC$1,FALSE)</f>
        <v>350</v>
      </c>
      <c r="CE8" s="14">
        <f>VLOOKUP(t_Parts[[Plant]:[Plant]],t_Plants[],Plants!DD$1,FALSE)</f>
        <v>280</v>
      </c>
      <c r="CF8" s="14">
        <f>VLOOKUP(t_Parts[[Plant]:[Plant]],t_Plants[],Plants!DE$1,FALSE)</f>
        <v>280</v>
      </c>
      <c r="CG8" s="14">
        <f>VLOOKUP(t_Parts[[Plant]:[Plant]],t_Plants[],Plants!DF$1,FALSE)</f>
        <v>350</v>
      </c>
      <c r="CH8" s="14">
        <f>VLOOKUP(t_Parts[[Plant]:[Plant]],t_Plants[],Plants!DG$1,FALSE)</f>
        <v>280</v>
      </c>
      <c r="CI8" s="14">
        <f>VLOOKUP(t_Parts[[Plant]:[Plant]],t_Plants[],Plants!DH$1,FALSE)</f>
        <v>280</v>
      </c>
      <c r="CJ8" s="14">
        <f>VLOOKUP(t_Parts[[Plant]:[Plant]],t_Plants[],Plants!DI$1,FALSE)</f>
        <v>350</v>
      </c>
      <c r="CK8" s="14">
        <f>VLOOKUP(t_Parts[[Plant]:[Plant]],t_Plants[],Plants!DJ$1,FALSE)</f>
        <v>280</v>
      </c>
      <c r="CL8" s="14">
        <f>VLOOKUP(t_Parts[[Plant]:[Plant]],t_Plants[],Plants!DK$1,FALSE)</f>
        <v>280</v>
      </c>
      <c r="CM8" s="14">
        <f>VLOOKUP(t_Parts[[Plant]:[Plant]],t_Plants[],Plants!DL$1,FALSE)</f>
        <v>350</v>
      </c>
      <c r="CN8" s="14">
        <f>VLOOKUP(t_Parts[[Plant]:[Plant]],t_Plants[],Plants!DM$1,FALSE)</f>
        <v>3640</v>
      </c>
      <c r="CO8" s="14">
        <f>VLOOKUP(t_Parts[[Plant]:[Plant]],t_Plants[],Plants!DN$1,FALSE)</f>
        <v>3640</v>
      </c>
      <c r="CP8" s="14">
        <f>VLOOKUP(t_Parts[[Plant]:[Plant]],t_Plants[],Plants!DO$1,FALSE)</f>
        <v>3640</v>
      </c>
      <c r="CQ8" s="14">
        <f>VLOOKUP(t_Parts[[Plant]:[Plant]],t_Plants[],Plants!DP$1,FALSE)</f>
        <v>3640</v>
      </c>
      <c r="CR8" s="39">
        <f>IF(AND(AL$3&gt;=VALUE(t_Parts[[SOP]:[SOP]]),AL$3&lt;=VALUE(t_Parts[[EOP]:[EOP]])), t_Parts[[SetupHrsPerMo]:[SetupHrsPerMo]]+(t_Parts[[#This Row],[pv2015.01]]/t_Parts[[NetPPH]:[NetPPH]]),0)</f>
        <v>17.773713466021157</v>
      </c>
      <c r="CS8" s="39">
        <f>IF(AND(AM$3&gt;=VALUE(t_Parts[[SOP]:[SOP]]),AM$3&lt;=VALUE(t_Parts[[EOP]:[EOP]])), t_Parts[[SetupHrsPerMo]:[SetupHrsPerMo]]+(t_Parts[[#This Row],[pv2015.02]]/t_Parts[[NetPPH]:[NetPPH]]),0)</f>
        <v>17.773713466021157</v>
      </c>
      <c r="CT8" s="39">
        <f>IF(AND(AN$3&gt;=VALUE(t_Parts[[SOP]:[SOP]]),AN$3&lt;=VALUE(t_Parts[[EOP]:[EOP]])), t_Parts[[SetupHrsPerMo]:[SetupHrsPerMo]]+(t_Parts[[#This Row],[pv2015.03]]/t_Parts[[NetPPH]:[NetPPH]]),0)</f>
        <v>21.467141832526444</v>
      </c>
      <c r="CU8" s="39">
        <f>IF(AND(AO$3&gt;=VALUE(t_Parts[[SOP]:[SOP]]),AO$3&lt;=VALUE(t_Parts[[EOP]:[EOP]])), t_Parts[[SetupHrsPerMo]:[SetupHrsPerMo]]+(t_Parts[[#This Row],[pv2015.04]]/t_Parts[[NetPPH]:[NetPPH]]),0)</f>
        <v>17.773713466021157</v>
      </c>
      <c r="CV8" s="39">
        <f>IF(AND(AP$3&gt;=VALUE(t_Parts[[SOP]:[SOP]]),AP$3&lt;=VALUE(t_Parts[[EOP]:[EOP]])), t_Parts[[SetupHrsPerMo]:[SetupHrsPerMo]]+(t_Parts[[#This Row],[pv2015.05]]/t_Parts[[NetPPH]:[NetPPH]]),0)</f>
        <v>17.773713466021157</v>
      </c>
      <c r="CW8" s="39">
        <f>IF(AND(AQ$3&gt;=VALUE(t_Parts[[SOP]:[SOP]]),AQ$3&lt;=VALUE(t_Parts[[EOP]:[EOP]])), t_Parts[[SetupHrsPerMo]:[SetupHrsPerMo]]+(t_Parts[[#This Row],[pv2015.06]]/t_Parts[[NetPPH]:[NetPPH]]),0)</f>
        <v>21.467141832526444</v>
      </c>
      <c r="CX8" s="39">
        <f>IF(AND(AR$3&gt;=VALUE(t_Parts[[SOP]:[SOP]]),AR$3&lt;=VALUE(t_Parts[[EOP]:[EOP]])), t_Parts[[SetupHrsPerMo]:[SetupHrsPerMo]]+(t_Parts[[#This Row],[pv2015.07]]/t_Parts[[NetPPH]:[NetPPH]]),0)</f>
        <v>17.773713466021157</v>
      </c>
      <c r="CY8" s="39">
        <f>IF(AND(AS$3&gt;=VALUE(t_Parts[[SOP]:[SOP]]),AS$3&lt;=VALUE(t_Parts[[EOP]:[EOP]])), t_Parts[[SetupHrsPerMo]:[SetupHrsPerMo]]+(t_Parts[[#This Row],[pv2015.08]]/t_Parts[[NetPPH]:[NetPPH]]),0)</f>
        <v>17.773713466021157</v>
      </c>
      <c r="CZ8" s="39">
        <f>IF(AND(AT$3&gt;=VALUE(t_Parts[[SOP]:[SOP]]),AT$3&lt;=VALUE(t_Parts[[EOP]:[EOP]])), t_Parts[[SetupHrsPerMo]:[SetupHrsPerMo]]+(t_Parts[[#This Row],[pv2015.09]]/t_Parts[[NetPPH]:[NetPPH]]),0)</f>
        <v>21.467141832526444</v>
      </c>
      <c r="DA8" s="39">
        <f>IF(AND(AU$3&gt;=VALUE(t_Parts[[SOP]:[SOP]]),AU$3&lt;=VALUE(t_Parts[[EOP]:[EOP]])), t_Parts[[SetupHrsPerMo]:[SetupHrsPerMo]]+(t_Parts[[#This Row],[pv2015.10]]/t_Parts[[NetPPH]:[NetPPH]]),0)</f>
        <v>17.773713466021157</v>
      </c>
      <c r="DB8" s="39">
        <f>IF(AND(AV$3&gt;=VALUE(t_Parts[[SOP]:[SOP]]),AV$3&lt;=VALUE(t_Parts[[EOP]:[EOP]])), t_Parts[[SetupHrsPerMo]:[SetupHrsPerMo]]+(t_Parts[[#This Row],[pv2015.11]]/t_Parts[[NetPPH]:[NetPPH]]),0)</f>
        <v>17.773713466021157</v>
      </c>
      <c r="DC8" s="39">
        <f>IF(AND(AW$3&gt;=VALUE(t_Parts[[SOP]:[SOP]]),AW$3&lt;=VALUE(t_Parts[[EOP]:[EOP]])), t_Parts[[SetupHrsPerMo]:[SetupHrsPerMo]]+(t_Parts[[#This Row],[pv2015.12]]/t_Parts[[NetPPH]:[NetPPH]]),0)</f>
        <v>21.467141832526444</v>
      </c>
      <c r="DD8" s="39">
        <f>SUM(t_Parts[[#This Row],[hp2015.01]:[hp2015.12]])</f>
        <v>228.05827505827497</v>
      </c>
      <c r="DE8" s="39">
        <f>IF(AND(AY$3&gt;=VALUE(t_Parts[[SOP]:[SOP]]),AY$3&lt;=VALUE(t_Parts[[EOP]:[EOP]])), t_Parts[[SetupHrsPerMo]:[SetupHrsPerMo]]+(t_Parts[[#This Row],[pv2016.01]]/t_Parts[[NetPPH]:[NetPPH]]),0)</f>
        <v>17.773713466021157</v>
      </c>
      <c r="DF8" s="39">
        <f>IF(AND(AZ$3&gt;=VALUE(t_Parts[[SOP]:[SOP]]),AZ$3&lt;=VALUE(t_Parts[[EOP]:[EOP]])), t_Parts[[SetupHrsPerMo]:[SetupHrsPerMo]]+(t_Parts[[#This Row],[pv2016.02]]/t_Parts[[NetPPH]:[NetPPH]]),0)</f>
        <v>17.773713466021157</v>
      </c>
      <c r="DG8" s="39">
        <f>IF(AND(BA$3&gt;=VALUE(t_Parts[[SOP]:[SOP]]),BA$3&lt;=VALUE(t_Parts[[EOP]:[EOP]])), t_Parts[[SetupHrsPerMo]:[SetupHrsPerMo]]+(t_Parts[[#This Row],[pv2016.03]]/t_Parts[[NetPPH]:[NetPPH]]),0)</f>
        <v>21.467141832526444</v>
      </c>
      <c r="DH8" s="39">
        <f>IF(AND(BB$3&gt;=VALUE(t_Parts[[SOP]:[SOP]]),BB$3&lt;=VALUE(t_Parts[[EOP]:[EOP]])), t_Parts[[SetupHrsPerMo]:[SetupHrsPerMo]]+(t_Parts[[#This Row],[pv2016.04]]/t_Parts[[NetPPH]:[NetPPH]]),0)</f>
        <v>17.773713466021157</v>
      </c>
      <c r="DI8" s="39">
        <f>IF(AND(BC$3&gt;=VALUE(t_Parts[[SOP]:[SOP]]),BC$3&lt;=VALUE(t_Parts[[EOP]:[EOP]])), t_Parts[[SetupHrsPerMo]:[SetupHrsPerMo]]+(t_Parts[[#This Row],[pv2016.05]]/t_Parts[[NetPPH]:[NetPPH]]),0)</f>
        <v>17.773713466021157</v>
      </c>
      <c r="DJ8" s="39">
        <f>IF(AND(BD$3&gt;=VALUE(t_Parts[[SOP]:[SOP]]),BD$3&lt;=VALUE(t_Parts[[EOP]:[EOP]])), t_Parts[[SetupHrsPerMo]:[SetupHrsPerMo]]+(t_Parts[[#This Row],[pv2016.06]]/t_Parts[[NetPPH]:[NetPPH]]),0)</f>
        <v>21.467141832526444</v>
      </c>
      <c r="DK8" s="39">
        <f>IF(AND(BE$3&gt;=VALUE(t_Parts[[SOP]:[SOP]]),BE$3&lt;=VALUE(t_Parts[[EOP]:[EOP]])), t_Parts[[SetupHrsPerMo]:[SetupHrsPerMo]]+(t_Parts[[#This Row],[pv2016.07]]/t_Parts[[NetPPH]:[NetPPH]]),0)</f>
        <v>17.773713466021157</v>
      </c>
      <c r="DL8" s="39">
        <f>IF(AND(BF$3&gt;=VALUE(t_Parts[[SOP]:[SOP]]),BF$3&lt;=VALUE(t_Parts[[EOP]:[EOP]])), t_Parts[[SetupHrsPerMo]:[SetupHrsPerMo]]+(t_Parts[[#This Row],[pv2016.08]]/t_Parts[[NetPPH]:[NetPPH]]),0)</f>
        <v>17.773713466021157</v>
      </c>
      <c r="DM8" s="39">
        <f>IF(AND(BG$3&gt;=VALUE(t_Parts[[SOP]:[SOP]]),BG$3&lt;=VALUE(t_Parts[[EOP]:[EOP]])), t_Parts[[SetupHrsPerMo]:[SetupHrsPerMo]]+(t_Parts[[#This Row],[pv2016.09]]/t_Parts[[NetPPH]:[NetPPH]]),0)</f>
        <v>21.467141832526444</v>
      </c>
      <c r="DN8" s="39">
        <f>IF(AND(BH$3&gt;=VALUE(t_Parts[[SOP]:[SOP]]),BH$3&lt;=VALUE(t_Parts[[EOP]:[EOP]])), t_Parts[[SetupHrsPerMo]:[SetupHrsPerMo]]+(t_Parts[[#This Row],[pv2016.10]]/t_Parts[[NetPPH]:[NetPPH]]),0)</f>
        <v>17.773713466021157</v>
      </c>
      <c r="DO8" s="39">
        <f>IF(AND(BI$3&gt;=VALUE(t_Parts[[SOP]:[SOP]]),BI$3&lt;=VALUE(t_Parts[[EOP]:[EOP]])), t_Parts[[SetupHrsPerMo]:[SetupHrsPerMo]]+(t_Parts[[#This Row],[pv2016.11]]/t_Parts[[NetPPH]:[NetPPH]]),0)</f>
        <v>17.773713466021157</v>
      </c>
      <c r="DP8" s="39">
        <f>IF(AND(BJ$3&gt;=VALUE(t_Parts[[SOP]:[SOP]]),BJ$3&lt;=VALUE(t_Parts[[EOP]:[EOP]])), t_Parts[[SetupHrsPerMo]:[SetupHrsPerMo]]+(t_Parts[[#This Row],[pv2016.12]]/t_Parts[[NetPPH]:[NetPPH]]),0)</f>
        <v>21.467141832526444</v>
      </c>
      <c r="DQ8" s="39">
        <f>SUM(t_Parts[[#This Row],[hp2016.01]:[hp2016.12]])</f>
        <v>228.05827505827497</v>
      </c>
      <c r="DR8" s="39">
        <f>IF(AND(BL$3&gt;=VALUE(t_Parts[[SOP]:[SOP]]),BL$3&lt;=VALUE(t_Parts[[EOP]:[EOP]])), 12*t_Parts[[SetupHrsPerMo]:[SetupHrsPerMo]]+(t_Parts[[#This Row],[pv2017]]/t_Parts[[NetPPH]:[NetPPH]]),0)</f>
        <v>0</v>
      </c>
      <c r="DS8" s="39">
        <f>IF(AND(BM$3&gt;=VALUE(t_Parts[[SOP]:[SOP]]),BM$3&lt;=VALUE(t_Parts[[EOP]:[EOP]])), 12*t_Parts[[SetupHrsPerMo]:[SetupHrsPerMo]]+(t_Parts[[#This Row],[pv2018]]/t_Parts[[NetPPH]:[NetPPH]]),0)</f>
        <v>0</v>
      </c>
      <c r="DT8" s="39">
        <f>IF(AND(BN$3&gt;=VALUE(t_Parts[[SOP]:[SOP]]),BN$3&lt;=VALUE(t_Parts[[EOP]:[EOP]])), 12*t_Parts[[SetupHrsPerMo]:[SetupHrsPerMo]]+(t_Parts[[#This Row],[pv2019]]/t_Parts[[NetPPH]:[NetPPH]]),0)</f>
        <v>0</v>
      </c>
      <c r="DU8" s="47">
        <f>t_Parts[[#This Row],[hp2015.01]]/t_Parts[[#This Row],[ha2015.01]]</f>
        <v>6.3477548092932698E-2</v>
      </c>
      <c r="DV8" s="47">
        <f>t_Parts[[#This Row],[hp2015.02]]/t_Parts[[#This Row],[ha2015.02]]</f>
        <v>6.3477548092932698E-2</v>
      </c>
      <c r="DW8" s="47">
        <f>t_Parts[[#This Row],[hp2015.03]]/t_Parts[[#This Row],[ha2015.03]]</f>
        <v>6.1334690950075557E-2</v>
      </c>
      <c r="DX8" s="47">
        <f>t_Parts[[#This Row],[hp2015.04]]/t_Parts[[#This Row],[ha2015.04]]</f>
        <v>6.3477548092932698E-2</v>
      </c>
      <c r="DY8" s="47">
        <f>t_Parts[[#This Row],[hp2015.05]]/t_Parts[[#This Row],[ha2015.05]]</f>
        <v>6.3477548092932698E-2</v>
      </c>
      <c r="DZ8" s="47">
        <f>t_Parts[[#This Row],[hp2015.06]]/t_Parts[[#This Row],[ha2015.06]]</f>
        <v>6.1334690950075557E-2</v>
      </c>
      <c r="EA8" s="47">
        <f>t_Parts[[#This Row],[hp2015.07]]/t_Parts[[#This Row],[ha2015.07]]</f>
        <v>6.3477548092932698E-2</v>
      </c>
      <c r="EB8" s="47">
        <f>t_Parts[[#This Row],[hp2015.08]]/t_Parts[[#This Row],[ha2015.08]]</f>
        <v>6.3477548092932698E-2</v>
      </c>
      <c r="EC8" s="47">
        <f>t_Parts[[#This Row],[hp2015.09]]/t_Parts[[#This Row],[ha2015.09]]</f>
        <v>6.1334690950075557E-2</v>
      </c>
      <c r="ED8" s="47">
        <f>t_Parts[[#This Row],[hp2015.10]]/t_Parts[[#This Row],[ha2015.10]]</f>
        <v>6.3477548092932698E-2</v>
      </c>
      <c r="EE8" s="47">
        <f>t_Parts[[#This Row],[hp2015.11]]/t_Parts[[#This Row],[ha2015.11]]</f>
        <v>6.3477548092932698E-2</v>
      </c>
      <c r="EF8" s="47">
        <f>t_Parts[[#This Row],[hp2015.12]]/t_Parts[[#This Row],[ha2015.12]]</f>
        <v>6.1334690950075557E-2</v>
      </c>
      <c r="EG8" s="47">
        <f>t_Parts[[#This Row],[hp2015.FY]]/t_Parts[[#This Row],[ha2015.FY]]</f>
        <v>6.2653372268756863E-2</v>
      </c>
      <c r="EH8" s="47">
        <f>t_Parts[[#This Row],[hp2016.01]]/t_Parts[[#This Row],[ha2016.01]]</f>
        <v>6.3477548092932698E-2</v>
      </c>
      <c r="EI8" s="47">
        <f>t_Parts[[#This Row],[hp2016.02]]/t_Parts[[#This Row],[ha2016.02]]</f>
        <v>6.3477548092932698E-2</v>
      </c>
      <c r="EJ8" s="47">
        <f>t_Parts[[#This Row],[hp2016.03]]/t_Parts[[#This Row],[ha2016.03]]</f>
        <v>6.1334690950075557E-2</v>
      </c>
      <c r="EK8" s="47">
        <f>t_Parts[[#This Row],[hp2016.04]]/t_Parts[[#This Row],[ha2016.04]]</f>
        <v>6.3477548092932698E-2</v>
      </c>
      <c r="EL8" s="47">
        <f>t_Parts[[#This Row],[hp2016.05]]/t_Parts[[#This Row],[ha2016.05]]</f>
        <v>6.3477548092932698E-2</v>
      </c>
      <c r="EM8" s="47">
        <f>t_Parts[[#This Row],[hp2016.06]]/t_Parts[[#This Row],[ha2016.06]]</f>
        <v>6.1334690950075557E-2</v>
      </c>
      <c r="EN8" s="47">
        <f>t_Parts[[#This Row],[hp2016.07]]/t_Parts[[#This Row],[ha2016.07]]</f>
        <v>6.3477548092932698E-2</v>
      </c>
      <c r="EO8" s="47">
        <f>t_Parts[[#This Row],[hp2016.08]]/t_Parts[[#This Row],[ha2016.08]]</f>
        <v>6.3477548092932698E-2</v>
      </c>
      <c r="EP8" s="47">
        <f>t_Parts[[#This Row],[hp2016.09]]/t_Parts[[#This Row],[ha2016.09]]</f>
        <v>6.1334690950075557E-2</v>
      </c>
      <c r="EQ8" s="47">
        <f>t_Parts[[#This Row],[hp2016.10]]/t_Parts[[#This Row],[ha2016.10]]</f>
        <v>6.3477548092932698E-2</v>
      </c>
      <c r="ER8" s="47">
        <f>t_Parts[[#This Row],[hp2016.11]]/t_Parts[[#This Row],[ha2016.11]]</f>
        <v>6.3477548092932698E-2</v>
      </c>
      <c r="ES8" s="47">
        <f>t_Parts[[#This Row],[hp2016.12]]/t_Parts[[#This Row],[ha2016.12]]</f>
        <v>6.1334690950075557E-2</v>
      </c>
      <c r="ET8" s="47">
        <f>t_Parts[[#This Row],[hp2016.FY]]/t_Parts[[#This Row],[ha2016.FY]]</f>
        <v>6.2653372268756863E-2</v>
      </c>
      <c r="EU8" s="47">
        <f>t_Parts[[#This Row],[hp2017]]/t_Parts[[#This Row],[ha2017]]</f>
        <v>0</v>
      </c>
      <c r="EV8" s="47">
        <f>t_Parts[[#This Row],[hp2018]]/t_Parts[[#This Row],[ha2018]]</f>
        <v>0</v>
      </c>
      <c r="EW8" s="47">
        <f>t_Parts[[#This Row],[hp2019]]/t_Parts[[#This Row],[hp2015.01]]</f>
        <v>0</v>
      </c>
      <c r="EX8" s="58">
        <f>(t_Parts[[#This Row],[ha2015.01]]-t_Parts[[#This Row],[hp2015.01]])*t_Parts[[NetPPH]:[NetPPH]]</f>
        <v>112495.07692307694</v>
      </c>
      <c r="EY8" s="58">
        <f>(t_Parts[[#This Row],[ha2015.02]]-t_Parts[[#This Row],[hp2015.02]])*t_Parts[[NetPPH]:[NetPPH]]</f>
        <v>112495.07692307694</v>
      </c>
      <c r="EZ8" s="58">
        <f>(t_Parts[[#This Row],[ha2015.03]]-t_Parts[[#This Row],[hp2015.03]])*t_Parts[[NetPPH]:[NetPPH]]</f>
        <v>140940.59615384616</v>
      </c>
      <c r="FA8" s="58">
        <f>(t_Parts[[#This Row],[ha2015.04]]-t_Parts[[#This Row],[hp2015.04]])*t_Parts[[NetPPH]:[NetPPH]]</f>
        <v>112495.07692307694</v>
      </c>
      <c r="FB8" s="58">
        <f>(t_Parts[[#This Row],[ha2015.05]]-t_Parts[[#This Row],[hp2015.05]])*t_Parts[[NetPPH]:[NetPPH]]</f>
        <v>112495.07692307694</v>
      </c>
      <c r="FC8" s="58">
        <f>(t_Parts[[#This Row],[ha2015.06]]-t_Parts[[#This Row],[hp2015.06]])*t_Parts[[NetPPH]:[NetPPH]]</f>
        <v>140940.59615384616</v>
      </c>
      <c r="FD8" s="58">
        <f>(t_Parts[[#This Row],[ha2015.07]]-t_Parts[[#This Row],[hp2015.07]])*t_Parts[[NetPPH]:[NetPPH]]</f>
        <v>112495.07692307694</v>
      </c>
      <c r="FE8" s="58">
        <f>(t_Parts[[#This Row],[ha2015.08]]-t_Parts[[#This Row],[hp2015.08]])*t_Parts[[NetPPH]:[NetPPH]]</f>
        <v>112495.07692307694</v>
      </c>
      <c r="FF8" s="58">
        <f>(t_Parts[[#This Row],[ha2015.09]]-t_Parts[[#This Row],[hp2015.09]])*t_Parts[[NetPPH]:[NetPPH]]</f>
        <v>140940.59615384616</v>
      </c>
      <c r="FG8" s="58">
        <f>(t_Parts[[#This Row],[ha2015.10]]-t_Parts[[#This Row],[hp2015.10]])*t_Parts[[NetPPH]:[NetPPH]]</f>
        <v>112495.07692307694</v>
      </c>
      <c r="FH8" s="58">
        <f>(t_Parts[[#This Row],[ha2015.11]]-t_Parts[[#This Row],[hp2015.11]])*t_Parts[[NetPPH]:[NetPPH]]</f>
        <v>112495.07692307694</v>
      </c>
      <c r="FI8" s="58">
        <f>(t_Parts[[#This Row],[ha2015.12]]-t_Parts[[#This Row],[hp2015.12]])*t_Parts[[NetPPH]:[NetPPH]]</f>
        <v>140940.59615384616</v>
      </c>
      <c r="FJ8" s="58">
        <f>(t_Parts[[#This Row],[ha2015.FY]]-t_Parts[[#This Row],[hp2015.FY]])*t_Parts[[NetPPH]:[NetPPH]]</f>
        <v>1463723.0000000002</v>
      </c>
      <c r="FK8" s="58">
        <f>(t_Parts[[#This Row],[ha2016.01]]-t_Parts[[#This Row],[hp2016.01]])*t_Parts[[NetPPH]:[NetPPH]]</f>
        <v>112495.07692307694</v>
      </c>
      <c r="FL8" s="58">
        <f>(t_Parts[[#This Row],[ha2016.02]]-t_Parts[[#This Row],[hp2016.02]])*t_Parts[[NetPPH]:[NetPPH]]</f>
        <v>112495.07692307694</v>
      </c>
      <c r="FM8" s="58">
        <f>(t_Parts[[#This Row],[ha2016.03]]-t_Parts[[#This Row],[hp2016.03]])*t_Parts[[NetPPH]:[NetPPH]]</f>
        <v>140940.59615384616</v>
      </c>
      <c r="FN8" s="58">
        <f>(t_Parts[[#This Row],[ha2016.04]]-t_Parts[[#This Row],[hp2016.04]])*t_Parts[[NetPPH]:[NetPPH]]</f>
        <v>112495.07692307694</v>
      </c>
      <c r="FO8" s="58">
        <f>(t_Parts[[#This Row],[ha2016.05]]-t_Parts[[#This Row],[hp2016.05]])*t_Parts[[NetPPH]:[NetPPH]]</f>
        <v>112495.07692307694</v>
      </c>
      <c r="FP8" s="58">
        <f>(t_Parts[[#This Row],[ha2016.06]]-t_Parts[[#This Row],[hp2016.06]])*t_Parts[[NetPPH]:[NetPPH]]</f>
        <v>140940.59615384616</v>
      </c>
      <c r="FQ8" s="58">
        <f>(t_Parts[[#This Row],[ha2016.07]]-t_Parts[[#This Row],[hp2016.07]])*t_Parts[[NetPPH]:[NetPPH]]</f>
        <v>112495.07692307694</v>
      </c>
      <c r="FR8" s="58">
        <f>(t_Parts[[#This Row],[ha2016.08]]-t_Parts[[#This Row],[hp2016.08]])*t_Parts[[NetPPH]:[NetPPH]]</f>
        <v>112495.07692307694</v>
      </c>
      <c r="FS8" s="58">
        <f>(t_Parts[[#This Row],[ha2016.09]]-t_Parts[[#This Row],[hp2016.09]])*t_Parts[[NetPPH]:[NetPPH]]</f>
        <v>140940.59615384616</v>
      </c>
      <c r="FT8" s="58">
        <f>(t_Parts[[#This Row],[ha2016.10]]-t_Parts[[#This Row],[hp2016.10]])*t_Parts[[NetPPH]:[NetPPH]]</f>
        <v>112495.07692307694</v>
      </c>
      <c r="FU8" s="58">
        <f>(t_Parts[[#This Row],[ha2016.11]]-t_Parts[[#This Row],[hp2016.11]])*t_Parts[[NetPPH]:[NetPPH]]</f>
        <v>112495.07692307694</v>
      </c>
      <c r="FV8" s="58">
        <f>(t_Parts[[#This Row],[ha2016.12]]-t_Parts[[#This Row],[hp2016.12]])*t_Parts[[NetPPH]:[NetPPH]]</f>
        <v>140940.59615384616</v>
      </c>
      <c r="FW8" s="58">
        <f>(t_Parts[[#This Row],[ha2016.FY]]-t_Parts[[#This Row],[hp2016.FY]])*t_Parts[[NetPPH]:[NetPPH]]</f>
        <v>1463723.0000000002</v>
      </c>
      <c r="FX8" s="58">
        <f>(t_Parts[[#This Row],[ha2017]]-t_Parts[[#This Row],[hp2017]])*t_Parts[[NetPPH]:[NetPPH]]</f>
        <v>1561560.0000000002</v>
      </c>
      <c r="FY8" s="58">
        <f>(t_Parts[[#This Row],[ha2018]]-t_Parts[[#This Row],[hp2018]])*t_Parts[[NetPPH]:[NetPPH]]</f>
        <v>1561560.0000000002</v>
      </c>
      <c r="FZ8" s="58">
        <f>(t_Parts[[#This Row],[ha2019]]-t_Parts[[#This Row],[hp2019]])*t_Parts[[NetPPH]:[NetPPH]]</f>
        <v>1561560.0000000002</v>
      </c>
    </row>
    <row r="9" spans="1:182" s="14" customFormat="1" x14ac:dyDescent="0.25">
      <c r="A9" s="74" t="s">
        <v>584</v>
      </c>
      <c r="B9" s="74"/>
      <c r="C9" s="74">
        <v>21015</v>
      </c>
      <c r="D9" s="75">
        <v>1</v>
      </c>
      <c r="E9" s="73">
        <v>780</v>
      </c>
      <c r="F9" s="76">
        <v>1.5</v>
      </c>
      <c r="G9" s="77">
        <v>2</v>
      </c>
      <c r="H9" s="16">
        <v>2015.01</v>
      </c>
      <c r="I9" s="16" t="s">
        <v>332</v>
      </c>
      <c r="J9" s="73">
        <v>82393</v>
      </c>
      <c r="K9" s="73">
        <v>82393</v>
      </c>
      <c r="L9" s="73">
        <v>82393</v>
      </c>
      <c r="M9" s="73">
        <v>82393</v>
      </c>
      <c r="N9" s="73">
        <v>82393</v>
      </c>
      <c r="O9" s="78">
        <v>72</v>
      </c>
      <c r="P9" s="78">
        <v>179</v>
      </c>
      <c r="Q9" s="79">
        <v>36.835000000000001</v>
      </c>
      <c r="R9" s="79"/>
      <c r="S9" s="78">
        <v>655</v>
      </c>
      <c r="T9" s="80">
        <v>23</v>
      </c>
      <c r="U9" s="80" t="s">
        <v>122</v>
      </c>
      <c r="V9" s="81" t="s">
        <v>585</v>
      </c>
      <c r="W9" s="82">
        <v>2.2999999999999998</v>
      </c>
      <c r="X9" s="82" t="s">
        <v>586</v>
      </c>
      <c r="Y9" s="82"/>
      <c r="Z9" s="82"/>
      <c r="AA9" s="82"/>
      <c r="AB9" s="82"/>
      <c r="AC9" s="83" t="s">
        <v>111</v>
      </c>
      <c r="AD9" s="40" t="str">
        <f>VLOOKUP(t_Parts[[#This Row],[Press]],t_Presses[],Press!B$1,FALSE)</f>
        <v>Plainfield</v>
      </c>
      <c r="AE9" s="40" t="str">
        <f>VLOOKUP(t_Parts[[#This Row],[Press]],t_Presses[],Press!E$1,FALSE)</f>
        <v>900-1199</v>
      </c>
      <c r="AF9" s="47">
        <f>VLOOKUP(t_Parts[[#This Row],[Plant]],t_Plants[],Plants!C$1,FALSE)</f>
        <v>0.55000000000000004</v>
      </c>
      <c r="AG9" s="47">
        <f>VLOOKUP(t_Parts[[#This Row],[Press]],t_Presses[],Press!F$1,FALSE)</f>
        <v>0</v>
      </c>
      <c r="AH9" s="84"/>
      <c r="AI9" s="47">
        <f>IF(ISBLANK(t_Parts[[#This Row],[PartOEE]])=FALSE,t_Parts[[#This Row],[PartOEE]], IF(t_Parts[[#This Row],[PressOEE]]&gt;0, t_Parts[[#This Row],[PressOEE]], t_Parts[[#This Row],[PlantOEE]] ))</f>
        <v>0.55000000000000004</v>
      </c>
      <c r="AJ9" s="70">
        <f>t_Parts[[#This Row],[SetupsPerMo]]*t_Parts[[#This Row],[SetupHrs]]</f>
        <v>3</v>
      </c>
      <c r="AK9" s="39">
        <f>(t_Parts[[#This Row],[PartsPerStroke]]*t_Parts[[#This Row],[StrokesPerHr]])*t_Parts[[#This Row],[UseOEE]]</f>
        <v>429.00000000000006</v>
      </c>
      <c r="AL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6337.9230769230762</v>
      </c>
      <c r="AM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6337.9230769230762</v>
      </c>
      <c r="AN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7922.4038461538457</v>
      </c>
      <c r="AO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6337.9230769230762</v>
      </c>
      <c r="AP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6337.9230769230762</v>
      </c>
      <c r="AQ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7922.4038461538457</v>
      </c>
      <c r="AR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6337.9230769230762</v>
      </c>
      <c r="AS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6337.9230769230762</v>
      </c>
      <c r="AT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7922.4038461538457</v>
      </c>
      <c r="AU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6337.9230769230762</v>
      </c>
      <c r="AV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6337.9230769230762</v>
      </c>
      <c r="AW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7922.4038461538457</v>
      </c>
      <c r="AX9" s="39">
        <f>SUM(t_Parts[[#This Row],[pv2015.01]:[pv2015.12]])</f>
        <v>82393</v>
      </c>
      <c r="AY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6337.9230769230762</v>
      </c>
      <c r="AZ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6337.9230769230762</v>
      </c>
      <c r="BA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7922.4038461538457</v>
      </c>
      <c r="BB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6337.9230769230762</v>
      </c>
      <c r="BC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6337.9230769230762</v>
      </c>
      <c r="BD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7922.4038461538457</v>
      </c>
      <c r="BE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6337.9230769230762</v>
      </c>
      <c r="BF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6337.9230769230762</v>
      </c>
      <c r="BG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7922.4038461538457</v>
      </c>
      <c r="BH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6337.9230769230762</v>
      </c>
      <c r="BI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6337.9230769230762</v>
      </c>
      <c r="BJ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7922.4038461538457</v>
      </c>
      <c r="BK9" s="39">
        <f>SUM(t_Parts[[#This Row],[pv2016.01]:[pv2016.12]])</f>
        <v>82393</v>
      </c>
      <c r="BL9" s="39">
        <f>t_Parts[[#This Row],[2017vol]]</f>
        <v>82393</v>
      </c>
      <c r="BM9" s="39">
        <f>t_Parts[[#This Row],[2018vol]]</f>
        <v>82393</v>
      </c>
      <c r="BN9" s="39">
        <f>t_Parts[[#This Row],[2019vol]]</f>
        <v>82393</v>
      </c>
      <c r="BO9" s="40">
        <f>VLOOKUP(t_Parts[[Plant]:[Plant]],t_Plants[],Plants!CN$1,FALSE)</f>
        <v>280</v>
      </c>
      <c r="BP9" s="14">
        <f>VLOOKUP(t_Parts[[Plant]:[Plant]],t_Plants[],Plants!CO$1,FALSE)</f>
        <v>280</v>
      </c>
      <c r="BQ9" s="14">
        <f>VLOOKUP(t_Parts[[Plant]:[Plant]],t_Plants[],Plants!CP$1,FALSE)</f>
        <v>350</v>
      </c>
      <c r="BR9" s="14">
        <f>VLOOKUP(t_Parts[[Plant]:[Plant]],t_Plants[],Plants!CQ$1,FALSE)</f>
        <v>280</v>
      </c>
      <c r="BS9" s="14">
        <f>VLOOKUP(t_Parts[[Plant]:[Plant]],t_Plants[],Plants!CR$1,FALSE)</f>
        <v>280</v>
      </c>
      <c r="BT9" s="14">
        <f>VLOOKUP(t_Parts[[Plant]:[Plant]],t_Plants[],Plants!CS$1,FALSE)</f>
        <v>350</v>
      </c>
      <c r="BU9" s="14">
        <f>VLOOKUP(t_Parts[[Plant]:[Plant]],t_Plants[],Plants!CT$1,FALSE)</f>
        <v>280</v>
      </c>
      <c r="BV9" s="14">
        <f>VLOOKUP(t_Parts[[Plant]:[Plant]],t_Plants[],Plants!CU$1,FALSE)</f>
        <v>280</v>
      </c>
      <c r="BW9" s="14">
        <f>VLOOKUP(t_Parts[[Plant]:[Plant]],t_Plants[],Plants!CV$1,FALSE)</f>
        <v>350</v>
      </c>
      <c r="BX9" s="14">
        <f>VLOOKUP(t_Parts[[Plant]:[Plant]],t_Plants[],Plants!CW$1,FALSE)</f>
        <v>280</v>
      </c>
      <c r="BY9" s="14">
        <f>VLOOKUP(t_Parts[[Plant]:[Plant]],t_Plants[],Plants!CX$1,FALSE)</f>
        <v>280</v>
      </c>
      <c r="BZ9" s="14">
        <f>VLOOKUP(t_Parts[[Plant]:[Plant]],t_Plants[],Plants!CY$1,FALSE)</f>
        <v>350</v>
      </c>
      <c r="CA9" s="40">
        <f>SUM(t_Parts[[#This Row],[ha2015.01]:[ha2015.12]])</f>
        <v>3640</v>
      </c>
      <c r="CB9" s="14">
        <f>VLOOKUP(t_Parts[[Plant]:[Plant]],t_Plants[],Plants!DA$1,FALSE)</f>
        <v>280</v>
      </c>
      <c r="CC9" s="14">
        <f>VLOOKUP(t_Parts[[Plant]:[Plant]],t_Plants[],Plants!DB$1,FALSE)</f>
        <v>280</v>
      </c>
      <c r="CD9" s="14">
        <f>VLOOKUP(t_Parts[[Plant]:[Plant]],t_Plants[],Plants!DC$1,FALSE)</f>
        <v>350</v>
      </c>
      <c r="CE9" s="14">
        <f>VLOOKUP(t_Parts[[Plant]:[Plant]],t_Plants[],Plants!DD$1,FALSE)</f>
        <v>280</v>
      </c>
      <c r="CF9" s="14">
        <f>VLOOKUP(t_Parts[[Plant]:[Plant]],t_Plants[],Plants!DE$1,FALSE)</f>
        <v>280</v>
      </c>
      <c r="CG9" s="14">
        <f>VLOOKUP(t_Parts[[Plant]:[Plant]],t_Plants[],Plants!DF$1,FALSE)</f>
        <v>350</v>
      </c>
      <c r="CH9" s="14">
        <f>VLOOKUP(t_Parts[[Plant]:[Plant]],t_Plants[],Plants!DG$1,FALSE)</f>
        <v>280</v>
      </c>
      <c r="CI9" s="14">
        <f>VLOOKUP(t_Parts[[Plant]:[Plant]],t_Plants[],Plants!DH$1,FALSE)</f>
        <v>280</v>
      </c>
      <c r="CJ9" s="14">
        <f>VLOOKUP(t_Parts[[Plant]:[Plant]],t_Plants[],Plants!DI$1,FALSE)</f>
        <v>350</v>
      </c>
      <c r="CK9" s="14">
        <f>VLOOKUP(t_Parts[[Plant]:[Plant]],t_Plants[],Plants!DJ$1,FALSE)</f>
        <v>280</v>
      </c>
      <c r="CL9" s="14">
        <f>VLOOKUP(t_Parts[[Plant]:[Plant]],t_Plants[],Plants!DK$1,FALSE)</f>
        <v>280</v>
      </c>
      <c r="CM9" s="14">
        <f>VLOOKUP(t_Parts[[Plant]:[Plant]],t_Plants[],Plants!DL$1,FALSE)</f>
        <v>350</v>
      </c>
      <c r="CN9" s="14">
        <f>VLOOKUP(t_Parts[[Plant]:[Plant]],t_Plants[],Plants!DM$1,FALSE)</f>
        <v>3640</v>
      </c>
      <c r="CO9" s="14">
        <f>VLOOKUP(t_Parts[[Plant]:[Plant]],t_Plants[],Plants!DN$1,FALSE)</f>
        <v>3640</v>
      </c>
      <c r="CP9" s="14">
        <f>VLOOKUP(t_Parts[[Plant]:[Plant]],t_Plants[],Plants!DO$1,FALSE)</f>
        <v>3640</v>
      </c>
      <c r="CQ9" s="14">
        <f>VLOOKUP(t_Parts[[Plant]:[Plant]],t_Plants[],Plants!DP$1,FALSE)</f>
        <v>3640</v>
      </c>
      <c r="CR9" s="39">
        <f>IF(AND(AL$3&gt;=VALUE(t_Parts[[SOP]:[SOP]]),AL$3&lt;=VALUE(t_Parts[[EOP]:[EOP]])), t_Parts[[SetupHrsPerMo]:[SetupHrsPerMo]]+(t_Parts[[#This Row],[pv2015.01]]/t_Parts[[NetPPH]:[NetPPH]]),0)</f>
        <v>17.773713466021157</v>
      </c>
      <c r="CS9" s="39">
        <f>IF(AND(AM$3&gt;=VALUE(t_Parts[[SOP]:[SOP]]),AM$3&lt;=VALUE(t_Parts[[EOP]:[EOP]])), t_Parts[[SetupHrsPerMo]:[SetupHrsPerMo]]+(t_Parts[[#This Row],[pv2015.02]]/t_Parts[[NetPPH]:[NetPPH]]),0)</f>
        <v>17.773713466021157</v>
      </c>
      <c r="CT9" s="39">
        <f>IF(AND(AN$3&gt;=VALUE(t_Parts[[SOP]:[SOP]]),AN$3&lt;=VALUE(t_Parts[[EOP]:[EOP]])), t_Parts[[SetupHrsPerMo]:[SetupHrsPerMo]]+(t_Parts[[#This Row],[pv2015.03]]/t_Parts[[NetPPH]:[NetPPH]]),0)</f>
        <v>21.467141832526444</v>
      </c>
      <c r="CU9" s="39">
        <f>IF(AND(AO$3&gt;=VALUE(t_Parts[[SOP]:[SOP]]),AO$3&lt;=VALUE(t_Parts[[EOP]:[EOP]])), t_Parts[[SetupHrsPerMo]:[SetupHrsPerMo]]+(t_Parts[[#This Row],[pv2015.04]]/t_Parts[[NetPPH]:[NetPPH]]),0)</f>
        <v>17.773713466021157</v>
      </c>
      <c r="CV9" s="39">
        <f>IF(AND(AP$3&gt;=VALUE(t_Parts[[SOP]:[SOP]]),AP$3&lt;=VALUE(t_Parts[[EOP]:[EOP]])), t_Parts[[SetupHrsPerMo]:[SetupHrsPerMo]]+(t_Parts[[#This Row],[pv2015.05]]/t_Parts[[NetPPH]:[NetPPH]]),0)</f>
        <v>17.773713466021157</v>
      </c>
      <c r="CW9" s="39">
        <f>IF(AND(AQ$3&gt;=VALUE(t_Parts[[SOP]:[SOP]]),AQ$3&lt;=VALUE(t_Parts[[EOP]:[EOP]])), t_Parts[[SetupHrsPerMo]:[SetupHrsPerMo]]+(t_Parts[[#This Row],[pv2015.06]]/t_Parts[[NetPPH]:[NetPPH]]),0)</f>
        <v>21.467141832526444</v>
      </c>
      <c r="CX9" s="39">
        <f>IF(AND(AR$3&gt;=VALUE(t_Parts[[SOP]:[SOP]]),AR$3&lt;=VALUE(t_Parts[[EOP]:[EOP]])), t_Parts[[SetupHrsPerMo]:[SetupHrsPerMo]]+(t_Parts[[#This Row],[pv2015.07]]/t_Parts[[NetPPH]:[NetPPH]]),0)</f>
        <v>17.773713466021157</v>
      </c>
      <c r="CY9" s="39">
        <f>IF(AND(AS$3&gt;=VALUE(t_Parts[[SOP]:[SOP]]),AS$3&lt;=VALUE(t_Parts[[EOP]:[EOP]])), t_Parts[[SetupHrsPerMo]:[SetupHrsPerMo]]+(t_Parts[[#This Row],[pv2015.08]]/t_Parts[[NetPPH]:[NetPPH]]),0)</f>
        <v>17.773713466021157</v>
      </c>
      <c r="CZ9" s="39">
        <f>IF(AND(AT$3&gt;=VALUE(t_Parts[[SOP]:[SOP]]),AT$3&lt;=VALUE(t_Parts[[EOP]:[EOP]])), t_Parts[[SetupHrsPerMo]:[SetupHrsPerMo]]+(t_Parts[[#This Row],[pv2015.09]]/t_Parts[[NetPPH]:[NetPPH]]),0)</f>
        <v>21.467141832526444</v>
      </c>
      <c r="DA9" s="39">
        <f>IF(AND(AU$3&gt;=VALUE(t_Parts[[SOP]:[SOP]]),AU$3&lt;=VALUE(t_Parts[[EOP]:[EOP]])), t_Parts[[SetupHrsPerMo]:[SetupHrsPerMo]]+(t_Parts[[#This Row],[pv2015.10]]/t_Parts[[NetPPH]:[NetPPH]]),0)</f>
        <v>17.773713466021157</v>
      </c>
      <c r="DB9" s="39">
        <f>IF(AND(AV$3&gt;=VALUE(t_Parts[[SOP]:[SOP]]),AV$3&lt;=VALUE(t_Parts[[EOP]:[EOP]])), t_Parts[[SetupHrsPerMo]:[SetupHrsPerMo]]+(t_Parts[[#This Row],[pv2015.11]]/t_Parts[[NetPPH]:[NetPPH]]),0)</f>
        <v>17.773713466021157</v>
      </c>
      <c r="DC9" s="39">
        <f>IF(AND(AW$3&gt;=VALUE(t_Parts[[SOP]:[SOP]]),AW$3&lt;=VALUE(t_Parts[[EOP]:[EOP]])), t_Parts[[SetupHrsPerMo]:[SetupHrsPerMo]]+(t_Parts[[#This Row],[pv2015.12]]/t_Parts[[NetPPH]:[NetPPH]]),0)</f>
        <v>21.467141832526444</v>
      </c>
      <c r="DD9" s="39">
        <f>SUM(t_Parts[[#This Row],[hp2015.01]:[hp2015.12]])</f>
        <v>228.05827505827497</v>
      </c>
      <c r="DE9" s="39">
        <f>IF(AND(AY$3&gt;=VALUE(t_Parts[[SOP]:[SOP]]),AY$3&lt;=VALUE(t_Parts[[EOP]:[EOP]])), t_Parts[[SetupHrsPerMo]:[SetupHrsPerMo]]+(t_Parts[[#This Row],[pv2016.01]]/t_Parts[[NetPPH]:[NetPPH]]),0)</f>
        <v>17.773713466021157</v>
      </c>
      <c r="DF9" s="39">
        <f>IF(AND(AZ$3&gt;=VALUE(t_Parts[[SOP]:[SOP]]),AZ$3&lt;=VALUE(t_Parts[[EOP]:[EOP]])), t_Parts[[SetupHrsPerMo]:[SetupHrsPerMo]]+(t_Parts[[#This Row],[pv2016.02]]/t_Parts[[NetPPH]:[NetPPH]]),0)</f>
        <v>17.773713466021157</v>
      </c>
      <c r="DG9" s="39">
        <f>IF(AND(BA$3&gt;=VALUE(t_Parts[[SOP]:[SOP]]),BA$3&lt;=VALUE(t_Parts[[EOP]:[EOP]])), t_Parts[[SetupHrsPerMo]:[SetupHrsPerMo]]+(t_Parts[[#This Row],[pv2016.03]]/t_Parts[[NetPPH]:[NetPPH]]),0)</f>
        <v>21.467141832526444</v>
      </c>
      <c r="DH9" s="39">
        <f>IF(AND(BB$3&gt;=VALUE(t_Parts[[SOP]:[SOP]]),BB$3&lt;=VALUE(t_Parts[[EOP]:[EOP]])), t_Parts[[SetupHrsPerMo]:[SetupHrsPerMo]]+(t_Parts[[#This Row],[pv2016.04]]/t_Parts[[NetPPH]:[NetPPH]]),0)</f>
        <v>17.773713466021157</v>
      </c>
      <c r="DI9" s="39">
        <f>IF(AND(BC$3&gt;=VALUE(t_Parts[[SOP]:[SOP]]),BC$3&lt;=VALUE(t_Parts[[EOP]:[EOP]])), t_Parts[[SetupHrsPerMo]:[SetupHrsPerMo]]+(t_Parts[[#This Row],[pv2016.05]]/t_Parts[[NetPPH]:[NetPPH]]),0)</f>
        <v>17.773713466021157</v>
      </c>
      <c r="DJ9" s="39">
        <f>IF(AND(BD$3&gt;=VALUE(t_Parts[[SOP]:[SOP]]),BD$3&lt;=VALUE(t_Parts[[EOP]:[EOP]])), t_Parts[[SetupHrsPerMo]:[SetupHrsPerMo]]+(t_Parts[[#This Row],[pv2016.06]]/t_Parts[[NetPPH]:[NetPPH]]),0)</f>
        <v>21.467141832526444</v>
      </c>
      <c r="DK9" s="39">
        <f>IF(AND(BE$3&gt;=VALUE(t_Parts[[SOP]:[SOP]]),BE$3&lt;=VALUE(t_Parts[[EOP]:[EOP]])), t_Parts[[SetupHrsPerMo]:[SetupHrsPerMo]]+(t_Parts[[#This Row],[pv2016.07]]/t_Parts[[NetPPH]:[NetPPH]]),0)</f>
        <v>17.773713466021157</v>
      </c>
      <c r="DL9" s="39">
        <f>IF(AND(BF$3&gt;=VALUE(t_Parts[[SOP]:[SOP]]),BF$3&lt;=VALUE(t_Parts[[EOP]:[EOP]])), t_Parts[[SetupHrsPerMo]:[SetupHrsPerMo]]+(t_Parts[[#This Row],[pv2016.08]]/t_Parts[[NetPPH]:[NetPPH]]),0)</f>
        <v>17.773713466021157</v>
      </c>
      <c r="DM9" s="39">
        <f>IF(AND(BG$3&gt;=VALUE(t_Parts[[SOP]:[SOP]]),BG$3&lt;=VALUE(t_Parts[[EOP]:[EOP]])), t_Parts[[SetupHrsPerMo]:[SetupHrsPerMo]]+(t_Parts[[#This Row],[pv2016.09]]/t_Parts[[NetPPH]:[NetPPH]]),0)</f>
        <v>21.467141832526444</v>
      </c>
      <c r="DN9" s="39">
        <f>IF(AND(BH$3&gt;=VALUE(t_Parts[[SOP]:[SOP]]),BH$3&lt;=VALUE(t_Parts[[EOP]:[EOP]])), t_Parts[[SetupHrsPerMo]:[SetupHrsPerMo]]+(t_Parts[[#This Row],[pv2016.10]]/t_Parts[[NetPPH]:[NetPPH]]),0)</f>
        <v>17.773713466021157</v>
      </c>
      <c r="DO9" s="39">
        <f>IF(AND(BI$3&gt;=VALUE(t_Parts[[SOP]:[SOP]]),BI$3&lt;=VALUE(t_Parts[[EOP]:[EOP]])), t_Parts[[SetupHrsPerMo]:[SetupHrsPerMo]]+(t_Parts[[#This Row],[pv2016.11]]/t_Parts[[NetPPH]:[NetPPH]]),0)</f>
        <v>17.773713466021157</v>
      </c>
      <c r="DP9" s="39">
        <f>IF(AND(BJ$3&gt;=VALUE(t_Parts[[SOP]:[SOP]]),BJ$3&lt;=VALUE(t_Parts[[EOP]:[EOP]])), t_Parts[[SetupHrsPerMo]:[SetupHrsPerMo]]+(t_Parts[[#This Row],[pv2016.12]]/t_Parts[[NetPPH]:[NetPPH]]),0)</f>
        <v>21.467141832526444</v>
      </c>
      <c r="DQ9" s="39">
        <f>SUM(t_Parts[[#This Row],[hp2016.01]:[hp2016.12]])</f>
        <v>228.05827505827497</v>
      </c>
      <c r="DR9" s="39">
        <f>IF(AND(BL$3&gt;=VALUE(t_Parts[[SOP]:[SOP]]),BL$3&lt;=VALUE(t_Parts[[EOP]:[EOP]])), 12*t_Parts[[SetupHrsPerMo]:[SetupHrsPerMo]]+(t_Parts[[#This Row],[pv2017]]/t_Parts[[NetPPH]:[NetPPH]]),0)</f>
        <v>0</v>
      </c>
      <c r="DS9" s="39">
        <f>IF(AND(BM$3&gt;=VALUE(t_Parts[[SOP]:[SOP]]),BM$3&lt;=VALUE(t_Parts[[EOP]:[EOP]])), 12*t_Parts[[SetupHrsPerMo]:[SetupHrsPerMo]]+(t_Parts[[#This Row],[pv2018]]/t_Parts[[NetPPH]:[NetPPH]]),0)</f>
        <v>0</v>
      </c>
      <c r="DT9" s="39">
        <f>IF(AND(BN$3&gt;=VALUE(t_Parts[[SOP]:[SOP]]),BN$3&lt;=VALUE(t_Parts[[EOP]:[EOP]])), 12*t_Parts[[SetupHrsPerMo]:[SetupHrsPerMo]]+(t_Parts[[#This Row],[pv2019]]/t_Parts[[NetPPH]:[NetPPH]]),0)</f>
        <v>0</v>
      </c>
      <c r="DU9" s="47">
        <f>t_Parts[[#This Row],[hp2015.01]]/t_Parts[[#This Row],[ha2015.01]]</f>
        <v>6.3477548092932698E-2</v>
      </c>
      <c r="DV9" s="47">
        <f>t_Parts[[#This Row],[hp2015.02]]/t_Parts[[#This Row],[ha2015.02]]</f>
        <v>6.3477548092932698E-2</v>
      </c>
      <c r="DW9" s="47">
        <f>t_Parts[[#This Row],[hp2015.03]]/t_Parts[[#This Row],[ha2015.03]]</f>
        <v>6.1334690950075557E-2</v>
      </c>
      <c r="DX9" s="47">
        <f>t_Parts[[#This Row],[hp2015.04]]/t_Parts[[#This Row],[ha2015.04]]</f>
        <v>6.3477548092932698E-2</v>
      </c>
      <c r="DY9" s="47">
        <f>t_Parts[[#This Row],[hp2015.05]]/t_Parts[[#This Row],[ha2015.05]]</f>
        <v>6.3477548092932698E-2</v>
      </c>
      <c r="DZ9" s="47">
        <f>t_Parts[[#This Row],[hp2015.06]]/t_Parts[[#This Row],[ha2015.06]]</f>
        <v>6.1334690950075557E-2</v>
      </c>
      <c r="EA9" s="47">
        <f>t_Parts[[#This Row],[hp2015.07]]/t_Parts[[#This Row],[ha2015.07]]</f>
        <v>6.3477548092932698E-2</v>
      </c>
      <c r="EB9" s="47">
        <f>t_Parts[[#This Row],[hp2015.08]]/t_Parts[[#This Row],[ha2015.08]]</f>
        <v>6.3477548092932698E-2</v>
      </c>
      <c r="EC9" s="47">
        <f>t_Parts[[#This Row],[hp2015.09]]/t_Parts[[#This Row],[ha2015.09]]</f>
        <v>6.1334690950075557E-2</v>
      </c>
      <c r="ED9" s="47">
        <f>t_Parts[[#This Row],[hp2015.10]]/t_Parts[[#This Row],[ha2015.10]]</f>
        <v>6.3477548092932698E-2</v>
      </c>
      <c r="EE9" s="47">
        <f>t_Parts[[#This Row],[hp2015.11]]/t_Parts[[#This Row],[ha2015.11]]</f>
        <v>6.3477548092932698E-2</v>
      </c>
      <c r="EF9" s="47">
        <f>t_Parts[[#This Row],[hp2015.12]]/t_Parts[[#This Row],[ha2015.12]]</f>
        <v>6.1334690950075557E-2</v>
      </c>
      <c r="EG9" s="47">
        <f>t_Parts[[#This Row],[hp2015.FY]]/t_Parts[[#This Row],[ha2015.FY]]</f>
        <v>6.2653372268756863E-2</v>
      </c>
      <c r="EH9" s="47">
        <f>t_Parts[[#This Row],[hp2016.01]]/t_Parts[[#This Row],[ha2016.01]]</f>
        <v>6.3477548092932698E-2</v>
      </c>
      <c r="EI9" s="47">
        <f>t_Parts[[#This Row],[hp2016.02]]/t_Parts[[#This Row],[ha2016.02]]</f>
        <v>6.3477548092932698E-2</v>
      </c>
      <c r="EJ9" s="47">
        <f>t_Parts[[#This Row],[hp2016.03]]/t_Parts[[#This Row],[ha2016.03]]</f>
        <v>6.1334690950075557E-2</v>
      </c>
      <c r="EK9" s="47">
        <f>t_Parts[[#This Row],[hp2016.04]]/t_Parts[[#This Row],[ha2016.04]]</f>
        <v>6.3477548092932698E-2</v>
      </c>
      <c r="EL9" s="47">
        <f>t_Parts[[#This Row],[hp2016.05]]/t_Parts[[#This Row],[ha2016.05]]</f>
        <v>6.3477548092932698E-2</v>
      </c>
      <c r="EM9" s="47">
        <f>t_Parts[[#This Row],[hp2016.06]]/t_Parts[[#This Row],[ha2016.06]]</f>
        <v>6.1334690950075557E-2</v>
      </c>
      <c r="EN9" s="47">
        <f>t_Parts[[#This Row],[hp2016.07]]/t_Parts[[#This Row],[ha2016.07]]</f>
        <v>6.3477548092932698E-2</v>
      </c>
      <c r="EO9" s="47">
        <f>t_Parts[[#This Row],[hp2016.08]]/t_Parts[[#This Row],[ha2016.08]]</f>
        <v>6.3477548092932698E-2</v>
      </c>
      <c r="EP9" s="47">
        <f>t_Parts[[#This Row],[hp2016.09]]/t_Parts[[#This Row],[ha2016.09]]</f>
        <v>6.1334690950075557E-2</v>
      </c>
      <c r="EQ9" s="47">
        <f>t_Parts[[#This Row],[hp2016.10]]/t_Parts[[#This Row],[ha2016.10]]</f>
        <v>6.3477548092932698E-2</v>
      </c>
      <c r="ER9" s="47">
        <f>t_Parts[[#This Row],[hp2016.11]]/t_Parts[[#This Row],[ha2016.11]]</f>
        <v>6.3477548092932698E-2</v>
      </c>
      <c r="ES9" s="47">
        <f>t_Parts[[#This Row],[hp2016.12]]/t_Parts[[#This Row],[ha2016.12]]</f>
        <v>6.1334690950075557E-2</v>
      </c>
      <c r="ET9" s="47">
        <f>t_Parts[[#This Row],[hp2016.FY]]/t_Parts[[#This Row],[ha2016.FY]]</f>
        <v>6.2653372268756863E-2</v>
      </c>
      <c r="EU9" s="47">
        <f>t_Parts[[#This Row],[hp2017]]/t_Parts[[#This Row],[ha2017]]</f>
        <v>0</v>
      </c>
      <c r="EV9" s="47">
        <f>t_Parts[[#This Row],[hp2018]]/t_Parts[[#This Row],[ha2018]]</f>
        <v>0</v>
      </c>
      <c r="EW9" s="47">
        <f>t_Parts[[#This Row],[hp2019]]/t_Parts[[#This Row],[hp2015.01]]</f>
        <v>0</v>
      </c>
      <c r="EX9" s="58">
        <f>(t_Parts[[#This Row],[ha2015.01]]-t_Parts[[#This Row],[hp2015.01]])*t_Parts[[NetPPH]:[NetPPH]]</f>
        <v>112495.07692307694</v>
      </c>
      <c r="EY9" s="58">
        <f>(t_Parts[[#This Row],[ha2015.02]]-t_Parts[[#This Row],[hp2015.02]])*t_Parts[[NetPPH]:[NetPPH]]</f>
        <v>112495.07692307694</v>
      </c>
      <c r="EZ9" s="58">
        <f>(t_Parts[[#This Row],[ha2015.03]]-t_Parts[[#This Row],[hp2015.03]])*t_Parts[[NetPPH]:[NetPPH]]</f>
        <v>140940.59615384616</v>
      </c>
      <c r="FA9" s="58">
        <f>(t_Parts[[#This Row],[ha2015.04]]-t_Parts[[#This Row],[hp2015.04]])*t_Parts[[NetPPH]:[NetPPH]]</f>
        <v>112495.07692307694</v>
      </c>
      <c r="FB9" s="58">
        <f>(t_Parts[[#This Row],[ha2015.05]]-t_Parts[[#This Row],[hp2015.05]])*t_Parts[[NetPPH]:[NetPPH]]</f>
        <v>112495.07692307694</v>
      </c>
      <c r="FC9" s="58">
        <f>(t_Parts[[#This Row],[ha2015.06]]-t_Parts[[#This Row],[hp2015.06]])*t_Parts[[NetPPH]:[NetPPH]]</f>
        <v>140940.59615384616</v>
      </c>
      <c r="FD9" s="58">
        <f>(t_Parts[[#This Row],[ha2015.07]]-t_Parts[[#This Row],[hp2015.07]])*t_Parts[[NetPPH]:[NetPPH]]</f>
        <v>112495.07692307694</v>
      </c>
      <c r="FE9" s="58">
        <f>(t_Parts[[#This Row],[ha2015.08]]-t_Parts[[#This Row],[hp2015.08]])*t_Parts[[NetPPH]:[NetPPH]]</f>
        <v>112495.07692307694</v>
      </c>
      <c r="FF9" s="58">
        <f>(t_Parts[[#This Row],[ha2015.09]]-t_Parts[[#This Row],[hp2015.09]])*t_Parts[[NetPPH]:[NetPPH]]</f>
        <v>140940.59615384616</v>
      </c>
      <c r="FG9" s="58">
        <f>(t_Parts[[#This Row],[ha2015.10]]-t_Parts[[#This Row],[hp2015.10]])*t_Parts[[NetPPH]:[NetPPH]]</f>
        <v>112495.07692307694</v>
      </c>
      <c r="FH9" s="58">
        <f>(t_Parts[[#This Row],[ha2015.11]]-t_Parts[[#This Row],[hp2015.11]])*t_Parts[[NetPPH]:[NetPPH]]</f>
        <v>112495.07692307694</v>
      </c>
      <c r="FI9" s="58">
        <f>(t_Parts[[#This Row],[ha2015.12]]-t_Parts[[#This Row],[hp2015.12]])*t_Parts[[NetPPH]:[NetPPH]]</f>
        <v>140940.59615384616</v>
      </c>
      <c r="FJ9" s="58">
        <f>(t_Parts[[#This Row],[ha2015.FY]]-t_Parts[[#This Row],[hp2015.FY]])*t_Parts[[NetPPH]:[NetPPH]]</f>
        <v>1463723.0000000002</v>
      </c>
      <c r="FK9" s="58">
        <f>(t_Parts[[#This Row],[ha2016.01]]-t_Parts[[#This Row],[hp2016.01]])*t_Parts[[NetPPH]:[NetPPH]]</f>
        <v>112495.07692307694</v>
      </c>
      <c r="FL9" s="58">
        <f>(t_Parts[[#This Row],[ha2016.02]]-t_Parts[[#This Row],[hp2016.02]])*t_Parts[[NetPPH]:[NetPPH]]</f>
        <v>112495.07692307694</v>
      </c>
      <c r="FM9" s="58">
        <f>(t_Parts[[#This Row],[ha2016.03]]-t_Parts[[#This Row],[hp2016.03]])*t_Parts[[NetPPH]:[NetPPH]]</f>
        <v>140940.59615384616</v>
      </c>
      <c r="FN9" s="58">
        <f>(t_Parts[[#This Row],[ha2016.04]]-t_Parts[[#This Row],[hp2016.04]])*t_Parts[[NetPPH]:[NetPPH]]</f>
        <v>112495.07692307694</v>
      </c>
      <c r="FO9" s="58">
        <f>(t_Parts[[#This Row],[ha2016.05]]-t_Parts[[#This Row],[hp2016.05]])*t_Parts[[NetPPH]:[NetPPH]]</f>
        <v>112495.07692307694</v>
      </c>
      <c r="FP9" s="58">
        <f>(t_Parts[[#This Row],[ha2016.06]]-t_Parts[[#This Row],[hp2016.06]])*t_Parts[[NetPPH]:[NetPPH]]</f>
        <v>140940.59615384616</v>
      </c>
      <c r="FQ9" s="58">
        <f>(t_Parts[[#This Row],[ha2016.07]]-t_Parts[[#This Row],[hp2016.07]])*t_Parts[[NetPPH]:[NetPPH]]</f>
        <v>112495.07692307694</v>
      </c>
      <c r="FR9" s="58">
        <f>(t_Parts[[#This Row],[ha2016.08]]-t_Parts[[#This Row],[hp2016.08]])*t_Parts[[NetPPH]:[NetPPH]]</f>
        <v>112495.07692307694</v>
      </c>
      <c r="FS9" s="58">
        <f>(t_Parts[[#This Row],[ha2016.09]]-t_Parts[[#This Row],[hp2016.09]])*t_Parts[[NetPPH]:[NetPPH]]</f>
        <v>140940.59615384616</v>
      </c>
      <c r="FT9" s="58">
        <f>(t_Parts[[#This Row],[ha2016.10]]-t_Parts[[#This Row],[hp2016.10]])*t_Parts[[NetPPH]:[NetPPH]]</f>
        <v>112495.07692307694</v>
      </c>
      <c r="FU9" s="58">
        <f>(t_Parts[[#This Row],[ha2016.11]]-t_Parts[[#This Row],[hp2016.11]])*t_Parts[[NetPPH]:[NetPPH]]</f>
        <v>112495.07692307694</v>
      </c>
      <c r="FV9" s="58">
        <f>(t_Parts[[#This Row],[ha2016.12]]-t_Parts[[#This Row],[hp2016.12]])*t_Parts[[NetPPH]:[NetPPH]]</f>
        <v>140940.59615384616</v>
      </c>
      <c r="FW9" s="58">
        <f>(t_Parts[[#This Row],[ha2016.FY]]-t_Parts[[#This Row],[hp2016.FY]])*t_Parts[[NetPPH]:[NetPPH]]</f>
        <v>1463723.0000000002</v>
      </c>
      <c r="FX9" s="58">
        <f>(t_Parts[[#This Row],[ha2017]]-t_Parts[[#This Row],[hp2017]])*t_Parts[[NetPPH]:[NetPPH]]</f>
        <v>1561560.0000000002</v>
      </c>
      <c r="FY9" s="58">
        <f>(t_Parts[[#This Row],[ha2018]]-t_Parts[[#This Row],[hp2018]])*t_Parts[[NetPPH]:[NetPPH]]</f>
        <v>1561560.0000000002</v>
      </c>
      <c r="FZ9" s="58">
        <f>(t_Parts[[#This Row],[ha2019]]-t_Parts[[#This Row],[hp2019]])*t_Parts[[NetPPH]:[NetPPH]]</f>
        <v>1561560.0000000002</v>
      </c>
    </row>
    <row r="10" spans="1:182" s="14" customFormat="1" x14ac:dyDescent="0.25">
      <c r="A10" s="74" t="s">
        <v>549</v>
      </c>
      <c r="B10" s="74"/>
      <c r="C10" s="74">
        <v>21014</v>
      </c>
      <c r="D10" s="75">
        <v>1</v>
      </c>
      <c r="E10" s="73">
        <v>3600</v>
      </c>
      <c r="F10" s="76">
        <v>1</v>
      </c>
      <c r="G10" s="77">
        <v>2</v>
      </c>
      <c r="H10" s="16">
        <v>2015.01</v>
      </c>
      <c r="I10" s="16" t="s">
        <v>83</v>
      </c>
      <c r="J10" s="73">
        <v>37611</v>
      </c>
      <c r="K10" s="73">
        <v>37611</v>
      </c>
      <c r="L10" s="73">
        <v>37611</v>
      </c>
      <c r="M10" s="73">
        <v>37611</v>
      </c>
      <c r="N10" s="73">
        <v>37611</v>
      </c>
      <c r="O10" s="78"/>
      <c r="P10" s="78"/>
      <c r="Q10" s="79">
        <v>21.12</v>
      </c>
      <c r="R10" s="79"/>
      <c r="S10" s="78">
        <v>108</v>
      </c>
      <c r="T10" s="80"/>
      <c r="U10" s="80" t="s">
        <v>121</v>
      </c>
      <c r="V10" s="81" t="s">
        <v>550</v>
      </c>
      <c r="W10" s="82">
        <v>1.06</v>
      </c>
      <c r="X10" s="82" t="s">
        <v>551</v>
      </c>
      <c r="Y10" s="82"/>
      <c r="Z10" s="82"/>
      <c r="AA10" s="82"/>
      <c r="AB10" s="82"/>
      <c r="AC10" s="83" t="s">
        <v>667</v>
      </c>
      <c r="AD10" s="40" t="str">
        <f>VLOOKUP(t_Parts[[#This Row],[Press]],t_Presses[],Press!B$1,FALSE)</f>
        <v>Plainfield</v>
      </c>
      <c r="AE10" s="40" t="str">
        <f>VLOOKUP(t_Parts[[#This Row],[Press]],t_Presses[],Press!E$1,FALSE)</f>
        <v>300-599</v>
      </c>
      <c r="AF10" s="47">
        <f>VLOOKUP(t_Parts[[#This Row],[Plant]],t_Plants[],Plants!C$1,FALSE)</f>
        <v>0.55000000000000004</v>
      </c>
      <c r="AG10" s="47">
        <f>VLOOKUP(t_Parts[[#This Row],[Press]],t_Presses[],Press!F$1,FALSE)</f>
        <v>0</v>
      </c>
      <c r="AH10" s="84"/>
      <c r="AI10" s="47">
        <f>IF(ISBLANK(t_Parts[[#This Row],[PartOEE]])=FALSE,t_Parts[[#This Row],[PartOEE]], IF(t_Parts[[#This Row],[PressOEE]]&gt;0, t_Parts[[#This Row],[PressOEE]], t_Parts[[#This Row],[PlantOEE]] ))</f>
        <v>0.55000000000000004</v>
      </c>
      <c r="AJ10" s="70">
        <f>t_Parts[[#This Row],[SetupsPerMo]]*t_Parts[[#This Row],[SetupHrs]]</f>
        <v>2</v>
      </c>
      <c r="AK10" s="39">
        <f>(t_Parts[[#This Row],[PartsPerStroke]]*t_Parts[[#This Row],[StrokesPerHr]])*t_Parts[[#This Row],[UseOEE]]</f>
        <v>1980.0000000000002</v>
      </c>
      <c r="AL1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1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1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3616.4423076923076</v>
      </c>
      <c r="AO1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1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1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3616.4423076923076</v>
      </c>
      <c r="AR1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1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1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3616.4423076923076</v>
      </c>
      <c r="AU1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1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1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3616.4423076923076</v>
      </c>
      <c r="AX10" s="39">
        <f>SUM(t_Parts[[#This Row],[pv2015.01]:[pv2015.12]])</f>
        <v>37611</v>
      </c>
      <c r="AY1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1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1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1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1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1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1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1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1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1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1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1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10" s="39">
        <f>SUM(t_Parts[[#This Row],[pv2016.01]:[pv2016.12]])</f>
        <v>37611</v>
      </c>
      <c r="BL10" s="39">
        <f>t_Parts[[#This Row],[2017vol]]</f>
        <v>37611</v>
      </c>
      <c r="BM10" s="39">
        <f>t_Parts[[#This Row],[2018vol]]</f>
        <v>37611</v>
      </c>
      <c r="BN10" s="39">
        <f>t_Parts[[#This Row],[2019vol]]</f>
        <v>37611</v>
      </c>
      <c r="BO10" s="40">
        <f>VLOOKUP(t_Parts[[Plant]:[Plant]],t_Plants[],Plants!CN$1,FALSE)</f>
        <v>280</v>
      </c>
      <c r="BP10" s="14">
        <f>VLOOKUP(t_Parts[[Plant]:[Plant]],t_Plants[],Plants!CO$1,FALSE)</f>
        <v>280</v>
      </c>
      <c r="BQ10" s="14">
        <f>VLOOKUP(t_Parts[[Plant]:[Plant]],t_Plants[],Plants!CP$1,FALSE)</f>
        <v>350</v>
      </c>
      <c r="BR10" s="14">
        <f>VLOOKUP(t_Parts[[Plant]:[Plant]],t_Plants[],Plants!CQ$1,FALSE)</f>
        <v>280</v>
      </c>
      <c r="BS10" s="14">
        <f>VLOOKUP(t_Parts[[Plant]:[Plant]],t_Plants[],Plants!CR$1,FALSE)</f>
        <v>280</v>
      </c>
      <c r="BT10" s="14">
        <f>VLOOKUP(t_Parts[[Plant]:[Plant]],t_Plants[],Plants!CS$1,FALSE)</f>
        <v>350</v>
      </c>
      <c r="BU10" s="14">
        <f>VLOOKUP(t_Parts[[Plant]:[Plant]],t_Plants[],Plants!CT$1,FALSE)</f>
        <v>280</v>
      </c>
      <c r="BV10" s="14">
        <f>VLOOKUP(t_Parts[[Plant]:[Plant]],t_Plants[],Plants!CU$1,FALSE)</f>
        <v>280</v>
      </c>
      <c r="BW10" s="14">
        <f>VLOOKUP(t_Parts[[Plant]:[Plant]],t_Plants[],Plants!CV$1,FALSE)</f>
        <v>350</v>
      </c>
      <c r="BX10" s="14">
        <f>VLOOKUP(t_Parts[[Plant]:[Plant]],t_Plants[],Plants!CW$1,FALSE)</f>
        <v>280</v>
      </c>
      <c r="BY10" s="14">
        <f>VLOOKUP(t_Parts[[Plant]:[Plant]],t_Plants[],Plants!CX$1,FALSE)</f>
        <v>280</v>
      </c>
      <c r="BZ10" s="14">
        <f>VLOOKUP(t_Parts[[Plant]:[Plant]],t_Plants[],Plants!CY$1,FALSE)</f>
        <v>350</v>
      </c>
      <c r="CA10" s="40">
        <f>SUM(t_Parts[[#This Row],[ha2015.01]:[ha2015.12]])</f>
        <v>3640</v>
      </c>
      <c r="CB10" s="14">
        <f>VLOOKUP(t_Parts[[Plant]:[Plant]],t_Plants[],Plants!DA$1,FALSE)</f>
        <v>280</v>
      </c>
      <c r="CC10" s="14">
        <f>VLOOKUP(t_Parts[[Plant]:[Plant]],t_Plants[],Plants!DB$1,FALSE)</f>
        <v>280</v>
      </c>
      <c r="CD10" s="14">
        <f>VLOOKUP(t_Parts[[Plant]:[Plant]],t_Plants[],Plants!DC$1,FALSE)</f>
        <v>350</v>
      </c>
      <c r="CE10" s="14">
        <f>VLOOKUP(t_Parts[[Plant]:[Plant]],t_Plants[],Plants!DD$1,FALSE)</f>
        <v>280</v>
      </c>
      <c r="CF10" s="14">
        <f>VLOOKUP(t_Parts[[Plant]:[Plant]],t_Plants[],Plants!DE$1,FALSE)</f>
        <v>280</v>
      </c>
      <c r="CG10" s="14">
        <f>VLOOKUP(t_Parts[[Plant]:[Plant]],t_Plants[],Plants!DF$1,FALSE)</f>
        <v>350</v>
      </c>
      <c r="CH10" s="14">
        <f>VLOOKUP(t_Parts[[Plant]:[Plant]],t_Plants[],Plants!DG$1,FALSE)</f>
        <v>280</v>
      </c>
      <c r="CI10" s="14">
        <f>VLOOKUP(t_Parts[[Plant]:[Plant]],t_Plants[],Plants!DH$1,FALSE)</f>
        <v>280</v>
      </c>
      <c r="CJ10" s="14">
        <f>VLOOKUP(t_Parts[[Plant]:[Plant]],t_Plants[],Plants!DI$1,FALSE)</f>
        <v>350</v>
      </c>
      <c r="CK10" s="14">
        <f>VLOOKUP(t_Parts[[Plant]:[Plant]],t_Plants[],Plants!DJ$1,FALSE)</f>
        <v>280</v>
      </c>
      <c r="CL10" s="14">
        <f>VLOOKUP(t_Parts[[Plant]:[Plant]],t_Plants[],Plants!DK$1,FALSE)</f>
        <v>280</v>
      </c>
      <c r="CM10" s="14">
        <f>VLOOKUP(t_Parts[[Plant]:[Plant]],t_Plants[],Plants!DL$1,FALSE)</f>
        <v>350</v>
      </c>
      <c r="CN10" s="14">
        <f>VLOOKUP(t_Parts[[Plant]:[Plant]],t_Plants[],Plants!DM$1,FALSE)</f>
        <v>3640</v>
      </c>
      <c r="CO10" s="14">
        <f>VLOOKUP(t_Parts[[Plant]:[Plant]],t_Plants[],Plants!DN$1,FALSE)</f>
        <v>3640</v>
      </c>
      <c r="CP10" s="14">
        <f>VLOOKUP(t_Parts[[Plant]:[Plant]],t_Plants[],Plants!DO$1,FALSE)</f>
        <v>3640</v>
      </c>
      <c r="CQ10" s="14">
        <f>VLOOKUP(t_Parts[[Plant]:[Plant]],t_Plants[],Plants!DP$1,FALSE)</f>
        <v>3640</v>
      </c>
      <c r="CR10" s="39">
        <f>IF(AND(AL$3&gt;=VALUE(t_Parts[[SOP]:[SOP]]),AL$3&lt;=VALUE(t_Parts[[EOP]:[EOP]])), t_Parts[[SetupHrsPerMo]:[SetupHrsPerMo]]+(t_Parts[[#This Row],[pv2015.01]]/t_Parts[[NetPPH]:[NetPPH]]),0)</f>
        <v>3.4611888111888112</v>
      </c>
      <c r="CS10" s="39">
        <f>IF(AND(AM$3&gt;=VALUE(t_Parts[[SOP]:[SOP]]),AM$3&lt;=VALUE(t_Parts[[EOP]:[EOP]])), t_Parts[[SetupHrsPerMo]:[SetupHrsPerMo]]+(t_Parts[[#This Row],[pv2015.02]]/t_Parts[[NetPPH]:[NetPPH]]),0)</f>
        <v>3.4611888111888112</v>
      </c>
      <c r="CT10" s="39">
        <f>IF(AND(AN$3&gt;=VALUE(t_Parts[[SOP]:[SOP]]),AN$3&lt;=VALUE(t_Parts[[EOP]:[EOP]])), t_Parts[[SetupHrsPerMo]:[SetupHrsPerMo]]+(t_Parts[[#This Row],[pv2015.03]]/t_Parts[[NetPPH]:[NetPPH]]),0)</f>
        <v>3.8264860139860137</v>
      </c>
      <c r="CU10" s="39">
        <f>IF(AND(AO$3&gt;=VALUE(t_Parts[[SOP]:[SOP]]),AO$3&lt;=VALUE(t_Parts[[EOP]:[EOP]])), t_Parts[[SetupHrsPerMo]:[SetupHrsPerMo]]+(t_Parts[[#This Row],[pv2015.04]]/t_Parts[[NetPPH]:[NetPPH]]),0)</f>
        <v>3.4611888111888112</v>
      </c>
      <c r="CV10" s="39">
        <f>IF(AND(AP$3&gt;=VALUE(t_Parts[[SOP]:[SOP]]),AP$3&lt;=VALUE(t_Parts[[EOP]:[EOP]])), t_Parts[[SetupHrsPerMo]:[SetupHrsPerMo]]+(t_Parts[[#This Row],[pv2015.05]]/t_Parts[[NetPPH]:[NetPPH]]),0)</f>
        <v>3.4611888111888112</v>
      </c>
      <c r="CW10" s="39">
        <f>IF(AND(AQ$3&gt;=VALUE(t_Parts[[SOP]:[SOP]]),AQ$3&lt;=VALUE(t_Parts[[EOP]:[EOP]])), t_Parts[[SetupHrsPerMo]:[SetupHrsPerMo]]+(t_Parts[[#This Row],[pv2015.06]]/t_Parts[[NetPPH]:[NetPPH]]),0)</f>
        <v>3.8264860139860137</v>
      </c>
      <c r="CX10" s="39">
        <f>IF(AND(AR$3&gt;=VALUE(t_Parts[[SOP]:[SOP]]),AR$3&lt;=VALUE(t_Parts[[EOP]:[EOP]])), t_Parts[[SetupHrsPerMo]:[SetupHrsPerMo]]+(t_Parts[[#This Row],[pv2015.07]]/t_Parts[[NetPPH]:[NetPPH]]),0)</f>
        <v>3.4611888111888112</v>
      </c>
      <c r="CY10" s="39">
        <f>IF(AND(AS$3&gt;=VALUE(t_Parts[[SOP]:[SOP]]),AS$3&lt;=VALUE(t_Parts[[EOP]:[EOP]])), t_Parts[[SetupHrsPerMo]:[SetupHrsPerMo]]+(t_Parts[[#This Row],[pv2015.08]]/t_Parts[[NetPPH]:[NetPPH]]),0)</f>
        <v>3.4611888111888112</v>
      </c>
      <c r="CZ10" s="39">
        <f>IF(AND(AT$3&gt;=VALUE(t_Parts[[SOP]:[SOP]]),AT$3&lt;=VALUE(t_Parts[[EOP]:[EOP]])), t_Parts[[SetupHrsPerMo]:[SetupHrsPerMo]]+(t_Parts[[#This Row],[pv2015.09]]/t_Parts[[NetPPH]:[NetPPH]]),0)</f>
        <v>3.8264860139860137</v>
      </c>
      <c r="DA10" s="39">
        <f>IF(AND(AU$3&gt;=VALUE(t_Parts[[SOP]:[SOP]]),AU$3&lt;=VALUE(t_Parts[[EOP]:[EOP]])), t_Parts[[SetupHrsPerMo]:[SetupHrsPerMo]]+(t_Parts[[#This Row],[pv2015.10]]/t_Parts[[NetPPH]:[NetPPH]]),0)</f>
        <v>3.4611888111888112</v>
      </c>
      <c r="DB10" s="39">
        <f>IF(AND(AV$3&gt;=VALUE(t_Parts[[SOP]:[SOP]]),AV$3&lt;=VALUE(t_Parts[[EOP]:[EOP]])), t_Parts[[SetupHrsPerMo]:[SetupHrsPerMo]]+(t_Parts[[#This Row],[pv2015.11]]/t_Parts[[NetPPH]:[NetPPH]]),0)</f>
        <v>3.4611888111888112</v>
      </c>
      <c r="DC10" s="39">
        <f>IF(AND(AW$3&gt;=VALUE(t_Parts[[SOP]:[SOP]]),AW$3&lt;=VALUE(t_Parts[[EOP]:[EOP]])), t_Parts[[SetupHrsPerMo]:[SetupHrsPerMo]]+(t_Parts[[#This Row],[pv2015.12]]/t_Parts[[NetPPH]:[NetPPH]]),0)</f>
        <v>3.8264860139860137</v>
      </c>
      <c r="DD10" s="39">
        <f>SUM(t_Parts[[#This Row],[hp2015.01]:[hp2015.12]])</f>
        <v>42.99545454545455</v>
      </c>
      <c r="DE10" s="39">
        <f>IF(AND(AY$3&gt;=VALUE(t_Parts[[SOP]:[SOP]]),AY$3&lt;=VALUE(t_Parts[[EOP]:[EOP]])), t_Parts[[SetupHrsPerMo]:[SetupHrsPerMo]]+(t_Parts[[#This Row],[pv2016.01]]/t_Parts[[NetPPH]:[NetPPH]]),0)</f>
        <v>3.4611888111888112</v>
      </c>
      <c r="DF10" s="39">
        <f>IF(AND(AZ$3&gt;=VALUE(t_Parts[[SOP]:[SOP]]),AZ$3&lt;=VALUE(t_Parts[[EOP]:[EOP]])), t_Parts[[SetupHrsPerMo]:[SetupHrsPerMo]]+(t_Parts[[#This Row],[pv2016.02]]/t_Parts[[NetPPH]:[NetPPH]]),0)</f>
        <v>3.4611888111888112</v>
      </c>
      <c r="DG10" s="39">
        <f>IF(AND(BA$3&gt;=VALUE(t_Parts[[SOP]:[SOP]]),BA$3&lt;=VALUE(t_Parts[[EOP]:[EOP]])), t_Parts[[SetupHrsPerMo]:[SetupHrsPerMo]]+(t_Parts[[#This Row],[pv2016.03]]/t_Parts[[NetPPH]:[NetPPH]]),0)</f>
        <v>3.8264860139860137</v>
      </c>
      <c r="DH10" s="39">
        <f>IF(AND(BB$3&gt;=VALUE(t_Parts[[SOP]:[SOP]]),BB$3&lt;=VALUE(t_Parts[[EOP]:[EOP]])), t_Parts[[SetupHrsPerMo]:[SetupHrsPerMo]]+(t_Parts[[#This Row],[pv2016.04]]/t_Parts[[NetPPH]:[NetPPH]]),0)</f>
        <v>3.4611888111888112</v>
      </c>
      <c r="DI10" s="39">
        <f>IF(AND(BC$3&gt;=VALUE(t_Parts[[SOP]:[SOP]]),BC$3&lt;=VALUE(t_Parts[[EOP]:[EOP]])), t_Parts[[SetupHrsPerMo]:[SetupHrsPerMo]]+(t_Parts[[#This Row],[pv2016.05]]/t_Parts[[NetPPH]:[NetPPH]]),0)</f>
        <v>3.4611888111888112</v>
      </c>
      <c r="DJ10" s="39">
        <f>IF(AND(BD$3&gt;=VALUE(t_Parts[[SOP]:[SOP]]),BD$3&lt;=VALUE(t_Parts[[EOP]:[EOP]])), t_Parts[[SetupHrsPerMo]:[SetupHrsPerMo]]+(t_Parts[[#This Row],[pv2016.06]]/t_Parts[[NetPPH]:[NetPPH]]),0)</f>
        <v>3.8264860139860137</v>
      </c>
      <c r="DK10" s="39">
        <f>IF(AND(BE$3&gt;=VALUE(t_Parts[[SOP]:[SOP]]),BE$3&lt;=VALUE(t_Parts[[EOP]:[EOP]])), t_Parts[[SetupHrsPerMo]:[SetupHrsPerMo]]+(t_Parts[[#This Row],[pv2016.07]]/t_Parts[[NetPPH]:[NetPPH]]),0)</f>
        <v>3.4611888111888112</v>
      </c>
      <c r="DL10" s="39">
        <f>IF(AND(BF$3&gt;=VALUE(t_Parts[[SOP]:[SOP]]),BF$3&lt;=VALUE(t_Parts[[EOP]:[EOP]])), t_Parts[[SetupHrsPerMo]:[SetupHrsPerMo]]+(t_Parts[[#This Row],[pv2016.08]]/t_Parts[[NetPPH]:[NetPPH]]),0)</f>
        <v>3.4611888111888112</v>
      </c>
      <c r="DM10" s="39">
        <f>IF(AND(BG$3&gt;=VALUE(t_Parts[[SOP]:[SOP]]),BG$3&lt;=VALUE(t_Parts[[EOP]:[EOP]])), t_Parts[[SetupHrsPerMo]:[SetupHrsPerMo]]+(t_Parts[[#This Row],[pv2016.09]]/t_Parts[[NetPPH]:[NetPPH]]),0)</f>
        <v>3.8264860139860137</v>
      </c>
      <c r="DN10" s="39">
        <f>IF(AND(BH$3&gt;=VALUE(t_Parts[[SOP]:[SOP]]),BH$3&lt;=VALUE(t_Parts[[EOP]:[EOP]])), t_Parts[[SetupHrsPerMo]:[SetupHrsPerMo]]+(t_Parts[[#This Row],[pv2016.10]]/t_Parts[[NetPPH]:[NetPPH]]),0)</f>
        <v>3.4611888111888112</v>
      </c>
      <c r="DO10" s="39">
        <f>IF(AND(BI$3&gt;=VALUE(t_Parts[[SOP]:[SOP]]),BI$3&lt;=VALUE(t_Parts[[EOP]:[EOP]])), t_Parts[[SetupHrsPerMo]:[SetupHrsPerMo]]+(t_Parts[[#This Row],[pv2016.11]]/t_Parts[[NetPPH]:[NetPPH]]),0)</f>
        <v>3.4611888111888112</v>
      </c>
      <c r="DP10" s="39">
        <f>IF(AND(BJ$3&gt;=VALUE(t_Parts[[SOP]:[SOP]]),BJ$3&lt;=VALUE(t_Parts[[EOP]:[EOP]])), t_Parts[[SetupHrsPerMo]:[SetupHrsPerMo]]+(t_Parts[[#This Row],[pv2016.12]]/t_Parts[[NetPPH]:[NetPPH]]),0)</f>
        <v>3.8264860139860137</v>
      </c>
      <c r="DQ10" s="39">
        <f>SUM(t_Parts[[#This Row],[hp2016.01]:[hp2016.12]])</f>
        <v>42.99545454545455</v>
      </c>
      <c r="DR10" s="39">
        <f>IF(AND(BL$3&gt;=VALUE(t_Parts[[SOP]:[SOP]]),BL$3&lt;=VALUE(t_Parts[[EOP]:[EOP]])), 12*t_Parts[[SetupHrsPerMo]:[SetupHrsPerMo]]+(t_Parts[[#This Row],[pv2017]]/t_Parts[[NetPPH]:[NetPPH]]),0)</f>
        <v>42.995454545454542</v>
      </c>
      <c r="DS10" s="39">
        <f>IF(AND(BM$3&gt;=VALUE(t_Parts[[SOP]:[SOP]]),BM$3&lt;=VALUE(t_Parts[[EOP]:[EOP]])), 12*t_Parts[[SetupHrsPerMo]:[SetupHrsPerMo]]+(t_Parts[[#This Row],[pv2018]]/t_Parts[[NetPPH]:[NetPPH]]),0)</f>
        <v>42.995454545454542</v>
      </c>
      <c r="DT10" s="39">
        <f>IF(AND(BN$3&gt;=VALUE(t_Parts[[SOP]:[SOP]]),BN$3&lt;=VALUE(t_Parts[[EOP]:[EOP]])), 12*t_Parts[[SetupHrsPerMo]:[SetupHrsPerMo]]+(t_Parts[[#This Row],[pv2019]]/t_Parts[[NetPPH]:[NetPPH]]),0)</f>
        <v>42.995454545454542</v>
      </c>
      <c r="DU10" s="47">
        <f>t_Parts[[#This Row],[hp2015.01]]/t_Parts[[#This Row],[ha2015.01]]</f>
        <v>1.2361388611388611E-2</v>
      </c>
      <c r="DV10" s="47">
        <f>t_Parts[[#This Row],[hp2015.02]]/t_Parts[[#This Row],[ha2015.02]]</f>
        <v>1.2361388611388611E-2</v>
      </c>
      <c r="DW10" s="47">
        <f>t_Parts[[#This Row],[hp2015.03]]/t_Parts[[#This Row],[ha2015.03]]</f>
        <v>1.0932817182817182E-2</v>
      </c>
      <c r="DX10" s="47">
        <f>t_Parts[[#This Row],[hp2015.04]]/t_Parts[[#This Row],[ha2015.04]]</f>
        <v>1.2361388611388611E-2</v>
      </c>
      <c r="DY10" s="47">
        <f>t_Parts[[#This Row],[hp2015.05]]/t_Parts[[#This Row],[ha2015.05]]</f>
        <v>1.2361388611388611E-2</v>
      </c>
      <c r="DZ10" s="47">
        <f>t_Parts[[#This Row],[hp2015.06]]/t_Parts[[#This Row],[ha2015.06]]</f>
        <v>1.0932817182817182E-2</v>
      </c>
      <c r="EA10" s="47">
        <f>t_Parts[[#This Row],[hp2015.07]]/t_Parts[[#This Row],[ha2015.07]]</f>
        <v>1.2361388611388611E-2</v>
      </c>
      <c r="EB10" s="47">
        <f>t_Parts[[#This Row],[hp2015.08]]/t_Parts[[#This Row],[ha2015.08]]</f>
        <v>1.2361388611388611E-2</v>
      </c>
      <c r="EC10" s="47">
        <f>t_Parts[[#This Row],[hp2015.09]]/t_Parts[[#This Row],[ha2015.09]]</f>
        <v>1.0932817182817182E-2</v>
      </c>
      <c r="ED10" s="47">
        <f>t_Parts[[#This Row],[hp2015.10]]/t_Parts[[#This Row],[ha2015.10]]</f>
        <v>1.2361388611388611E-2</v>
      </c>
      <c r="EE10" s="47">
        <f>t_Parts[[#This Row],[hp2015.11]]/t_Parts[[#This Row],[ha2015.11]]</f>
        <v>1.2361388611388611E-2</v>
      </c>
      <c r="EF10" s="47">
        <f>t_Parts[[#This Row],[hp2015.12]]/t_Parts[[#This Row],[ha2015.12]]</f>
        <v>1.0932817182817182E-2</v>
      </c>
      <c r="EG10" s="47">
        <f>t_Parts[[#This Row],[hp2015.FY]]/t_Parts[[#This Row],[ha2015.FY]]</f>
        <v>1.1811938061938063E-2</v>
      </c>
      <c r="EH10" s="47">
        <f>t_Parts[[#This Row],[hp2016.01]]/t_Parts[[#This Row],[ha2016.01]]</f>
        <v>1.2361388611388611E-2</v>
      </c>
      <c r="EI10" s="47">
        <f>t_Parts[[#This Row],[hp2016.02]]/t_Parts[[#This Row],[ha2016.02]]</f>
        <v>1.2361388611388611E-2</v>
      </c>
      <c r="EJ10" s="47">
        <f>t_Parts[[#This Row],[hp2016.03]]/t_Parts[[#This Row],[ha2016.03]]</f>
        <v>1.0932817182817182E-2</v>
      </c>
      <c r="EK10" s="47">
        <f>t_Parts[[#This Row],[hp2016.04]]/t_Parts[[#This Row],[ha2016.04]]</f>
        <v>1.2361388611388611E-2</v>
      </c>
      <c r="EL10" s="47">
        <f>t_Parts[[#This Row],[hp2016.05]]/t_Parts[[#This Row],[ha2016.05]]</f>
        <v>1.2361388611388611E-2</v>
      </c>
      <c r="EM10" s="47">
        <f>t_Parts[[#This Row],[hp2016.06]]/t_Parts[[#This Row],[ha2016.06]]</f>
        <v>1.0932817182817182E-2</v>
      </c>
      <c r="EN10" s="47">
        <f>t_Parts[[#This Row],[hp2016.07]]/t_Parts[[#This Row],[ha2016.07]]</f>
        <v>1.2361388611388611E-2</v>
      </c>
      <c r="EO10" s="47">
        <f>t_Parts[[#This Row],[hp2016.08]]/t_Parts[[#This Row],[ha2016.08]]</f>
        <v>1.2361388611388611E-2</v>
      </c>
      <c r="EP10" s="47">
        <f>t_Parts[[#This Row],[hp2016.09]]/t_Parts[[#This Row],[ha2016.09]]</f>
        <v>1.0932817182817182E-2</v>
      </c>
      <c r="EQ10" s="47">
        <f>t_Parts[[#This Row],[hp2016.10]]/t_Parts[[#This Row],[ha2016.10]]</f>
        <v>1.2361388611388611E-2</v>
      </c>
      <c r="ER10" s="47">
        <f>t_Parts[[#This Row],[hp2016.11]]/t_Parts[[#This Row],[ha2016.11]]</f>
        <v>1.2361388611388611E-2</v>
      </c>
      <c r="ES10" s="47">
        <f>t_Parts[[#This Row],[hp2016.12]]/t_Parts[[#This Row],[ha2016.12]]</f>
        <v>1.0932817182817182E-2</v>
      </c>
      <c r="ET10" s="47">
        <f>t_Parts[[#This Row],[hp2016.FY]]/t_Parts[[#This Row],[ha2016.FY]]</f>
        <v>1.1811938061938063E-2</v>
      </c>
      <c r="EU10" s="47">
        <f>t_Parts[[#This Row],[hp2017]]/t_Parts[[#This Row],[ha2017]]</f>
        <v>1.1811938061938062E-2</v>
      </c>
      <c r="EV10" s="47">
        <f>t_Parts[[#This Row],[hp2018]]/t_Parts[[#This Row],[ha2018]]</f>
        <v>1.1811938061938062E-2</v>
      </c>
      <c r="EW10" s="47">
        <f>t_Parts[[#This Row],[hp2019]]/t_Parts[[#This Row],[hp2015.01]]</f>
        <v>12.422163854934841</v>
      </c>
      <c r="EX10" s="58">
        <f>(t_Parts[[#This Row],[ha2015.01]]-t_Parts[[#This Row],[hp2015.01]])*t_Parts[[NetPPH]:[NetPPH]]</f>
        <v>547546.84615384613</v>
      </c>
      <c r="EY10" s="58">
        <f>(t_Parts[[#This Row],[ha2015.02]]-t_Parts[[#This Row],[hp2015.02]])*t_Parts[[NetPPH]:[NetPPH]]</f>
        <v>547546.84615384613</v>
      </c>
      <c r="EZ10" s="58">
        <f>(t_Parts[[#This Row],[ha2015.03]]-t_Parts[[#This Row],[hp2015.03]])*t_Parts[[NetPPH]:[NetPPH]]</f>
        <v>685423.55769230775</v>
      </c>
      <c r="FA10" s="58">
        <f>(t_Parts[[#This Row],[ha2015.04]]-t_Parts[[#This Row],[hp2015.04]])*t_Parts[[NetPPH]:[NetPPH]]</f>
        <v>547546.84615384613</v>
      </c>
      <c r="FB10" s="58">
        <f>(t_Parts[[#This Row],[ha2015.05]]-t_Parts[[#This Row],[hp2015.05]])*t_Parts[[NetPPH]:[NetPPH]]</f>
        <v>547546.84615384613</v>
      </c>
      <c r="FC10" s="58">
        <f>(t_Parts[[#This Row],[ha2015.06]]-t_Parts[[#This Row],[hp2015.06]])*t_Parts[[NetPPH]:[NetPPH]]</f>
        <v>685423.55769230775</v>
      </c>
      <c r="FD10" s="58">
        <f>(t_Parts[[#This Row],[ha2015.07]]-t_Parts[[#This Row],[hp2015.07]])*t_Parts[[NetPPH]:[NetPPH]]</f>
        <v>547546.84615384613</v>
      </c>
      <c r="FE10" s="58">
        <f>(t_Parts[[#This Row],[ha2015.08]]-t_Parts[[#This Row],[hp2015.08]])*t_Parts[[NetPPH]:[NetPPH]]</f>
        <v>547546.84615384613</v>
      </c>
      <c r="FF10" s="58">
        <f>(t_Parts[[#This Row],[ha2015.09]]-t_Parts[[#This Row],[hp2015.09]])*t_Parts[[NetPPH]:[NetPPH]]</f>
        <v>685423.55769230775</v>
      </c>
      <c r="FG10" s="58">
        <f>(t_Parts[[#This Row],[ha2015.10]]-t_Parts[[#This Row],[hp2015.10]])*t_Parts[[NetPPH]:[NetPPH]]</f>
        <v>547546.84615384613</v>
      </c>
      <c r="FH10" s="58">
        <f>(t_Parts[[#This Row],[ha2015.11]]-t_Parts[[#This Row],[hp2015.11]])*t_Parts[[NetPPH]:[NetPPH]]</f>
        <v>547546.84615384613</v>
      </c>
      <c r="FI10" s="58">
        <f>(t_Parts[[#This Row],[ha2015.12]]-t_Parts[[#This Row],[hp2015.12]])*t_Parts[[NetPPH]:[NetPPH]]</f>
        <v>685423.55769230775</v>
      </c>
      <c r="FJ10" s="58">
        <f>(t_Parts[[#This Row],[ha2015.FY]]-t_Parts[[#This Row],[hp2015.FY]])*t_Parts[[NetPPH]:[NetPPH]]</f>
        <v>7122069</v>
      </c>
      <c r="FK10" s="58">
        <f>(t_Parts[[#This Row],[ha2016.01]]-t_Parts[[#This Row],[hp2016.01]])*t_Parts[[NetPPH]:[NetPPH]]</f>
        <v>547546.84615384613</v>
      </c>
      <c r="FL10" s="58">
        <f>(t_Parts[[#This Row],[ha2016.02]]-t_Parts[[#This Row],[hp2016.02]])*t_Parts[[NetPPH]:[NetPPH]]</f>
        <v>547546.84615384613</v>
      </c>
      <c r="FM10" s="58">
        <f>(t_Parts[[#This Row],[ha2016.03]]-t_Parts[[#This Row],[hp2016.03]])*t_Parts[[NetPPH]:[NetPPH]]</f>
        <v>685423.55769230775</v>
      </c>
      <c r="FN10" s="58">
        <f>(t_Parts[[#This Row],[ha2016.04]]-t_Parts[[#This Row],[hp2016.04]])*t_Parts[[NetPPH]:[NetPPH]]</f>
        <v>547546.84615384613</v>
      </c>
      <c r="FO10" s="58">
        <f>(t_Parts[[#This Row],[ha2016.05]]-t_Parts[[#This Row],[hp2016.05]])*t_Parts[[NetPPH]:[NetPPH]]</f>
        <v>547546.84615384613</v>
      </c>
      <c r="FP10" s="58">
        <f>(t_Parts[[#This Row],[ha2016.06]]-t_Parts[[#This Row],[hp2016.06]])*t_Parts[[NetPPH]:[NetPPH]]</f>
        <v>685423.55769230775</v>
      </c>
      <c r="FQ10" s="58">
        <f>(t_Parts[[#This Row],[ha2016.07]]-t_Parts[[#This Row],[hp2016.07]])*t_Parts[[NetPPH]:[NetPPH]]</f>
        <v>547546.84615384613</v>
      </c>
      <c r="FR10" s="58">
        <f>(t_Parts[[#This Row],[ha2016.08]]-t_Parts[[#This Row],[hp2016.08]])*t_Parts[[NetPPH]:[NetPPH]]</f>
        <v>547546.84615384613</v>
      </c>
      <c r="FS10" s="58">
        <f>(t_Parts[[#This Row],[ha2016.09]]-t_Parts[[#This Row],[hp2016.09]])*t_Parts[[NetPPH]:[NetPPH]]</f>
        <v>685423.55769230775</v>
      </c>
      <c r="FT10" s="58">
        <f>(t_Parts[[#This Row],[ha2016.10]]-t_Parts[[#This Row],[hp2016.10]])*t_Parts[[NetPPH]:[NetPPH]]</f>
        <v>547546.84615384613</v>
      </c>
      <c r="FU10" s="58">
        <f>(t_Parts[[#This Row],[ha2016.11]]-t_Parts[[#This Row],[hp2016.11]])*t_Parts[[NetPPH]:[NetPPH]]</f>
        <v>547546.84615384613</v>
      </c>
      <c r="FV10" s="58">
        <f>(t_Parts[[#This Row],[ha2016.12]]-t_Parts[[#This Row],[hp2016.12]])*t_Parts[[NetPPH]:[NetPPH]]</f>
        <v>685423.55769230775</v>
      </c>
      <c r="FW10" s="58">
        <f>(t_Parts[[#This Row],[ha2016.FY]]-t_Parts[[#This Row],[hp2016.FY]])*t_Parts[[NetPPH]:[NetPPH]]</f>
        <v>7122069</v>
      </c>
      <c r="FX10" s="58">
        <f>(t_Parts[[#This Row],[ha2017]]-t_Parts[[#This Row],[hp2017]])*t_Parts[[NetPPH]:[NetPPH]]</f>
        <v>7122069.0000000009</v>
      </c>
      <c r="FY10" s="58">
        <f>(t_Parts[[#This Row],[ha2018]]-t_Parts[[#This Row],[hp2018]])*t_Parts[[NetPPH]:[NetPPH]]</f>
        <v>7122069.0000000009</v>
      </c>
      <c r="FZ10" s="58">
        <f>(t_Parts[[#This Row],[ha2019]]-t_Parts[[#This Row],[hp2019]])*t_Parts[[NetPPH]:[NetPPH]]</f>
        <v>7122069.0000000009</v>
      </c>
    </row>
    <row r="11" spans="1:182" s="14" customFormat="1" x14ac:dyDescent="0.25">
      <c r="A11" s="74" t="s">
        <v>590</v>
      </c>
      <c r="B11" s="74"/>
      <c r="C11" s="74">
        <v>21002</v>
      </c>
      <c r="D11" s="75">
        <v>1</v>
      </c>
      <c r="E11" s="73">
        <v>1500</v>
      </c>
      <c r="F11" s="76">
        <v>1</v>
      </c>
      <c r="G11" s="77">
        <v>4</v>
      </c>
      <c r="H11" s="16">
        <v>2015.01</v>
      </c>
      <c r="I11" s="16" t="s">
        <v>83</v>
      </c>
      <c r="J11" s="73">
        <v>82544</v>
      </c>
      <c r="K11" s="73">
        <v>82544</v>
      </c>
      <c r="L11" s="73">
        <v>82544</v>
      </c>
      <c r="M11" s="73">
        <v>82544</v>
      </c>
      <c r="N11" s="73">
        <v>82544</v>
      </c>
      <c r="O11" s="78">
        <v>48</v>
      </c>
      <c r="P11" s="78">
        <v>67</v>
      </c>
      <c r="Q11" s="79">
        <v>21.88</v>
      </c>
      <c r="R11" s="79"/>
      <c r="S11" s="78">
        <v>176</v>
      </c>
      <c r="T11" s="80">
        <v>15.5</v>
      </c>
      <c r="U11" s="80" t="s">
        <v>121</v>
      </c>
      <c r="V11" s="81" t="s">
        <v>591</v>
      </c>
      <c r="W11" s="82">
        <v>2.48</v>
      </c>
      <c r="X11" s="82" t="s">
        <v>551</v>
      </c>
      <c r="Y11" s="82"/>
      <c r="Z11" s="82"/>
      <c r="AA11" s="82"/>
      <c r="AB11" s="82"/>
      <c r="AC11" s="83" t="s">
        <v>667</v>
      </c>
      <c r="AD11" s="40" t="str">
        <f>VLOOKUP(t_Parts[[#This Row],[Press]],t_Presses[],Press!B$1,FALSE)</f>
        <v>Plainfield</v>
      </c>
      <c r="AE11" s="40" t="str">
        <f>VLOOKUP(t_Parts[[#This Row],[Press]],t_Presses[],Press!E$1,FALSE)</f>
        <v>600-899</v>
      </c>
      <c r="AF11" s="47">
        <f>VLOOKUP(t_Parts[[#This Row],[Plant]],t_Plants[],Plants!C$1,FALSE)</f>
        <v>0.55000000000000004</v>
      </c>
      <c r="AG11" s="47">
        <f>VLOOKUP(t_Parts[[#This Row],[Press]],t_Presses[],Press!F$1,FALSE)</f>
        <v>0</v>
      </c>
      <c r="AH11" s="84"/>
      <c r="AI11" s="47">
        <f>IF(ISBLANK(t_Parts[[#This Row],[PartOEE]])=FALSE,t_Parts[[#This Row],[PartOEE]], IF(t_Parts[[#This Row],[PressOEE]]&gt;0, t_Parts[[#This Row],[PressOEE]], t_Parts[[#This Row],[PlantOEE]] ))</f>
        <v>0.55000000000000004</v>
      </c>
      <c r="AJ11" s="70">
        <f>t_Parts[[#This Row],[SetupsPerMo]]*t_Parts[[#This Row],[SetupHrs]]</f>
        <v>4</v>
      </c>
      <c r="AK11" s="39">
        <f>(t_Parts[[#This Row],[PartsPerStroke]]*t_Parts[[#This Row],[StrokesPerHr]])*t_Parts[[#This Row],[UseOEE]]</f>
        <v>825.00000000000011</v>
      </c>
      <c r="AL1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6349.5384615384619</v>
      </c>
      <c r="AM1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6349.5384615384619</v>
      </c>
      <c r="AN1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7936.9230769230771</v>
      </c>
      <c r="AO1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6349.5384615384619</v>
      </c>
      <c r="AP1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6349.5384615384619</v>
      </c>
      <c r="AQ1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7936.9230769230771</v>
      </c>
      <c r="AR1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6349.5384615384619</v>
      </c>
      <c r="AS1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6349.5384615384619</v>
      </c>
      <c r="AT1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7936.9230769230771</v>
      </c>
      <c r="AU1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6349.5384615384619</v>
      </c>
      <c r="AV1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6349.5384615384619</v>
      </c>
      <c r="AW1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7936.9230769230771</v>
      </c>
      <c r="AX11" s="39">
        <f>SUM(t_Parts[[#This Row],[pv2015.01]:[pv2015.12]])</f>
        <v>82544.000000000015</v>
      </c>
      <c r="AY1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6349.5384615384619</v>
      </c>
      <c r="AZ1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6349.5384615384619</v>
      </c>
      <c r="BA1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7936.9230769230771</v>
      </c>
      <c r="BB1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6349.5384615384619</v>
      </c>
      <c r="BC1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6349.5384615384619</v>
      </c>
      <c r="BD1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7936.9230769230771</v>
      </c>
      <c r="BE1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6349.5384615384619</v>
      </c>
      <c r="BF1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6349.5384615384619</v>
      </c>
      <c r="BG1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7936.9230769230771</v>
      </c>
      <c r="BH1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6349.5384615384619</v>
      </c>
      <c r="BI1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6349.5384615384619</v>
      </c>
      <c r="BJ1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7936.9230769230771</v>
      </c>
      <c r="BK11" s="39">
        <f>SUM(t_Parts[[#This Row],[pv2016.01]:[pv2016.12]])</f>
        <v>82544.000000000015</v>
      </c>
      <c r="BL11" s="39">
        <f>t_Parts[[#This Row],[2017vol]]</f>
        <v>82544</v>
      </c>
      <c r="BM11" s="39">
        <f>t_Parts[[#This Row],[2018vol]]</f>
        <v>82544</v>
      </c>
      <c r="BN11" s="39">
        <f>t_Parts[[#This Row],[2019vol]]</f>
        <v>82544</v>
      </c>
      <c r="BO11" s="40">
        <f>VLOOKUP(t_Parts[[Plant]:[Plant]],t_Plants[],Plants!CN$1,FALSE)</f>
        <v>280</v>
      </c>
      <c r="BP11" s="14">
        <f>VLOOKUP(t_Parts[[Plant]:[Plant]],t_Plants[],Plants!CO$1,FALSE)</f>
        <v>280</v>
      </c>
      <c r="BQ11" s="14">
        <f>VLOOKUP(t_Parts[[Plant]:[Plant]],t_Plants[],Plants!CP$1,FALSE)</f>
        <v>350</v>
      </c>
      <c r="BR11" s="14">
        <f>VLOOKUP(t_Parts[[Plant]:[Plant]],t_Plants[],Plants!CQ$1,FALSE)</f>
        <v>280</v>
      </c>
      <c r="BS11" s="14">
        <f>VLOOKUP(t_Parts[[Plant]:[Plant]],t_Plants[],Plants!CR$1,FALSE)</f>
        <v>280</v>
      </c>
      <c r="BT11" s="14">
        <f>VLOOKUP(t_Parts[[Plant]:[Plant]],t_Plants[],Plants!CS$1,FALSE)</f>
        <v>350</v>
      </c>
      <c r="BU11" s="14">
        <f>VLOOKUP(t_Parts[[Plant]:[Plant]],t_Plants[],Plants!CT$1,FALSE)</f>
        <v>280</v>
      </c>
      <c r="BV11" s="14">
        <f>VLOOKUP(t_Parts[[Plant]:[Plant]],t_Plants[],Plants!CU$1,FALSE)</f>
        <v>280</v>
      </c>
      <c r="BW11" s="14">
        <f>VLOOKUP(t_Parts[[Plant]:[Plant]],t_Plants[],Plants!CV$1,FALSE)</f>
        <v>350</v>
      </c>
      <c r="BX11" s="14">
        <f>VLOOKUP(t_Parts[[Plant]:[Plant]],t_Plants[],Plants!CW$1,FALSE)</f>
        <v>280</v>
      </c>
      <c r="BY11" s="14">
        <f>VLOOKUP(t_Parts[[Plant]:[Plant]],t_Plants[],Plants!CX$1,FALSE)</f>
        <v>280</v>
      </c>
      <c r="BZ11" s="14">
        <f>VLOOKUP(t_Parts[[Plant]:[Plant]],t_Plants[],Plants!CY$1,FALSE)</f>
        <v>350</v>
      </c>
      <c r="CA11" s="40">
        <f>SUM(t_Parts[[#This Row],[ha2015.01]:[ha2015.12]])</f>
        <v>3640</v>
      </c>
      <c r="CB11" s="14">
        <f>VLOOKUP(t_Parts[[Plant]:[Plant]],t_Plants[],Plants!DA$1,FALSE)</f>
        <v>280</v>
      </c>
      <c r="CC11" s="14">
        <f>VLOOKUP(t_Parts[[Plant]:[Plant]],t_Plants[],Plants!DB$1,FALSE)</f>
        <v>280</v>
      </c>
      <c r="CD11" s="14">
        <f>VLOOKUP(t_Parts[[Plant]:[Plant]],t_Plants[],Plants!DC$1,FALSE)</f>
        <v>350</v>
      </c>
      <c r="CE11" s="14">
        <f>VLOOKUP(t_Parts[[Plant]:[Plant]],t_Plants[],Plants!DD$1,FALSE)</f>
        <v>280</v>
      </c>
      <c r="CF11" s="14">
        <f>VLOOKUP(t_Parts[[Plant]:[Plant]],t_Plants[],Plants!DE$1,FALSE)</f>
        <v>280</v>
      </c>
      <c r="CG11" s="14">
        <f>VLOOKUP(t_Parts[[Plant]:[Plant]],t_Plants[],Plants!DF$1,FALSE)</f>
        <v>350</v>
      </c>
      <c r="CH11" s="14">
        <f>VLOOKUP(t_Parts[[Plant]:[Plant]],t_Plants[],Plants!DG$1,FALSE)</f>
        <v>280</v>
      </c>
      <c r="CI11" s="14">
        <f>VLOOKUP(t_Parts[[Plant]:[Plant]],t_Plants[],Plants!DH$1,FALSE)</f>
        <v>280</v>
      </c>
      <c r="CJ11" s="14">
        <f>VLOOKUP(t_Parts[[Plant]:[Plant]],t_Plants[],Plants!DI$1,FALSE)</f>
        <v>350</v>
      </c>
      <c r="CK11" s="14">
        <f>VLOOKUP(t_Parts[[Plant]:[Plant]],t_Plants[],Plants!DJ$1,FALSE)</f>
        <v>280</v>
      </c>
      <c r="CL11" s="14">
        <f>VLOOKUP(t_Parts[[Plant]:[Plant]],t_Plants[],Plants!DK$1,FALSE)</f>
        <v>280</v>
      </c>
      <c r="CM11" s="14">
        <f>VLOOKUP(t_Parts[[Plant]:[Plant]],t_Plants[],Plants!DL$1,FALSE)</f>
        <v>350</v>
      </c>
      <c r="CN11" s="14">
        <f>VLOOKUP(t_Parts[[Plant]:[Plant]],t_Plants[],Plants!DM$1,FALSE)</f>
        <v>3640</v>
      </c>
      <c r="CO11" s="14">
        <f>VLOOKUP(t_Parts[[Plant]:[Plant]],t_Plants[],Plants!DN$1,FALSE)</f>
        <v>3640</v>
      </c>
      <c r="CP11" s="14">
        <f>VLOOKUP(t_Parts[[Plant]:[Plant]],t_Plants[],Plants!DO$1,FALSE)</f>
        <v>3640</v>
      </c>
      <c r="CQ11" s="14">
        <f>VLOOKUP(t_Parts[[Plant]:[Plant]],t_Plants[],Plants!DP$1,FALSE)</f>
        <v>3640</v>
      </c>
      <c r="CR11" s="39">
        <f>IF(AND(AL$3&gt;=VALUE(t_Parts[[SOP]:[SOP]]),AL$3&lt;=VALUE(t_Parts[[EOP]:[EOP]])), t_Parts[[SetupHrsPerMo]:[SetupHrsPerMo]]+(t_Parts[[#This Row],[pv2015.01]]/t_Parts[[NetPPH]:[NetPPH]]),0)</f>
        <v>11.696410256410257</v>
      </c>
      <c r="CS11" s="39">
        <f>IF(AND(AM$3&gt;=VALUE(t_Parts[[SOP]:[SOP]]),AM$3&lt;=VALUE(t_Parts[[EOP]:[EOP]])), t_Parts[[SetupHrsPerMo]:[SetupHrsPerMo]]+(t_Parts[[#This Row],[pv2015.02]]/t_Parts[[NetPPH]:[NetPPH]]),0)</f>
        <v>11.696410256410257</v>
      </c>
      <c r="CT11" s="39">
        <f>IF(AND(AN$3&gt;=VALUE(t_Parts[[SOP]:[SOP]]),AN$3&lt;=VALUE(t_Parts[[EOP]:[EOP]])), t_Parts[[SetupHrsPerMo]:[SetupHrsPerMo]]+(t_Parts[[#This Row],[pv2015.03]]/t_Parts[[NetPPH]:[NetPPH]]),0)</f>
        <v>13.62051282051282</v>
      </c>
      <c r="CU11" s="39">
        <f>IF(AND(AO$3&gt;=VALUE(t_Parts[[SOP]:[SOP]]),AO$3&lt;=VALUE(t_Parts[[EOP]:[EOP]])), t_Parts[[SetupHrsPerMo]:[SetupHrsPerMo]]+(t_Parts[[#This Row],[pv2015.04]]/t_Parts[[NetPPH]:[NetPPH]]),0)</f>
        <v>11.696410256410257</v>
      </c>
      <c r="CV11" s="39">
        <f>IF(AND(AP$3&gt;=VALUE(t_Parts[[SOP]:[SOP]]),AP$3&lt;=VALUE(t_Parts[[EOP]:[EOP]])), t_Parts[[SetupHrsPerMo]:[SetupHrsPerMo]]+(t_Parts[[#This Row],[pv2015.05]]/t_Parts[[NetPPH]:[NetPPH]]),0)</f>
        <v>11.696410256410257</v>
      </c>
      <c r="CW11" s="39">
        <f>IF(AND(AQ$3&gt;=VALUE(t_Parts[[SOP]:[SOP]]),AQ$3&lt;=VALUE(t_Parts[[EOP]:[EOP]])), t_Parts[[SetupHrsPerMo]:[SetupHrsPerMo]]+(t_Parts[[#This Row],[pv2015.06]]/t_Parts[[NetPPH]:[NetPPH]]),0)</f>
        <v>13.62051282051282</v>
      </c>
      <c r="CX11" s="39">
        <f>IF(AND(AR$3&gt;=VALUE(t_Parts[[SOP]:[SOP]]),AR$3&lt;=VALUE(t_Parts[[EOP]:[EOP]])), t_Parts[[SetupHrsPerMo]:[SetupHrsPerMo]]+(t_Parts[[#This Row],[pv2015.07]]/t_Parts[[NetPPH]:[NetPPH]]),0)</f>
        <v>11.696410256410257</v>
      </c>
      <c r="CY11" s="39">
        <f>IF(AND(AS$3&gt;=VALUE(t_Parts[[SOP]:[SOP]]),AS$3&lt;=VALUE(t_Parts[[EOP]:[EOP]])), t_Parts[[SetupHrsPerMo]:[SetupHrsPerMo]]+(t_Parts[[#This Row],[pv2015.08]]/t_Parts[[NetPPH]:[NetPPH]]),0)</f>
        <v>11.696410256410257</v>
      </c>
      <c r="CZ11" s="39">
        <f>IF(AND(AT$3&gt;=VALUE(t_Parts[[SOP]:[SOP]]),AT$3&lt;=VALUE(t_Parts[[EOP]:[EOP]])), t_Parts[[SetupHrsPerMo]:[SetupHrsPerMo]]+(t_Parts[[#This Row],[pv2015.09]]/t_Parts[[NetPPH]:[NetPPH]]),0)</f>
        <v>13.62051282051282</v>
      </c>
      <c r="DA11" s="39">
        <f>IF(AND(AU$3&gt;=VALUE(t_Parts[[SOP]:[SOP]]),AU$3&lt;=VALUE(t_Parts[[EOP]:[EOP]])), t_Parts[[SetupHrsPerMo]:[SetupHrsPerMo]]+(t_Parts[[#This Row],[pv2015.10]]/t_Parts[[NetPPH]:[NetPPH]]),0)</f>
        <v>11.696410256410257</v>
      </c>
      <c r="DB11" s="39">
        <f>IF(AND(AV$3&gt;=VALUE(t_Parts[[SOP]:[SOP]]),AV$3&lt;=VALUE(t_Parts[[EOP]:[EOP]])), t_Parts[[SetupHrsPerMo]:[SetupHrsPerMo]]+(t_Parts[[#This Row],[pv2015.11]]/t_Parts[[NetPPH]:[NetPPH]]),0)</f>
        <v>11.696410256410257</v>
      </c>
      <c r="DC11" s="39">
        <f>IF(AND(AW$3&gt;=VALUE(t_Parts[[SOP]:[SOP]]),AW$3&lt;=VALUE(t_Parts[[EOP]:[EOP]])), t_Parts[[SetupHrsPerMo]:[SetupHrsPerMo]]+(t_Parts[[#This Row],[pv2015.12]]/t_Parts[[NetPPH]:[NetPPH]]),0)</f>
        <v>13.62051282051282</v>
      </c>
      <c r="DD11" s="39">
        <f>SUM(t_Parts[[#This Row],[hp2015.01]:[hp2015.12]])</f>
        <v>148.05333333333334</v>
      </c>
      <c r="DE11" s="39">
        <f>IF(AND(AY$3&gt;=VALUE(t_Parts[[SOP]:[SOP]]),AY$3&lt;=VALUE(t_Parts[[EOP]:[EOP]])), t_Parts[[SetupHrsPerMo]:[SetupHrsPerMo]]+(t_Parts[[#This Row],[pv2016.01]]/t_Parts[[NetPPH]:[NetPPH]]),0)</f>
        <v>11.696410256410257</v>
      </c>
      <c r="DF11" s="39">
        <f>IF(AND(AZ$3&gt;=VALUE(t_Parts[[SOP]:[SOP]]),AZ$3&lt;=VALUE(t_Parts[[EOP]:[EOP]])), t_Parts[[SetupHrsPerMo]:[SetupHrsPerMo]]+(t_Parts[[#This Row],[pv2016.02]]/t_Parts[[NetPPH]:[NetPPH]]),0)</f>
        <v>11.696410256410257</v>
      </c>
      <c r="DG11" s="39">
        <f>IF(AND(BA$3&gt;=VALUE(t_Parts[[SOP]:[SOP]]),BA$3&lt;=VALUE(t_Parts[[EOP]:[EOP]])), t_Parts[[SetupHrsPerMo]:[SetupHrsPerMo]]+(t_Parts[[#This Row],[pv2016.03]]/t_Parts[[NetPPH]:[NetPPH]]),0)</f>
        <v>13.62051282051282</v>
      </c>
      <c r="DH11" s="39">
        <f>IF(AND(BB$3&gt;=VALUE(t_Parts[[SOP]:[SOP]]),BB$3&lt;=VALUE(t_Parts[[EOP]:[EOP]])), t_Parts[[SetupHrsPerMo]:[SetupHrsPerMo]]+(t_Parts[[#This Row],[pv2016.04]]/t_Parts[[NetPPH]:[NetPPH]]),0)</f>
        <v>11.696410256410257</v>
      </c>
      <c r="DI11" s="39">
        <f>IF(AND(BC$3&gt;=VALUE(t_Parts[[SOP]:[SOP]]),BC$3&lt;=VALUE(t_Parts[[EOP]:[EOP]])), t_Parts[[SetupHrsPerMo]:[SetupHrsPerMo]]+(t_Parts[[#This Row],[pv2016.05]]/t_Parts[[NetPPH]:[NetPPH]]),0)</f>
        <v>11.696410256410257</v>
      </c>
      <c r="DJ11" s="39">
        <f>IF(AND(BD$3&gt;=VALUE(t_Parts[[SOP]:[SOP]]),BD$3&lt;=VALUE(t_Parts[[EOP]:[EOP]])), t_Parts[[SetupHrsPerMo]:[SetupHrsPerMo]]+(t_Parts[[#This Row],[pv2016.06]]/t_Parts[[NetPPH]:[NetPPH]]),0)</f>
        <v>13.62051282051282</v>
      </c>
      <c r="DK11" s="39">
        <f>IF(AND(BE$3&gt;=VALUE(t_Parts[[SOP]:[SOP]]),BE$3&lt;=VALUE(t_Parts[[EOP]:[EOP]])), t_Parts[[SetupHrsPerMo]:[SetupHrsPerMo]]+(t_Parts[[#This Row],[pv2016.07]]/t_Parts[[NetPPH]:[NetPPH]]),0)</f>
        <v>11.696410256410257</v>
      </c>
      <c r="DL11" s="39">
        <f>IF(AND(BF$3&gt;=VALUE(t_Parts[[SOP]:[SOP]]),BF$3&lt;=VALUE(t_Parts[[EOP]:[EOP]])), t_Parts[[SetupHrsPerMo]:[SetupHrsPerMo]]+(t_Parts[[#This Row],[pv2016.08]]/t_Parts[[NetPPH]:[NetPPH]]),0)</f>
        <v>11.696410256410257</v>
      </c>
      <c r="DM11" s="39">
        <f>IF(AND(BG$3&gt;=VALUE(t_Parts[[SOP]:[SOP]]),BG$3&lt;=VALUE(t_Parts[[EOP]:[EOP]])), t_Parts[[SetupHrsPerMo]:[SetupHrsPerMo]]+(t_Parts[[#This Row],[pv2016.09]]/t_Parts[[NetPPH]:[NetPPH]]),0)</f>
        <v>13.62051282051282</v>
      </c>
      <c r="DN11" s="39">
        <f>IF(AND(BH$3&gt;=VALUE(t_Parts[[SOP]:[SOP]]),BH$3&lt;=VALUE(t_Parts[[EOP]:[EOP]])), t_Parts[[SetupHrsPerMo]:[SetupHrsPerMo]]+(t_Parts[[#This Row],[pv2016.10]]/t_Parts[[NetPPH]:[NetPPH]]),0)</f>
        <v>11.696410256410257</v>
      </c>
      <c r="DO11" s="39">
        <f>IF(AND(BI$3&gt;=VALUE(t_Parts[[SOP]:[SOP]]),BI$3&lt;=VALUE(t_Parts[[EOP]:[EOP]])), t_Parts[[SetupHrsPerMo]:[SetupHrsPerMo]]+(t_Parts[[#This Row],[pv2016.11]]/t_Parts[[NetPPH]:[NetPPH]]),0)</f>
        <v>11.696410256410257</v>
      </c>
      <c r="DP11" s="39">
        <f>IF(AND(BJ$3&gt;=VALUE(t_Parts[[SOP]:[SOP]]),BJ$3&lt;=VALUE(t_Parts[[EOP]:[EOP]])), t_Parts[[SetupHrsPerMo]:[SetupHrsPerMo]]+(t_Parts[[#This Row],[pv2016.12]]/t_Parts[[NetPPH]:[NetPPH]]),0)</f>
        <v>13.62051282051282</v>
      </c>
      <c r="DQ11" s="39">
        <f>SUM(t_Parts[[#This Row],[hp2016.01]:[hp2016.12]])</f>
        <v>148.05333333333334</v>
      </c>
      <c r="DR11" s="39">
        <f>IF(AND(BL$3&gt;=VALUE(t_Parts[[SOP]:[SOP]]),BL$3&lt;=VALUE(t_Parts[[EOP]:[EOP]])), 12*t_Parts[[SetupHrsPerMo]:[SetupHrsPerMo]]+(t_Parts[[#This Row],[pv2017]]/t_Parts[[NetPPH]:[NetPPH]]),0)</f>
        <v>148.05333333333331</v>
      </c>
      <c r="DS11" s="39">
        <f>IF(AND(BM$3&gt;=VALUE(t_Parts[[SOP]:[SOP]]),BM$3&lt;=VALUE(t_Parts[[EOP]:[EOP]])), 12*t_Parts[[SetupHrsPerMo]:[SetupHrsPerMo]]+(t_Parts[[#This Row],[pv2018]]/t_Parts[[NetPPH]:[NetPPH]]),0)</f>
        <v>148.05333333333331</v>
      </c>
      <c r="DT11" s="39">
        <f>IF(AND(BN$3&gt;=VALUE(t_Parts[[SOP]:[SOP]]),BN$3&lt;=VALUE(t_Parts[[EOP]:[EOP]])), 12*t_Parts[[SetupHrsPerMo]:[SetupHrsPerMo]]+(t_Parts[[#This Row],[pv2019]]/t_Parts[[NetPPH]:[NetPPH]]),0)</f>
        <v>148.05333333333331</v>
      </c>
      <c r="DU11" s="47">
        <f>t_Parts[[#This Row],[hp2015.01]]/t_Parts[[#This Row],[ha2015.01]]</f>
        <v>4.1772893772893775E-2</v>
      </c>
      <c r="DV11" s="47">
        <f>t_Parts[[#This Row],[hp2015.02]]/t_Parts[[#This Row],[ha2015.02]]</f>
        <v>4.1772893772893775E-2</v>
      </c>
      <c r="DW11" s="47">
        <f>t_Parts[[#This Row],[hp2015.03]]/t_Parts[[#This Row],[ha2015.03]]</f>
        <v>3.8915750915750912E-2</v>
      </c>
      <c r="DX11" s="47">
        <f>t_Parts[[#This Row],[hp2015.04]]/t_Parts[[#This Row],[ha2015.04]]</f>
        <v>4.1772893772893775E-2</v>
      </c>
      <c r="DY11" s="47">
        <f>t_Parts[[#This Row],[hp2015.05]]/t_Parts[[#This Row],[ha2015.05]]</f>
        <v>4.1772893772893775E-2</v>
      </c>
      <c r="DZ11" s="47">
        <f>t_Parts[[#This Row],[hp2015.06]]/t_Parts[[#This Row],[ha2015.06]]</f>
        <v>3.8915750915750912E-2</v>
      </c>
      <c r="EA11" s="47">
        <f>t_Parts[[#This Row],[hp2015.07]]/t_Parts[[#This Row],[ha2015.07]]</f>
        <v>4.1772893772893775E-2</v>
      </c>
      <c r="EB11" s="47">
        <f>t_Parts[[#This Row],[hp2015.08]]/t_Parts[[#This Row],[ha2015.08]]</f>
        <v>4.1772893772893775E-2</v>
      </c>
      <c r="EC11" s="47">
        <f>t_Parts[[#This Row],[hp2015.09]]/t_Parts[[#This Row],[ha2015.09]]</f>
        <v>3.8915750915750912E-2</v>
      </c>
      <c r="ED11" s="47">
        <f>t_Parts[[#This Row],[hp2015.10]]/t_Parts[[#This Row],[ha2015.10]]</f>
        <v>4.1772893772893775E-2</v>
      </c>
      <c r="EE11" s="47">
        <f>t_Parts[[#This Row],[hp2015.11]]/t_Parts[[#This Row],[ha2015.11]]</f>
        <v>4.1772893772893775E-2</v>
      </c>
      <c r="EF11" s="47">
        <f>t_Parts[[#This Row],[hp2015.12]]/t_Parts[[#This Row],[ha2015.12]]</f>
        <v>3.8915750915750912E-2</v>
      </c>
      <c r="EG11" s="47">
        <f>t_Parts[[#This Row],[hp2015.FY]]/t_Parts[[#This Row],[ha2015.FY]]</f>
        <v>4.0673992673992673E-2</v>
      </c>
      <c r="EH11" s="47">
        <f>t_Parts[[#This Row],[hp2016.01]]/t_Parts[[#This Row],[ha2016.01]]</f>
        <v>4.1772893772893775E-2</v>
      </c>
      <c r="EI11" s="47">
        <f>t_Parts[[#This Row],[hp2016.02]]/t_Parts[[#This Row],[ha2016.02]]</f>
        <v>4.1772893772893775E-2</v>
      </c>
      <c r="EJ11" s="47">
        <f>t_Parts[[#This Row],[hp2016.03]]/t_Parts[[#This Row],[ha2016.03]]</f>
        <v>3.8915750915750912E-2</v>
      </c>
      <c r="EK11" s="47">
        <f>t_Parts[[#This Row],[hp2016.04]]/t_Parts[[#This Row],[ha2016.04]]</f>
        <v>4.1772893772893775E-2</v>
      </c>
      <c r="EL11" s="47">
        <f>t_Parts[[#This Row],[hp2016.05]]/t_Parts[[#This Row],[ha2016.05]]</f>
        <v>4.1772893772893775E-2</v>
      </c>
      <c r="EM11" s="47">
        <f>t_Parts[[#This Row],[hp2016.06]]/t_Parts[[#This Row],[ha2016.06]]</f>
        <v>3.8915750915750912E-2</v>
      </c>
      <c r="EN11" s="47">
        <f>t_Parts[[#This Row],[hp2016.07]]/t_Parts[[#This Row],[ha2016.07]]</f>
        <v>4.1772893772893775E-2</v>
      </c>
      <c r="EO11" s="47">
        <f>t_Parts[[#This Row],[hp2016.08]]/t_Parts[[#This Row],[ha2016.08]]</f>
        <v>4.1772893772893775E-2</v>
      </c>
      <c r="EP11" s="47">
        <f>t_Parts[[#This Row],[hp2016.09]]/t_Parts[[#This Row],[ha2016.09]]</f>
        <v>3.8915750915750912E-2</v>
      </c>
      <c r="EQ11" s="47">
        <f>t_Parts[[#This Row],[hp2016.10]]/t_Parts[[#This Row],[ha2016.10]]</f>
        <v>4.1772893772893775E-2</v>
      </c>
      <c r="ER11" s="47">
        <f>t_Parts[[#This Row],[hp2016.11]]/t_Parts[[#This Row],[ha2016.11]]</f>
        <v>4.1772893772893775E-2</v>
      </c>
      <c r="ES11" s="47">
        <f>t_Parts[[#This Row],[hp2016.12]]/t_Parts[[#This Row],[ha2016.12]]</f>
        <v>3.8915750915750912E-2</v>
      </c>
      <c r="ET11" s="47">
        <f>t_Parts[[#This Row],[hp2016.FY]]/t_Parts[[#This Row],[ha2016.FY]]</f>
        <v>4.0673992673992673E-2</v>
      </c>
      <c r="EU11" s="47">
        <f>t_Parts[[#This Row],[hp2017]]/t_Parts[[#This Row],[ha2017]]</f>
        <v>4.0673992673992666E-2</v>
      </c>
      <c r="EV11" s="47">
        <f>t_Parts[[#This Row],[hp2018]]/t_Parts[[#This Row],[ha2018]]</f>
        <v>4.0673992673992666E-2</v>
      </c>
      <c r="EW11" s="47">
        <f>t_Parts[[#This Row],[hp2019]]/t_Parts[[#This Row],[hp2015.01]]</f>
        <v>12.658014731673095</v>
      </c>
      <c r="EX11" s="58">
        <f>(t_Parts[[#This Row],[ha2015.01]]-t_Parts[[#This Row],[hp2015.01]])*t_Parts[[NetPPH]:[NetPPH]]</f>
        <v>221350.46153846156</v>
      </c>
      <c r="EY11" s="58">
        <f>(t_Parts[[#This Row],[ha2015.02]]-t_Parts[[#This Row],[hp2015.02]])*t_Parts[[NetPPH]:[NetPPH]]</f>
        <v>221350.46153846156</v>
      </c>
      <c r="EZ11" s="58">
        <f>(t_Parts[[#This Row],[ha2015.03]]-t_Parts[[#This Row],[hp2015.03]])*t_Parts[[NetPPH]:[NetPPH]]</f>
        <v>277513.07692307694</v>
      </c>
      <c r="FA11" s="58">
        <f>(t_Parts[[#This Row],[ha2015.04]]-t_Parts[[#This Row],[hp2015.04]])*t_Parts[[NetPPH]:[NetPPH]]</f>
        <v>221350.46153846156</v>
      </c>
      <c r="FB11" s="58">
        <f>(t_Parts[[#This Row],[ha2015.05]]-t_Parts[[#This Row],[hp2015.05]])*t_Parts[[NetPPH]:[NetPPH]]</f>
        <v>221350.46153846156</v>
      </c>
      <c r="FC11" s="58">
        <f>(t_Parts[[#This Row],[ha2015.06]]-t_Parts[[#This Row],[hp2015.06]])*t_Parts[[NetPPH]:[NetPPH]]</f>
        <v>277513.07692307694</v>
      </c>
      <c r="FD11" s="58">
        <f>(t_Parts[[#This Row],[ha2015.07]]-t_Parts[[#This Row],[hp2015.07]])*t_Parts[[NetPPH]:[NetPPH]]</f>
        <v>221350.46153846156</v>
      </c>
      <c r="FE11" s="58">
        <f>(t_Parts[[#This Row],[ha2015.08]]-t_Parts[[#This Row],[hp2015.08]])*t_Parts[[NetPPH]:[NetPPH]]</f>
        <v>221350.46153846156</v>
      </c>
      <c r="FF11" s="58">
        <f>(t_Parts[[#This Row],[ha2015.09]]-t_Parts[[#This Row],[hp2015.09]])*t_Parts[[NetPPH]:[NetPPH]]</f>
        <v>277513.07692307694</v>
      </c>
      <c r="FG11" s="58">
        <f>(t_Parts[[#This Row],[ha2015.10]]-t_Parts[[#This Row],[hp2015.10]])*t_Parts[[NetPPH]:[NetPPH]]</f>
        <v>221350.46153846156</v>
      </c>
      <c r="FH11" s="58">
        <f>(t_Parts[[#This Row],[ha2015.11]]-t_Parts[[#This Row],[hp2015.11]])*t_Parts[[NetPPH]:[NetPPH]]</f>
        <v>221350.46153846156</v>
      </c>
      <c r="FI11" s="58">
        <f>(t_Parts[[#This Row],[ha2015.12]]-t_Parts[[#This Row],[hp2015.12]])*t_Parts[[NetPPH]:[NetPPH]]</f>
        <v>277513.07692307694</v>
      </c>
      <c r="FJ11" s="58">
        <f>(t_Parts[[#This Row],[ha2015.FY]]-t_Parts[[#This Row],[hp2015.FY]])*t_Parts[[NetPPH]:[NetPPH]]</f>
        <v>2880856.0000000005</v>
      </c>
      <c r="FK11" s="58">
        <f>(t_Parts[[#This Row],[ha2016.01]]-t_Parts[[#This Row],[hp2016.01]])*t_Parts[[NetPPH]:[NetPPH]]</f>
        <v>221350.46153846156</v>
      </c>
      <c r="FL11" s="58">
        <f>(t_Parts[[#This Row],[ha2016.02]]-t_Parts[[#This Row],[hp2016.02]])*t_Parts[[NetPPH]:[NetPPH]]</f>
        <v>221350.46153846156</v>
      </c>
      <c r="FM11" s="58">
        <f>(t_Parts[[#This Row],[ha2016.03]]-t_Parts[[#This Row],[hp2016.03]])*t_Parts[[NetPPH]:[NetPPH]]</f>
        <v>277513.07692307694</v>
      </c>
      <c r="FN11" s="58">
        <f>(t_Parts[[#This Row],[ha2016.04]]-t_Parts[[#This Row],[hp2016.04]])*t_Parts[[NetPPH]:[NetPPH]]</f>
        <v>221350.46153846156</v>
      </c>
      <c r="FO11" s="58">
        <f>(t_Parts[[#This Row],[ha2016.05]]-t_Parts[[#This Row],[hp2016.05]])*t_Parts[[NetPPH]:[NetPPH]]</f>
        <v>221350.46153846156</v>
      </c>
      <c r="FP11" s="58">
        <f>(t_Parts[[#This Row],[ha2016.06]]-t_Parts[[#This Row],[hp2016.06]])*t_Parts[[NetPPH]:[NetPPH]]</f>
        <v>277513.07692307694</v>
      </c>
      <c r="FQ11" s="58">
        <f>(t_Parts[[#This Row],[ha2016.07]]-t_Parts[[#This Row],[hp2016.07]])*t_Parts[[NetPPH]:[NetPPH]]</f>
        <v>221350.46153846156</v>
      </c>
      <c r="FR11" s="58">
        <f>(t_Parts[[#This Row],[ha2016.08]]-t_Parts[[#This Row],[hp2016.08]])*t_Parts[[NetPPH]:[NetPPH]]</f>
        <v>221350.46153846156</v>
      </c>
      <c r="FS11" s="58">
        <f>(t_Parts[[#This Row],[ha2016.09]]-t_Parts[[#This Row],[hp2016.09]])*t_Parts[[NetPPH]:[NetPPH]]</f>
        <v>277513.07692307694</v>
      </c>
      <c r="FT11" s="58">
        <f>(t_Parts[[#This Row],[ha2016.10]]-t_Parts[[#This Row],[hp2016.10]])*t_Parts[[NetPPH]:[NetPPH]]</f>
        <v>221350.46153846156</v>
      </c>
      <c r="FU11" s="58">
        <f>(t_Parts[[#This Row],[ha2016.11]]-t_Parts[[#This Row],[hp2016.11]])*t_Parts[[NetPPH]:[NetPPH]]</f>
        <v>221350.46153846156</v>
      </c>
      <c r="FV11" s="58">
        <f>(t_Parts[[#This Row],[ha2016.12]]-t_Parts[[#This Row],[hp2016.12]])*t_Parts[[NetPPH]:[NetPPH]]</f>
        <v>277513.07692307694</v>
      </c>
      <c r="FW11" s="58">
        <f>(t_Parts[[#This Row],[ha2016.FY]]-t_Parts[[#This Row],[hp2016.FY]])*t_Parts[[NetPPH]:[NetPPH]]</f>
        <v>2880856.0000000005</v>
      </c>
      <c r="FX11" s="58">
        <f>(t_Parts[[#This Row],[ha2017]]-t_Parts[[#This Row],[hp2017]])*t_Parts[[NetPPH]:[NetPPH]]</f>
        <v>2880856.0000000005</v>
      </c>
      <c r="FY11" s="58">
        <f>(t_Parts[[#This Row],[ha2018]]-t_Parts[[#This Row],[hp2018]])*t_Parts[[NetPPH]:[NetPPH]]</f>
        <v>2880856.0000000005</v>
      </c>
      <c r="FZ11" s="58">
        <f>(t_Parts[[#This Row],[ha2019]]-t_Parts[[#This Row],[hp2019]])*t_Parts[[NetPPH]:[NetPPH]]</f>
        <v>2880856.0000000005</v>
      </c>
    </row>
    <row r="12" spans="1:182" s="14" customFormat="1" x14ac:dyDescent="0.25">
      <c r="A12" s="74" t="s">
        <v>582</v>
      </c>
      <c r="B12" s="74"/>
      <c r="C12" s="74">
        <v>21003</v>
      </c>
      <c r="D12" s="75">
        <v>1</v>
      </c>
      <c r="E12" s="73">
        <v>2400</v>
      </c>
      <c r="F12" s="76">
        <v>1</v>
      </c>
      <c r="G12" s="77">
        <v>2</v>
      </c>
      <c r="H12" s="16">
        <v>2015.01</v>
      </c>
      <c r="I12" s="16">
        <v>2015.09</v>
      </c>
      <c r="J12" s="73">
        <v>78211</v>
      </c>
      <c r="K12" s="73">
        <v>78211</v>
      </c>
      <c r="L12" s="73">
        <v>78211</v>
      </c>
      <c r="M12" s="73">
        <v>78211</v>
      </c>
      <c r="N12" s="73">
        <v>78211</v>
      </c>
      <c r="O12" s="78">
        <v>31</v>
      </c>
      <c r="P12" s="78">
        <v>79</v>
      </c>
      <c r="Q12" s="79">
        <v>23.14</v>
      </c>
      <c r="R12" s="79"/>
      <c r="S12" s="78">
        <v>328</v>
      </c>
      <c r="T12" s="80">
        <v>15</v>
      </c>
      <c r="U12" s="80" t="s">
        <v>121</v>
      </c>
      <c r="V12" s="81" t="s">
        <v>583</v>
      </c>
      <c r="W12" s="82">
        <v>1.53</v>
      </c>
      <c r="X12" s="82" t="s">
        <v>551</v>
      </c>
      <c r="Y12" s="82"/>
      <c r="Z12" s="82"/>
      <c r="AA12" s="82"/>
      <c r="AB12" s="82"/>
      <c r="AC12" s="83" t="s">
        <v>667</v>
      </c>
      <c r="AD12" s="40" t="str">
        <f>VLOOKUP(t_Parts[[#This Row],[Press]],t_Presses[],Press!B$1,FALSE)</f>
        <v>Plainfield</v>
      </c>
      <c r="AE12" s="40" t="str">
        <f>VLOOKUP(t_Parts[[#This Row],[Press]],t_Presses[],Press!E$1,FALSE)</f>
        <v>300-599</v>
      </c>
      <c r="AF12" s="47">
        <f>VLOOKUP(t_Parts[[#This Row],[Plant]],t_Plants[],Plants!C$1,FALSE)</f>
        <v>0.55000000000000004</v>
      </c>
      <c r="AG12" s="47">
        <f>VLOOKUP(t_Parts[[#This Row],[Press]],t_Presses[],Press!F$1,FALSE)</f>
        <v>0</v>
      </c>
      <c r="AH12" s="84"/>
      <c r="AI12" s="47">
        <f>IF(ISBLANK(t_Parts[[#This Row],[PartOEE]])=FALSE,t_Parts[[#This Row],[PartOEE]], IF(t_Parts[[#This Row],[PressOEE]]&gt;0, t_Parts[[#This Row],[PressOEE]], t_Parts[[#This Row],[PlantOEE]] ))</f>
        <v>0.55000000000000004</v>
      </c>
      <c r="AJ12" s="70">
        <f>t_Parts[[#This Row],[SetupsPerMo]]*t_Parts[[#This Row],[SetupHrs]]</f>
        <v>2</v>
      </c>
      <c r="AK12" s="39">
        <f>(t_Parts[[#This Row],[PartsPerStroke]]*t_Parts[[#This Row],[StrokesPerHr]])*t_Parts[[#This Row],[UseOEE]]</f>
        <v>1320</v>
      </c>
      <c r="AL1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6016.2307692307695</v>
      </c>
      <c r="AM1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6016.2307692307695</v>
      </c>
      <c r="AN1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7520.2884615384619</v>
      </c>
      <c r="AO1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6016.2307692307695</v>
      </c>
      <c r="AP1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6016.2307692307695</v>
      </c>
      <c r="AQ1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7520.2884615384619</v>
      </c>
      <c r="AR1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6016.2307692307695</v>
      </c>
      <c r="AS1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6016.2307692307695</v>
      </c>
      <c r="AT1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7520.2884615384619</v>
      </c>
      <c r="AU1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1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1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12" s="39">
        <f>SUM(t_Parts[[#This Row],[pv2015.01]:[pv2015.12]])</f>
        <v>58658.249999999993</v>
      </c>
      <c r="AY1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2" s="39">
        <f>SUM(t_Parts[[#This Row],[pv2016.01]:[pv2016.12]])</f>
        <v>0</v>
      </c>
      <c r="BL12" s="39">
        <f>t_Parts[[#This Row],[2017vol]]</f>
        <v>78211</v>
      </c>
      <c r="BM12" s="39">
        <f>t_Parts[[#This Row],[2018vol]]</f>
        <v>78211</v>
      </c>
      <c r="BN12" s="39">
        <f>t_Parts[[#This Row],[2019vol]]</f>
        <v>78211</v>
      </c>
      <c r="BO12" s="40">
        <f>VLOOKUP(t_Parts[[Plant]:[Plant]],t_Plants[],Plants!CN$1,FALSE)</f>
        <v>280</v>
      </c>
      <c r="BP12" s="14">
        <f>VLOOKUP(t_Parts[[Plant]:[Plant]],t_Plants[],Plants!CO$1,FALSE)</f>
        <v>280</v>
      </c>
      <c r="BQ12" s="14">
        <f>VLOOKUP(t_Parts[[Plant]:[Plant]],t_Plants[],Plants!CP$1,FALSE)</f>
        <v>350</v>
      </c>
      <c r="BR12" s="14">
        <f>VLOOKUP(t_Parts[[Plant]:[Plant]],t_Plants[],Plants!CQ$1,FALSE)</f>
        <v>280</v>
      </c>
      <c r="BS12" s="14">
        <f>VLOOKUP(t_Parts[[Plant]:[Plant]],t_Plants[],Plants!CR$1,FALSE)</f>
        <v>280</v>
      </c>
      <c r="BT12" s="14">
        <f>VLOOKUP(t_Parts[[Plant]:[Plant]],t_Plants[],Plants!CS$1,FALSE)</f>
        <v>350</v>
      </c>
      <c r="BU12" s="14">
        <f>VLOOKUP(t_Parts[[Plant]:[Plant]],t_Plants[],Plants!CT$1,FALSE)</f>
        <v>280</v>
      </c>
      <c r="BV12" s="14">
        <f>VLOOKUP(t_Parts[[Plant]:[Plant]],t_Plants[],Plants!CU$1,FALSE)</f>
        <v>280</v>
      </c>
      <c r="BW12" s="14">
        <f>VLOOKUP(t_Parts[[Plant]:[Plant]],t_Plants[],Plants!CV$1,FALSE)</f>
        <v>350</v>
      </c>
      <c r="BX12" s="14">
        <f>VLOOKUP(t_Parts[[Plant]:[Plant]],t_Plants[],Plants!CW$1,FALSE)</f>
        <v>280</v>
      </c>
      <c r="BY12" s="14">
        <f>VLOOKUP(t_Parts[[Plant]:[Plant]],t_Plants[],Plants!CX$1,FALSE)</f>
        <v>280</v>
      </c>
      <c r="BZ12" s="14">
        <f>VLOOKUP(t_Parts[[Plant]:[Plant]],t_Plants[],Plants!CY$1,FALSE)</f>
        <v>350</v>
      </c>
      <c r="CA12" s="40">
        <f>SUM(t_Parts[[#This Row],[ha2015.01]:[ha2015.12]])</f>
        <v>3640</v>
      </c>
      <c r="CB12" s="14">
        <f>VLOOKUP(t_Parts[[Plant]:[Plant]],t_Plants[],Plants!DA$1,FALSE)</f>
        <v>280</v>
      </c>
      <c r="CC12" s="14">
        <f>VLOOKUP(t_Parts[[Plant]:[Plant]],t_Plants[],Plants!DB$1,FALSE)</f>
        <v>280</v>
      </c>
      <c r="CD12" s="14">
        <f>VLOOKUP(t_Parts[[Plant]:[Plant]],t_Plants[],Plants!DC$1,FALSE)</f>
        <v>350</v>
      </c>
      <c r="CE12" s="14">
        <f>VLOOKUP(t_Parts[[Plant]:[Plant]],t_Plants[],Plants!DD$1,FALSE)</f>
        <v>280</v>
      </c>
      <c r="CF12" s="14">
        <f>VLOOKUP(t_Parts[[Plant]:[Plant]],t_Plants[],Plants!DE$1,FALSE)</f>
        <v>280</v>
      </c>
      <c r="CG12" s="14">
        <f>VLOOKUP(t_Parts[[Plant]:[Plant]],t_Plants[],Plants!DF$1,FALSE)</f>
        <v>350</v>
      </c>
      <c r="CH12" s="14">
        <f>VLOOKUP(t_Parts[[Plant]:[Plant]],t_Plants[],Plants!DG$1,FALSE)</f>
        <v>280</v>
      </c>
      <c r="CI12" s="14">
        <f>VLOOKUP(t_Parts[[Plant]:[Plant]],t_Plants[],Plants!DH$1,FALSE)</f>
        <v>280</v>
      </c>
      <c r="CJ12" s="14">
        <f>VLOOKUP(t_Parts[[Plant]:[Plant]],t_Plants[],Plants!DI$1,FALSE)</f>
        <v>350</v>
      </c>
      <c r="CK12" s="14">
        <f>VLOOKUP(t_Parts[[Plant]:[Plant]],t_Plants[],Plants!DJ$1,FALSE)</f>
        <v>280</v>
      </c>
      <c r="CL12" s="14">
        <f>VLOOKUP(t_Parts[[Plant]:[Plant]],t_Plants[],Plants!DK$1,FALSE)</f>
        <v>280</v>
      </c>
      <c r="CM12" s="14">
        <f>VLOOKUP(t_Parts[[Plant]:[Plant]],t_Plants[],Plants!DL$1,FALSE)</f>
        <v>350</v>
      </c>
      <c r="CN12" s="14">
        <f>VLOOKUP(t_Parts[[Plant]:[Plant]],t_Plants[],Plants!DM$1,FALSE)</f>
        <v>3640</v>
      </c>
      <c r="CO12" s="14">
        <f>VLOOKUP(t_Parts[[Plant]:[Plant]],t_Plants[],Plants!DN$1,FALSE)</f>
        <v>3640</v>
      </c>
      <c r="CP12" s="14">
        <f>VLOOKUP(t_Parts[[Plant]:[Plant]],t_Plants[],Plants!DO$1,FALSE)</f>
        <v>3640</v>
      </c>
      <c r="CQ12" s="14">
        <f>VLOOKUP(t_Parts[[Plant]:[Plant]],t_Plants[],Plants!DP$1,FALSE)</f>
        <v>3640</v>
      </c>
      <c r="CR12" s="39">
        <f>IF(AND(AL$3&gt;=VALUE(t_Parts[[SOP]:[SOP]]),AL$3&lt;=VALUE(t_Parts[[EOP]:[EOP]])), t_Parts[[SetupHrsPerMo]:[SetupHrsPerMo]]+(t_Parts[[#This Row],[pv2015.01]]/t_Parts[[NetPPH]:[NetPPH]]),0)</f>
        <v>6.5577505827505833</v>
      </c>
      <c r="CS12" s="39">
        <f>IF(AND(AM$3&gt;=VALUE(t_Parts[[SOP]:[SOP]]),AM$3&lt;=VALUE(t_Parts[[EOP]:[EOP]])), t_Parts[[SetupHrsPerMo]:[SetupHrsPerMo]]+(t_Parts[[#This Row],[pv2015.02]]/t_Parts[[NetPPH]:[NetPPH]]),0)</f>
        <v>6.5577505827505833</v>
      </c>
      <c r="CT12" s="39">
        <f>IF(AND(AN$3&gt;=VALUE(t_Parts[[SOP]:[SOP]]),AN$3&lt;=VALUE(t_Parts[[EOP]:[EOP]])), t_Parts[[SetupHrsPerMo]:[SetupHrsPerMo]]+(t_Parts[[#This Row],[pv2015.03]]/t_Parts[[NetPPH]:[NetPPH]]),0)</f>
        <v>7.6971882284382289</v>
      </c>
      <c r="CU12" s="39">
        <f>IF(AND(AO$3&gt;=VALUE(t_Parts[[SOP]:[SOP]]),AO$3&lt;=VALUE(t_Parts[[EOP]:[EOP]])), t_Parts[[SetupHrsPerMo]:[SetupHrsPerMo]]+(t_Parts[[#This Row],[pv2015.04]]/t_Parts[[NetPPH]:[NetPPH]]),0)</f>
        <v>6.5577505827505833</v>
      </c>
      <c r="CV12" s="39">
        <f>IF(AND(AP$3&gt;=VALUE(t_Parts[[SOP]:[SOP]]),AP$3&lt;=VALUE(t_Parts[[EOP]:[EOP]])), t_Parts[[SetupHrsPerMo]:[SetupHrsPerMo]]+(t_Parts[[#This Row],[pv2015.05]]/t_Parts[[NetPPH]:[NetPPH]]),0)</f>
        <v>6.5577505827505833</v>
      </c>
      <c r="CW12" s="39">
        <f>IF(AND(AQ$3&gt;=VALUE(t_Parts[[SOP]:[SOP]]),AQ$3&lt;=VALUE(t_Parts[[EOP]:[EOP]])), t_Parts[[SetupHrsPerMo]:[SetupHrsPerMo]]+(t_Parts[[#This Row],[pv2015.06]]/t_Parts[[NetPPH]:[NetPPH]]),0)</f>
        <v>7.6971882284382289</v>
      </c>
      <c r="CX12" s="39">
        <f>IF(AND(AR$3&gt;=VALUE(t_Parts[[SOP]:[SOP]]),AR$3&lt;=VALUE(t_Parts[[EOP]:[EOP]])), t_Parts[[SetupHrsPerMo]:[SetupHrsPerMo]]+(t_Parts[[#This Row],[pv2015.07]]/t_Parts[[NetPPH]:[NetPPH]]),0)</f>
        <v>6.5577505827505833</v>
      </c>
      <c r="CY12" s="39">
        <f>IF(AND(AS$3&gt;=VALUE(t_Parts[[SOP]:[SOP]]),AS$3&lt;=VALUE(t_Parts[[EOP]:[EOP]])), t_Parts[[SetupHrsPerMo]:[SetupHrsPerMo]]+(t_Parts[[#This Row],[pv2015.08]]/t_Parts[[NetPPH]:[NetPPH]]),0)</f>
        <v>6.5577505827505833</v>
      </c>
      <c r="CZ12" s="39">
        <f>IF(AND(AT$3&gt;=VALUE(t_Parts[[SOP]:[SOP]]),AT$3&lt;=VALUE(t_Parts[[EOP]:[EOP]])), t_Parts[[SetupHrsPerMo]:[SetupHrsPerMo]]+(t_Parts[[#This Row],[pv2015.09]]/t_Parts[[NetPPH]:[NetPPH]]),0)</f>
        <v>7.6971882284382289</v>
      </c>
      <c r="DA12" s="39">
        <f>IF(AND(AU$3&gt;=VALUE(t_Parts[[SOP]:[SOP]]),AU$3&lt;=VALUE(t_Parts[[EOP]:[EOP]])), t_Parts[[SetupHrsPerMo]:[SetupHrsPerMo]]+(t_Parts[[#This Row],[pv2015.10]]/t_Parts[[NetPPH]:[NetPPH]]),0)</f>
        <v>0</v>
      </c>
      <c r="DB12" s="39">
        <f>IF(AND(AV$3&gt;=VALUE(t_Parts[[SOP]:[SOP]]),AV$3&lt;=VALUE(t_Parts[[EOP]:[EOP]])), t_Parts[[SetupHrsPerMo]:[SetupHrsPerMo]]+(t_Parts[[#This Row],[pv2015.11]]/t_Parts[[NetPPH]:[NetPPH]]),0)</f>
        <v>0</v>
      </c>
      <c r="DC12" s="39">
        <f>IF(AND(AW$3&gt;=VALUE(t_Parts[[SOP]:[SOP]]),AW$3&lt;=VALUE(t_Parts[[EOP]:[EOP]])), t_Parts[[SetupHrsPerMo]:[SetupHrsPerMo]]+(t_Parts[[#This Row],[pv2015.12]]/t_Parts[[NetPPH]:[NetPPH]]),0)</f>
        <v>0</v>
      </c>
      <c r="DD12" s="39">
        <f>SUM(t_Parts[[#This Row],[hp2015.01]:[hp2015.12]])</f>
        <v>62.438068181818188</v>
      </c>
      <c r="DE12" s="39">
        <f>IF(AND(AY$3&gt;=VALUE(t_Parts[[SOP]:[SOP]]),AY$3&lt;=VALUE(t_Parts[[EOP]:[EOP]])), t_Parts[[SetupHrsPerMo]:[SetupHrsPerMo]]+(t_Parts[[#This Row],[pv2016.01]]/t_Parts[[NetPPH]:[NetPPH]]),0)</f>
        <v>0</v>
      </c>
      <c r="DF12" s="39">
        <f>IF(AND(AZ$3&gt;=VALUE(t_Parts[[SOP]:[SOP]]),AZ$3&lt;=VALUE(t_Parts[[EOP]:[EOP]])), t_Parts[[SetupHrsPerMo]:[SetupHrsPerMo]]+(t_Parts[[#This Row],[pv2016.02]]/t_Parts[[NetPPH]:[NetPPH]]),0)</f>
        <v>0</v>
      </c>
      <c r="DG12" s="39">
        <f>IF(AND(BA$3&gt;=VALUE(t_Parts[[SOP]:[SOP]]),BA$3&lt;=VALUE(t_Parts[[EOP]:[EOP]])), t_Parts[[SetupHrsPerMo]:[SetupHrsPerMo]]+(t_Parts[[#This Row],[pv2016.03]]/t_Parts[[NetPPH]:[NetPPH]]),0)</f>
        <v>0</v>
      </c>
      <c r="DH12" s="39">
        <f>IF(AND(BB$3&gt;=VALUE(t_Parts[[SOP]:[SOP]]),BB$3&lt;=VALUE(t_Parts[[EOP]:[EOP]])), t_Parts[[SetupHrsPerMo]:[SetupHrsPerMo]]+(t_Parts[[#This Row],[pv2016.04]]/t_Parts[[NetPPH]:[NetPPH]]),0)</f>
        <v>0</v>
      </c>
      <c r="DI12" s="39">
        <f>IF(AND(BC$3&gt;=VALUE(t_Parts[[SOP]:[SOP]]),BC$3&lt;=VALUE(t_Parts[[EOP]:[EOP]])), t_Parts[[SetupHrsPerMo]:[SetupHrsPerMo]]+(t_Parts[[#This Row],[pv2016.05]]/t_Parts[[NetPPH]:[NetPPH]]),0)</f>
        <v>0</v>
      </c>
      <c r="DJ12" s="39">
        <f>IF(AND(BD$3&gt;=VALUE(t_Parts[[SOP]:[SOP]]),BD$3&lt;=VALUE(t_Parts[[EOP]:[EOP]])), t_Parts[[SetupHrsPerMo]:[SetupHrsPerMo]]+(t_Parts[[#This Row],[pv2016.06]]/t_Parts[[NetPPH]:[NetPPH]]),0)</f>
        <v>0</v>
      </c>
      <c r="DK12" s="39">
        <f>IF(AND(BE$3&gt;=VALUE(t_Parts[[SOP]:[SOP]]),BE$3&lt;=VALUE(t_Parts[[EOP]:[EOP]])), t_Parts[[SetupHrsPerMo]:[SetupHrsPerMo]]+(t_Parts[[#This Row],[pv2016.07]]/t_Parts[[NetPPH]:[NetPPH]]),0)</f>
        <v>0</v>
      </c>
      <c r="DL12" s="39">
        <f>IF(AND(BF$3&gt;=VALUE(t_Parts[[SOP]:[SOP]]),BF$3&lt;=VALUE(t_Parts[[EOP]:[EOP]])), t_Parts[[SetupHrsPerMo]:[SetupHrsPerMo]]+(t_Parts[[#This Row],[pv2016.08]]/t_Parts[[NetPPH]:[NetPPH]]),0)</f>
        <v>0</v>
      </c>
      <c r="DM12" s="39">
        <f>IF(AND(BG$3&gt;=VALUE(t_Parts[[SOP]:[SOP]]),BG$3&lt;=VALUE(t_Parts[[EOP]:[EOP]])), t_Parts[[SetupHrsPerMo]:[SetupHrsPerMo]]+(t_Parts[[#This Row],[pv2016.09]]/t_Parts[[NetPPH]:[NetPPH]]),0)</f>
        <v>0</v>
      </c>
      <c r="DN12" s="39">
        <f>IF(AND(BH$3&gt;=VALUE(t_Parts[[SOP]:[SOP]]),BH$3&lt;=VALUE(t_Parts[[EOP]:[EOP]])), t_Parts[[SetupHrsPerMo]:[SetupHrsPerMo]]+(t_Parts[[#This Row],[pv2016.10]]/t_Parts[[NetPPH]:[NetPPH]]),0)</f>
        <v>0</v>
      </c>
      <c r="DO12" s="39">
        <f>IF(AND(BI$3&gt;=VALUE(t_Parts[[SOP]:[SOP]]),BI$3&lt;=VALUE(t_Parts[[EOP]:[EOP]])), t_Parts[[SetupHrsPerMo]:[SetupHrsPerMo]]+(t_Parts[[#This Row],[pv2016.11]]/t_Parts[[NetPPH]:[NetPPH]]),0)</f>
        <v>0</v>
      </c>
      <c r="DP12" s="39">
        <f>IF(AND(BJ$3&gt;=VALUE(t_Parts[[SOP]:[SOP]]),BJ$3&lt;=VALUE(t_Parts[[EOP]:[EOP]])), t_Parts[[SetupHrsPerMo]:[SetupHrsPerMo]]+(t_Parts[[#This Row],[pv2016.12]]/t_Parts[[NetPPH]:[NetPPH]]),0)</f>
        <v>0</v>
      </c>
      <c r="DQ12" s="39">
        <f>SUM(t_Parts[[#This Row],[hp2016.01]:[hp2016.12]])</f>
        <v>0</v>
      </c>
      <c r="DR12" s="39">
        <f>IF(AND(BL$3&gt;=VALUE(t_Parts[[SOP]:[SOP]]),BL$3&lt;=VALUE(t_Parts[[EOP]:[EOP]])), 12*t_Parts[[SetupHrsPerMo]:[SetupHrsPerMo]]+(t_Parts[[#This Row],[pv2017]]/t_Parts[[NetPPH]:[NetPPH]]),0)</f>
        <v>0</v>
      </c>
      <c r="DS12" s="39">
        <f>IF(AND(BM$3&gt;=VALUE(t_Parts[[SOP]:[SOP]]),BM$3&lt;=VALUE(t_Parts[[EOP]:[EOP]])), 12*t_Parts[[SetupHrsPerMo]:[SetupHrsPerMo]]+(t_Parts[[#This Row],[pv2018]]/t_Parts[[NetPPH]:[NetPPH]]),0)</f>
        <v>0</v>
      </c>
      <c r="DT12" s="39">
        <f>IF(AND(BN$3&gt;=VALUE(t_Parts[[SOP]:[SOP]]),BN$3&lt;=VALUE(t_Parts[[EOP]:[EOP]])), 12*t_Parts[[SetupHrsPerMo]:[SetupHrsPerMo]]+(t_Parts[[#This Row],[pv2019]]/t_Parts[[NetPPH]:[NetPPH]]),0)</f>
        <v>0</v>
      </c>
      <c r="DU12" s="47">
        <f>t_Parts[[#This Row],[hp2015.01]]/t_Parts[[#This Row],[ha2015.01]]</f>
        <v>2.3420537795537797E-2</v>
      </c>
      <c r="DV12" s="47">
        <f>t_Parts[[#This Row],[hp2015.02]]/t_Parts[[#This Row],[ha2015.02]]</f>
        <v>2.3420537795537797E-2</v>
      </c>
      <c r="DW12" s="47">
        <f>t_Parts[[#This Row],[hp2015.03]]/t_Parts[[#This Row],[ha2015.03]]</f>
        <v>2.1991966366966369E-2</v>
      </c>
      <c r="DX12" s="47">
        <f>t_Parts[[#This Row],[hp2015.04]]/t_Parts[[#This Row],[ha2015.04]]</f>
        <v>2.3420537795537797E-2</v>
      </c>
      <c r="DY12" s="47">
        <f>t_Parts[[#This Row],[hp2015.05]]/t_Parts[[#This Row],[ha2015.05]]</f>
        <v>2.3420537795537797E-2</v>
      </c>
      <c r="DZ12" s="47">
        <f>t_Parts[[#This Row],[hp2015.06]]/t_Parts[[#This Row],[ha2015.06]]</f>
        <v>2.1991966366966369E-2</v>
      </c>
      <c r="EA12" s="47">
        <f>t_Parts[[#This Row],[hp2015.07]]/t_Parts[[#This Row],[ha2015.07]]</f>
        <v>2.3420537795537797E-2</v>
      </c>
      <c r="EB12" s="47">
        <f>t_Parts[[#This Row],[hp2015.08]]/t_Parts[[#This Row],[ha2015.08]]</f>
        <v>2.3420537795537797E-2</v>
      </c>
      <c r="EC12" s="47">
        <f>t_Parts[[#This Row],[hp2015.09]]/t_Parts[[#This Row],[ha2015.09]]</f>
        <v>2.1991966366966369E-2</v>
      </c>
      <c r="ED12" s="47">
        <f>t_Parts[[#This Row],[hp2015.10]]/t_Parts[[#This Row],[ha2015.10]]</f>
        <v>0</v>
      </c>
      <c r="EE12" s="47">
        <f>t_Parts[[#This Row],[hp2015.11]]/t_Parts[[#This Row],[ha2015.11]]</f>
        <v>0</v>
      </c>
      <c r="EF12" s="47">
        <f>t_Parts[[#This Row],[hp2015.12]]/t_Parts[[#This Row],[ha2015.12]]</f>
        <v>0</v>
      </c>
      <c r="EG12" s="47">
        <f>t_Parts[[#This Row],[hp2015.FY]]/t_Parts[[#This Row],[ha2015.FY]]</f>
        <v>1.7153315434565438E-2</v>
      </c>
      <c r="EH12" s="47">
        <f>t_Parts[[#This Row],[hp2016.01]]/t_Parts[[#This Row],[ha2016.01]]</f>
        <v>0</v>
      </c>
      <c r="EI12" s="47">
        <f>t_Parts[[#This Row],[hp2016.02]]/t_Parts[[#This Row],[ha2016.02]]</f>
        <v>0</v>
      </c>
      <c r="EJ12" s="47">
        <f>t_Parts[[#This Row],[hp2016.03]]/t_Parts[[#This Row],[ha2016.03]]</f>
        <v>0</v>
      </c>
      <c r="EK12" s="47">
        <f>t_Parts[[#This Row],[hp2016.04]]/t_Parts[[#This Row],[ha2016.04]]</f>
        <v>0</v>
      </c>
      <c r="EL12" s="47">
        <f>t_Parts[[#This Row],[hp2016.05]]/t_Parts[[#This Row],[ha2016.05]]</f>
        <v>0</v>
      </c>
      <c r="EM12" s="47">
        <f>t_Parts[[#This Row],[hp2016.06]]/t_Parts[[#This Row],[ha2016.06]]</f>
        <v>0</v>
      </c>
      <c r="EN12" s="47">
        <f>t_Parts[[#This Row],[hp2016.07]]/t_Parts[[#This Row],[ha2016.07]]</f>
        <v>0</v>
      </c>
      <c r="EO12" s="47">
        <f>t_Parts[[#This Row],[hp2016.08]]/t_Parts[[#This Row],[ha2016.08]]</f>
        <v>0</v>
      </c>
      <c r="EP12" s="47">
        <f>t_Parts[[#This Row],[hp2016.09]]/t_Parts[[#This Row],[ha2016.09]]</f>
        <v>0</v>
      </c>
      <c r="EQ12" s="47">
        <f>t_Parts[[#This Row],[hp2016.10]]/t_Parts[[#This Row],[ha2016.10]]</f>
        <v>0</v>
      </c>
      <c r="ER12" s="47">
        <f>t_Parts[[#This Row],[hp2016.11]]/t_Parts[[#This Row],[ha2016.11]]</f>
        <v>0</v>
      </c>
      <c r="ES12" s="47">
        <f>t_Parts[[#This Row],[hp2016.12]]/t_Parts[[#This Row],[ha2016.12]]</f>
        <v>0</v>
      </c>
      <c r="ET12" s="47">
        <f>t_Parts[[#This Row],[hp2016.FY]]/t_Parts[[#This Row],[ha2016.FY]]</f>
        <v>0</v>
      </c>
      <c r="EU12" s="47">
        <f>t_Parts[[#This Row],[hp2017]]/t_Parts[[#This Row],[ha2017]]</f>
        <v>0</v>
      </c>
      <c r="EV12" s="47">
        <f>t_Parts[[#This Row],[hp2018]]/t_Parts[[#This Row],[ha2018]]</f>
        <v>0</v>
      </c>
      <c r="EW12" s="47">
        <f>t_Parts[[#This Row],[hp2019]]/t_Parts[[#This Row],[hp2015.01]]</f>
        <v>0</v>
      </c>
      <c r="EX12" s="58">
        <f>(t_Parts[[#This Row],[ha2015.01]]-t_Parts[[#This Row],[hp2015.01]])*t_Parts[[NetPPH]:[NetPPH]]</f>
        <v>360943.76923076919</v>
      </c>
      <c r="EY12" s="58">
        <f>(t_Parts[[#This Row],[ha2015.02]]-t_Parts[[#This Row],[hp2015.02]])*t_Parts[[NetPPH]:[NetPPH]]</f>
        <v>360943.76923076919</v>
      </c>
      <c r="EZ12" s="58">
        <f>(t_Parts[[#This Row],[ha2015.03]]-t_Parts[[#This Row],[hp2015.03]])*t_Parts[[NetPPH]:[NetPPH]]</f>
        <v>451839.71153846156</v>
      </c>
      <c r="FA12" s="58">
        <f>(t_Parts[[#This Row],[ha2015.04]]-t_Parts[[#This Row],[hp2015.04]])*t_Parts[[NetPPH]:[NetPPH]]</f>
        <v>360943.76923076919</v>
      </c>
      <c r="FB12" s="58">
        <f>(t_Parts[[#This Row],[ha2015.05]]-t_Parts[[#This Row],[hp2015.05]])*t_Parts[[NetPPH]:[NetPPH]]</f>
        <v>360943.76923076919</v>
      </c>
      <c r="FC12" s="58">
        <f>(t_Parts[[#This Row],[ha2015.06]]-t_Parts[[#This Row],[hp2015.06]])*t_Parts[[NetPPH]:[NetPPH]]</f>
        <v>451839.71153846156</v>
      </c>
      <c r="FD12" s="58">
        <f>(t_Parts[[#This Row],[ha2015.07]]-t_Parts[[#This Row],[hp2015.07]])*t_Parts[[NetPPH]:[NetPPH]]</f>
        <v>360943.76923076919</v>
      </c>
      <c r="FE12" s="58">
        <f>(t_Parts[[#This Row],[ha2015.08]]-t_Parts[[#This Row],[hp2015.08]])*t_Parts[[NetPPH]:[NetPPH]]</f>
        <v>360943.76923076919</v>
      </c>
      <c r="FF12" s="58">
        <f>(t_Parts[[#This Row],[ha2015.09]]-t_Parts[[#This Row],[hp2015.09]])*t_Parts[[NetPPH]:[NetPPH]]</f>
        <v>451839.71153846156</v>
      </c>
      <c r="FG12" s="58">
        <f>(t_Parts[[#This Row],[ha2015.10]]-t_Parts[[#This Row],[hp2015.10]])*t_Parts[[NetPPH]:[NetPPH]]</f>
        <v>369600</v>
      </c>
      <c r="FH12" s="58">
        <f>(t_Parts[[#This Row],[ha2015.11]]-t_Parts[[#This Row],[hp2015.11]])*t_Parts[[NetPPH]:[NetPPH]]</f>
        <v>369600</v>
      </c>
      <c r="FI12" s="58">
        <f>(t_Parts[[#This Row],[ha2015.12]]-t_Parts[[#This Row],[hp2015.12]])*t_Parts[[NetPPH]:[NetPPH]]</f>
        <v>462000</v>
      </c>
      <c r="FJ12" s="58">
        <f>(t_Parts[[#This Row],[ha2015.FY]]-t_Parts[[#This Row],[hp2015.FY]])*t_Parts[[NetPPH]:[NetPPH]]</f>
        <v>4722381.75</v>
      </c>
      <c r="FK12" s="58">
        <f>(t_Parts[[#This Row],[ha2016.01]]-t_Parts[[#This Row],[hp2016.01]])*t_Parts[[NetPPH]:[NetPPH]]</f>
        <v>369600</v>
      </c>
      <c r="FL12" s="58">
        <f>(t_Parts[[#This Row],[ha2016.02]]-t_Parts[[#This Row],[hp2016.02]])*t_Parts[[NetPPH]:[NetPPH]]</f>
        <v>369600</v>
      </c>
      <c r="FM12" s="58">
        <f>(t_Parts[[#This Row],[ha2016.03]]-t_Parts[[#This Row],[hp2016.03]])*t_Parts[[NetPPH]:[NetPPH]]</f>
        <v>462000</v>
      </c>
      <c r="FN12" s="58">
        <f>(t_Parts[[#This Row],[ha2016.04]]-t_Parts[[#This Row],[hp2016.04]])*t_Parts[[NetPPH]:[NetPPH]]</f>
        <v>369600</v>
      </c>
      <c r="FO12" s="58">
        <f>(t_Parts[[#This Row],[ha2016.05]]-t_Parts[[#This Row],[hp2016.05]])*t_Parts[[NetPPH]:[NetPPH]]</f>
        <v>369600</v>
      </c>
      <c r="FP12" s="58">
        <f>(t_Parts[[#This Row],[ha2016.06]]-t_Parts[[#This Row],[hp2016.06]])*t_Parts[[NetPPH]:[NetPPH]]</f>
        <v>462000</v>
      </c>
      <c r="FQ12" s="58">
        <f>(t_Parts[[#This Row],[ha2016.07]]-t_Parts[[#This Row],[hp2016.07]])*t_Parts[[NetPPH]:[NetPPH]]</f>
        <v>369600</v>
      </c>
      <c r="FR12" s="58">
        <f>(t_Parts[[#This Row],[ha2016.08]]-t_Parts[[#This Row],[hp2016.08]])*t_Parts[[NetPPH]:[NetPPH]]</f>
        <v>369600</v>
      </c>
      <c r="FS12" s="58">
        <f>(t_Parts[[#This Row],[ha2016.09]]-t_Parts[[#This Row],[hp2016.09]])*t_Parts[[NetPPH]:[NetPPH]]</f>
        <v>462000</v>
      </c>
      <c r="FT12" s="58">
        <f>(t_Parts[[#This Row],[ha2016.10]]-t_Parts[[#This Row],[hp2016.10]])*t_Parts[[NetPPH]:[NetPPH]]</f>
        <v>369600</v>
      </c>
      <c r="FU12" s="58">
        <f>(t_Parts[[#This Row],[ha2016.11]]-t_Parts[[#This Row],[hp2016.11]])*t_Parts[[NetPPH]:[NetPPH]]</f>
        <v>369600</v>
      </c>
      <c r="FV12" s="58">
        <f>(t_Parts[[#This Row],[ha2016.12]]-t_Parts[[#This Row],[hp2016.12]])*t_Parts[[NetPPH]:[NetPPH]]</f>
        <v>462000</v>
      </c>
      <c r="FW12" s="58">
        <f>(t_Parts[[#This Row],[ha2016.FY]]-t_Parts[[#This Row],[hp2016.FY]])*t_Parts[[NetPPH]:[NetPPH]]</f>
        <v>4804800</v>
      </c>
      <c r="FX12" s="58">
        <f>(t_Parts[[#This Row],[ha2017]]-t_Parts[[#This Row],[hp2017]])*t_Parts[[NetPPH]:[NetPPH]]</f>
        <v>4804800</v>
      </c>
      <c r="FY12" s="58">
        <f>(t_Parts[[#This Row],[ha2018]]-t_Parts[[#This Row],[hp2018]])*t_Parts[[NetPPH]:[NetPPH]]</f>
        <v>4804800</v>
      </c>
      <c r="FZ12" s="58">
        <f>(t_Parts[[#This Row],[ha2019]]-t_Parts[[#This Row],[hp2019]])*t_Parts[[NetPPH]:[NetPPH]]</f>
        <v>4804800</v>
      </c>
    </row>
    <row r="13" spans="1:182" s="14" customFormat="1" x14ac:dyDescent="0.25">
      <c r="A13" s="74" t="s">
        <v>578</v>
      </c>
      <c r="B13" s="74"/>
      <c r="C13" s="74">
        <v>21003</v>
      </c>
      <c r="D13" s="75">
        <v>1</v>
      </c>
      <c r="E13" s="73">
        <v>2400</v>
      </c>
      <c r="F13" s="76">
        <v>1</v>
      </c>
      <c r="G13" s="77">
        <v>2</v>
      </c>
      <c r="H13" s="16">
        <v>2015.01</v>
      </c>
      <c r="I13" s="16">
        <v>2015.09</v>
      </c>
      <c r="J13" s="73">
        <v>77602</v>
      </c>
      <c r="K13" s="73">
        <v>77602</v>
      </c>
      <c r="L13" s="73">
        <v>77602</v>
      </c>
      <c r="M13" s="73">
        <v>77602</v>
      </c>
      <c r="N13" s="73">
        <v>77602</v>
      </c>
      <c r="O13" s="78">
        <v>32</v>
      </c>
      <c r="P13" s="78">
        <v>74</v>
      </c>
      <c r="Q13" s="79">
        <v>22.8</v>
      </c>
      <c r="R13" s="79"/>
      <c r="S13" s="78">
        <v>244</v>
      </c>
      <c r="T13" s="80">
        <v>15</v>
      </c>
      <c r="U13" s="80" t="s">
        <v>121</v>
      </c>
      <c r="V13" s="81" t="s">
        <v>579</v>
      </c>
      <c r="W13" s="82">
        <v>1.96</v>
      </c>
      <c r="X13" s="82" t="s">
        <v>551</v>
      </c>
      <c r="Y13" s="82"/>
      <c r="Z13" s="82"/>
      <c r="AA13" s="82"/>
      <c r="AB13" s="82"/>
      <c r="AC13" s="83" t="s">
        <v>667</v>
      </c>
      <c r="AD13" s="40" t="str">
        <f>VLOOKUP(t_Parts[[#This Row],[Press]],t_Presses[],Press!B$1,FALSE)</f>
        <v>Plainfield</v>
      </c>
      <c r="AE13" s="40" t="str">
        <f>VLOOKUP(t_Parts[[#This Row],[Press]],t_Presses[],Press!E$1,FALSE)</f>
        <v>300-599</v>
      </c>
      <c r="AF13" s="47">
        <f>VLOOKUP(t_Parts[[#This Row],[Plant]],t_Plants[],Plants!C$1,FALSE)</f>
        <v>0.55000000000000004</v>
      </c>
      <c r="AG13" s="47">
        <f>VLOOKUP(t_Parts[[#This Row],[Press]],t_Presses[],Press!F$1,FALSE)</f>
        <v>0</v>
      </c>
      <c r="AH13" s="84"/>
      <c r="AI13" s="47">
        <f>IF(ISBLANK(t_Parts[[#This Row],[PartOEE]])=FALSE,t_Parts[[#This Row],[PartOEE]], IF(t_Parts[[#This Row],[PressOEE]]&gt;0, t_Parts[[#This Row],[PressOEE]], t_Parts[[#This Row],[PlantOEE]] ))</f>
        <v>0.55000000000000004</v>
      </c>
      <c r="AJ13" s="70">
        <f>t_Parts[[#This Row],[SetupsPerMo]]*t_Parts[[#This Row],[SetupHrs]]</f>
        <v>2</v>
      </c>
      <c r="AK13" s="39">
        <f>(t_Parts[[#This Row],[PartsPerStroke]]*t_Parts[[#This Row],[StrokesPerHr]])*t_Parts[[#This Row],[UseOEE]]</f>
        <v>1320</v>
      </c>
      <c r="AL1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5969.3846153846152</v>
      </c>
      <c r="AM1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5969.3846153846152</v>
      </c>
      <c r="AN1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7461.7307692307686</v>
      </c>
      <c r="AO1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5969.3846153846152</v>
      </c>
      <c r="AP1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5969.3846153846152</v>
      </c>
      <c r="AQ1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7461.7307692307686</v>
      </c>
      <c r="AR1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5969.3846153846152</v>
      </c>
      <c r="AS1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5969.3846153846152</v>
      </c>
      <c r="AT1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7461.7307692307686</v>
      </c>
      <c r="AU1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1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1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13" s="39">
        <f>SUM(t_Parts[[#This Row],[pv2015.01]:[pv2015.12]])</f>
        <v>58201.5</v>
      </c>
      <c r="AY1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3" s="39">
        <f>SUM(t_Parts[[#This Row],[pv2016.01]:[pv2016.12]])</f>
        <v>0</v>
      </c>
      <c r="BL13" s="39">
        <f>t_Parts[[#This Row],[2017vol]]</f>
        <v>77602</v>
      </c>
      <c r="BM13" s="39">
        <f>t_Parts[[#This Row],[2018vol]]</f>
        <v>77602</v>
      </c>
      <c r="BN13" s="39">
        <f>t_Parts[[#This Row],[2019vol]]</f>
        <v>77602</v>
      </c>
      <c r="BO13" s="40">
        <f>VLOOKUP(t_Parts[[Plant]:[Plant]],t_Plants[],Plants!CN$1,FALSE)</f>
        <v>280</v>
      </c>
      <c r="BP13" s="14">
        <f>VLOOKUP(t_Parts[[Plant]:[Plant]],t_Plants[],Plants!CO$1,FALSE)</f>
        <v>280</v>
      </c>
      <c r="BQ13" s="14">
        <f>VLOOKUP(t_Parts[[Plant]:[Plant]],t_Plants[],Plants!CP$1,FALSE)</f>
        <v>350</v>
      </c>
      <c r="BR13" s="14">
        <f>VLOOKUP(t_Parts[[Plant]:[Plant]],t_Plants[],Plants!CQ$1,FALSE)</f>
        <v>280</v>
      </c>
      <c r="BS13" s="14">
        <f>VLOOKUP(t_Parts[[Plant]:[Plant]],t_Plants[],Plants!CR$1,FALSE)</f>
        <v>280</v>
      </c>
      <c r="BT13" s="14">
        <f>VLOOKUP(t_Parts[[Plant]:[Plant]],t_Plants[],Plants!CS$1,FALSE)</f>
        <v>350</v>
      </c>
      <c r="BU13" s="14">
        <f>VLOOKUP(t_Parts[[Plant]:[Plant]],t_Plants[],Plants!CT$1,FALSE)</f>
        <v>280</v>
      </c>
      <c r="BV13" s="14">
        <f>VLOOKUP(t_Parts[[Plant]:[Plant]],t_Plants[],Plants!CU$1,FALSE)</f>
        <v>280</v>
      </c>
      <c r="BW13" s="14">
        <f>VLOOKUP(t_Parts[[Plant]:[Plant]],t_Plants[],Plants!CV$1,FALSE)</f>
        <v>350</v>
      </c>
      <c r="BX13" s="14">
        <f>VLOOKUP(t_Parts[[Plant]:[Plant]],t_Plants[],Plants!CW$1,FALSE)</f>
        <v>280</v>
      </c>
      <c r="BY13" s="14">
        <f>VLOOKUP(t_Parts[[Plant]:[Plant]],t_Plants[],Plants!CX$1,FALSE)</f>
        <v>280</v>
      </c>
      <c r="BZ13" s="14">
        <f>VLOOKUP(t_Parts[[Plant]:[Plant]],t_Plants[],Plants!CY$1,FALSE)</f>
        <v>350</v>
      </c>
      <c r="CA13" s="40">
        <f>SUM(t_Parts[[#This Row],[ha2015.01]:[ha2015.12]])</f>
        <v>3640</v>
      </c>
      <c r="CB13" s="14">
        <f>VLOOKUP(t_Parts[[Plant]:[Plant]],t_Plants[],Plants!DA$1,FALSE)</f>
        <v>280</v>
      </c>
      <c r="CC13" s="14">
        <f>VLOOKUP(t_Parts[[Plant]:[Plant]],t_Plants[],Plants!DB$1,FALSE)</f>
        <v>280</v>
      </c>
      <c r="CD13" s="14">
        <f>VLOOKUP(t_Parts[[Plant]:[Plant]],t_Plants[],Plants!DC$1,FALSE)</f>
        <v>350</v>
      </c>
      <c r="CE13" s="14">
        <f>VLOOKUP(t_Parts[[Plant]:[Plant]],t_Plants[],Plants!DD$1,FALSE)</f>
        <v>280</v>
      </c>
      <c r="CF13" s="14">
        <f>VLOOKUP(t_Parts[[Plant]:[Plant]],t_Plants[],Plants!DE$1,FALSE)</f>
        <v>280</v>
      </c>
      <c r="CG13" s="14">
        <f>VLOOKUP(t_Parts[[Plant]:[Plant]],t_Plants[],Plants!DF$1,FALSE)</f>
        <v>350</v>
      </c>
      <c r="CH13" s="14">
        <f>VLOOKUP(t_Parts[[Plant]:[Plant]],t_Plants[],Plants!DG$1,FALSE)</f>
        <v>280</v>
      </c>
      <c r="CI13" s="14">
        <f>VLOOKUP(t_Parts[[Plant]:[Plant]],t_Plants[],Plants!DH$1,FALSE)</f>
        <v>280</v>
      </c>
      <c r="CJ13" s="14">
        <f>VLOOKUP(t_Parts[[Plant]:[Plant]],t_Plants[],Plants!DI$1,FALSE)</f>
        <v>350</v>
      </c>
      <c r="CK13" s="14">
        <f>VLOOKUP(t_Parts[[Plant]:[Plant]],t_Plants[],Plants!DJ$1,FALSE)</f>
        <v>280</v>
      </c>
      <c r="CL13" s="14">
        <f>VLOOKUP(t_Parts[[Plant]:[Plant]],t_Plants[],Plants!DK$1,FALSE)</f>
        <v>280</v>
      </c>
      <c r="CM13" s="14">
        <f>VLOOKUP(t_Parts[[Plant]:[Plant]],t_Plants[],Plants!DL$1,FALSE)</f>
        <v>350</v>
      </c>
      <c r="CN13" s="14">
        <f>VLOOKUP(t_Parts[[Plant]:[Plant]],t_Plants[],Plants!DM$1,FALSE)</f>
        <v>3640</v>
      </c>
      <c r="CO13" s="14">
        <f>VLOOKUP(t_Parts[[Plant]:[Plant]],t_Plants[],Plants!DN$1,FALSE)</f>
        <v>3640</v>
      </c>
      <c r="CP13" s="14">
        <f>VLOOKUP(t_Parts[[Plant]:[Plant]],t_Plants[],Plants!DO$1,FALSE)</f>
        <v>3640</v>
      </c>
      <c r="CQ13" s="14">
        <f>VLOOKUP(t_Parts[[Plant]:[Plant]],t_Plants[],Plants!DP$1,FALSE)</f>
        <v>3640</v>
      </c>
      <c r="CR13" s="39">
        <f>IF(AND(AL$3&gt;=VALUE(t_Parts[[SOP]:[SOP]]),AL$3&lt;=VALUE(t_Parts[[EOP]:[EOP]])), t_Parts[[SetupHrsPerMo]:[SetupHrsPerMo]]+(t_Parts[[#This Row],[pv2015.01]]/t_Parts[[NetPPH]:[NetPPH]]),0)</f>
        <v>6.5222610722610721</v>
      </c>
      <c r="CS13" s="39">
        <f>IF(AND(AM$3&gt;=VALUE(t_Parts[[SOP]:[SOP]]),AM$3&lt;=VALUE(t_Parts[[EOP]:[EOP]])), t_Parts[[SetupHrsPerMo]:[SetupHrsPerMo]]+(t_Parts[[#This Row],[pv2015.02]]/t_Parts[[NetPPH]:[NetPPH]]),0)</f>
        <v>6.5222610722610721</v>
      </c>
      <c r="CT13" s="39">
        <f>IF(AND(AN$3&gt;=VALUE(t_Parts[[SOP]:[SOP]]),AN$3&lt;=VALUE(t_Parts[[EOP]:[EOP]])), t_Parts[[SetupHrsPerMo]:[SetupHrsPerMo]]+(t_Parts[[#This Row],[pv2015.03]]/t_Parts[[NetPPH]:[NetPPH]]),0)</f>
        <v>7.6528263403263397</v>
      </c>
      <c r="CU13" s="39">
        <f>IF(AND(AO$3&gt;=VALUE(t_Parts[[SOP]:[SOP]]),AO$3&lt;=VALUE(t_Parts[[EOP]:[EOP]])), t_Parts[[SetupHrsPerMo]:[SetupHrsPerMo]]+(t_Parts[[#This Row],[pv2015.04]]/t_Parts[[NetPPH]:[NetPPH]]),0)</f>
        <v>6.5222610722610721</v>
      </c>
      <c r="CV13" s="39">
        <f>IF(AND(AP$3&gt;=VALUE(t_Parts[[SOP]:[SOP]]),AP$3&lt;=VALUE(t_Parts[[EOP]:[EOP]])), t_Parts[[SetupHrsPerMo]:[SetupHrsPerMo]]+(t_Parts[[#This Row],[pv2015.05]]/t_Parts[[NetPPH]:[NetPPH]]),0)</f>
        <v>6.5222610722610721</v>
      </c>
      <c r="CW13" s="39">
        <f>IF(AND(AQ$3&gt;=VALUE(t_Parts[[SOP]:[SOP]]),AQ$3&lt;=VALUE(t_Parts[[EOP]:[EOP]])), t_Parts[[SetupHrsPerMo]:[SetupHrsPerMo]]+(t_Parts[[#This Row],[pv2015.06]]/t_Parts[[NetPPH]:[NetPPH]]),0)</f>
        <v>7.6528263403263397</v>
      </c>
      <c r="CX13" s="39">
        <f>IF(AND(AR$3&gt;=VALUE(t_Parts[[SOP]:[SOP]]),AR$3&lt;=VALUE(t_Parts[[EOP]:[EOP]])), t_Parts[[SetupHrsPerMo]:[SetupHrsPerMo]]+(t_Parts[[#This Row],[pv2015.07]]/t_Parts[[NetPPH]:[NetPPH]]),0)</f>
        <v>6.5222610722610721</v>
      </c>
      <c r="CY13" s="39">
        <f>IF(AND(AS$3&gt;=VALUE(t_Parts[[SOP]:[SOP]]),AS$3&lt;=VALUE(t_Parts[[EOP]:[EOP]])), t_Parts[[SetupHrsPerMo]:[SetupHrsPerMo]]+(t_Parts[[#This Row],[pv2015.08]]/t_Parts[[NetPPH]:[NetPPH]]),0)</f>
        <v>6.5222610722610721</v>
      </c>
      <c r="CZ13" s="39">
        <f>IF(AND(AT$3&gt;=VALUE(t_Parts[[SOP]:[SOP]]),AT$3&lt;=VALUE(t_Parts[[EOP]:[EOP]])), t_Parts[[SetupHrsPerMo]:[SetupHrsPerMo]]+(t_Parts[[#This Row],[pv2015.09]]/t_Parts[[NetPPH]:[NetPPH]]),0)</f>
        <v>7.6528263403263397</v>
      </c>
      <c r="DA13" s="39">
        <f>IF(AND(AU$3&gt;=VALUE(t_Parts[[SOP]:[SOP]]),AU$3&lt;=VALUE(t_Parts[[EOP]:[EOP]])), t_Parts[[SetupHrsPerMo]:[SetupHrsPerMo]]+(t_Parts[[#This Row],[pv2015.10]]/t_Parts[[NetPPH]:[NetPPH]]),0)</f>
        <v>0</v>
      </c>
      <c r="DB13" s="39">
        <f>IF(AND(AV$3&gt;=VALUE(t_Parts[[SOP]:[SOP]]),AV$3&lt;=VALUE(t_Parts[[EOP]:[EOP]])), t_Parts[[SetupHrsPerMo]:[SetupHrsPerMo]]+(t_Parts[[#This Row],[pv2015.11]]/t_Parts[[NetPPH]:[NetPPH]]),0)</f>
        <v>0</v>
      </c>
      <c r="DC13" s="39">
        <f>IF(AND(AW$3&gt;=VALUE(t_Parts[[SOP]:[SOP]]),AW$3&lt;=VALUE(t_Parts[[EOP]:[EOP]])), t_Parts[[SetupHrsPerMo]:[SetupHrsPerMo]]+(t_Parts[[#This Row],[pv2015.12]]/t_Parts[[NetPPH]:[NetPPH]]),0)</f>
        <v>0</v>
      </c>
      <c r="DD13" s="39">
        <f>SUM(t_Parts[[#This Row],[hp2015.01]:[hp2015.12]])</f>
        <v>62.092045454545463</v>
      </c>
      <c r="DE13" s="39">
        <f>IF(AND(AY$3&gt;=VALUE(t_Parts[[SOP]:[SOP]]),AY$3&lt;=VALUE(t_Parts[[EOP]:[EOP]])), t_Parts[[SetupHrsPerMo]:[SetupHrsPerMo]]+(t_Parts[[#This Row],[pv2016.01]]/t_Parts[[NetPPH]:[NetPPH]]),0)</f>
        <v>0</v>
      </c>
      <c r="DF13" s="39">
        <f>IF(AND(AZ$3&gt;=VALUE(t_Parts[[SOP]:[SOP]]),AZ$3&lt;=VALUE(t_Parts[[EOP]:[EOP]])), t_Parts[[SetupHrsPerMo]:[SetupHrsPerMo]]+(t_Parts[[#This Row],[pv2016.02]]/t_Parts[[NetPPH]:[NetPPH]]),0)</f>
        <v>0</v>
      </c>
      <c r="DG13" s="39">
        <f>IF(AND(BA$3&gt;=VALUE(t_Parts[[SOP]:[SOP]]),BA$3&lt;=VALUE(t_Parts[[EOP]:[EOP]])), t_Parts[[SetupHrsPerMo]:[SetupHrsPerMo]]+(t_Parts[[#This Row],[pv2016.03]]/t_Parts[[NetPPH]:[NetPPH]]),0)</f>
        <v>0</v>
      </c>
      <c r="DH13" s="39">
        <f>IF(AND(BB$3&gt;=VALUE(t_Parts[[SOP]:[SOP]]),BB$3&lt;=VALUE(t_Parts[[EOP]:[EOP]])), t_Parts[[SetupHrsPerMo]:[SetupHrsPerMo]]+(t_Parts[[#This Row],[pv2016.04]]/t_Parts[[NetPPH]:[NetPPH]]),0)</f>
        <v>0</v>
      </c>
      <c r="DI13" s="39">
        <f>IF(AND(BC$3&gt;=VALUE(t_Parts[[SOP]:[SOP]]),BC$3&lt;=VALUE(t_Parts[[EOP]:[EOP]])), t_Parts[[SetupHrsPerMo]:[SetupHrsPerMo]]+(t_Parts[[#This Row],[pv2016.05]]/t_Parts[[NetPPH]:[NetPPH]]),0)</f>
        <v>0</v>
      </c>
      <c r="DJ13" s="39">
        <f>IF(AND(BD$3&gt;=VALUE(t_Parts[[SOP]:[SOP]]),BD$3&lt;=VALUE(t_Parts[[EOP]:[EOP]])), t_Parts[[SetupHrsPerMo]:[SetupHrsPerMo]]+(t_Parts[[#This Row],[pv2016.06]]/t_Parts[[NetPPH]:[NetPPH]]),0)</f>
        <v>0</v>
      </c>
      <c r="DK13" s="39">
        <f>IF(AND(BE$3&gt;=VALUE(t_Parts[[SOP]:[SOP]]),BE$3&lt;=VALUE(t_Parts[[EOP]:[EOP]])), t_Parts[[SetupHrsPerMo]:[SetupHrsPerMo]]+(t_Parts[[#This Row],[pv2016.07]]/t_Parts[[NetPPH]:[NetPPH]]),0)</f>
        <v>0</v>
      </c>
      <c r="DL13" s="39">
        <f>IF(AND(BF$3&gt;=VALUE(t_Parts[[SOP]:[SOP]]),BF$3&lt;=VALUE(t_Parts[[EOP]:[EOP]])), t_Parts[[SetupHrsPerMo]:[SetupHrsPerMo]]+(t_Parts[[#This Row],[pv2016.08]]/t_Parts[[NetPPH]:[NetPPH]]),0)</f>
        <v>0</v>
      </c>
      <c r="DM13" s="39">
        <f>IF(AND(BG$3&gt;=VALUE(t_Parts[[SOP]:[SOP]]),BG$3&lt;=VALUE(t_Parts[[EOP]:[EOP]])), t_Parts[[SetupHrsPerMo]:[SetupHrsPerMo]]+(t_Parts[[#This Row],[pv2016.09]]/t_Parts[[NetPPH]:[NetPPH]]),0)</f>
        <v>0</v>
      </c>
      <c r="DN13" s="39">
        <f>IF(AND(BH$3&gt;=VALUE(t_Parts[[SOP]:[SOP]]),BH$3&lt;=VALUE(t_Parts[[EOP]:[EOP]])), t_Parts[[SetupHrsPerMo]:[SetupHrsPerMo]]+(t_Parts[[#This Row],[pv2016.10]]/t_Parts[[NetPPH]:[NetPPH]]),0)</f>
        <v>0</v>
      </c>
      <c r="DO13" s="39">
        <f>IF(AND(BI$3&gt;=VALUE(t_Parts[[SOP]:[SOP]]),BI$3&lt;=VALUE(t_Parts[[EOP]:[EOP]])), t_Parts[[SetupHrsPerMo]:[SetupHrsPerMo]]+(t_Parts[[#This Row],[pv2016.11]]/t_Parts[[NetPPH]:[NetPPH]]),0)</f>
        <v>0</v>
      </c>
      <c r="DP13" s="39">
        <f>IF(AND(BJ$3&gt;=VALUE(t_Parts[[SOP]:[SOP]]),BJ$3&lt;=VALUE(t_Parts[[EOP]:[EOP]])), t_Parts[[SetupHrsPerMo]:[SetupHrsPerMo]]+(t_Parts[[#This Row],[pv2016.12]]/t_Parts[[NetPPH]:[NetPPH]]),0)</f>
        <v>0</v>
      </c>
      <c r="DQ13" s="39">
        <f>SUM(t_Parts[[#This Row],[hp2016.01]:[hp2016.12]])</f>
        <v>0</v>
      </c>
      <c r="DR13" s="39">
        <f>IF(AND(BL$3&gt;=VALUE(t_Parts[[SOP]:[SOP]]),BL$3&lt;=VALUE(t_Parts[[EOP]:[EOP]])), 12*t_Parts[[SetupHrsPerMo]:[SetupHrsPerMo]]+(t_Parts[[#This Row],[pv2017]]/t_Parts[[NetPPH]:[NetPPH]]),0)</f>
        <v>0</v>
      </c>
      <c r="DS13" s="39">
        <f>IF(AND(BM$3&gt;=VALUE(t_Parts[[SOP]:[SOP]]),BM$3&lt;=VALUE(t_Parts[[EOP]:[EOP]])), 12*t_Parts[[SetupHrsPerMo]:[SetupHrsPerMo]]+(t_Parts[[#This Row],[pv2018]]/t_Parts[[NetPPH]:[NetPPH]]),0)</f>
        <v>0</v>
      </c>
      <c r="DT13" s="39">
        <f>IF(AND(BN$3&gt;=VALUE(t_Parts[[SOP]:[SOP]]),BN$3&lt;=VALUE(t_Parts[[EOP]:[EOP]])), 12*t_Parts[[SetupHrsPerMo]:[SetupHrsPerMo]]+(t_Parts[[#This Row],[pv2019]]/t_Parts[[NetPPH]:[NetPPH]]),0)</f>
        <v>0</v>
      </c>
      <c r="DU13" s="47">
        <f>t_Parts[[#This Row],[hp2015.01]]/t_Parts[[#This Row],[ha2015.01]]</f>
        <v>2.3293789543789543E-2</v>
      </c>
      <c r="DV13" s="47">
        <f>t_Parts[[#This Row],[hp2015.02]]/t_Parts[[#This Row],[ha2015.02]]</f>
        <v>2.3293789543789543E-2</v>
      </c>
      <c r="DW13" s="47">
        <f>t_Parts[[#This Row],[hp2015.03]]/t_Parts[[#This Row],[ha2015.03]]</f>
        <v>2.1865218115218115E-2</v>
      </c>
      <c r="DX13" s="47">
        <f>t_Parts[[#This Row],[hp2015.04]]/t_Parts[[#This Row],[ha2015.04]]</f>
        <v>2.3293789543789543E-2</v>
      </c>
      <c r="DY13" s="47">
        <f>t_Parts[[#This Row],[hp2015.05]]/t_Parts[[#This Row],[ha2015.05]]</f>
        <v>2.3293789543789543E-2</v>
      </c>
      <c r="DZ13" s="47">
        <f>t_Parts[[#This Row],[hp2015.06]]/t_Parts[[#This Row],[ha2015.06]]</f>
        <v>2.1865218115218115E-2</v>
      </c>
      <c r="EA13" s="47">
        <f>t_Parts[[#This Row],[hp2015.07]]/t_Parts[[#This Row],[ha2015.07]]</f>
        <v>2.3293789543789543E-2</v>
      </c>
      <c r="EB13" s="47">
        <f>t_Parts[[#This Row],[hp2015.08]]/t_Parts[[#This Row],[ha2015.08]]</f>
        <v>2.3293789543789543E-2</v>
      </c>
      <c r="EC13" s="47">
        <f>t_Parts[[#This Row],[hp2015.09]]/t_Parts[[#This Row],[ha2015.09]]</f>
        <v>2.1865218115218115E-2</v>
      </c>
      <c r="ED13" s="47">
        <f>t_Parts[[#This Row],[hp2015.10]]/t_Parts[[#This Row],[ha2015.10]]</f>
        <v>0</v>
      </c>
      <c r="EE13" s="47">
        <f>t_Parts[[#This Row],[hp2015.11]]/t_Parts[[#This Row],[ha2015.11]]</f>
        <v>0</v>
      </c>
      <c r="EF13" s="47">
        <f>t_Parts[[#This Row],[hp2015.12]]/t_Parts[[#This Row],[ha2015.12]]</f>
        <v>0</v>
      </c>
      <c r="EG13" s="47">
        <f>t_Parts[[#This Row],[hp2015.FY]]/t_Parts[[#This Row],[ha2015.FY]]</f>
        <v>1.7058254245754249E-2</v>
      </c>
      <c r="EH13" s="47">
        <f>t_Parts[[#This Row],[hp2016.01]]/t_Parts[[#This Row],[ha2016.01]]</f>
        <v>0</v>
      </c>
      <c r="EI13" s="47">
        <f>t_Parts[[#This Row],[hp2016.02]]/t_Parts[[#This Row],[ha2016.02]]</f>
        <v>0</v>
      </c>
      <c r="EJ13" s="47">
        <f>t_Parts[[#This Row],[hp2016.03]]/t_Parts[[#This Row],[ha2016.03]]</f>
        <v>0</v>
      </c>
      <c r="EK13" s="47">
        <f>t_Parts[[#This Row],[hp2016.04]]/t_Parts[[#This Row],[ha2016.04]]</f>
        <v>0</v>
      </c>
      <c r="EL13" s="47">
        <f>t_Parts[[#This Row],[hp2016.05]]/t_Parts[[#This Row],[ha2016.05]]</f>
        <v>0</v>
      </c>
      <c r="EM13" s="47">
        <f>t_Parts[[#This Row],[hp2016.06]]/t_Parts[[#This Row],[ha2016.06]]</f>
        <v>0</v>
      </c>
      <c r="EN13" s="47">
        <f>t_Parts[[#This Row],[hp2016.07]]/t_Parts[[#This Row],[ha2016.07]]</f>
        <v>0</v>
      </c>
      <c r="EO13" s="47">
        <f>t_Parts[[#This Row],[hp2016.08]]/t_Parts[[#This Row],[ha2016.08]]</f>
        <v>0</v>
      </c>
      <c r="EP13" s="47">
        <f>t_Parts[[#This Row],[hp2016.09]]/t_Parts[[#This Row],[ha2016.09]]</f>
        <v>0</v>
      </c>
      <c r="EQ13" s="47">
        <f>t_Parts[[#This Row],[hp2016.10]]/t_Parts[[#This Row],[ha2016.10]]</f>
        <v>0</v>
      </c>
      <c r="ER13" s="47">
        <f>t_Parts[[#This Row],[hp2016.11]]/t_Parts[[#This Row],[ha2016.11]]</f>
        <v>0</v>
      </c>
      <c r="ES13" s="47">
        <f>t_Parts[[#This Row],[hp2016.12]]/t_Parts[[#This Row],[ha2016.12]]</f>
        <v>0</v>
      </c>
      <c r="ET13" s="47">
        <f>t_Parts[[#This Row],[hp2016.FY]]/t_Parts[[#This Row],[ha2016.FY]]</f>
        <v>0</v>
      </c>
      <c r="EU13" s="47">
        <f>t_Parts[[#This Row],[hp2017]]/t_Parts[[#This Row],[ha2017]]</f>
        <v>0</v>
      </c>
      <c r="EV13" s="47">
        <f>t_Parts[[#This Row],[hp2018]]/t_Parts[[#This Row],[ha2018]]</f>
        <v>0</v>
      </c>
      <c r="EW13" s="47">
        <f>t_Parts[[#This Row],[hp2019]]/t_Parts[[#This Row],[hp2015.01]]</f>
        <v>0</v>
      </c>
      <c r="EX13" s="58">
        <f>(t_Parts[[#This Row],[ha2015.01]]-t_Parts[[#This Row],[hp2015.01]])*t_Parts[[NetPPH]:[NetPPH]]</f>
        <v>360990.61538461538</v>
      </c>
      <c r="EY13" s="58">
        <f>(t_Parts[[#This Row],[ha2015.02]]-t_Parts[[#This Row],[hp2015.02]])*t_Parts[[NetPPH]:[NetPPH]]</f>
        <v>360990.61538461538</v>
      </c>
      <c r="EZ13" s="58">
        <f>(t_Parts[[#This Row],[ha2015.03]]-t_Parts[[#This Row],[hp2015.03]])*t_Parts[[NetPPH]:[NetPPH]]</f>
        <v>451898.26923076925</v>
      </c>
      <c r="FA13" s="58">
        <f>(t_Parts[[#This Row],[ha2015.04]]-t_Parts[[#This Row],[hp2015.04]])*t_Parts[[NetPPH]:[NetPPH]]</f>
        <v>360990.61538461538</v>
      </c>
      <c r="FB13" s="58">
        <f>(t_Parts[[#This Row],[ha2015.05]]-t_Parts[[#This Row],[hp2015.05]])*t_Parts[[NetPPH]:[NetPPH]]</f>
        <v>360990.61538461538</v>
      </c>
      <c r="FC13" s="58">
        <f>(t_Parts[[#This Row],[ha2015.06]]-t_Parts[[#This Row],[hp2015.06]])*t_Parts[[NetPPH]:[NetPPH]]</f>
        <v>451898.26923076925</v>
      </c>
      <c r="FD13" s="58">
        <f>(t_Parts[[#This Row],[ha2015.07]]-t_Parts[[#This Row],[hp2015.07]])*t_Parts[[NetPPH]:[NetPPH]]</f>
        <v>360990.61538461538</v>
      </c>
      <c r="FE13" s="58">
        <f>(t_Parts[[#This Row],[ha2015.08]]-t_Parts[[#This Row],[hp2015.08]])*t_Parts[[NetPPH]:[NetPPH]]</f>
        <v>360990.61538461538</v>
      </c>
      <c r="FF13" s="58">
        <f>(t_Parts[[#This Row],[ha2015.09]]-t_Parts[[#This Row],[hp2015.09]])*t_Parts[[NetPPH]:[NetPPH]]</f>
        <v>451898.26923076925</v>
      </c>
      <c r="FG13" s="58">
        <f>(t_Parts[[#This Row],[ha2015.10]]-t_Parts[[#This Row],[hp2015.10]])*t_Parts[[NetPPH]:[NetPPH]]</f>
        <v>369600</v>
      </c>
      <c r="FH13" s="58">
        <f>(t_Parts[[#This Row],[ha2015.11]]-t_Parts[[#This Row],[hp2015.11]])*t_Parts[[NetPPH]:[NetPPH]]</f>
        <v>369600</v>
      </c>
      <c r="FI13" s="58">
        <f>(t_Parts[[#This Row],[ha2015.12]]-t_Parts[[#This Row],[hp2015.12]])*t_Parts[[NetPPH]:[NetPPH]]</f>
        <v>462000</v>
      </c>
      <c r="FJ13" s="58">
        <f>(t_Parts[[#This Row],[ha2015.FY]]-t_Parts[[#This Row],[hp2015.FY]])*t_Parts[[NetPPH]:[NetPPH]]</f>
        <v>4722838.5</v>
      </c>
      <c r="FK13" s="58">
        <f>(t_Parts[[#This Row],[ha2016.01]]-t_Parts[[#This Row],[hp2016.01]])*t_Parts[[NetPPH]:[NetPPH]]</f>
        <v>369600</v>
      </c>
      <c r="FL13" s="58">
        <f>(t_Parts[[#This Row],[ha2016.02]]-t_Parts[[#This Row],[hp2016.02]])*t_Parts[[NetPPH]:[NetPPH]]</f>
        <v>369600</v>
      </c>
      <c r="FM13" s="58">
        <f>(t_Parts[[#This Row],[ha2016.03]]-t_Parts[[#This Row],[hp2016.03]])*t_Parts[[NetPPH]:[NetPPH]]</f>
        <v>462000</v>
      </c>
      <c r="FN13" s="58">
        <f>(t_Parts[[#This Row],[ha2016.04]]-t_Parts[[#This Row],[hp2016.04]])*t_Parts[[NetPPH]:[NetPPH]]</f>
        <v>369600</v>
      </c>
      <c r="FO13" s="58">
        <f>(t_Parts[[#This Row],[ha2016.05]]-t_Parts[[#This Row],[hp2016.05]])*t_Parts[[NetPPH]:[NetPPH]]</f>
        <v>369600</v>
      </c>
      <c r="FP13" s="58">
        <f>(t_Parts[[#This Row],[ha2016.06]]-t_Parts[[#This Row],[hp2016.06]])*t_Parts[[NetPPH]:[NetPPH]]</f>
        <v>462000</v>
      </c>
      <c r="FQ13" s="58">
        <f>(t_Parts[[#This Row],[ha2016.07]]-t_Parts[[#This Row],[hp2016.07]])*t_Parts[[NetPPH]:[NetPPH]]</f>
        <v>369600</v>
      </c>
      <c r="FR13" s="58">
        <f>(t_Parts[[#This Row],[ha2016.08]]-t_Parts[[#This Row],[hp2016.08]])*t_Parts[[NetPPH]:[NetPPH]]</f>
        <v>369600</v>
      </c>
      <c r="FS13" s="58">
        <f>(t_Parts[[#This Row],[ha2016.09]]-t_Parts[[#This Row],[hp2016.09]])*t_Parts[[NetPPH]:[NetPPH]]</f>
        <v>462000</v>
      </c>
      <c r="FT13" s="58">
        <f>(t_Parts[[#This Row],[ha2016.10]]-t_Parts[[#This Row],[hp2016.10]])*t_Parts[[NetPPH]:[NetPPH]]</f>
        <v>369600</v>
      </c>
      <c r="FU13" s="58">
        <f>(t_Parts[[#This Row],[ha2016.11]]-t_Parts[[#This Row],[hp2016.11]])*t_Parts[[NetPPH]:[NetPPH]]</f>
        <v>369600</v>
      </c>
      <c r="FV13" s="58">
        <f>(t_Parts[[#This Row],[ha2016.12]]-t_Parts[[#This Row],[hp2016.12]])*t_Parts[[NetPPH]:[NetPPH]]</f>
        <v>462000</v>
      </c>
      <c r="FW13" s="58">
        <f>(t_Parts[[#This Row],[ha2016.FY]]-t_Parts[[#This Row],[hp2016.FY]])*t_Parts[[NetPPH]:[NetPPH]]</f>
        <v>4804800</v>
      </c>
      <c r="FX13" s="58">
        <f>(t_Parts[[#This Row],[ha2017]]-t_Parts[[#This Row],[hp2017]])*t_Parts[[NetPPH]:[NetPPH]]</f>
        <v>4804800</v>
      </c>
      <c r="FY13" s="58">
        <f>(t_Parts[[#This Row],[ha2018]]-t_Parts[[#This Row],[hp2018]])*t_Parts[[NetPPH]:[NetPPH]]</f>
        <v>4804800</v>
      </c>
      <c r="FZ13" s="58">
        <f>(t_Parts[[#This Row],[ha2019]]-t_Parts[[#This Row],[hp2019]])*t_Parts[[NetPPH]:[NetPPH]]</f>
        <v>4804800</v>
      </c>
    </row>
    <row r="14" spans="1:182" s="14" customFormat="1" x14ac:dyDescent="0.25">
      <c r="A14" s="74" t="s">
        <v>536</v>
      </c>
      <c r="B14" s="74"/>
      <c r="C14" s="74">
        <v>21013</v>
      </c>
      <c r="D14" s="75">
        <v>1</v>
      </c>
      <c r="E14" s="73">
        <v>3000</v>
      </c>
      <c r="F14" s="76">
        <v>1</v>
      </c>
      <c r="G14" s="77">
        <v>2</v>
      </c>
      <c r="H14" s="16">
        <v>2015.01</v>
      </c>
      <c r="I14" s="16" t="s">
        <v>83</v>
      </c>
      <c r="J14" s="73">
        <v>22000</v>
      </c>
      <c r="K14" s="73">
        <v>22000</v>
      </c>
      <c r="L14" s="73">
        <v>22000</v>
      </c>
      <c r="M14" s="73">
        <v>22000</v>
      </c>
      <c r="N14" s="73">
        <v>22000</v>
      </c>
      <c r="O14" s="78"/>
      <c r="P14" s="78"/>
      <c r="Q14" s="79"/>
      <c r="R14" s="79"/>
      <c r="S14" s="78" t="s">
        <v>513</v>
      </c>
      <c r="T14" s="80"/>
      <c r="U14" s="80" t="s">
        <v>121</v>
      </c>
      <c r="V14" s="81"/>
      <c r="W14" s="82"/>
      <c r="X14" s="82" t="s">
        <v>501</v>
      </c>
      <c r="Y14" s="82"/>
      <c r="Z14" s="82"/>
      <c r="AA14" s="82"/>
      <c r="AB14" s="82"/>
      <c r="AC14" s="83" t="s">
        <v>667</v>
      </c>
      <c r="AD14" s="40" t="str">
        <f>VLOOKUP(t_Parts[[#This Row],[Press]],t_Presses[],Press!B$1,FALSE)</f>
        <v>Plainfield</v>
      </c>
      <c r="AE14" s="40" t="str">
        <f>VLOOKUP(t_Parts[[#This Row],[Press]],t_Presses[],Press!E$1,FALSE)</f>
        <v>0-299</v>
      </c>
      <c r="AF14" s="47">
        <f>VLOOKUP(t_Parts[[#This Row],[Plant]],t_Plants[],Plants!C$1,FALSE)</f>
        <v>0.55000000000000004</v>
      </c>
      <c r="AG14" s="47">
        <f>VLOOKUP(t_Parts[[#This Row],[Press]],t_Presses[],Press!F$1,FALSE)</f>
        <v>0</v>
      </c>
      <c r="AH14" s="84"/>
      <c r="AI14" s="47">
        <f>IF(ISBLANK(t_Parts[[#This Row],[PartOEE]])=FALSE,t_Parts[[#This Row],[PartOEE]], IF(t_Parts[[#This Row],[PressOEE]]&gt;0, t_Parts[[#This Row],[PressOEE]], t_Parts[[#This Row],[PlantOEE]] ))</f>
        <v>0.55000000000000004</v>
      </c>
      <c r="AJ14" s="70">
        <f>t_Parts[[#This Row],[SetupsPerMo]]*t_Parts[[#This Row],[SetupHrs]]</f>
        <v>2</v>
      </c>
      <c r="AK14" s="39">
        <f>(t_Parts[[#This Row],[PartsPerStroke]]*t_Parts[[#This Row],[StrokesPerHr]])*t_Parts[[#This Row],[UseOEE]]</f>
        <v>1650.0000000000002</v>
      </c>
      <c r="AL1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1692.3076923076924</v>
      </c>
      <c r="AM1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1692.3076923076924</v>
      </c>
      <c r="AN1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2115.3846153846152</v>
      </c>
      <c r="AO1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1692.3076923076924</v>
      </c>
      <c r="AP1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1692.3076923076924</v>
      </c>
      <c r="AQ1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2115.3846153846152</v>
      </c>
      <c r="AR1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1692.3076923076924</v>
      </c>
      <c r="AS1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1692.3076923076924</v>
      </c>
      <c r="AT1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2115.3846153846152</v>
      </c>
      <c r="AU1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1692.3076923076924</v>
      </c>
      <c r="AV1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1692.3076923076924</v>
      </c>
      <c r="AW1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2115.3846153846152</v>
      </c>
      <c r="AX14" s="39">
        <f>SUM(t_Parts[[#This Row],[pv2015.01]:[pv2015.12]])</f>
        <v>22000</v>
      </c>
      <c r="AY1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1692.3076923076924</v>
      </c>
      <c r="AZ1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1692.3076923076924</v>
      </c>
      <c r="BA1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2115.3846153846152</v>
      </c>
      <c r="BB1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1692.3076923076924</v>
      </c>
      <c r="BC1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1692.3076923076924</v>
      </c>
      <c r="BD1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2115.3846153846152</v>
      </c>
      <c r="BE1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1692.3076923076924</v>
      </c>
      <c r="BF1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1692.3076923076924</v>
      </c>
      <c r="BG1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2115.3846153846152</v>
      </c>
      <c r="BH1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1692.3076923076924</v>
      </c>
      <c r="BI1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1692.3076923076924</v>
      </c>
      <c r="BJ1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2115.3846153846152</v>
      </c>
      <c r="BK14" s="39">
        <f>SUM(t_Parts[[#This Row],[pv2016.01]:[pv2016.12]])</f>
        <v>22000</v>
      </c>
      <c r="BL14" s="39">
        <f>t_Parts[[#This Row],[2017vol]]</f>
        <v>22000</v>
      </c>
      <c r="BM14" s="39">
        <f>t_Parts[[#This Row],[2018vol]]</f>
        <v>22000</v>
      </c>
      <c r="BN14" s="39">
        <f>t_Parts[[#This Row],[2019vol]]</f>
        <v>22000</v>
      </c>
      <c r="BO14" s="40">
        <f>VLOOKUP(t_Parts[[Plant]:[Plant]],t_Plants[],Plants!CN$1,FALSE)</f>
        <v>280</v>
      </c>
      <c r="BP14" s="14">
        <f>VLOOKUP(t_Parts[[Plant]:[Plant]],t_Plants[],Plants!CO$1,FALSE)</f>
        <v>280</v>
      </c>
      <c r="BQ14" s="14">
        <f>VLOOKUP(t_Parts[[Plant]:[Plant]],t_Plants[],Plants!CP$1,FALSE)</f>
        <v>350</v>
      </c>
      <c r="BR14" s="14">
        <f>VLOOKUP(t_Parts[[Plant]:[Plant]],t_Plants[],Plants!CQ$1,FALSE)</f>
        <v>280</v>
      </c>
      <c r="BS14" s="14">
        <f>VLOOKUP(t_Parts[[Plant]:[Plant]],t_Plants[],Plants!CR$1,FALSE)</f>
        <v>280</v>
      </c>
      <c r="BT14" s="14">
        <f>VLOOKUP(t_Parts[[Plant]:[Plant]],t_Plants[],Plants!CS$1,FALSE)</f>
        <v>350</v>
      </c>
      <c r="BU14" s="14">
        <f>VLOOKUP(t_Parts[[Plant]:[Plant]],t_Plants[],Plants!CT$1,FALSE)</f>
        <v>280</v>
      </c>
      <c r="BV14" s="14">
        <f>VLOOKUP(t_Parts[[Plant]:[Plant]],t_Plants[],Plants!CU$1,FALSE)</f>
        <v>280</v>
      </c>
      <c r="BW14" s="14">
        <f>VLOOKUP(t_Parts[[Plant]:[Plant]],t_Plants[],Plants!CV$1,FALSE)</f>
        <v>350</v>
      </c>
      <c r="BX14" s="14">
        <f>VLOOKUP(t_Parts[[Plant]:[Plant]],t_Plants[],Plants!CW$1,FALSE)</f>
        <v>280</v>
      </c>
      <c r="BY14" s="14">
        <f>VLOOKUP(t_Parts[[Plant]:[Plant]],t_Plants[],Plants!CX$1,FALSE)</f>
        <v>280</v>
      </c>
      <c r="BZ14" s="14">
        <f>VLOOKUP(t_Parts[[Plant]:[Plant]],t_Plants[],Plants!CY$1,FALSE)</f>
        <v>350</v>
      </c>
      <c r="CA14" s="40">
        <f>SUM(t_Parts[[#This Row],[ha2015.01]:[ha2015.12]])</f>
        <v>3640</v>
      </c>
      <c r="CB14" s="14">
        <f>VLOOKUP(t_Parts[[Plant]:[Plant]],t_Plants[],Plants!DA$1,FALSE)</f>
        <v>280</v>
      </c>
      <c r="CC14" s="14">
        <f>VLOOKUP(t_Parts[[Plant]:[Plant]],t_Plants[],Plants!DB$1,FALSE)</f>
        <v>280</v>
      </c>
      <c r="CD14" s="14">
        <f>VLOOKUP(t_Parts[[Plant]:[Plant]],t_Plants[],Plants!DC$1,FALSE)</f>
        <v>350</v>
      </c>
      <c r="CE14" s="14">
        <f>VLOOKUP(t_Parts[[Plant]:[Plant]],t_Plants[],Plants!DD$1,FALSE)</f>
        <v>280</v>
      </c>
      <c r="CF14" s="14">
        <f>VLOOKUP(t_Parts[[Plant]:[Plant]],t_Plants[],Plants!DE$1,FALSE)</f>
        <v>280</v>
      </c>
      <c r="CG14" s="14">
        <f>VLOOKUP(t_Parts[[Plant]:[Plant]],t_Plants[],Plants!DF$1,FALSE)</f>
        <v>350</v>
      </c>
      <c r="CH14" s="14">
        <f>VLOOKUP(t_Parts[[Plant]:[Plant]],t_Plants[],Plants!DG$1,FALSE)</f>
        <v>280</v>
      </c>
      <c r="CI14" s="14">
        <f>VLOOKUP(t_Parts[[Plant]:[Plant]],t_Plants[],Plants!DH$1,FALSE)</f>
        <v>280</v>
      </c>
      <c r="CJ14" s="14">
        <f>VLOOKUP(t_Parts[[Plant]:[Plant]],t_Plants[],Plants!DI$1,FALSE)</f>
        <v>350</v>
      </c>
      <c r="CK14" s="14">
        <f>VLOOKUP(t_Parts[[Plant]:[Plant]],t_Plants[],Plants!DJ$1,FALSE)</f>
        <v>280</v>
      </c>
      <c r="CL14" s="14">
        <f>VLOOKUP(t_Parts[[Plant]:[Plant]],t_Plants[],Plants!DK$1,FALSE)</f>
        <v>280</v>
      </c>
      <c r="CM14" s="14">
        <f>VLOOKUP(t_Parts[[Plant]:[Plant]],t_Plants[],Plants!DL$1,FALSE)</f>
        <v>350</v>
      </c>
      <c r="CN14" s="14">
        <f>VLOOKUP(t_Parts[[Plant]:[Plant]],t_Plants[],Plants!DM$1,FALSE)</f>
        <v>3640</v>
      </c>
      <c r="CO14" s="14">
        <f>VLOOKUP(t_Parts[[Plant]:[Plant]],t_Plants[],Plants!DN$1,FALSE)</f>
        <v>3640</v>
      </c>
      <c r="CP14" s="14">
        <f>VLOOKUP(t_Parts[[Plant]:[Plant]],t_Plants[],Plants!DO$1,FALSE)</f>
        <v>3640</v>
      </c>
      <c r="CQ14" s="14">
        <f>VLOOKUP(t_Parts[[Plant]:[Plant]],t_Plants[],Plants!DP$1,FALSE)</f>
        <v>3640</v>
      </c>
      <c r="CR14" s="39">
        <f>IF(AND(AL$3&gt;=VALUE(t_Parts[[SOP]:[SOP]]),AL$3&lt;=VALUE(t_Parts[[EOP]:[EOP]])), t_Parts[[SetupHrsPerMo]:[SetupHrsPerMo]]+(t_Parts[[#This Row],[pv2015.01]]/t_Parts[[NetPPH]:[NetPPH]]),0)</f>
        <v>3.0256410256410255</v>
      </c>
      <c r="CS14" s="39">
        <f>IF(AND(AM$3&gt;=VALUE(t_Parts[[SOP]:[SOP]]),AM$3&lt;=VALUE(t_Parts[[EOP]:[EOP]])), t_Parts[[SetupHrsPerMo]:[SetupHrsPerMo]]+(t_Parts[[#This Row],[pv2015.02]]/t_Parts[[NetPPH]:[NetPPH]]),0)</f>
        <v>3.0256410256410255</v>
      </c>
      <c r="CT14" s="39">
        <f>IF(AND(AN$3&gt;=VALUE(t_Parts[[SOP]:[SOP]]),AN$3&lt;=VALUE(t_Parts[[EOP]:[EOP]])), t_Parts[[SetupHrsPerMo]:[SetupHrsPerMo]]+(t_Parts[[#This Row],[pv2015.03]]/t_Parts[[NetPPH]:[NetPPH]]),0)</f>
        <v>3.2820512820512819</v>
      </c>
      <c r="CU14" s="39">
        <f>IF(AND(AO$3&gt;=VALUE(t_Parts[[SOP]:[SOP]]),AO$3&lt;=VALUE(t_Parts[[EOP]:[EOP]])), t_Parts[[SetupHrsPerMo]:[SetupHrsPerMo]]+(t_Parts[[#This Row],[pv2015.04]]/t_Parts[[NetPPH]:[NetPPH]]),0)</f>
        <v>3.0256410256410255</v>
      </c>
      <c r="CV14" s="39">
        <f>IF(AND(AP$3&gt;=VALUE(t_Parts[[SOP]:[SOP]]),AP$3&lt;=VALUE(t_Parts[[EOP]:[EOP]])), t_Parts[[SetupHrsPerMo]:[SetupHrsPerMo]]+(t_Parts[[#This Row],[pv2015.05]]/t_Parts[[NetPPH]:[NetPPH]]),0)</f>
        <v>3.0256410256410255</v>
      </c>
      <c r="CW14" s="39">
        <f>IF(AND(AQ$3&gt;=VALUE(t_Parts[[SOP]:[SOP]]),AQ$3&lt;=VALUE(t_Parts[[EOP]:[EOP]])), t_Parts[[SetupHrsPerMo]:[SetupHrsPerMo]]+(t_Parts[[#This Row],[pv2015.06]]/t_Parts[[NetPPH]:[NetPPH]]),0)</f>
        <v>3.2820512820512819</v>
      </c>
      <c r="CX14" s="39">
        <f>IF(AND(AR$3&gt;=VALUE(t_Parts[[SOP]:[SOP]]),AR$3&lt;=VALUE(t_Parts[[EOP]:[EOP]])), t_Parts[[SetupHrsPerMo]:[SetupHrsPerMo]]+(t_Parts[[#This Row],[pv2015.07]]/t_Parts[[NetPPH]:[NetPPH]]),0)</f>
        <v>3.0256410256410255</v>
      </c>
      <c r="CY14" s="39">
        <f>IF(AND(AS$3&gt;=VALUE(t_Parts[[SOP]:[SOP]]),AS$3&lt;=VALUE(t_Parts[[EOP]:[EOP]])), t_Parts[[SetupHrsPerMo]:[SetupHrsPerMo]]+(t_Parts[[#This Row],[pv2015.08]]/t_Parts[[NetPPH]:[NetPPH]]),0)</f>
        <v>3.0256410256410255</v>
      </c>
      <c r="CZ14" s="39">
        <f>IF(AND(AT$3&gt;=VALUE(t_Parts[[SOP]:[SOP]]),AT$3&lt;=VALUE(t_Parts[[EOP]:[EOP]])), t_Parts[[SetupHrsPerMo]:[SetupHrsPerMo]]+(t_Parts[[#This Row],[pv2015.09]]/t_Parts[[NetPPH]:[NetPPH]]),0)</f>
        <v>3.2820512820512819</v>
      </c>
      <c r="DA14" s="39">
        <f>IF(AND(AU$3&gt;=VALUE(t_Parts[[SOP]:[SOP]]),AU$3&lt;=VALUE(t_Parts[[EOP]:[EOP]])), t_Parts[[SetupHrsPerMo]:[SetupHrsPerMo]]+(t_Parts[[#This Row],[pv2015.10]]/t_Parts[[NetPPH]:[NetPPH]]),0)</f>
        <v>3.0256410256410255</v>
      </c>
      <c r="DB14" s="39">
        <f>IF(AND(AV$3&gt;=VALUE(t_Parts[[SOP]:[SOP]]),AV$3&lt;=VALUE(t_Parts[[EOP]:[EOP]])), t_Parts[[SetupHrsPerMo]:[SetupHrsPerMo]]+(t_Parts[[#This Row],[pv2015.11]]/t_Parts[[NetPPH]:[NetPPH]]),0)</f>
        <v>3.0256410256410255</v>
      </c>
      <c r="DC14" s="39">
        <f>IF(AND(AW$3&gt;=VALUE(t_Parts[[SOP]:[SOP]]),AW$3&lt;=VALUE(t_Parts[[EOP]:[EOP]])), t_Parts[[SetupHrsPerMo]:[SetupHrsPerMo]]+(t_Parts[[#This Row],[pv2015.12]]/t_Parts[[NetPPH]:[NetPPH]]),0)</f>
        <v>3.2820512820512819</v>
      </c>
      <c r="DD14" s="39">
        <f>SUM(t_Parts[[#This Row],[hp2015.01]:[hp2015.12]])</f>
        <v>37.333333333333329</v>
      </c>
      <c r="DE14" s="39">
        <f>IF(AND(AY$3&gt;=VALUE(t_Parts[[SOP]:[SOP]]),AY$3&lt;=VALUE(t_Parts[[EOP]:[EOP]])), t_Parts[[SetupHrsPerMo]:[SetupHrsPerMo]]+(t_Parts[[#This Row],[pv2016.01]]/t_Parts[[NetPPH]:[NetPPH]]),0)</f>
        <v>3.0256410256410255</v>
      </c>
      <c r="DF14" s="39">
        <f>IF(AND(AZ$3&gt;=VALUE(t_Parts[[SOP]:[SOP]]),AZ$3&lt;=VALUE(t_Parts[[EOP]:[EOP]])), t_Parts[[SetupHrsPerMo]:[SetupHrsPerMo]]+(t_Parts[[#This Row],[pv2016.02]]/t_Parts[[NetPPH]:[NetPPH]]),0)</f>
        <v>3.0256410256410255</v>
      </c>
      <c r="DG14" s="39">
        <f>IF(AND(BA$3&gt;=VALUE(t_Parts[[SOP]:[SOP]]),BA$3&lt;=VALUE(t_Parts[[EOP]:[EOP]])), t_Parts[[SetupHrsPerMo]:[SetupHrsPerMo]]+(t_Parts[[#This Row],[pv2016.03]]/t_Parts[[NetPPH]:[NetPPH]]),0)</f>
        <v>3.2820512820512819</v>
      </c>
      <c r="DH14" s="39">
        <f>IF(AND(BB$3&gt;=VALUE(t_Parts[[SOP]:[SOP]]),BB$3&lt;=VALUE(t_Parts[[EOP]:[EOP]])), t_Parts[[SetupHrsPerMo]:[SetupHrsPerMo]]+(t_Parts[[#This Row],[pv2016.04]]/t_Parts[[NetPPH]:[NetPPH]]),0)</f>
        <v>3.0256410256410255</v>
      </c>
      <c r="DI14" s="39">
        <f>IF(AND(BC$3&gt;=VALUE(t_Parts[[SOP]:[SOP]]),BC$3&lt;=VALUE(t_Parts[[EOP]:[EOP]])), t_Parts[[SetupHrsPerMo]:[SetupHrsPerMo]]+(t_Parts[[#This Row],[pv2016.05]]/t_Parts[[NetPPH]:[NetPPH]]),0)</f>
        <v>3.0256410256410255</v>
      </c>
      <c r="DJ14" s="39">
        <f>IF(AND(BD$3&gt;=VALUE(t_Parts[[SOP]:[SOP]]),BD$3&lt;=VALUE(t_Parts[[EOP]:[EOP]])), t_Parts[[SetupHrsPerMo]:[SetupHrsPerMo]]+(t_Parts[[#This Row],[pv2016.06]]/t_Parts[[NetPPH]:[NetPPH]]),0)</f>
        <v>3.2820512820512819</v>
      </c>
      <c r="DK14" s="39">
        <f>IF(AND(BE$3&gt;=VALUE(t_Parts[[SOP]:[SOP]]),BE$3&lt;=VALUE(t_Parts[[EOP]:[EOP]])), t_Parts[[SetupHrsPerMo]:[SetupHrsPerMo]]+(t_Parts[[#This Row],[pv2016.07]]/t_Parts[[NetPPH]:[NetPPH]]),0)</f>
        <v>3.0256410256410255</v>
      </c>
      <c r="DL14" s="39">
        <f>IF(AND(BF$3&gt;=VALUE(t_Parts[[SOP]:[SOP]]),BF$3&lt;=VALUE(t_Parts[[EOP]:[EOP]])), t_Parts[[SetupHrsPerMo]:[SetupHrsPerMo]]+(t_Parts[[#This Row],[pv2016.08]]/t_Parts[[NetPPH]:[NetPPH]]),0)</f>
        <v>3.0256410256410255</v>
      </c>
      <c r="DM14" s="39">
        <f>IF(AND(BG$3&gt;=VALUE(t_Parts[[SOP]:[SOP]]),BG$3&lt;=VALUE(t_Parts[[EOP]:[EOP]])), t_Parts[[SetupHrsPerMo]:[SetupHrsPerMo]]+(t_Parts[[#This Row],[pv2016.09]]/t_Parts[[NetPPH]:[NetPPH]]),0)</f>
        <v>3.2820512820512819</v>
      </c>
      <c r="DN14" s="39">
        <f>IF(AND(BH$3&gt;=VALUE(t_Parts[[SOP]:[SOP]]),BH$3&lt;=VALUE(t_Parts[[EOP]:[EOP]])), t_Parts[[SetupHrsPerMo]:[SetupHrsPerMo]]+(t_Parts[[#This Row],[pv2016.10]]/t_Parts[[NetPPH]:[NetPPH]]),0)</f>
        <v>3.0256410256410255</v>
      </c>
      <c r="DO14" s="39">
        <f>IF(AND(BI$3&gt;=VALUE(t_Parts[[SOP]:[SOP]]),BI$3&lt;=VALUE(t_Parts[[EOP]:[EOP]])), t_Parts[[SetupHrsPerMo]:[SetupHrsPerMo]]+(t_Parts[[#This Row],[pv2016.11]]/t_Parts[[NetPPH]:[NetPPH]]),0)</f>
        <v>3.0256410256410255</v>
      </c>
      <c r="DP14" s="39">
        <f>IF(AND(BJ$3&gt;=VALUE(t_Parts[[SOP]:[SOP]]),BJ$3&lt;=VALUE(t_Parts[[EOP]:[EOP]])), t_Parts[[SetupHrsPerMo]:[SetupHrsPerMo]]+(t_Parts[[#This Row],[pv2016.12]]/t_Parts[[NetPPH]:[NetPPH]]),0)</f>
        <v>3.2820512820512819</v>
      </c>
      <c r="DQ14" s="39">
        <f>SUM(t_Parts[[#This Row],[hp2016.01]:[hp2016.12]])</f>
        <v>37.333333333333329</v>
      </c>
      <c r="DR14" s="39">
        <f>IF(AND(BL$3&gt;=VALUE(t_Parts[[SOP]:[SOP]]),BL$3&lt;=VALUE(t_Parts[[EOP]:[EOP]])), 12*t_Parts[[SetupHrsPerMo]:[SetupHrsPerMo]]+(t_Parts[[#This Row],[pv2017]]/t_Parts[[NetPPH]:[NetPPH]]),0)</f>
        <v>37.333333333333329</v>
      </c>
      <c r="DS14" s="39">
        <f>IF(AND(BM$3&gt;=VALUE(t_Parts[[SOP]:[SOP]]),BM$3&lt;=VALUE(t_Parts[[EOP]:[EOP]])), 12*t_Parts[[SetupHrsPerMo]:[SetupHrsPerMo]]+(t_Parts[[#This Row],[pv2018]]/t_Parts[[NetPPH]:[NetPPH]]),0)</f>
        <v>37.333333333333329</v>
      </c>
      <c r="DT14" s="39">
        <f>IF(AND(BN$3&gt;=VALUE(t_Parts[[SOP]:[SOP]]),BN$3&lt;=VALUE(t_Parts[[EOP]:[EOP]])), 12*t_Parts[[SetupHrsPerMo]:[SetupHrsPerMo]]+(t_Parts[[#This Row],[pv2019]]/t_Parts[[NetPPH]:[NetPPH]]),0)</f>
        <v>37.333333333333329</v>
      </c>
      <c r="DU14" s="47">
        <f>t_Parts[[#This Row],[hp2015.01]]/t_Parts[[#This Row],[ha2015.01]]</f>
        <v>1.0805860805860806E-2</v>
      </c>
      <c r="DV14" s="47">
        <f>t_Parts[[#This Row],[hp2015.02]]/t_Parts[[#This Row],[ha2015.02]]</f>
        <v>1.0805860805860806E-2</v>
      </c>
      <c r="DW14" s="47">
        <f>t_Parts[[#This Row],[hp2015.03]]/t_Parts[[#This Row],[ha2015.03]]</f>
        <v>9.3772893772893773E-3</v>
      </c>
      <c r="DX14" s="47">
        <f>t_Parts[[#This Row],[hp2015.04]]/t_Parts[[#This Row],[ha2015.04]]</f>
        <v>1.0805860805860806E-2</v>
      </c>
      <c r="DY14" s="47">
        <f>t_Parts[[#This Row],[hp2015.05]]/t_Parts[[#This Row],[ha2015.05]]</f>
        <v>1.0805860805860806E-2</v>
      </c>
      <c r="DZ14" s="47">
        <f>t_Parts[[#This Row],[hp2015.06]]/t_Parts[[#This Row],[ha2015.06]]</f>
        <v>9.3772893772893773E-3</v>
      </c>
      <c r="EA14" s="47">
        <f>t_Parts[[#This Row],[hp2015.07]]/t_Parts[[#This Row],[ha2015.07]]</f>
        <v>1.0805860805860806E-2</v>
      </c>
      <c r="EB14" s="47">
        <f>t_Parts[[#This Row],[hp2015.08]]/t_Parts[[#This Row],[ha2015.08]]</f>
        <v>1.0805860805860806E-2</v>
      </c>
      <c r="EC14" s="47">
        <f>t_Parts[[#This Row],[hp2015.09]]/t_Parts[[#This Row],[ha2015.09]]</f>
        <v>9.3772893772893773E-3</v>
      </c>
      <c r="ED14" s="47">
        <f>t_Parts[[#This Row],[hp2015.10]]/t_Parts[[#This Row],[ha2015.10]]</f>
        <v>1.0805860805860806E-2</v>
      </c>
      <c r="EE14" s="47">
        <f>t_Parts[[#This Row],[hp2015.11]]/t_Parts[[#This Row],[ha2015.11]]</f>
        <v>1.0805860805860806E-2</v>
      </c>
      <c r="EF14" s="47">
        <f>t_Parts[[#This Row],[hp2015.12]]/t_Parts[[#This Row],[ha2015.12]]</f>
        <v>9.3772893772893773E-3</v>
      </c>
      <c r="EG14" s="47">
        <f>t_Parts[[#This Row],[hp2015.FY]]/t_Parts[[#This Row],[ha2015.FY]]</f>
        <v>1.0256410256410255E-2</v>
      </c>
      <c r="EH14" s="47">
        <f>t_Parts[[#This Row],[hp2016.01]]/t_Parts[[#This Row],[ha2016.01]]</f>
        <v>1.0805860805860806E-2</v>
      </c>
      <c r="EI14" s="47">
        <f>t_Parts[[#This Row],[hp2016.02]]/t_Parts[[#This Row],[ha2016.02]]</f>
        <v>1.0805860805860806E-2</v>
      </c>
      <c r="EJ14" s="47">
        <f>t_Parts[[#This Row],[hp2016.03]]/t_Parts[[#This Row],[ha2016.03]]</f>
        <v>9.3772893772893773E-3</v>
      </c>
      <c r="EK14" s="47">
        <f>t_Parts[[#This Row],[hp2016.04]]/t_Parts[[#This Row],[ha2016.04]]</f>
        <v>1.0805860805860806E-2</v>
      </c>
      <c r="EL14" s="47">
        <f>t_Parts[[#This Row],[hp2016.05]]/t_Parts[[#This Row],[ha2016.05]]</f>
        <v>1.0805860805860806E-2</v>
      </c>
      <c r="EM14" s="47">
        <f>t_Parts[[#This Row],[hp2016.06]]/t_Parts[[#This Row],[ha2016.06]]</f>
        <v>9.3772893772893773E-3</v>
      </c>
      <c r="EN14" s="47">
        <f>t_Parts[[#This Row],[hp2016.07]]/t_Parts[[#This Row],[ha2016.07]]</f>
        <v>1.0805860805860806E-2</v>
      </c>
      <c r="EO14" s="47">
        <f>t_Parts[[#This Row],[hp2016.08]]/t_Parts[[#This Row],[ha2016.08]]</f>
        <v>1.0805860805860806E-2</v>
      </c>
      <c r="EP14" s="47">
        <f>t_Parts[[#This Row],[hp2016.09]]/t_Parts[[#This Row],[ha2016.09]]</f>
        <v>9.3772893772893773E-3</v>
      </c>
      <c r="EQ14" s="47">
        <f>t_Parts[[#This Row],[hp2016.10]]/t_Parts[[#This Row],[ha2016.10]]</f>
        <v>1.0805860805860806E-2</v>
      </c>
      <c r="ER14" s="47">
        <f>t_Parts[[#This Row],[hp2016.11]]/t_Parts[[#This Row],[ha2016.11]]</f>
        <v>1.0805860805860806E-2</v>
      </c>
      <c r="ES14" s="47">
        <f>t_Parts[[#This Row],[hp2016.12]]/t_Parts[[#This Row],[ha2016.12]]</f>
        <v>9.3772893772893773E-3</v>
      </c>
      <c r="ET14" s="47">
        <f>t_Parts[[#This Row],[hp2016.FY]]/t_Parts[[#This Row],[ha2016.FY]]</f>
        <v>1.0256410256410255E-2</v>
      </c>
      <c r="EU14" s="47">
        <f>t_Parts[[#This Row],[hp2017]]/t_Parts[[#This Row],[ha2017]]</f>
        <v>1.0256410256410255E-2</v>
      </c>
      <c r="EV14" s="47">
        <f>t_Parts[[#This Row],[hp2018]]/t_Parts[[#This Row],[ha2018]]</f>
        <v>1.0256410256410255E-2</v>
      </c>
      <c r="EW14" s="47">
        <f>t_Parts[[#This Row],[hp2019]]/t_Parts[[#This Row],[hp2015.01]]</f>
        <v>12.338983050847457</v>
      </c>
      <c r="EX14" s="58">
        <f>(t_Parts[[#This Row],[ha2015.01]]-t_Parts[[#This Row],[hp2015.01]])*t_Parts[[NetPPH]:[NetPPH]]</f>
        <v>457007.69230769231</v>
      </c>
      <c r="EY14" s="58">
        <f>(t_Parts[[#This Row],[ha2015.02]]-t_Parts[[#This Row],[hp2015.02]])*t_Parts[[NetPPH]:[NetPPH]]</f>
        <v>457007.69230769231</v>
      </c>
      <c r="EZ14" s="58">
        <f>(t_Parts[[#This Row],[ha2015.03]]-t_Parts[[#This Row],[hp2015.03]])*t_Parts[[NetPPH]:[NetPPH]]</f>
        <v>572084.61538461549</v>
      </c>
      <c r="FA14" s="58">
        <f>(t_Parts[[#This Row],[ha2015.04]]-t_Parts[[#This Row],[hp2015.04]])*t_Parts[[NetPPH]:[NetPPH]]</f>
        <v>457007.69230769231</v>
      </c>
      <c r="FB14" s="58">
        <f>(t_Parts[[#This Row],[ha2015.05]]-t_Parts[[#This Row],[hp2015.05]])*t_Parts[[NetPPH]:[NetPPH]]</f>
        <v>457007.69230769231</v>
      </c>
      <c r="FC14" s="58">
        <f>(t_Parts[[#This Row],[ha2015.06]]-t_Parts[[#This Row],[hp2015.06]])*t_Parts[[NetPPH]:[NetPPH]]</f>
        <v>572084.61538461549</v>
      </c>
      <c r="FD14" s="58">
        <f>(t_Parts[[#This Row],[ha2015.07]]-t_Parts[[#This Row],[hp2015.07]])*t_Parts[[NetPPH]:[NetPPH]]</f>
        <v>457007.69230769231</v>
      </c>
      <c r="FE14" s="58">
        <f>(t_Parts[[#This Row],[ha2015.08]]-t_Parts[[#This Row],[hp2015.08]])*t_Parts[[NetPPH]:[NetPPH]]</f>
        <v>457007.69230769231</v>
      </c>
      <c r="FF14" s="58">
        <f>(t_Parts[[#This Row],[ha2015.09]]-t_Parts[[#This Row],[hp2015.09]])*t_Parts[[NetPPH]:[NetPPH]]</f>
        <v>572084.61538461549</v>
      </c>
      <c r="FG14" s="58">
        <f>(t_Parts[[#This Row],[ha2015.10]]-t_Parts[[#This Row],[hp2015.10]])*t_Parts[[NetPPH]:[NetPPH]]</f>
        <v>457007.69230769231</v>
      </c>
      <c r="FH14" s="58">
        <f>(t_Parts[[#This Row],[ha2015.11]]-t_Parts[[#This Row],[hp2015.11]])*t_Parts[[NetPPH]:[NetPPH]]</f>
        <v>457007.69230769231</v>
      </c>
      <c r="FI14" s="58">
        <f>(t_Parts[[#This Row],[ha2015.12]]-t_Parts[[#This Row],[hp2015.12]])*t_Parts[[NetPPH]:[NetPPH]]</f>
        <v>572084.61538461549</v>
      </c>
      <c r="FJ14" s="58">
        <f>(t_Parts[[#This Row],[ha2015.FY]]-t_Parts[[#This Row],[hp2015.FY]])*t_Parts[[NetPPH]:[NetPPH]]</f>
        <v>5944400.0000000009</v>
      </c>
      <c r="FK14" s="58">
        <f>(t_Parts[[#This Row],[ha2016.01]]-t_Parts[[#This Row],[hp2016.01]])*t_Parts[[NetPPH]:[NetPPH]]</f>
        <v>457007.69230769231</v>
      </c>
      <c r="FL14" s="58">
        <f>(t_Parts[[#This Row],[ha2016.02]]-t_Parts[[#This Row],[hp2016.02]])*t_Parts[[NetPPH]:[NetPPH]]</f>
        <v>457007.69230769231</v>
      </c>
      <c r="FM14" s="58">
        <f>(t_Parts[[#This Row],[ha2016.03]]-t_Parts[[#This Row],[hp2016.03]])*t_Parts[[NetPPH]:[NetPPH]]</f>
        <v>572084.61538461549</v>
      </c>
      <c r="FN14" s="58">
        <f>(t_Parts[[#This Row],[ha2016.04]]-t_Parts[[#This Row],[hp2016.04]])*t_Parts[[NetPPH]:[NetPPH]]</f>
        <v>457007.69230769231</v>
      </c>
      <c r="FO14" s="58">
        <f>(t_Parts[[#This Row],[ha2016.05]]-t_Parts[[#This Row],[hp2016.05]])*t_Parts[[NetPPH]:[NetPPH]]</f>
        <v>457007.69230769231</v>
      </c>
      <c r="FP14" s="58">
        <f>(t_Parts[[#This Row],[ha2016.06]]-t_Parts[[#This Row],[hp2016.06]])*t_Parts[[NetPPH]:[NetPPH]]</f>
        <v>572084.61538461549</v>
      </c>
      <c r="FQ14" s="58">
        <f>(t_Parts[[#This Row],[ha2016.07]]-t_Parts[[#This Row],[hp2016.07]])*t_Parts[[NetPPH]:[NetPPH]]</f>
        <v>457007.69230769231</v>
      </c>
      <c r="FR14" s="58">
        <f>(t_Parts[[#This Row],[ha2016.08]]-t_Parts[[#This Row],[hp2016.08]])*t_Parts[[NetPPH]:[NetPPH]]</f>
        <v>457007.69230769231</v>
      </c>
      <c r="FS14" s="58">
        <f>(t_Parts[[#This Row],[ha2016.09]]-t_Parts[[#This Row],[hp2016.09]])*t_Parts[[NetPPH]:[NetPPH]]</f>
        <v>572084.61538461549</v>
      </c>
      <c r="FT14" s="58">
        <f>(t_Parts[[#This Row],[ha2016.10]]-t_Parts[[#This Row],[hp2016.10]])*t_Parts[[NetPPH]:[NetPPH]]</f>
        <v>457007.69230769231</v>
      </c>
      <c r="FU14" s="58">
        <f>(t_Parts[[#This Row],[ha2016.11]]-t_Parts[[#This Row],[hp2016.11]])*t_Parts[[NetPPH]:[NetPPH]]</f>
        <v>457007.69230769231</v>
      </c>
      <c r="FV14" s="58">
        <f>(t_Parts[[#This Row],[ha2016.12]]-t_Parts[[#This Row],[hp2016.12]])*t_Parts[[NetPPH]:[NetPPH]]</f>
        <v>572084.61538461549</v>
      </c>
      <c r="FW14" s="58">
        <f>(t_Parts[[#This Row],[ha2016.FY]]-t_Parts[[#This Row],[hp2016.FY]])*t_Parts[[NetPPH]:[NetPPH]]</f>
        <v>5944400.0000000009</v>
      </c>
      <c r="FX14" s="58">
        <f>(t_Parts[[#This Row],[ha2017]]-t_Parts[[#This Row],[hp2017]])*t_Parts[[NetPPH]:[NetPPH]]</f>
        <v>5944400.0000000009</v>
      </c>
      <c r="FY14" s="58">
        <f>(t_Parts[[#This Row],[ha2018]]-t_Parts[[#This Row],[hp2018]])*t_Parts[[NetPPH]:[NetPPH]]</f>
        <v>5944400.0000000009</v>
      </c>
      <c r="FZ14" s="58">
        <f>(t_Parts[[#This Row],[ha2019]]-t_Parts[[#This Row],[hp2019]])*t_Parts[[NetPPH]:[NetPPH]]</f>
        <v>5944400.0000000009</v>
      </c>
    </row>
    <row r="15" spans="1:182" s="14" customFormat="1" x14ac:dyDescent="0.25">
      <c r="A15" s="74" t="s">
        <v>533</v>
      </c>
      <c r="B15" s="74"/>
      <c r="C15" s="74">
        <v>21001</v>
      </c>
      <c r="D15" s="75">
        <v>1</v>
      </c>
      <c r="E15" s="73">
        <v>2100</v>
      </c>
      <c r="F15" s="76">
        <v>1</v>
      </c>
      <c r="G15" s="77">
        <v>2</v>
      </c>
      <c r="H15" s="16">
        <v>2015.01</v>
      </c>
      <c r="I15" s="16" t="s">
        <v>83</v>
      </c>
      <c r="J15" s="73">
        <v>22000</v>
      </c>
      <c r="K15" s="73">
        <v>22000</v>
      </c>
      <c r="L15" s="73">
        <v>22000</v>
      </c>
      <c r="M15" s="73">
        <v>22000</v>
      </c>
      <c r="N15" s="73">
        <v>22000</v>
      </c>
      <c r="O15" s="78"/>
      <c r="P15" s="78"/>
      <c r="Q15" s="79"/>
      <c r="R15" s="79"/>
      <c r="S15" s="78" t="s">
        <v>513</v>
      </c>
      <c r="T15" s="80"/>
      <c r="U15" s="80" t="s">
        <v>121</v>
      </c>
      <c r="V15" s="81"/>
      <c r="W15" s="82"/>
      <c r="X15" s="82" t="s">
        <v>501</v>
      </c>
      <c r="Y15" s="82"/>
      <c r="Z15" s="82"/>
      <c r="AA15" s="82"/>
      <c r="AB15" s="82"/>
      <c r="AC15" s="83" t="s">
        <v>667</v>
      </c>
      <c r="AD15" s="40" t="str">
        <f>VLOOKUP(t_Parts[[#This Row],[Press]],t_Presses[],Press!B$1,FALSE)</f>
        <v>Plainfield</v>
      </c>
      <c r="AE15" s="40" t="str">
        <f>VLOOKUP(t_Parts[[#This Row],[Press]],t_Presses[],Press!E$1,FALSE)</f>
        <v>300-599</v>
      </c>
      <c r="AF15" s="47">
        <f>VLOOKUP(t_Parts[[#This Row],[Plant]],t_Plants[],Plants!C$1,FALSE)</f>
        <v>0.55000000000000004</v>
      </c>
      <c r="AG15" s="47">
        <f>VLOOKUP(t_Parts[[#This Row],[Press]],t_Presses[],Press!F$1,FALSE)</f>
        <v>0</v>
      </c>
      <c r="AH15" s="84"/>
      <c r="AI15" s="47">
        <f>IF(ISBLANK(t_Parts[[#This Row],[PartOEE]])=FALSE,t_Parts[[#This Row],[PartOEE]], IF(t_Parts[[#This Row],[PressOEE]]&gt;0, t_Parts[[#This Row],[PressOEE]], t_Parts[[#This Row],[PlantOEE]] ))</f>
        <v>0.55000000000000004</v>
      </c>
      <c r="AJ15" s="70">
        <f>t_Parts[[#This Row],[SetupsPerMo]]*t_Parts[[#This Row],[SetupHrs]]</f>
        <v>2</v>
      </c>
      <c r="AK15" s="39">
        <f>(t_Parts[[#This Row],[PartsPerStroke]]*t_Parts[[#This Row],[StrokesPerHr]])*t_Parts[[#This Row],[UseOEE]]</f>
        <v>1155</v>
      </c>
      <c r="AL1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1692.3076923076924</v>
      </c>
      <c r="AM1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1692.3076923076924</v>
      </c>
      <c r="AN1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2115.3846153846152</v>
      </c>
      <c r="AO1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1692.3076923076924</v>
      </c>
      <c r="AP1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1692.3076923076924</v>
      </c>
      <c r="AQ1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2115.3846153846152</v>
      </c>
      <c r="AR1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1692.3076923076924</v>
      </c>
      <c r="AS1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1692.3076923076924</v>
      </c>
      <c r="AT1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2115.3846153846152</v>
      </c>
      <c r="AU1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1692.3076923076924</v>
      </c>
      <c r="AV1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1692.3076923076924</v>
      </c>
      <c r="AW1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2115.3846153846152</v>
      </c>
      <c r="AX15" s="39">
        <f>SUM(t_Parts[[#This Row],[pv2015.01]:[pv2015.12]])</f>
        <v>22000</v>
      </c>
      <c r="AY1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1692.3076923076924</v>
      </c>
      <c r="AZ1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1692.3076923076924</v>
      </c>
      <c r="BA1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2115.3846153846152</v>
      </c>
      <c r="BB1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1692.3076923076924</v>
      </c>
      <c r="BC1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1692.3076923076924</v>
      </c>
      <c r="BD1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2115.3846153846152</v>
      </c>
      <c r="BE1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1692.3076923076924</v>
      </c>
      <c r="BF1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1692.3076923076924</v>
      </c>
      <c r="BG1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2115.3846153846152</v>
      </c>
      <c r="BH1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1692.3076923076924</v>
      </c>
      <c r="BI1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1692.3076923076924</v>
      </c>
      <c r="BJ1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2115.3846153846152</v>
      </c>
      <c r="BK15" s="39">
        <f>SUM(t_Parts[[#This Row],[pv2016.01]:[pv2016.12]])</f>
        <v>22000</v>
      </c>
      <c r="BL15" s="39">
        <f>t_Parts[[#This Row],[2017vol]]</f>
        <v>22000</v>
      </c>
      <c r="BM15" s="39">
        <f>t_Parts[[#This Row],[2018vol]]</f>
        <v>22000</v>
      </c>
      <c r="BN15" s="39">
        <f>t_Parts[[#This Row],[2019vol]]</f>
        <v>22000</v>
      </c>
      <c r="BO15" s="40">
        <f>VLOOKUP(t_Parts[[Plant]:[Plant]],t_Plants[],Plants!CN$1,FALSE)</f>
        <v>280</v>
      </c>
      <c r="BP15" s="14">
        <f>VLOOKUP(t_Parts[[Plant]:[Plant]],t_Plants[],Plants!CO$1,FALSE)</f>
        <v>280</v>
      </c>
      <c r="BQ15" s="14">
        <f>VLOOKUP(t_Parts[[Plant]:[Plant]],t_Plants[],Plants!CP$1,FALSE)</f>
        <v>350</v>
      </c>
      <c r="BR15" s="14">
        <f>VLOOKUP(t_Parts[[Plant]:[Plant]],t_Plants[],Plants!CQ$1,FALSE)</f>
        <v>280</v>
      </c>
      <c r="BS15" s="14">
        <f>VLOOKUP(t_Parts[[Plant]:[Plant]],t_Plants[],Plants!CR$1,FALSE)</f>
        <v>280</v>
      </c>
      <c r="BT15" s="14">
        <f>VLOOKUP(t_Parts[[Plant]:[Plant]],t_Plants[],Plants!CS$1,FALSE)</f>
        <v>350</v>
      </c>
      <c r="BU15" s="14">
        <f>VLOOKUP(t_Parts[[Plant]:[Plant]],t_Plants[],Plants!CT$1,FALSE)</f>
        <v>280</v>
      </c>
      <c r="BV15" s="14">
        <f>VLOOKUP(t_Parts[[Plant]:[Plant]],t_Plants[],Plants!CU$1,FALSE)</f>
        <v>280</v>
      </c>
      <c r="BW15" s="14">
        <f>VLOOKUP(t_Parts[[Plant]:[Plant]],t_Plants[],Plants!CV$1,FALSE)</f>
        <v>350</v>
      </c>
      <c r="BX15" s="14">
        <f>VLOOKUP(t_Parts[[Plant]:[Plant]],t_Plants[],Plants!CW$1,FALSE)</f>
        <v>280</v>
      </c>
      <c r="BY15" s="14">
        <f>VLOOKUP(t_Parts[[Plant]:[Plant]],t_Plants[],Plants!CX$1,FALSE)</f>
        <v>280</v>
      </c>
      <c r="BZ15" s="14">
        <f>VLOOKUP(t_Parts[[Plant]:[Plant]],t_Plants[],Plants!CY$1,FALSE)</f>
        <v>350</v>
      </c>
      <c r="CA15" s="40">
        <f>SUM(t_Parts[[#This Row],[ha2015.01]:[ha2015.12]])</f>
        <v>3640</v>
      </c>
      <c r="CB15" s="14">
        <f>VLOOKUP(t_Parts[[Plant]:[Plant]],t_Plants[],Plants!DA$1,FALSE)</f>
        <v>280</v>
      </c>
      <c r="CC15" s="14">
        <f>VLOOKUP(t_Parts[[Plant]:[Plant]],t_Plants[],Plants!DB$1,FALSE)</f>
        <v>280</v>
      </c>
      <c r="CD15" s="14">
        <f>VLOOKUP(t_Parts[[Plant]:[Plant]],t_Plants[],Plants!DC$1,FALSE)</f>
        <v>350</v>
      </c>
      <c r="CE15" s="14">
        <f>VLOOKUP(t_Parts[[Plant]:[Plant]],t_Plants[],Plants!DD$1,FALSE)</f>
        <v>280</v>
      </c>
      <c r="CF15" s="14">
        <f>VLOOKUP(t_Parts[[Plant]:[Plant]],t_Plants[],Plants!DE$1,FALSE)</f>
        <v>280</v>
      </c>
      <c r="CG15" s="14">
        <f>VLOOKUP(t_Parts[[Plant]:[Plant]],t_Plants[],Plants!DF$1,FALSE)</f>
        <v>350</v>
      </c>
      <c r="CH15" s="14">
        <f>VLOOKUP(t_Parts[[Plant]:[Plant]],t_Plants[],Plants!DG$1,FALSE)</f>
        <v>280</v>
      </c>
      <c r="CI15" s="14">
        <f>VLOOKUP(t_Parts[[Plant]:[Plant]],t_Plants[],Plants!DH$1,FALSE)</f>
        <v>280</v>
      </c>
      <c r="CJ15" s="14">
        <f>VLOOKUP(t_Parts[[Plant]:[Plant]],t_Plants[],Plants!DI$1,FALSE)</f>
        <v>350</v>
      </c>
      <c r="CK15" s="14">
        <f>VLOOKUP(t_Parts[[Plant]:[Plant]],t_Plants[],Plants!DJ$1,FALSE)</f>
        <v>280</v>
      </c>
      <c r="CL15" s="14">
        <f>VLOOKUP(t_Parts[[Plant]:[Plant]],t_Plants[],Plants!DK$1,FALSE)</f>
        <v>280</v>
      </c>
      <c r="CM15" s="14">
        <f>VLOOKUP(t_Parts[[Plant]:[Plant]],t_Plants[],Plants!DL$1,FALSE)</f>
        <v>350</v>
      </c>
      <c r="CN15" s="14">
        <f>VLOOKUP(t_Parts[[Plant]:[Plant]],t_Plants[],Plants!DM$1,FALSE)</f>
        <v>3640</v>
      </c>
      <c r="CO15" s="14">
        <f>VLOOKUP(t_Parts[[Plant]:[Plant]],t_Plants[],Plants!DN$1,FALSE)</f>
        <v>3640</v>
      </c>
      <c r="CP15" s="14">
        <f>VLOOKUP(t_Parts[[Plant]:[Plant]],t_Plants[],Plants!DO$1,FALSE)</f>
        <v>3640</v>
      </c>
      <c r="CQ15" s="14">
        <f>VLOOKUP(t_Parts[[Plant]:[Plant]],t_Plants[],Plants!DP$1,FALSE)</f>
        <v>3640</v>
      </c>
      <c r="CR15" s="39">
        <f>IF(AND(AL$3&gt;=VALUE(t_Parts[[SOP]:[SOP]]),AL$3&lt;=VALUE(t_Parts[[EOP]:[EOP]])), t_Parts[[SetupHrsPerMo]:[SetupHrsPerMo]]+(t_Parts[[#This Row],[pv2015.01]]/t_Parts[[NetPPH]:[NetPPH]]),0)</f>
        <v>3.4652014652014653</v>
      </c>
      <c r="CS15" s="39">
        <f>IF(AND(AM$3&gt;=VALUE(t_Parts[[SOP]:[SOP]]),AM$3&lt;=VALUE(t_Parts[[EOP]:[EOP]])), t_Parts[[SetupHrsPerMo]:[SetupHrsPerMo]]+(t_Parts[[#This Row],[pv2015.02]]/t_Parts[[NetPPH]:[NetPPH]]),0)</f>
        <v>3.4652014652014653</v>
      </c>
      <c r="CT15" s="39">
        <f>IF(AND(AN$3&gt;=VALUE(t_Parts[[SOP]:[SOP]]),AN$3&lt;=VALUE(t_Parts[[EOP]:[EOP]])), t_Parts[[SetupHrsPerMo]:[SetupHrsPerMo]]+(t_Parts[[#This Row],[pv2015.03]]/t_Parts[[NetPPH]:[NetPPH]]),0)</f>
        <v>3.8315018315018312</v>
      </c>
      <c r="CU15" s="39">
        <f>IF(AND(AO$3&gt;=VALUE(t_Parts[[SOP]:[SOP]]),AO$3&lt;=VALUE(t_Parts[[EOP]:[EOP]])), t_Parts[[SetupHrsPerMo]:[SetupHrsPerMo]]+(t_Parts[[#This Row],[pv2015.04]]/t_Parts[[NetPPH]:[NetPPH]]),0)</f>
        <v>3.4652014652014653</v>
      </c>
      <c r="CV15" s="39">
        <f>IF(AND(AP$3&gt;=VALUE(t_Parts[[SOP]:[SOP]]),AP$3&lt;=VALUE(t_Parts[[EOP]:[EOP]])), t_Parts[[SetupHrsPerMo]:[SetupHrsPerMo]]+(t_Parts[[#This Row],[pv2015.05]]/t_Parts[[NetPPH]:[NetPPH]]),0)</f>
        <v>3.4652014652014653</v>
      </c>
      <c r="CW15" s="39">
        <f>IF(AND(AQ$3&gt;=VALUE(t_Parts[[SOP]:[SOP]]),AQ$3&lt;=VALUE(t_Parts[[EOP]:[EOP]])), t_Parts[[SetupHrsPerMo]:[SetupHrsPerMo]]+(t_Parts[[#This Row],[pv2015.06]]/t_Parts[[NetPPH]:[NetPPH]]),0)</f>
        <v>3.8315018315018312</v>
      </c>
      <c r="CX15" s="39">
        <f>IF(AND(AR$3&gt;=VALUE(t_Parts[[SOP]:[SOP]]),AR$3&lt;=VALUE(t_Parts[[EOP]:[EOP]])), t_Parts[[SetupHrsPerMo]:[SetupHrsPerMo]]+(t_Parts[[#This Row],[pv2015.07]]/t_Parts[[NetPPH]:[NetPPH]]),0)</f>
        <v>3.4652014652014653</v>
      </c>
      <c r="CY15" s="39">
        <f>IF(AND(AS$3&gt;=VALUE(t_Parts[[SOP]:[SOP]]),AS$3&lt;=VALUE(t_Parts[[EOP]:[EOP]])), t_Parts[[SetupHrsPerMo]:[SetupHrsPerMo]]+(t_Parts[[#This Row],[pv2015.08]]/t_Parts[[NetPPH]:[NetPPH]]),0)</f>
        <v>3.4652014652014653</v>
      </c>
      <c r="CZ15" s="39">
        <f>IF(AND(AT$3&gt;=VALUE(t_Parts[[SOP]:[SOP]]),AT$3&lt;=VALUE(t_Parts[[EOP]:[EOP]])), t_Parts[[SetupHrsPerMo]:[SetupHrsPerMo]]+(t_Parts[[#This Row],[pv2015.09]]/t_Parts[[NetPPH]:[NetPPH]]),0)</f>
        <v>3.8315018315018312</v>
      </c>
      <c r="DA15" s="39">
        <f>IF(AND(AU$3&gt;=VALUE(t_Parts[[SOP]:[SOP]]),AU$3&lt;=VALUE(t_Parts[[EOP]:[EOP]])), t_Parts[[SetupHrsPerMo]:[SetupHrsPerMo]]+(t_Parts[[#This Row],[pv2015.10]]/t_Parts[[NetPPH]:[NetPPH]]),0)</f>
        <v>3.4652014652014653</v>
      </c>
      <c r="DB15" s="39">
        <f>IF(AND(AV$3&gt;=VALUE(t_Parts[[SOP]:[SOP]]),AV$3&lt;=VALUE(t_Parts[[EOP]:[EOP]])), t_Parts[[SetupHrsPerMo]:[SetupHrsPerMo]]+(t_Parts[[#This Row],[pv2015.11]]/t_Parts[[NetPPH]:[NetPPH]]),0)</f>
        <v>3.4652014652014653</v>
      </c>
      <c r="DC15" s="39">
        <f>IF(AND(AW$3&gt;=VALUE(t_Parts[[SOP]:[SOP]]),AW$3&lt;=VALUE(t_Parts[[EOP]:[EOP]])), t_Parts[[SetupHrsPerMo]:[SetupHrsPerMo]]+(t_Parts[[#This Row],[pv2015.12]]/t_Parts[[NetPPH]:[NetPPH]]),0)</f>
        <v>3.8315018315018312</v>
      </c>
      <c r="DD15" s="39">
        <f>SUM(t_Parts[[#This Row],[hp2015.01]:[hp2015.12]])</f>
        <v>43.047619047619058</v>
      </c>
      <c r="DE15" s="39">
        <f>IF(AND(AY$3&gt;=VALUE(t_Parts[[SOP]:[SOP]]),AY$3&lt;=VALUE(t_Parts[[EOP]:[EOP]])), t_Parts[[SetupHrsPerMo]:[SetupHrsPerMo]]+(t_Parts[[#This Row],[pv2016.01]]/t_Parts[[NetPPH]:[NetPPH]]),0)</f>
        <v>3.4652014652014653</v>
      </c>
      <c r="DF15" s="39">
        <f>IF(AND(AZ$3&gt;=VALUE(t_Parts[[SOP]:[SOP]]),AZ$3&lt;=VALUE(t_Parts[[EOP]:[EOP]])), t_Parts[[SetupHrsPerMo]:[SetupHrsPerMo]]+(t_Parts[[#This Row],[pv2016.02]]/t_Parts[[NetPPH]:[NetPPH]]),0)</f>
        <v>3.4652014652014653</v>
      </c>
      <c r="DG15" s="39">
        <f>IF(AND(BA$3&gt;=VALUE(t_Parts[[SOP]:[SOP]]),BA$3&lt;=VALUE(t_Parts[[EOP]:[EOP]])), t_Parts[[SetupHrsPerMo]:[SetupHrsPerMo]]+(t_Parts[[#This Row],[pv2016.03]]/t_Parts[[NetPPH]:[NetPPH]]),0)</f>
        <v>3.8315018315018312</v>
      </c>
      <c r="DH15" s="39">
        <f>IF(AND(BB$3&gt;=VALUE(t_Parts[[SOP]:[SOP]]),BB$3&lt;=VALUE(t_Parts[[EOP]:[EOP]])), t_Parts[[SetupHrsPerMo]:[SetupHrsPerMo]]+(t_Parts[[#This Row],[pv2016.04]]/t_Parts[[NetPPH]:[NetPPH]]),0)</f>
        <v>3.4652014652014653</v>
      </c>
      <c r="DI15" s="39">
        <f>IF(AND(BC$3&gt;=VALUE(t_Parts[[SOP]:[SOP]]),BC$3&lt;=VALUE(t_Parts[[EOP]:[EOP]])), t_Parts[[SetupHrsPerMo]:[SetupHrsPerMo]]+(t_Parts[[#This Row],[pv2016.05]]/t_Parts[[NetPPH]:[NetPPH]]),0)</f>
        <v>3.4652014652014653</v>
      </c>
      <c r="DJ15" s="39">
        <f>IF(AND(BD$3&gt;=VALUE(t_Parts[[SOP]:[SOP]]),BD$3&lt;=VALUE(t_Parts[[EOP]:[EOP]])), t_Parts[[SetupHrsPerMo]:[SetupHrsPerMo]]+(t_Parts[[#This Row],[pv2016.06]]/t_Parts[[NetPPH]:[NetPPH]]),0)</f>
        <v>3.8315018315018312</v>
      </c>
      <c r="DK15" s="39">
        <f>IF(AND(BE$3&gt;=VALUE(t_Parts[[SOP]:[SOP]]),BE$3&lt;=VALUE(t_Parts[[EOP]:[EOP]])), t_Parts[[SetupHrsPerMo]:[SetupHrsPerMo]]+(t_Parts[[#This Row],[pv2016.07]]/t_Parts[[NetPPH]:[NetPPH]]),0)</f>
        <v>3.4652014652014653</v>
      </c>
      <c r="DL15" s="39">
        <f>IF(AND(BF$3&gt;=VALUE(t_Parts[[SOP]:[SOP]]),BF$3&lt;=VALUE(t_Parts[[EOP]:[EOP]])), t_Parts[[SetupHrsPerMo]:[SetupHrsPerMo]]+(t_Parts[[#This Row],[pv2016.08]]/t_Parts[[NetPPH]:[NetPPH]]),0)</f>
        <v>3.4652014652014653</v>
      </c>
      <c r="DM15" s="39">
        <f>IF(AND(BG$3&gt;=VALUE(t_Parts[[SOP]:[SOP]]),BG$3&lt;=VALUE(t_Parts[[EOP]:[EOP]])), t_Parts[[SetupHrsPerMo]:[SetupHrsPerMo]]+(t_Parts[[#This Row],[pv2016.09]]/t_Parts[[NetPPH]:[NetPPH]]),0)</f>
        <v>3.8315018315018312</v>
      </c>
      <c r="DN15" s="39">
        <f>IF(AND(BH$3&gt;=VALUE(t_Parts[[SOP]:[SOP]]),BH$3&lt;=VALUE(t_Parts[[EOP]:[EOP]])), t_Parts[[SetupHrsPerMo]:[SetupHrsPerMo]]+(t_Parts[[#This Row],[pv2016.10]]/t_Parts[[NetPPH]:[NetPPH]]),0)</f>
        <v>3.4652014652014653</v>
      </c>
      <c r="DO15" s="39">
        <f>IF(AND(BI$3&gt;=VALUE(t_Parts[[SOP]:[SOP]]),BI$3&lt;=VALUE(t_Parts[[EOP]:[EOP]])), t_Parts[[SetupHrsPerMo]:[SetupHrsPerMo]]+(t_Parts[[#This Row],[pv2016.11]]/t_Parts[[NetPPH]:[NetPPH]]),0)</f>
        <v>3.4652014652014653</v>
      </c>
      <c r="DP15" s="39">
        <f>IF(AND(BJ$3&gt;=VALUE(t_Parts[[SOP]:[SOP]]),BJ$3&lt;=VALUE(t_Parts[[EOP]:[EOP]])), t_Parts[[SetupHrsPerMo]:[SetupHrsPerMo]]+(t_Parts[[#This Row],[pv2016.12]]/t_Parts[[NetPPH]:[NetPPH]]),0)</f>
        <v>3.8315018315018312</v>
      </c>
      <c r="DQ15" s="39">
        <f>SUM(t_Parts[[#This Row],[hp2016.01]:[hp2016.12]])</f>
        <v>43.047619047619058</v>
      </c>
      <c r="DR15" s="39">
        <f>IF(AND(BL$3&gt;=VALUE(t_Parts[[SOP]:[SOP]]),BL$3&lt;=VALUE(t_Parts[[EOP]:[EOP]])), 12*t_Parts[[SetupHrsPerMo]:[SetupHrsPerMo]]+(t_Parts[[#This Row],[pv2017]]/t_Parts[[NetPPH]:[NetPPH]]),0)</f>
        <v>43.047619047619051</v>
      </c>
      <c r="DS15" s="39">
        <f>IF(AND(BM$3&gt;=VALUE(t_Parts[[SOP]:[SOP]]),BM$3&lt;=VALUE(t_Parts[[EOP]:[EOP]])), 12*t_Parts[[SetupHrsPerMo]:[SetupHrsPerMo]]+(t_Parts[[#This Row],[pv2018]]/t_Parts[[NetPPH]:[NetPPH]]),0)</f>
        <v>43.047619047619051</v>
      </c>
      <c r="DT15" s="39">
        <f>IF(AND(BN$3&gt;=VALUE(t_Parts[[SOP]:[SOP]]),BN$3&lt;=VALUE(t_Parts[[EOP]:[EOP]])), 12*t_Parts[[SetupHrsPerMo]:[SetupHrsPerMo]]+(t_Parts[[#This Row],[pv2019]]/t_Parts[[NetPPH]:[NetPPH]]),0)</f>
        <v>43.047619047619051</v>
      </c>
      <c r="DU15" s="47">
        <f>t_Parts[[#This Row],[hp2015.01]]/t_Parts[[#This Row],[ha2015.01]]</f>
        <v>1.2375719518576661E-2</v>
      </c>
      <c r="DV15" s="47">
        <f>t_Parts[[#This Row],[hp2015.02]]/t_Parts[[#This Row],[ha2015.02]]</f>
        <v>1.2375719518576661E-2</v>
      </c>
      <c r="DW15" s="47">
        <f>t_Parts[[#This Row],[hp2015.03]]/t_Parts[[#This Row],[ha2015.03]]</f>
        <v>1.0947148090005233E-2</v>
      </c>
      <c r="DX15" s="47">
        <f>t_Parts[[#This Row],[hp2015.04]]/t_Parts[[#This Row],[ha2015.04]]</f>
        <v>1.2375719518576661E-2</v>
      </c>
      <c r="DY15" s="47">
        <f>t_Parts[[#This Row],[hp2015.05]]/t_Parts[[#This Row],[ha2015.05]]</f>
        <v>1.2375719518576661E-2</v>
      </c>
      <c r="DZ15" s="47">
        <f>t_Parts[[#This Row],[hp2015.06]]/t_Parts[[#This Row],[ha2015.06]]</f>
        <v>1.0947148090005233E-2</v>
      </c>
      <c r="EA15" s="47">
        <f>t_Parts[[#This Row],[hp2015.07]]/t_Parts[[#This Row],[ha2015.07]]</f>
        <v>1.2375719518576661E-2</v>
      </c>
      <c r="EB15" s="47">
        <f>t_Parts[[#This Row],[hp2015.08]]/t_Parts[[#This Row],[ha2015.08]]</f>
        <v>1.2375719518576661E-2</v>
      </c>
      <c r="EC15" s="47">
        <f>t_Parts[[#This Row],[hp2015.09]]/t_Parts[[#This Row],[ha2015.09]]</f>
        <v>1.0947148090005233E-2</v>
      </c>
      <c r="ED15" s="47">
        <f>t_Parts[[#This Row],[hp2015.10]]/t_Parts[[#This Row],[ha2015.10]]</f>
        <v>1.2375719518576661E-2</v>
      </c>
      <c r="EE15" s="47">
        <f>t_Parts[[#This Row],[hp2015.11]]/t_Parts[[#This Row],[ha2015.11]]</f>
        <v>1.2375719518576661E-2</v>
      </c>
      <c r="EF15" s="47">
        <f>t_Parts[[#This Row],[hp2015.12]]/t_Parts[[#This Row],[ha2015.12]]</f>
        <v>1.0947148090005233E-2</v>
      </c>
      <c r="EG15" s="47">
        <f>t_Parts[[#This Row],[hp2015.FY]]/t_Parts[[#This Row],[ha2015.FY]]</f>
        <v>1.1826268969126115E-2</v>
      </c>
      <c r="EH15" s="47">
        <f>t_Parts[[#This Row],[hp2016.01]]/t_Parts[[#This Row],[ha2016.01]]</f>
        <v>1.2375719518576661E-2</v>
      </c>
      <c r="EI15" s="47">
        <f>t_Parts[[#This Row],[hp2016.02]]/t_Parts[[#This Row],[ha2016.02]]</f>
        <v>1.2375719518576661E-2</v>
      </c>
      <c r="EJ15" s="47">
        <f>t_Parts[[#This Row],[hp2016.03]]/t_Parts[[#This Row],[ha2016.03]]</f>
        <v>1.0947148090005233E-2</v>
      </c>
      <c r="EK15" s="47">
        <f>t_Parts[[#This Row],[hp2016.04]]/t_Parts[[#This Row],[ha2016.04]]</f>
        <v>1.2375719518576661E-2</v>
      </c>
      <c r="EL15" s="47">
        <f>t_Parts[[#This Row],[hp2016.05]]/t_Parts[[#This Row],[ha2016.05]]</f>
        <v>1.2375719518576661E-2</v>
      </c>
      <c r="EM15" s="47">
        <f>t_Parts[[#This Row],[hp2016.06]]/t_Parts[[#This Row],[ha2016.06]]</f>
        <v>1.0947148090005233E-2</v>
      </c>
      <c r="EN15" s="47">
        <f>t_Parts[[#This Row],[hp2016.07]]/t_Parts[[#This Row],[ha2016.07]]</f>
        <v>1.2375719518576661E-2</v>
      </c>
      <c r="EO15" s="47">
        <f>t_Parts[[#This Row],[hp2016.08]]/t_Parts[[#This Row],[ha2016.08]]</f>
        <v>1.2375719518576661E-2</v>
      </c>
      <c r="EP15" s="47">
        <f>t_Parts[[#This Row],[hp2016.09]]/t_Parts[[#This Row],[ha2016.09]]</f>
        <v>1.0947148090005233E-2</v>
      </c>
      <c r="EQ15" s="47">
        <f>t_Parts[[#This Row],[hp2016.10]]/t_Parts[[#This Row],[ha2016.10]]</f>
        <v>1.2375719518576661E-2</v>
      </c>
      <c r="ER15" s="47">
        <f>t_Parts[[#This Row],[hp2016.11]]/t_Parts[[#This Row],[ha2016.11]]</f>
        <v>1.2375719518576661E-2</v>
      </c>
      <c r="ES15" s="47">
        <f>t_Parts[[#This Row],[hp2016.12]]/t_Parts[[#This Row],[ha2016.12]]</f>
        <v>1.0947148090005233E-2</v>
      </c>
      <c r="ET15" s="47">
        <f>t_Parts[[#This Row],[hp2016.FY]]/t_Parts[[#This Row],[ha2016.FY]]</f>
        <v>1.1826268969126115E-2</v>
      </c>
      <c r="EU15" s="47">
        <f>t_Parts[[#This Row],[hp2017]]/t_Parts[[#This Row],[ha2017]]</f>
        <v>1.1826268969126114E-2</v>
      </c>
      <c r="EV15" s="47">
        <f>t_Parts[[#This Row],[hp2018]]/t_Parts[[#This Row],[ha2018]]</f>
        <v>1.1826268969126114E-2</v>
      </c>
      <c r="EW15" s="47">
        <f>t_Parts[[#This Row],[hp2019]]/t_Parts[[#This Row],[hp2015.01]]</f>
        <v>12.422832980972517</v>
      </c>
      <c r="EX15" s="58">
        <f>(t_Parts[[#This Row],[ha2015.01]]-t_Parts[[#This Row],[hp2015.01]])*t_Parts[[NetPPH]:[NetPPH]]</f>
        <v>319397.69230769231</v>
      </c>
      <c r="EY15" s="58">
        <f>(t_Parts[[#This Row],[ha2015.02]]-t_Parts[[#This Row],[hp2015.02]])*t_Parts[[NetPPH]:[NetPPH]]</f>
        <v>319397.69230769231</v>
      </c>
      <c r="EZ15" s="58">
        <f>(t_Parts[[#This Row],[ha2015.03]]-t_Parts[[#This Row],[hp2015.03]])*t_Parts[[NetPPH]:[NetPPH]]</f>
        <v>399824.61538461538</v>
      </c>
      <c r="FA15" s="58">
        <f>(t_Parts[[#This Row],[ha2015.04]]-t_Parts[[#This Row],[hp2015.04]])*t_Parts[[NetPPH]:[NetPPH]]</f>
        <v>319397.69230769231</v>
      </c>
      <c r="FB15" s="58">
        <f>(t_Parts[[#This Row],[ha2015.05]]-t_Parts[[#This Row],[hp2015.05]])*t_Parts[[NetPPH]:[NetPPH]]</f>
        <v>319397.69230769231</v>
      </c>
      <c r="FC15" s="58">
        <f>(t_Parts[[#This Row],[ha2015.06]]-t_Parts[[#This Row],[hp2015.06]])*t_Parts[[NetPPH]:[NetPPH]]</f>
        <v>399824.61538461538</v>
      </c>
      <c r="FD15" s="58">
        <f>(t_Parts[[#This Row],[ha2015.07]]-t_Parts[[#This Row],[hp2015.07]])*t_Parts[[NetPPH]:[NetPPH]]</f>
        <v>319397.69230769231</v>
      </c>
      <c r="FE15" s="58">
        <f>(t_Parts[[#This Row],[ha2015.08]]-t_Parts[[#This Row],[hp2015.08]])*t_Parts[[NetPPH]:[NetPPH]]</f>
        <v>319397.69230769231</v>
      </c>
      <c r="FF15" s="58">
        <f>(t_Parts[[#This Row],[ha2015.09]]-t_Parts[[#This Row],[hp2015.09]])*t_Parts[[NetPPH]:[NetPPH]]</f>
        <v>399824.61538461538</v>
      </c>
      <c r="FG15" s="58">
        <f>(t_Parts[[#This Row],[ha2015.10]]-t_Parts[[#This Row],[hp2015.10]])*t_Parts[[NetPPH]:[NetPPH]]</f>
        <v>319397.69230769231</v>
      </c>
      <c r="FH15" s="58">
        <f>(t_Parts[[#This Row],[ha2015.11]]-t_Parts[[#This Row],[hp2015.11]])*t_Parts[[NetPPH]:[NetPPH]]</f>
        <v>319397.69230769231</v>
      </c>
      <c r="FI15" s="58">
        <f>(t_Parts[[#This Row],[ha2015.12]]-t_Parts[[#This Row],[hp2015.12]])*t_Parts[[NetPPH]:[NetPPH]]</f>
        <v>399824.61538461538</v>
      </c>
      <c r="FJ15" s="58">
        <f>(t_Parts[[#This Row],[ha2015.FY]]-t_Parts[[#This Row],[hp2015.FY]])*t_Parts[[NetPPH]:[NetPPH]]</f>
        <v>4154479.9999999995</v>
      </c>
      <c r="FK15" s="58">
        <f>(t_Parts[[#This Row],[ha2016.01]]-t_Parts[[#This Row],[hp2016.01]])*t_Parts[[NetPPH]:[NetPPH]]</f>
        <v>319397.69230769231</v>
      </c>
      <c r="FL15" s="58">
        <f>(t_Parts[[#This Row],[ha2016.02]]-t_Parts[[#This Row],[hp2016.02]])*t_Parts[[NetPPH]:[NetPPH]]</f>
        <v>319397.69230769231</v>
      </c>
      <c r="FM15" s="58">
        <f>(t_Parts[[#This Row],[ha2016.03]]-t_Parts[[#This Row],[hp2016.03]])*t_Parts[[NetPPH]:[NetPPH]]</f>
        <v>399824.61538461538</v>
      </c>
      <c r="FN15" s="58">
        <f>(t_Parts[[#This Row],[ha2016.04]]-t_Parts[[#This Row],[hp2016.04]])*t_Parts[[NetPPH]:[NetPPH]]</f>
        <v>319397.69230769231</v>
      </c>
      <c r="FO15" s="58">
        <f>(t_Parts[[#This Row],[ha2016.05]]-t_Parts[[#This Row],[hp2016.05]])*t_Parts[[NetPPH]:[NetPPH]]</f>
        <v>319397.69230769231</v>
      </c>
      <c r="FP15" s="58">
        <f>(t_Parts[[#This Row],[ha2016.06]]-t_Parts[[#This Row],[hp2016.06]])*t_Parts[[NetPPH]:[NetPPH]]</f>
        <v>399824.61538461538</v>
      </c>
      <c r="FQ15" s="58">
        <f>(t_Parts[[#This Row],[ha2016.07]]-t_Parts[[#This Row],[hp2016.07]])*t_Parts[[NetPPH]:[NetPPH]]</f>
        <v>319397.69230769231</v>
      </c>
      <c r="FR15" s="58">
        <f>(t_Parts[[#This Row],[ha2016.08]]-t_Parts[[#This Row],[hp2016.08]])*t_Parts[[NetPPH]:[NetPPH]]</f>
        <v>319397.69230769231</v>
      </c>
      <c r="FS15" s="58">
        <f>(t_Parts[[#This Row],[ha2016.09]]-t_Parts[[#This Row],[hp2016.09]])*t_Parts[[NetPPH]:[NetPPH]]</f>
        <v>399824.61538461538</v>
      </c>
      <c r="FT15" s="58">
        <f>(t_Parts[[#This Row],[ha2016.10]]-t_Parts[[#This Row],[hp2016.10]])*t_Parts[[NetPPH]:[NetPPH]]</f>
        <v>319397.69230769231</v>
      </c>
      <c r="FU15" s="58">
        <f>(t_Parts[[#This Row],[ha2016.11]]-t_Parts[[#This Row],[hp2016.11]])*t_Parts[[NetPPH]:[NetPPH]]</f>
        <v>319397.69230769231</v>
      </c>
      <c r="FV15" s="58">
        <f>(t_Parts[[#This Row],[ha2016.12]]-t_Parts[[#This Row],[hp2016.12]])*t_Parts[[NetPPH]:[NetPPH]]</f>
        <v>399824.61538461538</v>
      </c>
      <c r="FW15" s="58">
        <f>(t_Parts[[#This Row],[ha2016.FY]]-t_Parts[[#This Row],[hp2016.FY]])*t_Parts[[NetPPH]:[NetPPH]]</f>
        <v>4154479.9999999995</v>
      </c>
      <c r="FX15" s="58">
        <f>(t_Parts[[#This Row],[ha2017]]-t_Parts[[#This Row],[hp2017]])*t_Parts[[NetPPH]:[NetPPH]]</f>
        <v>4154479.9999999995</v>
      </c>
      <c r="FY15" s="58">
        <f>(t_Parts[[#This Row],[ha2018]]-t_Parts[[#This Row],[hp2018]])*t_Parts[[NetPPH]:[NetPPH]]</f>
        <v>4154479.9999999995</v>
      </c>
      <c r="FZ15" s="58">
        <f>(t_Parts[[#This Row],[ha2019]]-t_Parts[[#This Row],[hp2019]])*t_Parts[[NetPPH]:[NetPPH]]</f>
        <v>4154479.9999999995</v>
      </c>
    </row>
    <row r="16" spans="1:182" s="14" customFormat="1" x14ac:dyDescent="0.25">
      <c r="A16" s="74" t="s">
        <v>496</v>
      </c>
      <c r="B16" s="74"/>
      <c r="C16" s="74">
        <v>21001</v>
      </c>
      <c r="D16" s="75">
        <v>1</v>
      </c>
      <c r="E16" s="73">
        <v>2100</v>
      </c>
      <c r="F16" s="76">
        <v>1</v>
      </c>
      <c r="G16" s="77">
        <v>1</v>
      </c>
      <c r="H16" s="16">
        <v>2015.01</v>
      </c>
      <c r="I16" s="16" t="s">
        <v>92</v>
      </c>
      <c r="J16" s="73">
        <v>1610</v>
      </c>
      <c r="K16" s="73">
        <v>1610</v>
      </c>
      <c r="L16" s="73">
        <v>1610</v>
      </c>
      <c r="M16" s="73">
        <v>1610</v>
      </c>
      <c r="N16" s="73">
        <v>1610</v>
      </c>
      <c r="O16" s="78">
        <v>39</v>
      </c>
      <c r="P16" s="78">
        <v>96</v>
      </c>
      <c r="Q16" s="79">
        <v>23.754999999999999</v>
      </c>
      <c r="R16" s="79"/>
      <c r="S16" s="78">
        <v>236</v>
      </c>
      <c r="T16" s="80">
        <v>12</v>
      </c>
      <c r="U16" s="80" t="s">
        <v>121</v>
      </c>
      <c r="V16" s="81"/>
      <c r="W16" s="82"/>
      <c r="X16" s="82" t="s">
        <v>497</v>
      </c>
      <c r="Y16" s="82"/>
      <c r="Z16" s="82"/>
      <c r="AA16" s="82"/>
      <c r="AB16" s="82"/>
      <c r="AC16" s="83" t="s">
        <v>667</v>
      </c>
      <c r="AD16" s="40" t="str">
        <f>VLOOKUP(t_Parts[[#This Row],[Press]],t_Presses[],Press!B$1,FALSE)</f>
        <v>Plainfield</v>
      </c>
      <c r="AE16" s="40" t="str">
        <f>VLOOKUP(t_Parts[[#This Row],[Press]],t_Presses[],Press!E$1,FALSE)</f>
        <v>300-599</v>
      </c>
      <c r="AF16" s="47">
        <f>VLOOKUP(t_Parts[[#This Row],[Plant]],t_Plants[],Plants!C$1,FALSE)</f>
        <v>0.55000000000000004</v>
      </c>
      <c r="AG16" s="47">
        <f>VLOOKUP(t_Parts[[#This Row],[Press]],t_Presses[],Press!F$1,FALSE)</f>
        <v>0</v>
      </c>
      <c r="AH16" s="84"/>
      <c r="AI16" s="47">
        <f>IF(ISBLANK(t_Parts[[#This Row],[PartOEE]])=FALSE,t_Parts[[#This Row],[PartOEE]], IF(t_Parts[[#This Row],[PressOEE]]&gt;0, t_Parts[[#This Row],[PressOEE]], t_Parts[[#This Row],[PlantOEE]] ))</f>
        <v>0.55000000000000004</v>
      </c>
      <c r="AJ16" s="70">
        <f>t_Parts[[#This Row],[SetupsPerMo]]*t_Parts[[#This Row],[SetupHrs]]</f>
        <v>1</v>
      </c>
      <c r="AK16" s="39">
        <f>(t_Parts[[#This Row],[PartsPerStroke]]*t_Parts[[#This Row],[StrokesPerHr]])*t_Parts[[#This Row],[UseOEE]]</f>
        <v>1155</v>
      </c>
      <c r="AL1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123.84615384615385</v>
      </c>
      <c r="AM1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123.84615384615385</v>
      </c>
      <c r="AN1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154.80769230769232</v>
      </c>
      <c r="AO1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123.84615384615385</v>
      </c>
      <c r="AP1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123.84615384615385</v>
      </c>
      <c r="AQ1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154.80769230769232</v>
      </c>
      <c r="AR1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123.84615384615385</v>
      </c>
      <c r="AS1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123.84615384615385</v>
      </c>
      <c r="AT1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154.80769230769232</v>
      </c>
      <c r="AU1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123.84615384615385</v>
      </c>
      <c r="AV1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123.84615384615385</v>
      </c>
      <c r="AW1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154.80769230769232</v>
      </c>
      <c r="AX16" s="39">
        <f>SUM(t_Parts[[#This Row],[pv2015.01]:[pv2015.12]])</f>
        <v>1610</v>
      </c>
      <c r="AY1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6" s="39">
        <f>SUM(t_Parts[[#This Row],[pv2016.01]:[pv2016.12]])</f>
        <v>0</v>
      </c>
      <c r="BL16" s="39">
        <f>t_Parts[[#This Row],[2017vol]]</f>
        <v>1610</v>
      </c>
      <c r="BM16" s="39">
        <f>t_Parts[[#This Row],[2018vol]]</f>
        <v>1610</v>
      </c>
      <c r="BN16" s="39">
        <f>t_Parts[[#This Row],[2019vol]]</f>
        <v>1610</v>
      </c>
      <c r="BO16" s="40">
        <f>VLOOKUP(t_Parts[[Plant]:[Plant]],t_Plants[],Plants!CN$1,FALSE)</f>
        <v>280</v>
      </c>
      <c r="BP16" s="14">
        <f>VLOOKUP(t_Parts[[Plant]:[Plant]],t_Plants[],Plants!CO$1,FALSE)</f>
        <v>280</v>
      </c>
      <c r="BQ16" s="14">
        <f>VLOOKUP(t_Parts[[Plant]:[Plant]],t_Plants[],Plants!CP$1,FALSE)</f>
        <v>350</v>
      </c>
      <c r="BR16" s="14">
        <f>VLOOKUP(t_Parts[[Plant]:[Plant]],t_Plants[],Plants!CQ$1,FALSE)</f>
        <v>280</v>
      </c>
      <c r="BS16" s="14">
        <f>VLOOKUP(t_Parts[[Plant]:[Plant]],t_Plants[],Plants!CR$1,FALSE)</f>
        <v>280</v>
      </c>
      <c r="BT16" s="14">
        <f>VLOOKUP(t_Parts[[Plant]:[Plant]],t_Plants[],Plants!CS$1,FALSE)</f>
        <v>350</v>
      </c>
      <c r="BU16" s="14">
        <f>VLOOKUP(t_Parts[[Plant]:[Plant]],t_Plants[],Plants!CT$1,FALSE)</f>
        <v>280</v>
      </c>
      <c r="BV16" s="14">
        <f>VLOOKUP(t_Parts[[Plant]:[Plant]],t_Plants[],Plants!CU$1,FALSE)</f>
        <v>280</v>
      </c>
      <c r="BW16" s="14">
        <f>VLOOKUP(t_Parts[[Plant]:[Plant]],t_Plants[],Plants!CV$1,FALSE)</f>
        <v>350</v>
      </c>
      <c r="BX16" s="14">
        <f>VLOOKUP(t_Parts[[Plant]:[Plant]],t_Plants[],Plants!CW$1,FALSE)</f>
        <v>280</v>
      </c>
      <c r="BY16" s="14">
        <f>VLOOKUP(t_Parts[[Plant]:[Plant]],t_Plants[],Plants!CX$1,FALSE)</f>
        <v>280</v>
      </c>
      <c r="BZ16" s="14">
        <f>VLOOKUP(t_Parts[[Plant]:[Plant]],t_Plants[],Plants!CY$1,FALSE)</f>
        <v>350</v>
      </c>
      <c r="CA16" s="40">
        <f>SUM(t_Parts[[#This Row],[ha2015.01]:[ha2015.12]])</f>
        <v>3640</v>
      </c>
      <c r="CB16" s="14">
        <f>VLOOKUP(t_Parts[[Plant]:[Plant]],t_Plants[],Plants!DA$1,FALSE)</f>
        <v>280</v>
      </c>
      <c r="CC16" s="14">
        <f>VLOOKUP(t_Parts[[Plant]:[Plant]],t_Plants[],Plants!DB$1,FALSE)</f>
        <v>280</v>
      </c>
      <c r="CD16" s="14">
        <f>VLOOKUP(t_Parts[[Plant]:[Plant]],t_Plants[],Plants!DC$1,FALSE)</f>
        <v>350</v>
      </c>
      <c r="CE16" s="14">
        <f>VLOOKUP(t_Parts[[Plant]:[Plant]],t_Plants[],Plants!DD$1,FALSE)</f>
        <v>280</v>
      </c>
      <c r="CF16" s="14">
        <f>VLOOKUP(t_Parts[[Plant]:[Plant]],t_Plants[],Plants!DE$1,FALSE)</f>
        <v>280</v>
      </c>
      <c r="CG16" s="14">
        <f>VLOOKUP(t_Parts[[Plant]:[Plant]],t_Plants[],Plants!DF$1,FALSE)</f>
        <v>350</v>
      </c>
      <c r="CH16" s="14">
        <f>VLOOKUP(t_Parts[[Plant]:[Plant]],t_Plants[],Plants!DG$1,FALSE)</f>
        <v>280</v>
      </c>
      <c r="CI16" s="14">
        <f>VLOOKUP(t_Parts[[Plant]:[Plant]],t_Plants[],Plants!DH$1,FALSE)</f>
        <v>280</v>
      </c>
      <c r="CJ16" s="14">
        <f>VLOOKUP(t_Parts[[Plant]:[Plant]],t_Plants[],Plants!DI$1,FALSE)</f>
        <v>350</v>
      </c>
      <c r="CK16" s="14">
        <f>VLOOKUP(t_Parts[[Plant]:[Plant]],t_Plants[],Plants!DJ$1,FALSE)</f>
        <v>280</v>
      </c>
      <c r="CL16" s="14">
        <f>VLOOKUP(t_Parts[[Plant]:[Plant]],t_Plants[],Plants!DK$1,FALSE)</f>
        <v>280</v>
      </c>
      <c r="CM16" s="14">
        <f>VLOOKUP(t_Parts[[Plant]:[Plant]],t_Plants[],Plants!DL$1,FALSE)</f>
        <v>350</v>
      </c>
      <c r="CN16" s="14">
        <f>VLOOKUP(t_Parts[[Plant]:[Plant]],t_Plants[],Plants!DM$1,FALSE)</f>
        <v>3640</v>
      </c>
      <c r="CO16" s="14">
        <f>VLOOKUP(t_Parts[[Plant]:[Plant]],t_Plants[],Plants!DN$1,FALSE)</f>
        <v>3640</v>
      </c>
      <c r="CP16" s="14">
        <f>VLOOKUP(t_Parts[[Plant]:[Plant]],t_Plants[],Plants!DO$1,FALSE)</f>
        <v>3640</v>
      </c>
      <c r="CQ16" s="14">
        <f>VLOOKUP(t_Parts[[Plant]:[Plant]],t_Plants[],Plants!DP$1,FALSE)</f>
        <v>3640</v>
      </c>
      <c r="CR16" s="39">
        <f>IF(AND(AL$3&gt;=VALUE(t_Parts[[SOP]:[SOP]]),AL$3&lt;=VALUE(t_Parts[[EOP]:[EOP]])), t_Parts[[SetupHrsPerMo]:[SetupHrsPerMo]]+(t_Parts[[#This Row],[pv2015.01]]/t_Parts[[NetPPH]:[NetPPH]]),0)</f>
        <v>1.1072261072261071</v>
      </c>
      <c r="CS16" s="39">
        <f>IF(AND(AM$3&gt;=VALUE(t_Parts[[SOP]:[SOP]]),AM$3&lt;=VALUE(t_Parts[[EOP]:[EOP]])), t_Parts[[SetupHrsPerMo]:[SetupHrsPerMo]]+(t_Parts[[#This Row],[pv2015.02]]/t_Parts[[NetPPH]:[NetPPH]]),0)</f>
        <v>1.1072261072261071</v>
      </c>
      <c r="CT16" s="39">
        <f>IF(AND(AN$3&gt;=VALUE(t_Parts[[SOP]:[SOP]]),AN$3&lt;=VALUE(t_Parts[[EOP]:[EOP]])), t_Parts[[SetupHrsPerMo]:[SetupHrsPerMo]]+(t_Parts[[#This Row],[pv2015.03]]/t_Parts[[NetPPH]:[NetPPH]]),0)</f>
        <v>1.1340326340326341</v>
      </c>
      <c r="CU16" s="39">
        <f>IF(AND(AO$3&gt;=VALUE(t_Parts[[SOP]:[SOP]]),AO$3&lt;=VALUE(t_Parts[[EOP]:[EOP]])), t_Parts[[SetupHrsPerMo]:[SetupHrsPerMo]]+(t_Parts[[#This Row],[pv2015.04]]/t_Parts[[NetPPH]:[NetPPH]]),0)</f>
        <v>1.1072261072261071</v>
      </c>
      <c r="CV16" s="39">
        <f>IF(AND(AP$3&gt;=VALUE(t_Parts[[SOP]:[SOP]]),AP$3&lt;=VALUE(t_Parts[[EOP]:[EOP]])), t_Parts[[SetupHrsPerMo]:[SetupHrsPerMo]]+(t_Parts[[#This Row],[pv2015.05]]/t_Parts[[NetPPH]:[NetPPH]]),0)</f>
        <v>1.1072261072261071</v>
      </c>
      <c r="CW16" s="39">
        <f>IF(AND(AQ$3&gt;=VALUE(t_Parts[[SOP]:[SOP]]),AQ$3&lt;=VALUE(t_Parts[[EOP]:[EOP]])), t_Parts[[SetupHrsPerMo]:[SetupHrsPerMo]]+(t_Parts[[#This Row],[pv2015.06]]/t_Parts[[NetPPH]:[NetPPH]]),0)</f>
        <v>1.1340326340326341</v>
      </c>
      <c r="CX16" s="39">
        <f>IF(AND(AR$3&gt;=VALUE(t_Parts[[SOP]:[SOP]]),AR$3&lt;=VALUE(t_Parts[[EOP]:[EOP]])), t_Parts[[SetupHrsPerMo]:[SetupHrsPerMo]]+(t_Parts[[#This Row],[pv2015.07]]/t_Parts[[NetPPH]:[NetPPH]]),0)</f>
        <v>1.1072261072261071</v>
      </c>
      <c r="CY16" s="39">
        <f>IF(AND(AS$3&gt;=VALUE(t_Parts[[SOP]:[SOP]]),AS$3&lt;=VALUE(t_Parts[[EOP]:[EOP]])), t_Parts[[SetupHrsPerMo]:[SetupHrsPerMo]]+(t_Parts[[#This Row],[pv2015.08]]/t_Parts[[NetPPH]:[NetPPH]]),0)</f>
        <v>1.1072261072261071</v>
      </c>
      <c r="CZ16" s="39">
        <f>IF(AND(AT$3&gt;=VALUE(t_Parts[[SOP]:[SOP]]),AT$3&lt;=VALUE(t_Parts[[EOP]:[EOP]])), t_Parts[[SetupHrsPerMo]:[SetupHrsPerMo]]+(t_Parts[[#This Row],[pv2015.09]]/t_Parts[[NetPPH]:[NetPPH]]),0)</f>
        <v>1.1340326340326341</v>
      </c>
      <c r="DA16" s="39">
        <f>IF(AND(AU$3&gt;=VALUE(t_Parts[[SOP]:[SOP]]),AU$3&lt;=VALUE(t_Parts[[EOP]:[EOP]])), t_Parts[[SetupHrsPerMo]:[SetupHrsPerMo]]+(t_Parts[[#This Row],[pv2015.10]]/t_Parts[[NetPPH]:[NetPPH]]),0)</f>
        <v>1.1072261072261071</v>
      </c>
      <c r="DB16" s="39">
        <f>IF(AND(AV$3&gt;=VALUE(t_Parts[[SOP]:[SOP]]),AV$3&lt;=VALUE(t_Parts[[EOP]:[EOP]])), t_Parts[[SetupHrsPerMo]:[SetupHrsPerMo]]+(t_Parts[[#This Row],[pv2015.11]]/t_Parts[[NetPPH]:[NetPPH]]),0)</f>
        <v>1.1072261072261071</v>
      </c>
      <c r="DC16" s="39">
        <f>IF(AND(AW$3&gt;=VALUE(t_Parts[[SOP]:[SOP]]),AW$3&lt;=VALUE(t_Parts[[EOP]:[EOP]])), t_Parts[[SetupHrsPerMo]:[SetupHrsPerMo]]+(t_Parts[[#This Row],[pv2015.12]]/t_Parts[[NetPPH]:[NetPPH]]),0)</f>
        <v>1.1340326340326341</v>
      </c>
      <c r="DD16" s="39">
        <f>SUM(t_Parts[[#This Row],[hp2015.01]:[hp2015.12]])</f>
        <v>13.393939393939394</v>
      </c>
      <c r="DE16" s="39">
        <f>IF(AND(AY$3&gt;=VALUE(t_Parts[[SOP]:[SOP]]),AY$3&lt;=VALUE(t_Parts[[EOP]:[EOP]])), t_Parts[[SetupHrsPerMo]:[SetupHrsPerMo]]+(t_Parts[[#This Row],[pv2016.01]]/t_Parts[[NetPPH]:[NetPPH]]),0)</f>
        <v>0</v>
      </c>
      <c r="DF16" s="39">
        <f>IF(AND(AZ$3&gt;=VALUE(t_Parts[[SOP]:[SOP]]),AZ$3&lt;=VALUE(t_Parts[[EOP]:[EOP]])), t_Parts[[SetupHrsPerMo]:[SetupHrsPerMo]]+(t_Parts[[#This Row],[pv2016.02]]/t_Parts[[NetPPH]:[NetPPH]]),0)</f>
        <v>0</v>
      </c>
      <c r="DG16" s="39">
        <f>IF(AND(BA$3&gt;=VALUE(t_Parts[[SOP]:[SOP]]),BA$3&lt;=VALUE(t_Parts[[EOP]:[EOP]])), t_Parts[[SetupHrsPerMo]:[SetupHrsPerMo]]+(t_Parts[[#This Row],[pv2016.03]]/t_Parts[[NetPPH]:[NetPPH]]),0)</f>
        <v>0</v>
      </c>
      <c r="DH16" s="39">
        <f>IF(AND(BB$3&gt;=VALUE(t_Parts[[SOP]:[SOP]]),BB$3&lt;=VALUE(t_Parts[[EOP]:[EOP]])), t_Parts[[SetupHrsPerMo]:[SetupHrsPerMo]]+(t_Parts[[#This Row],[pv2016.04]]/t_Parts[[NetPPH]:[NetPPH]]),0)</f>
        <v>0</v>
      </c>
      <c r="DI16" s="39">
        <f>IF(AND(BC$3&gt;=VALUE(t_Parts[[SOP]:[SOP]]),BC$3&lt;=VALUE(t_Parts[[EOP]:[EOP]])), t_Parts[[SetupHrsPerMo]:[SetupHrsPerMo]]+(t_Parts[[#This Row],[pv2016.05]]/t_Parts[[NetPPH]:[NetPPH]]),0)</f>
        <v>0</v>
      </c>
      <c r="DJ16" s="39">
        <f>IF(AND(BD$3&gt;=VALUE(t_Parts[[SOP]:[SOP]]),BD$3&lt;=VALUE(t_Parts[[EOP]:[EOP]])), t_Parts[[SetupHrsPerMo]:[SetupHrsPerMo]]+(t_Parts[[#This Row],[pv2016.06]]/t_Parts[[NetPPH]:[NetPPH]]),0)</f>
        <v>0</v>
      </c>
      <c r="DK16" s="39">
        <f>IF(AND(BE$3&gt;=VALUE(t_Parts[[SOP]:[SOP]]),BE$3&lt;=VALUE(t_Parts[[EOP]:[EOP]])), t_Parts[[SetupHrsPerMo]:[SetupHrsPerMo]]+(t_Parts[[#This Row],[pv2016.07]]/t_Parts[[NetPPH]:[NetPPH]]),0)</f>
        <v>0</v>
      </c>
      <c r="DL16" s="39">
        <f>IF(AND(BF$3&gt;=VALUE(t_Parts[[SOP]:[SOP]]),BF$3&lt;=VALUE(t_Parts[[EOP]:[EOP]])), t_Parts[[SetupHrsPerMo]:[SetupHrsPerMo]]+(t_Parts[[#This Row],[pv2016.08]]/t_Parts[[NetPPH]:[NetPPH]]),0)</f>
        <v>0</v>
      </c>
      <c r="DM16" s="39">
        <f>IF(AND(BG$3&gt;=VALUE(t_Parts[[SOP]:[SOP]]),BG$3&lt;=VALUE(t_Parts[[EOP]:[EOP]])), t_Parts[[SetupHrsPerMo]:[SetupHrsPerMo]]+(t_Parts[[#This Row],[pv2016.09]]/t_Parts[[NetPPH]:[NetPPH]]),0)</f>
        <v>0</v>
      </c>
      <c r="DN16" s="39">
        <f>IF(AND(BH$3&gt;=VALUE(t_Parts[[SOP]:[SOP]]),BH$3&lt;=VALUE(t_Parts[[EOP]:[EOP]])), t_Parts[[SetupHrsPerMo]:[SetupHrsPerMo]]+(t_Parts[[#This Row],[pv2016.10]]/t_Parts[[NetPPH]:[NetPPH]]),0)</f>
        <v>0</v>
      </c>
      <c r="DO16" s="39">
        <f>IF(AND(BI$3&gt;=VALUE(t_Parts[[SOP]:[SOP]]),BI$3&lt;=VALUE(t_Parts[[EOP]:[EOP]])), t_Parts[[SetupHrsPerMo]:[SetupHrsPerMo]]+(t_Parts[[#This Row],[pv2016.11]]/t_Parts[[NetPPH]:[NetPPH]]),0)</f>
        <v>0</v>
      </c>
      <c r="DP16" s="39">
        <f>IF(AND(BJ$3&gt;=VALUE(t_Parts[[SOP]:[SOP]]),BJ$3&lt;=VALUE(t_Parts[[EOP]:[EOP]])), t_Parts[[SetupHrsPerMo]:[SetupHrsPerMo]]+(t_Parts[[#This Row],[pv2016.12]]/t_Parts[[NetPPH]:[NetPPH]]),0)</f>
        <v>0</v>
      </c>
      <c r="DQ16" s="39">
        <f>SUM(t_Parts[[#This Row],[hp2016.01]:[hp2016.12]])</f>
        <v>0</v>
      </c>
      <c r="DR16" s="39">
        <f>IF(AND(BL$3&gt;=VALUE(t_Parts[[SOP]:[SOP]]),BL$3&lt;=VALUE(t_Parts[[EOP]:[EOP]])), 12*t_Parts[[SetupHrsPerMo]:[SetupHrsPerMo]]+(t_Parts[[#This Row],[pv2017]]/t_Parts[[NetPPH]:[NetPPH]]),0)</f>
        <v>0</v>
      </c>
      <c r="DS16" s="39">
        <f>IF(AND(BM$3&gt;=VALUE(t_Parts[[SOP]:[SOP]]),BM$3&lt;=VALUE(t_Parts[[EOP]:[EOP]])), 12*t_Parts[[SetupHrsPerMo]:[SetupHrsPerMo]]+(t_Parts[[#This Row],[pv2018]]/t_Parts[[NetPPH]:[NetPPH]]),0)</f>
        <v>0</v>
      </c>
      <c r="DT16" s="39">
        <f>IF(AND(BN$3&gt;=VALUE(t_Parts[[SOP]:[SOP]]),BN$3&lt;=VALUE(t_Parts[[EOP]:[EOP]])), 12*t_Parts[[SetupHrsPerMo]:[SetupHrsPerMo]]+(t_Parts[[#This Row],[pv2019]]/t_Parts[[NetPPH]:[NetPPH]]),0)</f>
        <v>0</v>
      </c>
      <c r="DU16" s="47">
        <f>t_Parts[[#This Row],[hp2015.01]]/t_Parts[[#This Row],[ha2015.01]]</f>
        <v>3.9543789543789541E-3</v>
      </c>
      <c r="DV16" s="47">
        <f>t_Parts[[#This Row],[hp2015.02]]/t_Parts[[#This Row],[ha2015.02]]</f>
        <v>3.9543789543789541E-3</v>
      </c>
      <c r="DW16" s="47">
        <f>t_Parts[[#This Row],[hp2015.03]]/t_Parts[[#This Row],[ha2015.03]]</f>
        <v>3.2400932400932403E-3</v>
      </c>
      <c r="DX16" s="47">
        <f>t_Parts[[#This Row],[hp2015.04]]/t_Parts[[#This Row],[ha2015.04]]</f>
        <v>3.9543789543789541E-3</v>
      </c>
      <c r="DY16" s="47">
        <f>t_Parts[[#This Row],[hp2015.05]]/t_Parts[[#This Row],[ha2015.05]]</f>
        <v>3.9543789543789541E-3</v>
      </c>
      <c r="DZ16" s="47">
        <f>t_Parts[[#This Row],[hp2015.06]]/t_Parts[[#This Row],[ha2015.06]]</f>
        <v>3.2400932400932403E-3</v>
      </c>
      <c r="EA16" s="47">
        <f>t_Parts[[#This Row],[hp2015.07]]/t_Parts[[#This Row],[ha2015.07]]</f>
        <v>3.9543789543789541E-3</v>
      </c>
      <c r="EB16" s="47">
        <f>t_Parts[[#This Row],[hp2015.08]]/t_Parts[[#This Row],[ha2015.08]]</f>
        <v>3.9543789543789541E-3</v>
      </c>
      <c r="EC16" s="47">
        <f>t_Parts[[#This Row],[hp2015.09]]/t_Parts[[#This Row],[ha2015.09]]</f>
        <v>3.2400932400932403E-3</v>
      </c>
      <c r="ED16" s="47">
        <f>t_Parts[[#This Row],[hp2015.10]]/t_Parts[[#This Row],[ha2015.10]]</f>
        <v>3.9543789543789541E-3</v>
      </c>
      <c r="EE16" s="47">
        <f>t_Parts[[#This Row],[hp2015.11]]/t_Parts[[#This Row],[ha2015.11]]</f>
        <v>3.9543789543789541E-3</v>
      </c>
      <c r="EF16" s="47">
        <f>t_Parts[[#This Row],[hp2015.12]]/t_Parts[[#This Row],[ha2015.12]]</f>
        <v>3.2400932400932403E-3</v>
      </c>
      <c r="EG16" s="47">
        <f>t_Parts[[#This Row],[hp2015.FY]]/t_Parts[[#This Row],[ha2015.FY]]</f>
        <v>3.6796536796536799E-3</v>
      </c>
      <c r="EH16" s="47">
        <f>t_Parts[[#This Row],[hp2016.01]]/t_Parts[[#This Row],[ha2016.01]]</f>
        <v>0</v>
      </c>
      <c r="EI16" s="47">
        <f>t_Parts[[#This Row],[hp2016.02]]/t_Parts[[#This Row],[ha2016.02]]</f>
        <v>0</v>
      </c>
      <c r="EJ16" s="47">
        <f>t_Parts[[#This Row],[hp2016.03]]/t_Parts[[#This Row],[ha2016.03]]</f>
        <v>0</v>
      </c>
      <c r="EK16" s="47">
        <f>t_Parts[[#This Row],[hp2016.04]]/t_Parts[[#This Row],[ha2016.04]]</f>
        <v>0</v>
      </c>
      <c r="EL16" s="47">
        <f>t_Parts[[#This Row],[hp2016.05]]/t_Parts[[#This Row],[ha2016.05]]</f>
        <v>0</v>
      </c>
      <c r="EM16" s="47">
        <f>t_Parts[[#This Row],[hp2016.06]]/t_Parts[[#This Row],[ha2016.06]]</f>
        <v>0</v>
      </c>
      <c r="EN16" s="47">
        <f>t_Parts[[#This Row],[hp2016.07]]/t_Parts[[#This Row],[ha2016.07]]</f>
        <v>0</v>
      </c>
      <c r="EO16" s="47">
        <f>t_Parts[[#This Row],[hp2016.08]]/t_Parts[[#This Row],[ha2016.08]]</f>
        <v>0</v>
      </c>
      <c r="EP16" s="47">
        <f>t_Parts[[#This Row],[hp2016.09]]/t_Parts[[#This Row],[ha2016.09]]</f>
        <v>0</v>
      </c>
      <c r="EQ16" s="47">
        <f>t_Parts[[#This Row],[hp2016.10]]/t_Parts[[#This Row],[ha2016.10]]</f>
        <v>0</v>
      </c>
      <c r="ER16" s="47">
        <f>t_Parts[[#This Row],[hp2016.11]]/t_Parts[[#This Row],[ha2016.11]]</f>
        <v>0</v>
      </c>
      <c r="ES16" s="47">
        <f>t_Parts[[#This Row],[hp2016.12]]/t_Parts[[#This Row],[ha2016.12]]</f>
        <v>0</v>
      </c>
      <c r="ET16" s="47">
        <f>t_Parts[[#This Row],[hp2016.FY]]/t_Parts[[#This Row],[ha2016.FY]]</f>
        <v>0</v>
      </c>
      <c r="EU16" s="47">
        <f>t_Parts[[#This Row],[hp2017]]/t_Parts[[#This Row],[ha2017]]</f>
        <v>0</v>
      </c>
      <c r="EV16" s="47">
        <f>t_Parts[[#This Row],[hp2018]]/t_Parts[[#This Row],[ha2018]]</f>
        <v>0</v>
      </c>
      <c r="EW16" s="47">
        <f>t_Parts[[#This Row],[hp2019]]/t_Parts[[#This Row],[hp2015.01]]</f>
        <v>0</v>
      </c>
      <c r="EX16" s="58">
        <f>(t_Parts[[#This Row],[ha2015.01]]-t_Parts[[#This Row],[hp2015.01]])*t_Parts[[NetPPH]:[NetPPH]]</f>
        <v>322121.15384615387</v>
      </c>
      <c r="EY16" s="58">
        <f>(t_Parts[[#This Row],[ha2015.02]]-t_Parts[[#This Row],[hp2015.02]])*t_Parts[[NetPPH]:[NetPPH]]</f>
        <v>322121.15384615387</v>
      </c>
      <c r="EZ16" s="58">
        <f>(t_Parts[[#This Row],[ha2015.03]]-t_Parts[[#This Row],[hp2015.03]])*t_Parts[[NetPPH]:[NetPPH]]</f>
        <v>402940.19230769231</v>
      </c>
      <c r="FA16" s="58">
        <f>(t_Parts[[#This Row],[ha2015.04]]-t_Parts[[#This Row],[hp2015.04]])*t_Parts[[NetPPH]:[NetPPH]]</f>
        <v>322121.15384615387</v>
      </c>
      <c r="FB16" s="58">
        <f>(t_Parts[[#This Row],[ha2015.05]]-t_Parts[[#This Row],[hp2015.05]])*t_Parts[[NetPPH]:[NetPPH]]</f>
        <v>322121.15384615387</v>
      </c>
      <c r="FC16" s="58">
        <f>(t_Parts[[#This Row],[ha2015.06]]-t_Parts[[#This Row],[hp2015.06]])*t_Parts[[NetPPH]:[NetPPH]]</f>
        <v>402940.19230769231</v>
      </c>
      <c r="FD16" s="58">
        <f>(t_Parts[[#This Row],[ha2015.07]]-t_Parts[[#This Row],[hp2015.07]])*t_Parts[[NetPPH]:[NetPPH]]</f>
        <v>322121.15384615387</v>
      </c>
      <c r="FE16" s="58">
        <f>(t_Parts[[#This Row],[ha2015.08]]-t_Parts[[#This Row],[hp2015.08]])*t_Parts[[NetPPH]:[NetPPH]]</f>
        <v>322121.15384615387</v>
      </c>
      <c r="FF16" s="58">
        <f>(t_Parts[[#This Row],[ha2015.09]]-t_Parts[[#This Row],[hp2015.09]])*t_Parts[[NetPPH]:[NetPPH]]</f>
        <v>402940.19230769231</v>
      </c>
      <c r="FG16" s="58">
        <f>(t_Parts[[#This Row],[ha2015.10]]-t_Parts[[#This Row],[hp2015.10]])*t_Parts[[NetPPH]:[NetPPH]]</f>
        <v>322121.15384615387</v>
      </c>
      <c r="FH16" s="58">
        <f>(t_Parts[[#This Row],[ha2015.11]]-t_Parts[[#This Row],[hp2015.11]])*t_Parts[[NetPPH]:[NetPPH]]</f>
        <v>322121.15384615387</v>
      </c>
      <c r="FI16" s="58">
        <f>(t_Parts[[#This Row],[ha2015.12]]-t_Parts[[#This Row],[hp2015.12]])*t_Parts[[NetPPH]:[NetPPH]]</f>
        <v>402940.19230769231</v>
      </c>
      <c r="FJ16" s="58">
        <f>(t_Parts[[#This Row],[ha2015.FY]]-t_Parts[[#This Row],[hp2015.FY]])*t_Parts[[NetPPH]:[NetPPH]]</f>
        <v>4188730</v>
      </c>
      <c r="FK16" s="58">
        <f>(t_Parts[[#This Row],[ha2016.01]]-t_Parts[[#This Row],[hp2016.01]])*t_Parts[[NetPPH]:[NetPPH]]</f>
        <v>323400</v>
      </c>
      <c r="FL16" s="58">
        <f>(t_Parts[[#This Row],[ha2016.02]]-t_Parts[[#This Row],[hp2016.02]])*t_Parts[[NetPPH]:[NetPPH]]</f>
        <v>323400</v>
      </c>
      <c r="FM16" s="58">
        <f>(t_Parts[[#This Row],[ha2016.03]]-t_Parts[[#This Row],[hp2016.03]])*t_Parts[[NetPPH]:[NetPPH]]</f>
        <v>404250</v>
      </c>
      <c r="FN16" s="58">
        <f>(t_Parts[[#This Row],[ha2016.04]]-t_Parts[[#This Row],[hp2016.04]])*t_Parts[[NetPPH]:[NetPPH]]</f>
        <v>323400</v>
      </c>
      <c r="FO16" s="58">
        <f>(t_Parts[[#This Row],[ha2016.05]]-t_Parts[[#This Row],[hp2016.05]])*t_Parts[[NetPPH]:[NetPPH]]</f>
        <v>323400</v>
      </c>
      <c r="FP16" s="58">
        <f>(t_Parts[[#This Row],[ha2016.06]]-t_Parts[[#This Row],[hp2016.06]])*t_Parts[[NetPPH]:[NetPPH]]</f>
        <v>404250</v>
      </c>
      <c r="FQ16" s="58">
        <f>(t_Parts[[#This Row],[ha2016.07]]-t_Parts[[#This Row],[hp2016.07]])*t_Parts[[NetPPH]:[NetPPH]]</f>
        <v>323400</v>
      </c>
      <c r="FR16" s="58">
        <f>(t_Parts[[#This Row],[ha2016.08]]-t_Parts[[#This Row],[hp2016.08]])*t_Parts[[NetPPH]:[NetPPH]]</f>
        <v>323400</v>
      </c>
      <c r="FS16" s="58">
        <f>(t_Parts[[#This Row],[ha2016.09]]-t_Parts[[#This Row],[hp2016.09]])*t_Parts[[NetPPH]:[NetPPH]]</f>
        <v>404250</v>
      </c>
      <c r="FT16" s="58">
        <f>(t_Parts[[#This Row],[ha2016.10]]-t_Parts[[#This Row],[hp2016.10]])*t_Parts[[NetPPH]:[NetPPH]]</f>
        <v>323400</v>
      </c>
      <c r="FU16" s="58">
        <f>(t_Parts[[#This Row],[ha2016.11]]-t_Parts[[#This Row],[hp2016.11]])*t_Parts[[NetPPH]:[NetPPH]]</f>
        <v>323400</v>
      </c>
      <c r="FV16" s="58">
        <f>(t_Parts[[#This Row],[ha2016.12]]-t_Parts[[#This Row],[hp2016.12]])*t_Parts[[NetPPH]:[NetPPH]]</f>
        <v>404250</v>
      </c>
      <c r="FW16" s="58">
        <f>(t_Parts[[#This Row],[ha2016.FY]]-t_Parts[[#This Row],[hp2016.FY]])*t_Parts[[NetPPH]:[NetPPH]]</f>
        <v>4204200</v>
      </c>
      <c r="FX16" s="58">
        <f>(t_Parts[[#This Row],[ha2017]]-t_Parts[[#This Row],[hp2017]])*t_Parts[[NetPPH]:[NetPPH]]</f>
        <v>4204200</v>
      </c>
      <c r="FY16" s="58">
        <f>(t_Parts[[#This Row],[ha2018]]-t_Parts[[#This Row],[hp2018]])*t_Parts[[NetPPH]:[NetPPH]]</f>
        <v>4204200</v>
      </c>
      <c r="FZ16" s="58">
        <f>(t_Parts[[#This Row],[ha2019]]-t_Parts[[#This Row],[hp2019]])*t_Parts[[NetPPH]:[NetPPH]]</f>
        <v>4204200</v>
      </c>
    </row>
    <row r="17" spans="1:182" s="14" customFormat="1" x14ac:dyDescent="0.25">
      <c r="A17" s="74" t="s">
        <v>498</v>
      </c>
      <c r="B17" s="74"/>
      <c r="C17" s="74">
        <v>21001</v>
      </c>
      <c r="D17" s="75">
        <v>1</v>
      </c>
      <c r="E17" s="73">
        <v>2100</v>
      </c>
      <c r="F17" s="76">
        <v>1</v>
      </c>
      <c r="G17" s="77">
        <v>1</v>
      </c>
      <c r="H17" s="16">
        <v>2015.01</v>
      </c>
      <c r="I17" s="16" t="s">
        <v>92</v>
      </c>
      <c r="J17" s="73">
        <v>1800</v>
      </c>
      <c r="K17" s="73">
        <v>1800</v>
      </c>
      <c r="L17" s="73">
        <v>1800</v>
      </c>
      <c r="M17" s="73">
        <v>1800</v>
      </c>
      <c r="N17" s="73">
        <v>1800</v>
      </c>
      <c r="O17" s="78">
        <v>39</v>
      </c>
      <c r="P17" s="78">
        <v>96</v>
      </c>
      <c r="Q17" s="79">
        <v>23.594999999999999</v>
      </c>
      <c r="R17" s="79"/>
      <c r="S17" s="78">
        <v>142</v>
      </c>
      <c r="T17" s="80">
        <v>12</v>
      </c>
      <c r="U17" s="80" t="s">
        <v>121</v>
      </c>
      <c r="V17" s="81" t="s">
        <v>499</v>
      </c>
      <c r="W17" s="82">
        <v>1.91</v>
      </c>
      <c r="X17" s="82" t="s">
        <v>497</v>
      </c>
      <c r="Y17" s="82"/>
      <c r="Z17" s="82"/>
      <c r="AA17" s="82"/>
      <c r="AB17" s="82"/>
      <c r="AC17" s="83" t="s">
        <v>667</v>
      </c>
      <c r="AD17" s="40" t="str">
        <f>VLOOKUP(t_Parts[[#This Row],[Press]],t_Presses[],Press!B$1,FALSE)</f>
        <v>Plainfield</v>
      </c>
      <c r="AE17" s="40" t="str">
        <f>VLOOKUP(t_Parts[[#This Row],[Press]],t_Presses[],Press!E$1,FALSE)</f>
        <v>300-599</v>
      </c>
      <c r="AF17" s="47">
        <f>VLOOKUP(t_Parts[[#This Row],[Plant]],t_Plants[],Plants!C$1,FALSE)</f>
        <v>0.55000000000000004</v>
      </c>
      <c r="AG17" s="47">
        <f>VLOOKUP(t_Parts[[#This Row],[Press]],t_Presses[],Press!F$1,FALSE)</f>
        <v>0</v>
      </c>
      <c r="AH17" s="84"/>
      <c r="AI17" s="47">
        <f>IF(ISBLANK(t_Parts[[#This Row],[PartOEE]])=FALSE,t_Parts[[#This Row],[PartOEE]], IF(t_Parts[[#This Row],[PressOEE]]&gt;0, t_Parts[[#This Row],[PressOEE]], t_Parts[[#This Row],[PlantOEE]] ))</f>
        <v>0.55000000000000004</v>
      </c>
      <c r="AJ17" s="70">
        <f>t_Parts[[#This Row],[SetupsPerMo]]*t_Parts[[#This Row],[SetupHrs]]</f>
        <v>1</v>
      </c>
      <c r="AK17" s="39">
        <f>(t_Parts[[#This Row],[PartsPerStroke]]*t_Parts[[#This Row],[StrokesPerHr]])*t_Parts[[#This Row],[UseOEE]]</f>
        <v>1155</v>
      </c>
      <c r="AL1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138.46153846153845</v>
      </c>
      <c r="AM1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138.46153846153845</v>
      </c>
      <c r="AN1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173.07692307692309</v>
      </c>
      <c r="AO1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138.46153846153845</v>
      </c>
      <c r="AP1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138.46153846153845</v>
      </c>
      <c r="AQ1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173.07692307692309</v>
      </c>
      <c r="AR1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138.46153846153845</v>
      </c>
      <c r="AS1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138.46153846153845</v>
      </c>
      <c r="AT1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173.07692307692309</v>
      </c>
      <c r="AU1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138.46153846153845</v>
      </c>
      <c r="AV1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138.46153846153845</v>
      </c>
      <c r="AW1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173.07692307692309</v>
      </c>
      <c r="AX17" s="39">
        <f>SUM(t_Parts[[#This Row],[pv2015.01]:[pv2015.12]])</f>
        <v>1800.0000000000002</v>
      </c>
      <c r="AY1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7" s="39">
        <f>SUM(t_Parts[[#This Row],[pv2016.01]:[pv2016.12]])</f>
        <v>0</v>
      </c>
      <c r="BL17" s="39">
        <f>t_Parts[[#This Row],[2017vol]]</f>
        <v>1800</v>
      </c>
      <c r="BM17" s="39">
        <f>t_Parts[[#This Row],[2018vol]]</f>
        <v>1800</v>
      </c>
      <c r="BN17" s="39">
        <f>t_Parts[[#This Row],[2019vol]]</f>
        <v>1800</v>
      </c>
      <c r="BO17" s="40">
        <f>VLOOKUP(t_Parts[[Plant]:[Plant]],t_Plants[],Plants!CN$1,FALSE)</f>
        <v>280</v>
      </c>
      <c r="BP17" s="14">
        <f>VLOOKUP(t_Parts[[Plant]:[Plant]],t_Plants[],Plants!CO$1,FALSE)</f>
        <v>280</v>
      </c>
      <c r="BQ17" s="14">
        <f>VLOOKUP(t_Parts[[Plant]:[Plant]],t_Plants[],Plants!CP$1,FALSE)</f>
        <v>350</v>
      </c>
      <c r="BR17" s="14">
        <f>VLOOKUP(t_Parts[[Plant]:[Plant]],t_Plants[],Plants!CQ$1,FALSE)</f>
        <v>280</v>
      </c>
      <c r="BS17" s="14">
        <f>VLOOKUP(t_Parts[[Plant]:[Plant]],t_Plants[],Plants!CR$1,FALSE)</f>
        <v>280</v>
      </c>
      <c r="BT17" s="14">
        <f>VLOOKUP(t_Parts[[Plant]:[Plant]],t_Plants[],Plants!CS$1,FALSE)</f>
        <v>350</v>
      </c>
      <c r="BU17" s="14">
        <f>VLOOKUP(t_Parts[[Plant]:[Plant]],t_Plants[],Plants!CT$1,FALSE)</f>
        <v>280</v>
      </c>
      <c r="BV17" s="14">
        <f>VLOOKUP(t_Parts[[Plant]:[Plant]],t_Plants[],Plants!CU$1,FALSE)</f>
        <v>280</v>
      </c>
      <c r="BW17" s="14">
        <f>VLOOKUP(t_Parts[[Plant]:[Plant]],t_Plants[],Plants!CV$1,FALSE)</f>
        <v>350</v>
      </c>
      <c r="BX17" s="14">
        <f>VLOOKUP(t_Parts[[Plant]:[Plant]],t_Plants[],Plants!CW$1,FALSE)</f>
        <v>280</v>
      </c>
      <c r="BY17" s="14">
        <f>VLOOKUP(t_Parts[[Plant]:[Plant]],t_Plants[],Plants!CX$1,FALSE)</f>
        <v>280</v>
      </c>
      <c r="BZ17" s="14">
        <f>VLOOKUP(t_Parts[[Plant]:[Plant]],t_Plants[],Plants!CY$1,FALSE)</f>
        <v>350</v>
      </c>
      <c r="CA17" s="40">
        <f>SUM(t_Parts[[#This Row],[ha2015.01]:[ha2015.12]])</f>
        <v>3640</v>
      </c>
      <c r="CB17" s="14">
        <f>VLOOKUP(t_Parts[[Plant]:[Plant]],t_Plants[],Plants!DA$1,FALSE)</f>
        <v>280</v>
      </c>
      <c r="CC17" s="14">
        <f>VLOOKUP(t_Parts[[Plant]:[Plant]],t_Plants[],Plants!DB$1,FALSE)</f>
        <v>280</v>
      </c>
      <c r="CD17" s="14">
        <f>VLOOKUP(t_Parts[[Plant]:[Plant]],t_Plants[],Plants!DC$1,FALSE)</f>
        <v>350</v>
      </c>
      <c r="CE17" s="14">
        <f>VLOOKUP(t_Parts[[Plant]:[Plant]],t_Plants[],Plants!DD$1,FALSE)</f>
        <v>280</v>
      </c>
      <c r="CF17" s="14">
        <f>VLOOKUP(t_Parts[[Plant]:[Plant]],t_Plants[],Plants!DE$1,FALSE)</f>
        <v>280</v>
      </c>
      <c r="CG17" s="14">
        <f>VLOOKUP(t_Parts[[Plant]:[Plant]],t_Plants[],Plants!DF$1,FALSE)</f>
        <v>350</v>
      </c>
      <c r="CH17" s="14">
        <f>VLOOKUP(t_Parts[[Plant]:[Plant]],t_Plants[],Plants!DG$1,FALSE)</f>
        <v>280</v>
      </c>
      <c r="CI17" s="14">
        <f>VLOOKUP(t_Parts[[Plant]:[Plant]],t_Plants[],Plants!DH$1,FALSE)</f>
        <v>280</v>
      </c>
      <c r="CJ17" s="14">
        <f>VLOOKUP(t_Parts[[Plant]:[Plant]],t_Plants[],Plants!DI$1,FALSE)</f>
        <v>350</v>
      </c>
      <c r="CK17" s="14">
        <f>VLOOKUP(t_Parts[[Plant]:[Plant]],t_Plants[],Plants!DJ$1,FALSE)</f>
        <v>280</v>
      </c>
      <c r="CL17" s="14">
        <f>VLOOKUP(t_Parts[[Plant]:[Plant]],t_Plants[],Plants!DK$1,FALSE)</f>
        <v>280</v>
      </c>
      <c r="CM17" s="14">
        <f>VLOOKUP(t_Parts[[Plant]:[Plant]],t_Plants[],Plants!DL$1,FALSE)</f>
        <v>350</v>
      </c>
      <c r="CN17" s="14">
        <f>VLOOKUP(t_Parts[[Plant]:[Plant]],t_Plants[],Plants!DM$1,FALSE)</f>
        <v>3640</v>
      </c>
      <c r="CO17" s="14">
        <f>VLOOKUP(t_Parts[[Plant]:[Plant]],t_Plants[],Plants!DN$1,FALSE)</f>
        <v>3640</v>
      </c>
      <c r="CP17" s="14">
        <f>VLOOKUP(t_Parts[[Plant]:[Plant]],t_Plants[],Plants!DO$1,FALSE)</f>
        <v>3640</v>
      </c>
      <c r="CQ17" s="14">
        <f>VLOOKUP(t_Parts[[Plant]:[Plant]],t_Plants[],Plants!DP$1,FALSE)</f>
        <v>3640</v>
      </c>
      <c r="CR17" s="39">
        <f>IF(AND(AL$3&gt;=VALUE(t_Parts[[SOP]:[SOP]]),AL$3&lt;=VALUE(t_Parts[[EOP]:[EOP]])), t_Parts[[SetupHrsPerMo]:[SetupHrsPerMo]]+(t_Parts[[#This Row],[pv2015.01]]/t_Parts[[NetPPH]:[NetPPH]]),0)</f>
        <v>1.1198801198801198</v>
      </c>
      <c r="CS17" s="39">
        <f>IF(AND(AM$3&gt;=VALUE(t_Parts[[SOP]:[SOP]]),AM$3&lt;=VALUE(t_Parts[[EOP]:[EOP]])), t_Parts[[SetupHrsPerMo]:[SetupHrsPerMo]]+(t_Parts[[#This Row],[pv2015.02]]/t_Parts[[NetPPH]:[NetPPH]]),0)</f>
        <v>1.1198801198801198</v>
      </c>
      <c r="CT17" s="39">
        <f>IF(AND(AN$3&gt;=VALUE(t_Parts[[SOP]:[SOP]]),AN$3&lt;=VALUE(t_Parts[[EOP]:[EOP]])), t_Parts[[SetupHrsPerMo]:[SetupHrsPerMo]]+(t_Parts[[#This Row],[pv2015.03]]/t_Parts[[NetPPH]:[NetPPH]]),0)</f>
        <v>1.1498501498501499</v>
      </c>
      <c r="CU17" s="39">
        <f>IF(AND(AO$3&gt;=VALUE(t_Parts[[SOP]:[SOP]]),AO$3&lt;=VALUE(t_Parts[[EOP]:[EOP]])), t_Parts[[SetupHrsPerMo]:[SetupHrsPerMo]]+(t_Parts[[#This Row],[pv2015.04]]/t_Parts[[NetPPH]:[NetPPH]]),0)</f>
        <v>1.1198801198801198</v>
      </c>
      <c r="CV17" s="39">
        <f>IF(AND(AP$3&gt;=VALUE(t_Parts[[SOP]:[SOP]]),AP$3&lt;=VALUE(t_Parts[[EOP]:[EOP]])), t_Parts[[SetupHrsPerMo]:[SetupHrsPerMo]]+(t_Parts[[#This Row],[pv2015.05]]/t_Parts[[NetPPH]:[NetPPH]]),0)</f>
        <v>1.1198801198801198</v>
      </c>
      <c r="CW17" s="39">
        <f>IF(AND(AQ$3&gt;=VALUE(t_Parts[[SOP]:[SOP]]),AQ$3&lt;=VALUE(t_Parts[[EOP]:[EOP]])), t_Parts[[SetupHrsPerMo]:[SetupHrsPerMo]]+(t_Parts[[#This Row],[pv2015.06]]/t_Parts[[NetPPH]:[NetPPH]]),0)</f>
        <v>1.1498501498501499</v>
      </c>
      <c r="CX17" s="39">
        <f>IF(AND(AR$3&gt;=VALUE(t_Parts[[SOP]:[SOP]]),AR$3&lt;=VALUE(t_Parts[[EOP]:[EOP]])), t_Parts[[SetupHrsPerMo]:[SetupHrsPerMo]]+(t_Parts[[#This Row],[pv2015.07]]/t_Parts[[NetPPH]:[NetPPH]]),0)</f>
        <v>1.1198801198801198</v>
      </c>
      <c r="CY17" s="39">
        <f>IF(AND(AS$3&gt;=VALUE(t_Parts[[SOP]:[SOP]]),AS$3&lt;=VALUE(t_Parts[[EOP]:[EOP]])), t_Parts[[SetupHrsPerMo]:[SetupHrsPerMo]]+(t_Parts[[#This Row],[pv2015.08]]/t_Parts[[NetPPH]:[NetPPH]]),0)</f>
        <v>1.1198801198801198</v>
      </c>
      <c r="CZ17" s="39">
        <f>IF(AND(AT$3&gt;=VALUE(t_Parts[[SOP]:[SOP]]),AT$3&lt;=VALUE(t_Parts[[EOP]:[EOP]])), t_Parts[[SetupHrsPerMo]:[SetupHrsPerMo]]+(t_Parts[[#This Row],[pv2015.09]]/t_Parts[[NetPPH]:[NetPPH]]),0)</f>
        <v>1.1498501498501499</v>
      </c>
      <c r="DA17" s="39">
        <f>IF(AND(AU$3&gt;=VALUE(t_Parts[[SOP]:[SOP]]),AU$3&lt;=VALUE(t_Parts[[EOP]:[EOP]])), t_Parts[[SetupHrsPerMo]:[SetupHrsPerMo]]+(t_Parts[[#This Row],[pv2015.10]]/t_Parts[[NetPPH]:[NetPPH]]),0)</f>
        <v>1.1198801198801198</v>
      </c>
      <c r="DB17" s="39">
        <f>IF(AND(AV$3&gt;=VALUE(t_Parts[[SOP]:[SOP]]),AV$3&lt;=VALUE(t_Parts[[EOP]:[EOP]])), t_Parts[[SetupHrsPerMo]:[SetupHrsPerMo]]+(t_Parts[[#This Row],[pv2015.11]]/t_Parts[[NetPPH]:[NetPPH]]),0)</f>
        <v>1.1198801198801198</v>
      </c>
      <c r="DC17" s="39">
        <f>IF(AND(AW$3&gt;=VALUE(t_Parts[[SOP]:[SOP]]),AW$3&lt;=VALUE(t_Parts[[EOP]:[EOP]])), t_Parts[[SetupHrsPerMo]:[SetupHrsPerMo]]+(t_Parts[[#This Row],[pv2015.12]]/t_Parts[[NetPPH]:[NetPPH]]),0)</f>
        <v>1.1498501498501499</v>
      </c>
      <c r="DD17" s="39">
        <f>SUM(t_Parts[[#This Row],[hp2015.01]:[hp2015.12]])</f>
        <v>13.558441558441558</v>
      </c>
      <c r="DE17" s="39">
        <f>IF(AND(AY$3&gt;=VALUE(t_Parts[[SOP]:[SOP]]),AY$3&lt;=VALUE(t_Parts[[EOP]:[EOP]])), t_Parts[[SetupHrsPerMo]:[SetupHrsPerMo]]+(t_Parts[[#This Row],[pv2016.01]]/t_Parts[[NetPPH]:[NetPPH]]),0)</f>
        <v>0</v>
      </c>
      <c r="DF17" s="39">
        <f>IF(AND(AZ$3&gt;=VALUE(t_Parts[[SOP]:[SOP]]),AZ$3&lt;=VALUE(t_Parts[[EOP]:[EOP]])), t_Parts[[SetupHrsPerMo]:[SetupHrsPerMo]]+(t_Parts[[#This Row],[pv2016.02]]/t_Parts[[NetPPH]:[NetPPH]]),0)</f>
        <v>0</v>
      </c>
      <c r="DG17" s="39">
        <f>IF(AND(BA$3&gt;=VALUE(t_Parts[[SOP]:[SOP]]),BA$3&lt;=VALUE(t_Parts[[EOP]:[EOP]])), t_Parts[[SetupHrsPerMo]:[SetupHrsPerMo]]+(t_Parts[[#This Row],[pv2016.03]]/t_Parts[[NetPPH]:[NetPPH]]),0)</f>
        <v>0</v>
      </c>
      <c r="DH17" s="39">
        <f>IF(AND(BB$3&gt;=VALUE(t_Parts[[SOP]:[SOP]]),BB$3&lt;=VALUE(t_Parts[[EOP]:[EOP]])), t_Parts[[SetupHrsPerMo]:[SetupHrsPerMo]]+(t_Parts[[#This Row],[pv2016.04]]/t_Parts[[NetPPH]:[NetPPH]]),0)</f>
        <v>0</v>
      </c>
      <c r="DI17" s="39">
        <f>IF(AND(BC$3&gt;=VALUE(t_Parts[[SOP]:[SOP]]),BC$3&lt;=VALUE(t_Parts[[EOP]:[EOP]])), t_Parts[[SetupHrsPerMo]:[SetupHrsPerMo]]+(t_Parts[[#This Row],[pv2016.05]]/t_Parts[[NetPPH]:[NetPPH]]),0)</f>
        <v>0</v>
      </c>
      <c r="DJ17" s="39">
        <f>IF(AND(BD$3&gt;=VALUE(t_Parts[[SOP]:[SOP]]),BD$3&lt;=VALUE(t_Parts[[EOP]:[EOP]])), t_Parts[[SetupHrsPerMo]:[SetupHrsPerMo]]+(t_Parts[[#This Row],[pv2016.06]]/t_Parts[[NetPPH]:[NetPPH]]),0)</f>
        <v>0</v>
      </c>
      <c r="DK17" s="39">
        <f>IF(AND(BE$3&gt;=VALUE(t_Parts[[SOP]:[SOP]]),BE$3&lt;=VALUE(t_Parts[[EOP]:[EOP]])), t_Parts[[SetupHrsPerMo]:[SetupHrsPerMo]]+(t_Parts[[#This Row],[pv2016.07]]/t_Parts[[NetPPH]:[NetPPH]]),0)</f>
        <v>0</v>
      </c>
      <c r="DL17" s="39">
        <f>IF(AND(BF$3&gt;=VALUE(t_Parts[[SOP]:[SOP]]),BF$3&lt;=VALUE(t_Parts[[EOP]:[EOP]])), t_Parts[[SetupHrsPerMo]:[SetupHrsPerMo]]+(t_Parts[[#This Row],[pv2016.08]]/t_Parts[[NetPPH]:[NetPPH]]),0)</f>
        <v>0</v>
      </c>
      <c r="DM17" s="39">
        <f>IF(AND(BG$3&gt;=VALUE(t_Parts[[SOP]:[SOP]]),BG$3&lt;=VALUE(t_Parts[[EOP]:[EOP]])), t_Parts[[SetupHrsPerMo]:[SetupHrsPerMo]]+(t_Parts[[#This Row],[pv2016.09]]/t_Parts[[NetPPH]:[NetPPH]]),0)</f>
        <v>0</v>
      </c>
      <c r="DN17" s="39">
        <f>IF(AND(BH$3&gt;=VALUE(t_Parts[[SOP]:[SOP]]),BH$3&lt;=VALUE(t_Parts[[EOP]:[EOP]])), t_Parts[[SetupHrsPerMo]:[SetupHrsPerMo]]+(t_Parts[[#This Row],[pv2016.10]]/t_Parts[[NetPPH]:[NetPPH]]),0)</f>
        <v>0</v>
      </c>
      <c r="DO17" s="39">
        <f>IF(AND(BI$3&gt;=VALUE(t_Parts[[SOP]:[SOP]]),BI$3&lt;=VALUE(t_Parts[[EOP]:[EOP]])), t_Parts[[SetupHrsPerMo]:[SetupHrsPerMo]]+(t_Parts[[#This Row],[pv2016.11]]/t_Parts[[NetPPH]:[NetPPH]]),0)</f>
        <v>0</v>
      </c>
      <c r="DP17" s="39">
        <f>IF(AND(BJ$3&gt;=VALUE(t_Parts[[SOP]:[SOP]]),BJ$3&lt;=VALUE(t_Parts[[EOP]:[EOP]])), t_Parts[[SetupHrsPerMo]:[SetupHrsPerMo]]+(t_Parts[[#This Row],[pv2016.12]]/t_Parts[[NetPPH]:[NetPPH]]),0)</f>
        <v>0</v>
      </c>
      <c r="DQ17" s="39">
        <f>SUM(t_Parts[[#This Row],[hp2016.01]:[hp2016.12]])</f>
        <v>0</v>
      </c>
      <c r="DR17" s="39">
        <f>IF(AND(BL$3&gt;=VALUE(t_Parts[[SOP]:[SOP]]),BL$3&lt;=VALUE(t_Parts[[EOP]:[EOP]])), 12*t_Parts[[SetupHrsPerMo]:[SetupHrsPerMo]]+(t_Parts[[#This Row],[pv2017]]/t_Parts[[NetPPH]:[NetPPH]]),0)</f>
        <v>0</v>
      </c>
      <c r="DS17" s="39">
        <f>IF(AND(BM$3&gt;=VALUE(t_Parts[[SOP]:[SOP]]),BM$3&lt;=VALUE(t_Parts[[EOP]:[EOP]])), 12*t_Parts[[SetupHrsPerMo]:[SetupHrsPerMo]]+(t_Parts[[#This Row],[pv2018]]/t_Parts[[NetPPH]:[NetPPH]]),0)</f>
        <v>0</v>
      </c>
      <c r="DT17" s="39">
        <f>IF(AND(BN$3&gt;=VALUE(t_Parts[[SOP]:[SOP]]),BN$3&lt;=VALUE(t_Parts[[EOP]:[EOP]])), 12*t_Parts[[SetupHrsPerMo]:[SetupHrsPerMo]]+(t_Parts[[#This Row],[pv2019]]/t_Parts[[NetPPH]:[NetPPH]]),0)</f>
        <v>0</v>
      </c>
      <c r="DU17" s="47">
        <f>t_Parts[[#This Row],[hp2015.01]]/t_Parts[[#This Row],[ha2015.01]]</f>
        <v>3.9995718567147134E-3</v>
      </c>
      <c r="DV17" s="47">
        <f>t_Parts[[#This Row],[hp2015.02]]/t_Parts[[#This Row],[ha2015.02]]</f>
        <v>3.9995718567147134E-3</v>
      </c>
      <c r="DW17" s="47">
        <f>t_Parts[[#This Row],[hp2015.03]]/t_Parts[[#This Row],[ha2015.03]]</f>
        <v>3.2852861424289997E-3</v>
      </c>
      <c r="DX17" s="47">
        <f>t_Parts[[#This Row],[hp2015.04]]/t_Parts[[#This Row],[ha2015.04]]</f>
        <v>3.9995718567147134E-3</v>
      </c>
      <c r="DY17" s="47">
        <f>t_Parts[[#This Row],[hp2015.05]]/t_Parts[[#This Row],[ha2015.05]]</f>
        <v>3.9995718567147134E-3</v>
      </c>
      <c r="DZ17" s="47">
        <f>t_Parts[[#This Row],[hp2015.06]]/t_Parts[[#This Row],[ha2015.06]]</f>
        <v>3.2852861424289997E-3</v>
      </c>
      <c r="EA17" s="47">
        <f>t_Parts[[#This Row],[hp2015.07]]/t_Parts[[#This Row],[ha2015.07]]</f>
        <v>3.9995718567147134E-3</v>
      </c>
      <c r="EB17" s="47">
        <f>t_Parts[[#This Row],[hp2015.08]]/t_Parts[[#This Row],[ha2015.08]]</f>
        <v>3.9995718567147134E-3</v>
      </c>
      <c r="EC17" s="47">
        <f>t_Parts[[#This Row],[hp2015.09]]/t_Parts[[#This Row],[ha2015.09]]</f>
        <v>3.2852861424289997E-3</v>
      </c>
      <c r="ED17" s="47">
        <f>t_Parts[[#This Row],[hp2015.10]]/t_Parts[[#This Row],[ha2015.10]]</f>
        <v>3.9995718567147134E-3</v>
      </c>
      <c r="EE17" s="47">
        <f>t_Parts[[#This Row],[hp2015.11]]/t_Parts[[#This Row],[ha2015.11]]</f>
        <v>3.9995718567147134E-3</v>
      </c>
      <c r="EF17" s="47">
        <f>t_Parts[[#This Row],[hp2015.12]]/t_Parts[[#This Row],[ha2015.12]]</f>
        <v>3.2852861424289997E-3</v>
      </c>
      <c r="EG17" s="47">
        <f>t_Parts[[#This Row],[hp2015.FY]]/t_Parts[[#This Row],[ha2015.FY]]</f>
        <v>3.7248465819894388E-3</v>
      </c>
      <c r="EH17" s="47">
        <f>t_Parts[[#This Row],[hp2016.01]]/t_Parts[[#This Row],[ha2016.01]]</f>
        <v>0</v>
      </c>
      <c r="EI17" s="47">
        <f>t_Parts[[#This Row],[hp2016.02]]/t_Parts[[#This Row],[ha2016.02]]</f>
        <v>0</v>
      </c>
      <c r="EJ17" s="47">
        <f>t_Parts[[#This Row],[hp2016.03]]/t_Parts[[#This Row],[ha2016.03]]</f>
        <v>0</v>
      </c>
      <c r="EK17" s="47">
        <f>t_Parts[[#This Row],[hp2016.04]]/t_Parts[[#This Row],[ha2016.04]]</f>
        <v>0</v>
      </c>
      <c r="EL17" s="47">
        <f>t_Parts[[#This Row],[hp2016.05]]/t_Parts[[#This Row],[ha2016.05]]</f>
        <v>0</v>
      </c>
      <c r="EM17" s="47">
        <f>t_Parts[[#This Row],[hp2016.06]]/t_Parts[[#This Row],[ha2016.06]]</f>
        <v>0</v>
      </c>
      <c r="EN17" s="47">
        <f>t_Parts[[#This Row],[hp2016.07]]/t_Parts[[#This Row],[ha2016.07]]</f>
        <v>0</v>
      </c>
      <c r="EO17" s="47">
        <f>t_Parts[[#This Row],[hp2016.08]]/t_Parts[[#This Row],[ha2016.08]]</f>
        <v>0</v>
      </c>
      <c r="EP17" s="47">
        <f>t_Parts[[#This Row],[hp2016.09]]/t_Parts[[#This Row],[ha2016.09]]</f>
        <v>0</v>
      </c>
      <c r="EQ17" s="47">
        <f>t_Parts[[#This Row],[hp2016.10]]/t_Parts[[#This Row],[ha2016.10]]</f>
        <v>0</v>
      </c>
      <c r="ER17" s="47">
        <f>t_Parts[[#This Row],[hp2016.11]]/t_Parts[[#This Row],[ha2016.11]]</f>
        <v>0</v>
      </c>
      <c r="ES17" s="47">
        <f>t_Parts[[#This Row],[hp2016.12]]/t_Parts[[#This Row],[ha2016.12]]</f>
        <v>0</v>
      </c>
      <c r="ET17" s="47">
        <f>t_Parts[[#This Row],[hp2016.FY]]/t_Parts[[#This Row],[ha2016.FY]]</f>
        <v>0</v>
      </c>
      <c r="EU17" s="47">
        <f>t_Parts[[#This Row],[hp2017]]/t_Parts[[#This Row],[ha2017]]</f>
        <v>0</v>
      </c>
      <c r="EV17" s="47">
        <f>t_Parts[[#This Row],[hp2018]]/t_Parts[[#This Row],[ha2018]]</f>
        <v>0</v>
      </c>
      <c r="EW17" s="47">
        <f>t_Parts[[#This Row],[hp2019]]/t_Parts[[#This Row],[hp2015.01]]</f>
        <v>0</v>
      </c>
      <c r="EX17" s="58">
        <f>(t_Parts[[#This Row],[ha2015.01]]-t_Parts[[#This Row],[hp2015.01]])*t_Parts[[NetPPH]:[NetPPH]]</f>
        <v>322106.53846153844</v>
      </c>
      <c r="EY17" s="58">
        <f>(t_Parts[[#This Row],[ha2015.02]]-t_Parts[[#This Row],[hp2015.02]])*t_Parts[[NetPPH]:[NetPPH]]</f>
        <v>322106.53846153844</v>
      </c>
      <c r="EZ17" s="58">
        <f>(t_Parts[[#This Row],[ha2015.03]]-t_Parts[[#This Row],[hp2015.03]])*t_Parts[[NetPPH]:[NetPPH]]</f>
        <v>402921.92307692312</v>
      </c>
      <c r="FA17" s="58">
        <f>(t_Parts[[#This Row],[ha2015.04]]-t_Parts[[#This Row],[hp2015.04]])*t_Parts[[NetPPH]:[NetPPH]]</f>
        <v>322106.53846153844</v>
      </c>
      <c r="FB17" s="58">
        <f>(t_Parts[[#This Row],[ha2015.05]]-t_Parts[[#This Row],[hp2015.05]])*t_Parts[[NetPPH]:[NetPPH]]</f>
        <v>322106.53846153844</v>
      </c>
      <c r="FC17" s="58">
        <f>(t_Parts[[#This Row],[ha2015.06]]-t_Parts[[#This Row],[hp2015.06]])*t_Parts[[NetPPH]:[NetPPH]]</f>
        <v>402921.92307692312</v>
      </c>
      <c r="FD17" s="58">
        <f>(t_Parts[[#This Row],[ha2015.07]]-t_Parts[[#This Row],[hp2015.07]])*t_Parts[[NetPPH]:[NetPPH]]</f>
        <v>322106.53846153844</v>
      </c>
      <c r="FE17" s="58">
        <f>(t_Parts[[#This Row],[ha2015.08]]-t_Parts[[#This Row],[hp2015.08]])*t_Parts[[NetPPH]:[NetPPH]]</f>
        <v>322106.53846153844</v>
      </c>
      <c r="FF17" s="58">
        <f>(t_Parts[[#This Row],[ha2015.09]]-t_Parts[[#This Row],[hp2015.09]])*t_Parts[[NetPPH]:[NetPPH]]</f>
        <v>402921.92307692312</v>
      </c>
      <c r="FG17" s="58">
        <f>(t_Parts[[#This Row],[ha2015.10]]-t_Parts[[#This Row],[hp2015.10]])*t_Parts[[NetPPH]:[NetPPH]]</f>
        <v>322106.53846153844</v>
      </c>
      <c r="FH17" s="58">
        <f>(t_Parts[[#This Row],[ha2015.11]]-t_Parts[[#This Row],[hp2015.11]])*t_Parts[[NetPPH]:[NetPPH]]</f>
        <v>322106.53846153844</v>
      </c>
      <c r="FI17" s="58">
        <f>(t_Parts[[#This Row],[ha2015.12]]-t_Parts[[#This Row],[hp2015.12]])*t_Parts[[NetPPH]:[NetPPH]]</f>
        <v>402921.92307692312</v>
      </c>
      <c r="FJ17" s="58">
        <f>(t_Parts[[#This Row],[ha2015.FY]]-t_Parts[[#This Row],[hp2015.FY]])*t_Parts[[NetPPH]:[NetPPH]]</f>
        <v>4188540</v>
      </c>
      <c r="FK17" s="58">
        <f>(t_Parts[[#This Row],[ha2016.01]]-t_Parts[[#This Row],[hp2016.01]])*t_Parts[[NetPPH]:[NetPPH]]</f>
        <v>323400</v>
      </c>
      <c r="FL17" s="58">
        <f>(t_Parts[[#This Row],[ha2016.02]]-t_Parts[[#This Row],[hp2016.02]])*t_Parts[[NetPPH]:[NetPPH]]</f>
        <v>323400</v>
      </c>
      <c r="FM17" s="58">
        <f>(t_Parts[[#This Row],[ha2016.03]]-t_Parts[[#This Row],[hp2016.03]])*t_Parts[[NetPPH]:[NetPPH]]</f>
        <v>404250</v>
      </c>
      <c r="FN17" s="58">
        <f>(t_Parts[[#This Row],[ha2016.04]]-t_Parts[[#This Row],[hp2016.04]])*t_Parts[[NetPPH]:[NetPPH]]</f>
        <v>323400</v>
      </c>
      <c r="FO17" s="58">
        <f>(t_Parts[[#This Row],[ha2016.05]]-t_Parts[[#This Row],[hp2016.05]])*t_Parts[[NetPPH]:[NetPPH]]</f>
        <v>323400</v>
      </c>
      <c r="FP17" s="58">
        <f>(t_Parts[[#This Row],[ha2016.06]]-t_Parts[[#This Row],[hp2016.06]])*t_Parts[[NetPPH]:[NetPPH]]</f>
        <v>404250</v>
      </c>
      <c r="FQ17" s="58">
        <f>(t_Parts[[#This Row],[ha2016.07]]-t_Parts[[#This Row],[hp2016.07]])*t_Parts[[NetPPH]:[NetPPH]]</f>
        <v>323400</v>
      </c>
      <c r="FR17" s="58">
        <f>(t_Parts[[#This Row],[ha2016.08]]-t_Parts[[#This Row],[hp2016.08]])*t_Parts[[NetPPH]:[NetPPH]]</f>
        <v>323400</v>
      </c>
      <c r="FS17" s="58">
        <f>(t_Parts[[#This Row],[ha2016.09]]-t_Parts[[#This Row],[hp2016.09]])*t_Parts[[NetPPH]:[NetPPH]]</f>
        <v>404250</v>
      </c>
      <c r="FT17" s="58">
        <f>(t_Parts[[#This Row],[ha2016.10]]-t_Parts[[#This Row],[hp2016.10]])*t_Parts[[NetPPH]:[NetPPH]]</f>
        <v>323400</v>
      </c>
      <c r="FU17" s="58">
        <f>(t_Parts[[#This Row],[ha2016.11]]-t_Parts[[#This Row],[hp2016.11]])*t_Parts[[NetPPH]:[NetPPH]]</f>
        <v>323400</v>
      </c>
      <c r="FV17" s="58">
        <f>(t_Parts[[#This Row],[ha2016.12]]-t_Parts[[#This Row],[hp2016.12]])*t_Parts[[NetPPH]:[NetPPH]]</f>
        <v>404250</v>
      </c>
      <c r="FW17" s="58">
        <f>(t_Parts[[#This Row],[ha2016.FY]]-t_Parts[[#This Row],[hp2016.FY]])*t_Parts[[NetPPH]:[NetPPH]]</f>
        <v>4204200</v>
      </c>
      <c r="FX17" s="58">
        <f>(t_Parts[[#This Row],[ha2017]]-t_Parts[[#This Row],[hp2017]])*t_Parts[[NetPPH]:[NetPPH]]</f>
        <v>4204200</v>
      </c>
      <c r="FY17" s="58">
        <f>(t_Parts[[#This Row],[ha2018]]-t_Parts[[#This Row],[hp2018]])*t_Parts[[NetPPH]:[NetPPH]]</f>
        <v>4204200</v>
      </c>
      <c r="FZ17" s="58">
        <f>(t_Parts[[#This Row],[ha2019]]-t_Parts[[#This Row],[hp2019]])*t_Parts[[NetPPH]:[NetPPH]]</f>
        <v>4204200</v>
      </c>
    </row>
    <row r="18" spans="1:182" s="14" customFormat="1" x14ac:dyDescent="0.25">
      <c r="A18" s="74" t="s">
        <v>576</v>
      </c>
      <c r="B18" s="74"/>
      <c r="C18" s="74">
        <v>21013</v>
      </c>
      <c r="D18" s="75">
        <v>1</v>
      </c>
      <c r="E18" s="73">
        <v>1500</v>
      </c>
      <c r="F18" s="76">
        <v>1</v>
      </c>
      <c r="G18" s="77">
        <v>2</v>
      </c>
      <c r="H18" s="16">
        <v>2015.01</v>
      </c>
      <c r="I18" s="16" t="s">
        <v>81</v>
      </c>
      <c r="J18" s="73">
        <v>73624</v>
      </c>
      <c r="K18" s="73">
        <v>73624</v>
      </c>
      <c r="L18" s="73">
        <v>73624</v>
      </c>
      <c r="M18" s="73">
        <v>73624</v>
      </c>
      <c r="N18" s="73">
        <v>73624</v>
      </c>
      <c r="O18" s="78">
        <v>29</v>
      </c>
      <c r="P18" s="78">
        <v>47</v>
      </c>
      <c r="Q18" s="79"/>
      <c r="R18" s="79"/>
      <c r="S18" s="78"/>
      <c r="T18" s="80">
        <v>11</v>
      </c>
      <c r="U18" s="80" t="s">
        <v>121</v>
      </c>
      <c r="V18" s="81" t="s">
        <v>577</v>
      </c>
      <c r="W18" s="82">
        <v>0.56999999999999995</v>
      </c>
      <c r="X18" s="82" t="s">
        <v>501</v>
      </c>
      <c r="Y18" s="82"/>
      <c r="Z18" s="82"/>
      <c r="AA18" s="82"/>
      <c r="AB18" s="82"/>
      <c r="AC18" s="83" t="s">
        <v>667</v>
      </c>
      <c r="AD18" s="40" t="str">
        <f>VLOOKUP(t_Parts[[#This Row],[Press]],t_Presses[],Press!B$1,FALSE)</f>
        <v>Plainfield</v>
      </c>
      <c r="AE18" s="40" t="str">
        <f>VLOOKUP(t_Parts[[#This Row],[Press]],t_Presses[],Press!E$1,FALSE)</f>
        <v>0-299</v>
      </c>
      <c r="AF18" s="47">
        <f>VLOOKUP(t_Parts[[#This Row],[Plant]],t_Plants[],Plants!C$1,FALSE)</f>
        <v>0.55000000000000004</v>
      </c>
      <c r="AG18" s="47">
        <f>VLOOKUP(t_Parts[[#This Row],[Press]],t_Presses[],Press!F$1,FALSE)</f>
        <v>0</v>
      </c>
      <c r="AH18" s="84"/>
      <c r="AI18" s="47">
        <f>IF(ISBLANK(t_Parts[[#This Row],[PartOEE]])=FALSE,t_Parts[[#This Row],[PartOEE]], IF(t_Parts[[#This Row],[PressOEE]]&gt;0, t_Parts[[#This Row],[PressOEE]], t_Parts[[#This Row],[PlantOEE]] ))</f>
        <v>0.55000000000000004</v>
      </c>
      <c r="AJ18" s="70">
        <f>t_Parts[[#This Row],[SetupsPerMo]]*t_Parts[[#This Row],[SetupHrs]]</f>
        <v>2</v>
      </c>
      <c r="AK18" s="39">
        <f>(t_Parts[[#This Row],[PartsPerStroke]]*t_Parts[[#This Row],[StrokesPerHr]])*t_Parts[[#This Row],[UseOEE]]</f>
        <v>825.00000000000011</v>
      </c>
      <c r="AL1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5663.3846153846152</v>
      </c>
      <c r="AM1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5663.3846153846152</v>
      </c>
      <c r="AN1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7079.2307692307695</v>
      </c>
      <c r="AO1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5663.3846153846152</v>
      </c>
      <c r="AP1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5663.3846153846152</v>
      </c>
      <c r="AQ1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7079.2307692307695</v>
      </c>
      <c r="AR1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5663.3846153846152</v>
      </c>
      <c r="AS1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5663.3846153846152</v>
      </c>
      <c r="AT1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7079.2307692307695</v>
      </c>
      <c r="AU1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5663.3846153846152</v>
      </c>
      <c r="AV1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5663.3846153846152</v>
      </c>
      <c r="AW1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7079.2307692307695</v>
      </c>
      <c r="AX18" s="39">
        <f>SUM(t_Parts[[#This Row],[pv2015.01]:[pv2015.12]])</f>
        <v>73624</v>
      </c>
      <c r="AY1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5663.3846153846152</v>
      </c>
      <c r="AZ1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5663.3846153846152</v>
      </c>
      <c r="BA1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7079.2307692307695</v>
      </c>
      <c r="BB1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5663.3846153846152</v>
      </c>
      <c r="BC1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5663.3846153846152</v>
      </c>
      <c r="BD1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7079.2307692307695</v>
      </c>
      <c r="BE1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5663.3846153846152</v>
      </c>
      <c r="BF1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5663.3846153846152</v>
      </c>
      <c r="BG1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7079.2307692307695</v>
      </c>
      <c r="BH1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5663.3846153846152</v>
      </c>
      <c r="BI1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5663.3846153846152</v>
      </c>
      <c r="BJ1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7079.2307692307695</v>
      </c>
      <c r="BK18" s="39">
        <f>SUM(t_Parts[[#This Row],[pv2016.01]:[pv2016.12]])</f>
        <v>73624</v>
      </c>
      <c r="BL18" s="39">
        <f>t_Parts[[#This Row],[2017vol]]</f>
        <v>73624</v>
      </c>
      <c r="BM18" s="39">
        <f>t_Parts[[#This Row],[2018vol]]</f>
        <v>73624</v>
      </c>
      <c r="BN18" s="39">
        <f>t_Parts[[#This Row],[2019vol]]</f>
        <v>73624</v>
      </c>
      <c r="BO18" s="40">
        <f>VLOOKUP(t_Parts[[Plant]:[Plant]],t_Plants[],Plants!CN$1,FALSE)</f>
        <v>280</v>
      </c>
      <c r="BP18" s="14">
        <f>VLOOKUP(t_Parts[[Plant]:[Plant]],t_Plants[],Plants!CO$1,FALSE)</f>
        <v>280</v>
      </c>
      <c r="BQ18" s="14">
        <f>VLOOKUP(t_Parts[[Plant]:[Plant]],t_Plants[],Plants!CP$1,FALSE)</f>
        <v>350</v>
      </c>
      <c r="BR18" s="14">
        <f>VLOOKUP(t_Parts[[Plant]:[Plant]],t_Plants[],Plants!CQ$1,FALSE)</f>
        <v>280</v>
      </c>
      <c r="BS18" s="14">
        <f>VLOOKUP(t_Parts[[Plant]:[Plant]],t_Plants[],Plants!CR$1,FALSE)</f>
        <v>280</v>
      </c>
      <c r="BT18" s="14">
        <f>VLOOKUP(t_Parts[[Plant]:[Plant]],t_Plants[],Plants!CS$1,FALSE)</f>
        <v>350</v>
      </c>
      <c r="BU18" s="14">
        <f>VLOOKUP(t_Parts[[Plant]:[Plant]],t_Plants[],Plants!CT$1,FALSE)</f>
        <v>280</v>
      </c>
      <c r="BV18" s="14">
        <f>VLOOKUP(t_Parts[[Plant]:[Plant]],t_Plants[],Plants!CU$1,FALSE)</f>
        <v>280</v>
      </c>
      <c r="BW18" s="14">
        <f>VLOOKUP(t_Parts[[Plant]:[Plant]],t_Plants[],Plants!CV$1,FALSE)</f>
        <v>350</v>
      </c>
      <c r="BX18" s="14">
        <f>VLOOKUP(t_Parts[[Plant]:[Plant]],t_Plants[],Plants!CW$1,FALSE)</f>
        <v>280</v>
      </c>
      <c r="BY18" s="14">
        <f>VLOOKUP(t_Parts[[Plant]:[Plant]],t_Plants[],Plants!CX$1,FALSE)</f>
        <v>280</v>
      </c>
      <c r="BZ18" s="14">
        <f>VLOOKUP(t_Parts[[Plant]:[Plant]],t_Plants[],Plants!CY$1,FALSE)</f>
        <v>350</v>
      </c>
      <c r="CA18" s="40">
        <f>SUM(t_Parts[[#This Row],[ha2015.01]:[ha2015.12]])</f>
        <v>3640</v>
      </c>
      <c r="CB18" s="14">
        <f>VLOOKUP(t_Parts[[Plant]:[Plant]],t_Plants[],Plants!DA$1,FALSE)</f>
        <v>280</v>
      </c>
      <c r="CC18" s="14">
        <f>VLOOKUP(t_Parts[[Plant]:[Plant]],t_Plants[],Plants!DB$1,FALSE)</f>
        <v>280</v>
      </c>
      <c r="CD18" s="14">
        <f>VLOOKUP(t_Parts[[Plant]:[Plant]],t_Plants[],Plants!DC$1,FALSE)</f>
        <v>350</v>
      </c>
      <c r="CE18" s="14">
        <f>VLOOKUP(t_Parts[[Plant]:[Plant]],t_Plants[],Plants!DD$1,FALSE)</f>
        <v>280</v>
      </c>
      <c r="CF18" s="14">
        <f>VLOOKUP(t_Parts[[Plant]:[Plant]],t_Plants[],Plants!DE$1,FALSE)</f>
        <v>280</v>
      </c>
      <c r="CG18" s="14">
        <f>VLOOKUP(t_Parts[[Plant]:[Plant]],t_Plants[],Plants!DF$1,FALSE)</f>
        <v>350</v>
      </c>
      <c r="CH18" s="14">
        <f>VLOOKUP(t_Parts[[Plant]:[Plant]],t_Plants[],Plants!DG$1,FALSE)</f>
        <v>280</v>
      </c>
      <c r="CI18" s="14">
        <f>VLOOKUP(t_Parts[[Plant]:[Plant]],t_Plants[],Plants!DH$1,FALSE)</f>
        <v>280</v>
      </c>
      <c r="CJ18" s="14">
        <f>VLOOKUP(t_Parts[[Plant]:[Plant]],t_Plants[],Plants!DI$1,FALSE)</f>
        <v>350</v>
      </c>
      <c r="CK18" s="14">
        <f>VLOOKUP(t_Parts[[Plant]:[Plant]],t_Plants[],Plants!DJ$1,FALSE)</f>
        <v>280</v>
      </c>
      <c r="CL18" s="14">
        <f>VLOOKUP(t_Parts[[Plant]:[Plant]],t_Plants[],Plants!DK$1,FALSE)</f>
        <v>280</v>
      </c>
      <c r="CM18" s="14">
        <f>VLOOKUP(t_Parts[[Plant]:[Plant]],t_Plants[],Plants!DL$1,FALSE)</f>
        <v>350</v>
      </c>
      <c r="CN18" s="14">
        <f>VLOOKUP(t_Parts[[Plant]:[Plant]],t_Plants[],Plants!DM$1,FALSE)</f>
        <v>3640</v>
      </c>
      <c r="CO18" s="14">
        <f>VLOOKUP(t_Parts[[Plant]:[Plant]],t_Plants[],Plants!DN$1,FALSE)</f>
        <v>3640</v>
      </c>
      <c r="CP18" s="14">
        <f>VLOOKUP(t_Parts[[Plant]:[Plant]],t_Plants[],Plants!DO$1,FALSE)</f>
        <v>3640</v>
      </c>
      <c r="CQ18" s="14">
        <f>VLOOKUP(t_Parts[[Plant]:[Plant]],t_Plants[],Plants!DP$1,FALSE)</f>
        <v>3640</v>
      </c>
      <c r="CR18" s="39">
        <f>IF(AND(AL$3&gt;=VALUE(t_Parts[[SOP]:[SOP]]),AL$3&lt;=VALUE(t_Parts[[EOP]:[EOP]])), t_Parts[[SetupHrsPerMo]:[SetupHrsPerMo]]+(t_Parts[[#This Row],[pv2015.01]]/t_Parts[[NetPPH]:[NetPPH]]),0)</f>
        <v>8.8647086247086229</v>
      </c>
      <c r="CS18" s="39">
        <f>IF(AND(AM$3&gt;=VALUE(t_Parts[[SOP]:[SOP]]),AM$3&lt;=VALUE(t_Parts[[EOP]:[EOP]])), t_Parts[[SetupHrsPerMo]:[SetupHrsPerMo]]+(t_Parts[[#This Row],[pv2015.02]]/t_Parts[[NetPPH]:[NetPPH]]),0)</f>
        <v>8.8647086247086229</v>
      </c>
      <c r="CT18" s="39">
        <f>IF(AND(AN$3&gt;=VALUE(t_Parts[[SOP]:[SOP]]),AN$3&lt;=VALUE(t_Parts[[EOP]:[EOP]])), t_Parts[[SetupHrsPerMo]:[SetupHrsPerMo]]+(t_Parts[[#This Row],[pv2015.03]]/t_Parts[[NetPPH]:[NetPPH]]),0)</f>
        <v>10.580885780885779</v>
      </c>
      <c r="CU18" s="39">
        <f>IF(AND(AO$3&gt;=VALUE(t_Parts[[SOP]:[SOP]]),AO$3&lt;=VALUE(t_Parts[[EOP]:[EOP]])), t_Parts[[SetupHrsPerMo]:[SetupHrsPerMo]]+(t_Parts[[#This Row],[pv2015.04]]/t_Parts[[NetPPH]:[NetPPH]]),0)</f>
        <v>8.8647086247086229</v>
      </c>
      <c r="CV18" s="39">
        <f>IF(AND(AP$3&gt;=VALUE(t_Parts[[SOP]:[SOP]]),AP$3&lt;=VALUE(t_Parts[[EOP]:[EOP]])), t_Parts[[SetupHrsPerMo]:[SetupHrsPerMo]]+(t_Parts[[#This Row],[pv2015.05]]/t_Parts[[NetPPH]:[NetPPH]]),0)</f>
        <v>8.8647086247086229</v>
      </c>
      <c r="CW18" s="39">
        <f>IF(AND(AQ$3&gt;=VALUE(t_Parts[[SOP]:[SOP]]),AQ$3&lt;=VALUE(t_Parts[[EOP]:[EOP]])), t_Parts[[SetupHrsPerMo]:[SetupHrsPerMo]]+(t_Parts[[#This Row],[pv2015.06]]/t_Parts[[NetPPH]:[NetPPH]]),0)</f>
        <v>10.580885780885779</v>
      </c>
      <c r="CX18" s="39">
        <f>IF(AND(AR$3&gt;=VALUE(t_Parts[[SOP]:[SOP]]),AR$3&lt;=VALUE(t_Parts[[EOP]:[EOP]])), t_Parts[[SetupHrsPerMo]:[SetupHrsPerMo]]+(t_Parts[[#This Row],[pv2015.07]]/t_Parts[[NetPPH]:[NetPPH]]),0)</f>
        <v>8.8647086247086229</v>
      </c>
      <c r="CY18" s="39">
        <f>IF(AND(AS$3&gt;=VALUE(t_Parts[[SOP]:[SOP]]),AS$3&lt;=VALUE(t_Parts[[EOP]:[EOP]])), t_Parts[[SetupHrsPerMo]:[SetupHrsPerMo]]+(t_Parts[[#This Row],[pv2015.08]]/t_Parts[[NetPPH]:[NetPPH]]),0)</f>
        <v>8.8647086247086229</v>
      </c>
      <c r="CZ18" s="39">
        <f>IF(AND(AT$3&gt;=VALUE(t_Parts[[SOP]:[SOP]]),AT$3&lt;=VALUE(t_Parts[[EOP]:[EOP]])), t_Parts[[SetupHrsPerMo]:[SetupHrsPerMo]]+(t_Parts[[#This Row],[pv2015.09]]/t_Parts[[NetPPH]:[NetPPH]]),0)</f>
        <v>10.580885780885779</v>
      </c>
      <c r="DA18" s="39">
        <f>IF(AND(AU$3&gt;=VALUE(t_Parts[[SOP]:[SOP]]),AU$3&lt;=VALUE(t_Parts[[EOP]:[EOP]])), t_Parts[[SetupHrsPerMo]:[SetupHrsPerMo]]+(t_Parts[[#This Row],[pv2015.10]]/t_Parts[[NetPPH]:[NetPPH]]),0)</f>
        <v>8.8647086247086229</v>
      </c>
      <c r="DB18" s="39">
        <f>IF(AND(AV$3&gt;=VALUE(t_Parts[[SOP]:[SOP]]),AV$3&lt;=VALUE(t_Parts[[EOP]:[EOP]])), t_Parts[[SetupHrsPerMo]:[SetupHrsPerMo]]+(t_Parts[[#This Row],[pv2015.11]]/t_Parts[[NetPPH]:[NetPPH]]),0)</f>
        <v>8.8647086247086229</v>
      </c>
      <c r="DC18" s="39">
        <f>IF(AND(AW$3&gt;=VALUE(t_Parts[[SOP]:[SOP]]),AW$3&lt;=VALUE(t_Parts[[EOP]:[EOP]])), t_Parts[[SetupHrsPerMo]:[SetupHrsPerMo]]+(t_Parts[[#This Row],[pv2015.12]]/t_Parts[[NetPPH]:[NetPPH]]),0)</f>
        <v>10.580885780885779</v>
      </c>
      <c r="DD18" s="39">
        <f>SUM(t_Parts[[#This Row],[hp2015.01]:[hp2015.12]])</f>
        <v>113.24121212121211</v>
      </c>
      <c r="DE18" s="39">
        <f>IF(AND(AY$3&gt;=VALUE(t_Parts[[SOP]:[SOP]]),AY$3&lt;=VALUE(t_Parts[[EOP]:[EOP]])), t_Parts[[SetupHrsPerMo]:[SetupHrsPerMo]]+(t_Parts[[#This Row],[pv2016.01]]/t_Parts[[NetPPH]:[NetPPH]]),0)</f>
        <v>8.8647086247086229</v>
      </c>
      <c r="DF18" s="39">
        <f>IF(AND(AZ$3&gt;=VALUE(t_Parts[[SOP]:[SOP]]),AZ$3&lt;=VALUE(t_Parts[[EOP]:[EOP]])), t_Parts[[SetupHrsPerMo]:[SetupHrsPerMo]]+(t_Parts[[#This Row],[pv2016.02]]/t_Parts[[NetPPH]:[NetPPH]]),0)</f>
        <v>8.8647086247086229</v>
      </c>
      <c r="DG18" s="39">
        <f>IF(AND(BA$3&gt;=VALUE(t_Parts[[SOP]:[SOP]]),BA$3&lt;=VALUE(t_Parts[[EOP]:[EOP]])), t_Parts[[SetupHrsPerMo]:[SetupHrsPerMo]]+(t_Parts[[#This Row],[pv2016.03]]/t_Parts[[NetPPH]:[NetPPH]]),0)</f>
        <v>10.580885780885779</v>
      </c>
      <c r="DH18" s="39">
        <f>IF(AND(BB$3&gt;=VALUE(t_Parts[[SOP]:[SOP]]),BB$3&lt;=VALUE(t_Parts[[EOP]:[EOP]])), t_Parts[[SetupHrsPerMo]:[SetupHrsPerMo]]+(t_Parts[[#This Row],[pv2016.04]]/t_Parts[[NetPPH]:[NetPPH]]),0)</f>
        <v>8.8647086247086229</v>
      </c>
      <c r="DI18" s="39">
        <f>IF(AND(BC$3&gt;=VALUE(t_Parts[[SOP]:[SOP]]),BC$3&lt;=VALUE(t_Parts[[EOP]:[EOP]])), t_Parts[[SetupHrsPerMo]:[SetupHrsPerMo]]+(t_Parts[[#This Row],[pv2016.05]]/t_Parts[[NetPPH]:[NetPPH]]),0)</f>
        <v>8.8647086247086229</v>
      </c>
      <c r="DJ18" s="39">
        <f>IF(AND(BD$3&gt;=VALUE(t_Parts[[SOP]:[SOP]]),BD$3&lt;=VALUE(t_Parts[[EOP]:[EOP]])), t_Parts[[SetupHrsPerMo]:[SetupHrsPerMo]]+(t_Parts[[#This Row],[pv2016.06]]/t_Parts[[NetPPH]:[NetPPH]]),0)</f>
        <v>10.580885780885779</v>
      </c>
      <c r="DK18" s="39">
        <f>IF(AND(BE$3&gt;=VALUE(t_Parts[[SOP]:[SOP]]),BE$3&lt;=VALUE(t_Parts[[EOP]:[EOP]])), t_Parts[[SetupHrsPerMo]:[SetupHrsPerMo]]+(t_Parts[[#This Row],[pv2016.07]]/t_Parts[[NetPPH]:[NetPPH]]),0)</f>
        <v>8.8647086247086229</v>
      </c>
      <c r="DL18" s="39">
        <f>IF(AND(BF$3&gt;=VALUE(t_Parts[[SOP]:[SOP]]),BF$3&lt;=VALUE(t_Parts[[EOP]:[EOP]])), t_Parts[[SetupHrsPerMo]:[SetupHrsPerMo]]+(t_Parts[[#This Row],[pv2016.08]]/t_Parts[[NetPPH]:[NetPPH]]),0)</f>
        <v>8.8647086247086229</v>
      </c>
      <c r="DM18" s="39">
        <f>IF(AND(BG$3&gt;=VALUE(t_Parts[[SOP]:[SOP]]),BG$3&lt;=VALUE(t_Parts[[EOP]:[EOP]])), t_Parts[[SetupHrsPerMo]:[SetupHrsPerMo]]+(t_Parts[[#This Row],[pv2016.09]]/t_Parts[[NetPPH]:[NetPPH]]),0)</f>
        <v>10.580885780885779</v>
      </c>
      <c r="DN18" s="39">
        <f>IF(AND(BH$3&gt;=VALUE(t_Parts[[SOP]:[SOP]]),BH$3&lt;=VALUE(t_Parts[[EOP]:[EOP]])), t_Parts[[SetupHrsPerMo]:[SetupHrsPerMo]]+(t_Parts[[#This Row],[pv2016.10]]/t_Parts[[NetPPH]:[NetPPH]]),0)</f>
        <v>8.8647086247086229</v>
      </c>
      <c r="DO18" s="39">
        <f>IF(AND(BI$3&gt;=VALUE(t_Parts[[SOP]:[SOP]]),BI$3&lt;=VALUE(t_Parts[[EOP]:[EOP]])), t_Parts[[SetupHrsPerMo]:[SetupHrsPerMo]]+(t_Parts[[#This Row],[pv2016.11]]/t_Parts[[NetPPH]:[NetPPH]]),0)</f>
        <v>8.8647086247086229</v>
      </c>
      <c r="DP18" s="39">
        <f>IF(AND(BJ$3&gt;=VALUE(t_Parts[[SOP]:[SOP]]),BJ$3&lt;=VALUE(t_Parts[[EOP]:[EOP]])), t_Parts[[SetupHrsPerMo]:[SetupHrsPerMo]]+(t_Parts[[#This Row],[pv2016.12]]/t_Parts[[NetPPH]:[NetPPH]]),0)</f>
        <v>10.580885780885779</v>
      </c>
      <c r="DQ18" s="39">
        <f>SUM(t_Parts[[#This Row],[hp2016.01]:[hp2016.12]])</f>
        <v>113.24121212121211</v>
      </c>
      <c r="DR18" s="39">
        <f>IF(AND(BL$3&gt;=VALUE(t_Parts[[SOP]:[SOP]]),BL$3&lt;=VALUE(t_Parts[[EOP]:[EOP]])), 12*t_Parts[[SetupHrsPerMo]:[SetupHrsPerMo]]+(t_Parts[[#This Row],[pv2017]]/t_Parts[[NetPPH]:[NetPPH]]),0)</f>
        <v>113.24121212121211</v>
      </c>
      <c r="DS18" s="39">
        <f>IF(AND(BM$3&gt;=VALUE(t_Parts[[SOP]:[SOP]]),BM$3&lt;=VALUE(t_Parts[[EOP]:[EOP]])), 12*t_Parts[[SetupHrsPerMo]:[SetupHrsPerMo]]+(t_Parts[[#This Row],[pv2018]]/t_Parts[[NetPPH]:[NetPPH]]),0)</f>
        <v>0</v>
      </c>
      <c r="DT18" s="39">
        <f>IF(AND(BN$3&gt;=VALUE(t_Parts[[SOP]:[SOP]]),BN$3&lt;=VALUE(t_Parts[[EOP]:[EOP]])), 12*t_Parts[[SetupHrsPerMo]:[SetupHrsPerMo]]+(t_Parts[[#This Row],[pv2019]]/t_Parts[[NetPPH]:[NetPPH]]),0)</f>
        <v>0</v>
      </c>
      <c r="DU18" s="47">
        <f>t_Parts[[#This Row],[hp2015.01]]/t_Parts[[#This Row],[ha2015.01]]</f>
        <v>3.1659673659673655E-2</v>
      </c>
      <c r="DV18" s="47">
        <f>t_Parts[[#This Row],[hp2015.02]]/t_Parts[[#This Row],[ha2015.02]]</f>
        <v>3.1659673659673655E-2</v>
      </c>
      <c r="DW18" s="47">
        <f>t_Parts[[#This Row],[hp2015.03]]/t_Parts[[#This Row],[ha2015.03]]</f>
        <v>3.0231102231102227E-2</v>
      </c>
      <c r="DX18" s="47">
        <f>t_Parts[[#This Row],[hp2015.04]]/t_Parts[[#This Row],[ha2015.04]]</f>
        <v>3.1659673659673655E-2</v>
      </c>
      <c r="DY18" s="47">
        <f>t_Parts[[#This Row],[hp2015.05]]/t_Parts[[#This Row],[ha2015.05]]</f>
        <v>3.1659673659673655E-2</v>
      </c>
      <c r="DZ18" s="47">
        <f>t_Parts[[#This Row],[hp2015.06]]/t_Parts[[#This Row],[ha2015.06]]</f>
        <v>3.0231102231102227E-2</v>
      </c>
      <c r="EA18" s="47">
        <f>t_Parts[[#This Row],[hp2015.07]]/t_Parts[[#This Row],[ha2015.07]]</f>
        <v>3.1659673659673655E-2</v>
      </c>
      <c r="EB18" s="47">
        <f>t_Parts[[#This Row],[hp2015.08]]/t_Parts[[#This Row],[ha2015.08]]</f>
        <v>3.1659673659673655E-2</v>
      </c>
      <c r="EC18" s="47">
        <f>t_Parts[[#This Row],[hp2015.09]]/t_Parts[[#This Row],[ha2015.09]]</f>
        <v>3.0231102231102227E-2</v>
      </c>
      <c r="ED18" s="47">
        <f>t_Parts[[#This Row],[hp2015.10]]/t_Parts[[#This Row],[ha2015.10]]</f>
        <v>3.1659673659673655E-2</v>
      </c>
      <c r="EE18" s="47">
        <f>t_Parts[[#This Row],[hp2015.11]]/t_Parts[[#This Row],[ha2015.11]]</f>
        <v>3.1659673659673655E-2</v>
      </c>
      <c r="EF18" s="47">
        <f>t_Parts[[#This Row],[hp2015.12]]/t_Parts[[#This Row],[ha2015.12]]</f>
        <v>3.0231102231102227E-2</v>
      </c>
      <c r="EG18" s="47">
        <f>t_Parts[[#This Row],[hp2015.FY]]/t_Parts[[#This Row],[ha2015.FY]]</f>
        <v>3.1110223110223108E-2</v>
      </c>
      <c r="EH18" s="47">
        <f>t_Parts[[#This Row],[hp2016.01]]/t_Parts[[#This Row],[ha2016.01]]</f>
        <v>3.1659673659673655E-2</v>
      </c>
      <c r="EI18" s="47">
        <f>t_Parts[[#This Row],[hp2016.02]]/t_Parts[[#This Row],[ha2016.02]]</f>
        <v>3.1659673659673655E-2</v>
      </c>
      <c r="EJ18" s="47">
        <f>t_Parts[[#This Row],[hp2016.03]]/t_Parts[[#This Row],[ha2016.03]]</f>
        <v>3.0231102231102227E-2</v>
      </c>
      <c r="EK18" s="47">
        <f>t_Parts[[#This Row],[hp2016.04]]/t_Parts[[#This Row],[ha2016.04]]</f>
        <v>3.1659673659673655E-2</v>
      </c>
      <c r="EL18" s="47">
        <f>t_Parts[[#This Row],[hp2016.05]]/t_Parts[[#This Row],[ha2016.05]]</f>
        <v>3.1659673659673655E-2</v>
      </c>
      <c r="EM18" s="47">
        <f>t_Parts[[#This Row],[hp2016.06]]/t_Parts[[#This Row],[ha2016.06]]</f>
        <v>3.0231102231102227E-2</v>
      </c>
      <c r="EN18" s="47">
        <f>t_Parts[[#This Row],[hp2016.07]]/t_Parts[[#This Row],[ha2016.07]]</f>
        <v>3.1659673659673655E-2</v>
      </c>
      <c r="EO18" s="47">
        <f>t_Parts[[#This Row],[hp2016.08]]/t_Parts[[#This Row],[ha2016.08]]</f>
        <v>3.1659673659673655E-2</v>
      </c>
      <c r="EP18" s="47">
        <f>t_Parts[[#This Row],[hp2016.09]]/t_Parts[[#This Row],[ha2016.09]]</f>
        <v>3.0231102231102227E-2</v>
      </c>
      <c r="EQ18" s="47">
        <f>t_Parts[[#This Row],[hp2016.10]]/t_Parts[[#This Row],[ha2016.10]]</f>
        <v>3.1659673659673655E-2</v>
      </c>
      <c r="ER18" s="47">
        <f>t_Parts[[#This Row],[hp2016.11]]/t_Parts[[#This Row],[ha2016.11]]</f>
        <v>3.1659673659673655E-2</v>
      </c>
      <c r="ES18" s="47">
        <f>t_Parts[[#This Row],[hp2016.12]]/t_Parts[[#This Row],[ha2016.12]]</f>
        <v>3.0231102231102227E-2</v>
      </c>
      <c r="ET18" s="47">
        <f>t_Parts[[#This Row],[hp2016.FY]]/t_Parts[[#This Row],[ha2016.FY]]</f>
        <v>3.1110223110223108E-2</v>
      </c>
      <c r="EU18" s="47">
        <f>t_Parts[[#This Row],[hp2017]]/t_Parts[[#This Row],[ha2017]]</f>
        <v>3.1110223110223108E-2</v>
      </c>
      <c r="EV18" s="47">
        <f>t_Parts[[#This Row],[hp2018]]/t_Parts[[#This Row],[ha2018]]</f>
        <v>0</v>
      </c>
      <c r="EW18" s="47">
        <f>t_Parts[[#This Row],[hp2019]]/t_Parts[[#This Row],[hp2015.01]]</f>
        <v>0</v>
      </c>
      <c r="EX18" s="58">
        <f>(t_Parts[[#This Row],[ha2015.01]]-t_Parts[[#This Row],[hp2015.01]])*t_Parts[[NetPPH]:[NetPPH]]</f>
        <v>223686.61538461543</v>
      </c>
      <c r="EY18" s="58">
        <f>(t_Parts[[#This Row],[ha2015.02]]-t_Parts[[#This Row],[hp2015.02]])*t_Parts[[NetPPH]:[NetPPH]]</f>
        <v>223686.61538461543</v>
      </c>
      <c r="EZ18" s="58">
        <f>(t_Parts[[#This Row],[ha2015.03]]-t_Parts[[#This Row],[hp2015.03]])*t_Parts[[NetPPH]:[NetPPH]]</f>
        <v>280020.76923076931</v>
      </c>
      <c r="FA18" s="58">
        <f>(t_Parts[[#This Row],[ha2015.04]]-t_Parts[[#This Row],[hp2015.04]])*t_Parts[[NetPPH]:[NetPPH]]</f>
        <v>223686.61538461543</v>
      </c>
      <c r="FB18" s="58">
        <f>(t_Parts[[#This Row],[ha2015.05]]-t_Parts[[#This Row],[hp2015.05]])*t_Parts[[NetPPH]:[NetPPH]]</f>
        <v>223686.61538461543</v>
      </c>
      <c r="FC18" s="58">
        <f>(t_Parts[[#This Row],[ha2015.06]]-t_Parts[[#This Row],[hp2015.06]])*t_Parts[[NetPPH]:[NetPPH]]</f>
        <v>280020.76923076931</v>
      </c>
      <c r="FD18" s="58">
        <f>(t_Parts[[#This Row],[ha2015.07]]-t_Parts[[#This Row],[hp2015.07]])*t_Parts[[NetPPH]:[NetPPH]]</f>
        <v>223686.61538461543</v>
      </c>
      <c r="FE18" s="58">
        <f>(t_Parts[[#This Row],[ha2015.08]]-t_Parts[[#This Row],[hp2015.08]])*t_Parts[[NetPPH]:[NetPPH]]</f>
        <v>223686.61538461543</v>
      </c>
      <c r="FF18" s="58">
        <f>(t_Parts[[#This Row],[ha2015.09]]-t_Parts[[#This Row],[hp2015.09]])*t_Parts[[NetPPH]:[NetPPH]]</f>
        <v>280020.76923076931</v>
      </c>
      <c r="FG18" s="58">
        <f>(t_Parts[[#This Row],[ha2015.10]]-t_Parts[[#This Row],[hp2015.10]])*t_Parts[[NetPPH]:[NetPPH]]</f>
        <v>223686.61538461543</v>
      </c>
      <c r="FH18" s="58">
        <f>(t_Parts[[#This Row],[ha2015.11]]-t_Parts[[#This Row],[hp2015.11]])*t_Parts[[NetPPH]:[NetPPH]]</f>
        <v>223686.61538461543</v>
      </c>
      <c r="FI18" s="58">
        <f>(t_Parts[[#This Row],[ha2015.12]]-t_Parts[[#This Row],[hp2015.12]])*t_Parts[[NetPPH]:[NetPPH]]</f>
        <v>280020.76923076931</v>
      </c>
      <c r="FJ18" s="58">
        <f>(t_Parts[[#This Row],[ha2015.FY]]-t_Parts[[#This Row],[hp2015.FY]])*t_Parts[[NetPPH]:[NetPPH]]</f>
        <v>2909576.0000000005</v>
      </c>
      <c r="FK18" s="58">
        <f>(t_Parts[[#This Row],[ha2016.01]]-t_Parts[[#This Row],[hp2016.01]])*t_Parts[[NetPPH]:[NetPPH]]</f>
        <v>223686.61538461543</v>
      </c>
      <c r="FL18" s="58">
        <f>(t_Parts[[#This Row],[ha2016.02]]-t_Parts[[#This Row],[hp2016.02]])*t_Parts[[NetPPH]:[NetPPH]]</f>
        <v>223686.61538461543</v>
      </c>
      <c r="FM18" s="58">
        <f>(t_Parts[[#This Row],[ha2016.03]]-t_Parts[[#This Row],[hp2016.03]])*t_Parts[[NetPPH]:[NetPPH]]</f>
        <v>280020.76923076931</v>
      </c>
      <c r="FN18" s="58">
        <f>(t_Parts[[#This Row],[ha2016.04]]-t_Parts[[#This Row],[hp2016.04]])*t_Parts[[NetPPH]:[NetPPH]]</f>
        <v>223686.61538461543</v>
      </c>
      <c r="FO18" s="58">
        <f>(t_Parts[[#This Row],[ha2016.05]]-t_Parts[[#This Row],[hp2016.05]])*t_Parts[[NetPPH]:[NetPPH]]</f>
        <v>223686.61538461543</v>
      </c>
      <c r="FP18" s="58">
        <f>(t_Parts[[#This Row],[ha2016.06]]-t_Parts[[#This Row],[hp2016.06]])*t_Parts[[NetPPH]:[NetPPH]]</f>
        <v>280020.76923076931</v>
      </c>
      <c r="FQ18" s="58">
        <f>(t_Parts[[#This Row],[ha2016.07]]-t_Parts[[#This Row],[hp2016.07]])*t_Parts[[NetPPH]:[NetPPH]]</f>
        <v>223686.61538461543</v>
      </c>
      <c r="FR18" s="58">
        <f>(t_Parts[[#This Row],[ha2016.08]]-t_Parts[[#This Row],[hp2016.08]])*t_Parts[[NetPPH]:[NetPPH]]</f>
        <v>223686.61538461543</v>
      </c>
      <c r="FS18" s="58">
        <f>(t_Parts[[#This Row],[ha2016.09]]-t_Parts[[#This Row],[hp2016.09]])*t_Parts[[NetPPH]:[NetPPH]]</f>
        <v>280020.76923076931</v>
      </c>
      <c r="FT18" s="58">
        <f>(t_Parts[[#This Row],[ha2016.10]]-t_Parts[[#This Row],[hp2016.10]])*t_Parts[[NetPPH]:[NetPPH]]</f>
        <v>223686.61538461543</v>
      </c>
      <c r="FU18" s="58">
        <f>(t_Parts[[#This Row],[ha2016.11]]-t_Parts[[#This Row],[hp2016.11]])*t_Parts[[NetPPH]:[NetPPH]]</f>
        <v>223686.61538461543</v>
      </c>
      <c r="FV18" s="58">
        <f>(t_Parts[[#This Row],[ha2016.12]]-t_Parts[[#This Row],[hp2016.12]])*t_Parts[[NetPPH]:[NetPPH]]</f>
        <v>280020.76923076931</v>
      </c>
      <c r="FW18" s="58">
        <f>(t_Parts[[#This Row],[ha2016.FY]]-t_Parts[[#This Row],[hp2016.FY]])*t_Parts[[NetPPH]:[NetPPH]]</f>
        <v>2909576.0000000005</v>
      </c>
      <c r="FX18" s="58">
        <f>(t_Parts[[#This Row],[ha2017]]-t_Parts[[#This Row],[hp2017]])*t_Parts[[NetPPH]:[NetPPH]]</f>
        <v>2909576.0000000005</v>
      </c>
      <c r="FY18" s="58">
        <f>(t_Parts[[#This Row],[ha2018]]-t_Parts[[#This Row],[hp2018]])*t_Parts[[NetPPH]:[NetPPH]]</f>
        <v>3003000.0000000005</v>
      </c>
      <c r="FZ18" s="58">
        <f>(t_Parts[[#This Row],[ha2019]]-t_Parts[[#This Row],[hp2019]])*t_Parts[[NetPPH]:[NetPPH]]</f>
        <v>3003000.0000000005</v>
      </c>
    </row>
    <row r="19" spans="1:182" s="14" customFormat="1" x14ac:dyDescent="0.25">
      <c r="A19" s="74" t="s">
        <v>654</v>
      </c>
      <c r="B19" s="74"/>
      <c r="C19" s="74">
        <v>21013</v>
      </c>
      <c r="D19" s="75">
        <v>1</v>
      </c>
      <c r="E19" s="73">
        <v>3000</v>
      </c>
      <c r="F19" s="76">
        <v>1</v>
      </c>
      <c r="G19" s="77">
        <v>4</v>
      </c>
      <c r="H19" s="16">
        <v>2015.01</v>
      </c>
      <c r="I19" s="16" t="s">
        <v>81</v>
      </c>
      <c r="J19" s="73">
        <v>369993</v>
      </c>
      <c r="K19" s="73">
        <v>369993</v>
      </c>
      <c r="L19" s="73">
        <v>369993</v>
      </c>
      <c r="M19" s="73">
        <v>369993</v>
      </c>
      <c r="N19" s="73">
        <v>369993</v>
      </c>
      <c r="O19" s="78">
        <v>27</v>
      </c>
      <c r="P19" s="78">
        <v>48</v>
      </c>
      <c r="Q19" s="79">
        <v>21.17</v>
      </c>
      <c r="R19" s="79"/>
      <c r="S19" s="78">
        <v>116</v>
      </c>
      <c r="T19" s="80">
        <v>16</v>
      </c>
      <c r="U19" s="80" t="s">
        <v>121</v>
      </c>
      <c r="V19" s="81" t="s">
        <v>655</v>
      </c>
      <c r="W19" s="82">
        <v>0.32700000000000001</v>
      </c>
      <c r="X19" s="82" t="s">
        <v>501</v>
      </c>
      <c r="Y19" s="82"/>
      <c r="Z19" s="82"/>
      <c r="AA19" s="82"/>
      <c r="AB19" s="82"/>
      <c r="AC19" s="83" t="s">
        <v>667</v>
      </c>
      <c r="AD19" s="40" t="str">
        <f>VLOOKUP(t_Parts[[#This Row],[Press]],t_Presses[],Press!B$1,FALSE)</f>
        <v>Plainfield</v>
      </c>
      <c r="AE19" s="40" t="str">
        <f>VLOOKUP(t_Parts[[#This Row],[Press]],t_Presses[],Press!E$1,FALSE)</f>
        <v>0-299</v>
      </c>
      <c r="AF19" s="47">
        <f>VLOOKUP(t_Parts[[#This Row],[Plant]],t_Plants[],Plants!C$1,FALSE)</f>
        <v>0.55000000000000004</v>
      </c>
      <c r="AG19" s="47">
        <f>VLOOKUP(t_Parts[[#This Row],[Press]],t_Presses[],Press!F$1,FALSE)</f>
        <v>0</v>
      </c>
      <c r="AH19" s="84"/>
      <c r="AI19" s="47">
        <f>IF(ISBLANK(t_Parts[[#This Row],[PartOEE]])=FALSE,t_Parts[[#This Row],[PartOEE]], IF(t_Parts[[#This Row],[PressOEE]]&gt;0, t_Parts[[#This Row],[PressOEE]], t_Parts[[#This Row],[PlantOEE]] ))</f>
        <v>0.55000000000000004</v>
      </c>
      <c r="AJ19" s="70">
        <f>t_Parts[[#This Row],[SetupsPerMo]]*t_Parts[[#This Row],[SetupHrs]]</f>
        <v>4</v>
      </c>
      <c r="AK19" s="39">
        <f>(t_Parts[[#This Row],[PartsPerStroke]]*t_Parts[[#This Row],[StrokesPerHr]])*t_Parts[[#This Row],[UseOEE]]</f>
        <v>1650.0000000000002</v>
      </c>
      <c r="AL1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28461</v>
      </c>
      <c r="AM1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28461</v>
      </c>
      <c r="AN1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35576.25</v>
      </c>
      <c r="AO1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28461</v>
      </c>
      <c r="AP1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28461</v>
      </c>
      <c r="AQ1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35576.25</v>
      </c>
      <c r="AR1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28461</v>
      </c>
      <c r="AS1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28461</v>
      </c>
      <c r="AT1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35576.25</v>
      </c>
      <c r="AU1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28461</v>
      </c>
      <c r="AV1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28461</v>
      </c>
      <c r="AW1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35576.25</v>
      </c>
      <c r="AX19" s="39">
        <f>SUM(t_Parts[[#This Row],[pv2015.01]:[pv2015.12]])</f>
        <v>369993</v>
      </c>
      <c r="AY1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28461</v>
      </c>
      <c r="AZ1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28461</v>
      </c>
      <c r="BA1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35576.25</v>
      </c>
      <c r="BB1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28461</v>
      </c>
      <c r="BC1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28461</v>
      </c>
      <c r="BD1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35576.25</v>
      </c>
      <c r="BE1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28461</v>
      </c>
      <c r="BF1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28461</v>
      </c>
      <c r="BG1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35576.25</v>
      </c>
      <c r="BH1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28461</v>
      </c>
      <c r="BI1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28461</v>
      </c>
      <c r="BJ1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35576.25</v>
      </c>
      <c r="BK19" s="39">
        <f>SUM(t_Parts[[#This Row],[pv2016.01]:[pv2016.12]])</f>
        <v>369993</v>
      </c>
      <c r="BL19" s="39">
        <f>t_Parts[[#This Row],[2017vol]]</f>
        <v>369993</v>
      </c>
      <c r="BM19" s="39">
        <f>t_Parts[[#This Row],[2018vol]]</f>
        <v>369993</v>
      </c>
      <c r="BN19" s="39">
        <f>t_Parts[[#This Row],[2019vol]]</f>
        <v>369993</v>
      </c>
      <c r="BO19" s="40">
        <f>VLOOKUP(t_Parts[[Plant]:[Plant]],t_Plants[],Plants!CN$1,FALSE)</f>
        <v>280</v>
      </c>
      <c r="BP19" s="14">
        <f>VLOOKUP(t_Parts[[Plant]:[Plant]],t_Plants[],Plants!CO$1,FALSE)</f>
        <v>280</v>
      </c>
      <c r="BQ19" s="14">
        <f>VLOOKUP(t_Parts[[Plant]:[Plant]],t_Plants[],Plants!CP$1,FALSE)</f>
        <v>350</v>
      </c>
      <c r="BR19" s="14">
        <f>VLOOKUP(t_Parts[[Plant]:[Plant]],t_Plants[],Plants!CQ$1,FALSE)</f>
        <v>280</v>
      </c>
      <c r="BS19" s="14">
        <f>VLOOKUP(t_Parts[[Plant]:[Plant]],t_Plants[],Plants!CR$1,FALSE)</f>
        <v>280</v>
      </c>
      <c r="BT19" s="14">
        <f>VLOOKUP(t_Parts[[Plant]:[Plant]],t_Plants[],Plants!CS$1,FALSE)</f>
        <v>350</v>
      </c>
      <c r="BU19" s="14">
        <f>VLOOKUP(t_Parts[[Plant]:[Plant]],t_Plants[],Plants!CT$1,FALSE)</f>
        <v>280</v>
      </c>
      <c r="BV19" s="14">
        <f>VLOOKUP(t_Parts[[Plant]:[Plant]],t_Plants[],Plants!CU$1,FALSE)</f>
        <v>280</v>
      </c>
      <c r="BW19" s="14">
        <f>VLOOKUP(t_Parts[[Plant]:[Plant]],t_Plants[],Plants!CV$1,FALSE)</f>
        <v>350</v>
      </c>
      <c r="BX19" s="14">
        <f>VLOOKUP(t_Parts[[Plant]:[Plant]],t_Plants[],Plants!CW$1,FALSE)</f>
        <v>280</v>
      </c>
      <c r="BY19" s="14">
        <f>VLOOKUP(t_Parts[[Plant]:[Plant]],t_Plants[],Plants!CX$1,FALSE)</f>
        <v>280</v>
      </c>
      <c r="BZ19" s="14">
        <f>VLOOKUP(t_Parts[[Plant]:[Plant]],t_Plants[],Plants!CY$1,FALSE)</f>
        <v>350</v>
      </c>
      <c r="CA19" s="40">
        <f>SUM(t_Parts[[#This Row],[ha2015.01]:[ha2015.12]])</f>
        <v>3640</v>
      </c>
      <c r="CB19" s="14">
        <f>VLOOKUP(t_Parts[[Plant]:[Plant]],t_Plants[],Plants!DA$1,FALSE)</f>
        <v>280</v>
      </c>
      <c r="CC19" s="14">
        <f>VLOOKUP(t_Parts[[Plant]:[Plant]],t_Plants[],Plants!DB$1,FALSE)</f>
        <v>280</v>
      </c>
      <c r="CD19" s="14">
        <f>VLOOKUP(t_Parts[[Plant]:[Plant]],t_Plants[],Plants!DC$1,FALSE)</f>
        <v>350</v>
      </c>
      <c r="CE19" s="14">
        <f>VLOOKUP(t_Parts[[Plant]:[Plant]],t_Plants[],Plants!DD$1,FALSE)</f>
        <v>280</v>
      </c>
      <c r="CF19" s="14">
        <f>VLOOKUP(t_Parts[[Plant]:[Plant]],t_Plants[],Plants!DE$1,FALSE)</f>
        <v>280</v>
      </c>
      <c r="CG19" s="14">
        <f>VLOOKUP(t_Parts[[Plant]:[Plant]],t_Plants[],Plants!DF$1,FALSE)</f>
        <v>350</v>
      </c>
      <c r="CH19" s="14">
        <f>VLOOKUP(t_Parts[[Plant]:[Plant]],t_Plants[],Plants!DG$1,FALSE)</f>
        <v>280</v>
      </c>
      <c r="CI19" s="14">
        <f>VLOOKUP(t_Parts[[Plant]:[Plant]],t_Plants[],Plants!DH$1,FALSE)</f>
        <v>280</v>
      </c>
      <c r="CJ19" s="14">
        <f>VLOOKUP(t_Parts[[Plant]:[Plant]],t_Plants[],Plants!DI$1,FALSE)</f>
        <v>350</v>
      </c>
      <c r="CK19" s="14">
        <f>VLOOKUP(t_Parts[[Plant]:[Plant]],t_Plants[],Plants!DJ$1,FALSE)</f>
        <v>280</v>
      </c>
      <c r="CL19" s="14">
        <f>VLOOKUP(t_Parts[[Plant]:[Plant]],t_Plants[],Plants!DK$1,FALSE)</f>
        <v>280</v>
      </c>
      <c r="CM19" s="14">
        <f>VLOOKUP(t_Parts[[Plant]:[Plant]],t_Plants[],Plants!DL$1,FALSE)</f>
        <v>350</v>
      </c>
      <c r="CN19" s="14">
        <f>VLOOKUP(t_Parts[[Plant]:[Plant]],t_Plants[],Plants!DM$1,FALSE)</f>
        <v>3640</v>
      </c>
      <c r="CO19" s="14">
        <f>VLOOKUP(t_Parts[[Plant]:[Plant]],t_Plants[],Plants!DN$1,FALSE)</f>
        <v>3640</v>
      </c>
      <c r="CP19" s="14">
        <f>VLOOKUP(t_Parts[[Plant]:[Plant]],t_Plants[],Plants!DO$1,FALSE)</f>
        <v>3640</v>
      </c>
      <c r="CQ19" s="14">
        <f>VLOOKUP(t_Parts[[Plant]:[Plant]],t_Plants[],Plants!DP$1,FALSE)</f>
        <v>3640</v>
      </c>
      <c r="CR19" s="39">
        <f>IF(AND(AL$3&gt;=VALUE(t_Parts[[SOP]:[SOP]]),AL$3&lt;=VALUE(t_Parts[[EOP]:[EOP]])), t_Parts[[SetupHrsPerMo]:[SetupHrsPerMo]]+(t_Parts[[#This Row],[pv2015.01]]/t_Parts[[NetPPH]:[NetPPH]]),0)</f>
        <v>21.249090909090906</v>
      </c>
      <c r="CS19" s="39">
        <f>IF(AND(AM$3&gt;=VALUE(t_Parts[[SOP]:[SOP]]),AM$3&lt;=VALUE(t_Parts[[EOP]:[EOP]])), t_Parts[[SetupHrsPerMo]:[SetupHrsPerMo]]+(t_Parts[[#This Row],[pv2015.02]]/t_Parts[[NetPPH]:[NetPPH]]),0)</f>
        <v>21.249090909090906</v>
      </c>
      <c r="CT19" s="39">
        <f>IF(AND(AN$3&gt;=VALUE(t_Parts[[SOP]:[SOP]]),AN$3&lt;=VALUE(t_Parts[[EOP]:[EOP]])), t_Parts[[SetupHrsPerMo]:[SetupHrsPerMo]]+(t_Parts[[#This Row],[pv2015.03]]/t_Parts[[NetPPH]:[NetPPH]]),0)</f>
        <v>25.561363636363634</v>
      </c>
      <c r="CU19" s="39">
        <f>IF(AND(AO$3&gt;=VALUE(t_Parts[[SOP]:[SOP]]),AO$3&lt;=VALUE(t_Parts[[EOP]:[EOP]])), t_Parts[[SetupHrsPerMo]:[SetupHrsPerMo]]+(t_Parts[[#This Row],[pv2015.04]]/t_Parts[[NetPPH]:[NetPPH]]),0)</f>
        <v>21.249090909090906</v>
      </c>
      <c r="CV19" s="39">
        <f>IF(AND(AP$3&gt;=VALUE(t_Parts[[SOP]:[SOP]]),AP$3&lt;=VALUE(t_Parts[[EOP]:[EOP]])), t_Parts[[SetupHrsPerMo]:[SetupHrsPerMo]]+(t_Parts[[#This Row],[pv2015.05]]/t_Parts[[NetPPH]:[NetPPH]]),0)</f>
        <v>21.249090909090906</v>
      </c>
      <c r="CW19" s="39">
        <f>IF(AND(AQ$3&gt;=VALUE(t_Parts[[SOP]:[SOP]]),AQ$3&lt;=VALUE(t_Parts[[EOP]:[EOP]])), t_Parts[[SetupHrsPerMo]:[SetupHrsPerMo]]+(t_Parts[[#This Row],[pv2015.06]]/t_Parts[[NetPPH]:[NetPPH]]),0)</f>
        <v>25.561363636363634</v>
      </c>
      <c r="CX19" s="39">
        <f>IF(AND(AR$3&gt;=VALUE(t_Parts[[SOP]:[SOP]]),AR$3&lt;=VALUE(t_Parts[[EOP]:[EOP]])), t_Parts[[SetupHrsPerMo]:[SetupHrsPerMo]]+(t_Parts[[#This Row],[pv2015.07]]/t_Parts[[NetPPH]:[NetPPH]]),0)</f>
        <v>21.249090909090906</v>
      </c>
      <c r="CY19" s="39">
        <f>IF(AND(AS$3&gt;=VALUE(t_Parts[[SOP]:[SOP]]),AS$3&lt;=VALUE(t_Parts[[EOP]:[EOP]])), t_Parts[[SetupHrsPerMo]:[SetupHrsPerMo]]+(t_Parts[[#This Row],[pv2015.08]]/t_Parts[[NetPPH]:[NetPPH]]),0)</f>
        <v>21.249090909090906</v>
      </c>
      <c r="CZ19" s="39">
        <f>IF(AND(AT$3&gt;=VALUE(t_Parts[[SOP]:[SOP]]),AT$3&lt;=VALUE(t_Parts[[EOP]:[EOP]])), t_Parts[[SetupHrsPerMo]:[SetupHrsPerMo]]+(t_Parts[[#This Row],[pv2015.09]]/t_Parts[[NetPPH]:[NetPPH]]),0)</f>
        <v>25.561363636363634</v>
      </c>
      <c r="DA19" s="39">
        <f>IF(AND(AU$3&gt;=VALUE(t_Parts[[SOP]:[SOP]]),AU$3&lt;=VALUE(t_Parts[[EOP]:[EOP]])), t_Parts[[SetupHrsPerMo]:[SetupHrsPerMo]]+(t_Parts[[#This Row],[pv2015.10]]/t_Parts[[NetPPH]:[NetPPH]]),0)</f>
        <v>21.249090909090906</v>
      </c>
      <c r="DB19" s="39">
        <f>IF(AND(AV$3&gt;=VALUE(t_Parts[[SOP]:[SOP]]),AV$3&lt;=VALUE(t_Parts[[EOP]:[EOP]])), t_Parts[[SetupHrsPerMo]:[SetupHrsPerMo]]+(t_Parts[[#This Row],[pv2015.11]]/t_Parts[[NetPPH]:[NetPPH]]),0)</f>
        <v>21.249090909090906</v>
      </c>
      <c r="DC19" s="39">
        <f>IF(AND(AW$3&gt;=VALUE(t_Parts[[SOP]:[SOP]]),AW$3&lt;=VALUE(t_Parts[[EOP]:[EOP]])), t_Parts[[SetupHrsPerMo]:[SetupHrsPerMo]]+(t_Parts[[#This Row],[pv2015.12]]/t_Parts[[NetPPH]:[NetPPH]]),0)</f>
        <v>25.561363636363634</v>
      </c>
      <c r="DD19" s="39">
        <f>SUM(t_Parts[[#This Row],[hp2015.01]:[hp2015.12]])</f>
        <v>272.23818181818177</v>
      </c>
      <c r="DE19" s="39">
        <f>IF(AND(AY$3&gt;=VALUE(t_Parts[[SOP]:[SOP]]),AY$3&lt;=VALUE(t_Parts[[EOP]:[EOP]])), t_Parts[[SetupHrsPerMo]:[SetupHrsPerMo]]+(t_Parts[[#This Row],[pv2016.01]]/t_Parts[[NetPPH]:[NetPPH]]),0)</f>
        <v>21.249090909090906</v>
      </c>
      <c r="DF19" s="39">
        <f>IF(AND(AZ$3&gt;=VALUE(t_Parts[[SOP]:[SOP]]),AZ$3&lt;=VALUE(t_Parts[[EOP]:[EOP]])), t_Parts[[SetupHrsPerMo]:[SetupHrsPerMo]]+(t_Parts[[#This Row],[pv2016.02]]/t_Parts[[NetPPH]:[NetPPH]]),0)</f>
        <v>21.249090909090906</v>
      </c>
      <c r="DG19" s="39">
        <f>IF(AND(BA$3&gt;=VALUE(t_Parts[[SOP]:[SOP]]),BA$3&lt;=VALUE(t_Parts[[EOP]:[EOP]])), t_Parts[[SetupHrsPerMo]:[SetupHrsPerMo]]+(t_Parts[[#This Row],[pv2016.03]]/t_Parts[[NetPPH]:[NetPPH]]),0)</f>
        <v>25.561363636363634</v>
      </c>
      <c r="DH19" s="39">
        <f>IF(AND(BB$3&gt;=VALUE(t_Parts[[SOP]:[SOP]]),BB$3&lt;=VALUE(t_Parts[[EOP]:[EOP]])), t_Parts[[SetupHrsPerMo]:[SetupHrsPerMo]]+(t_Parts[[#This Row],[pv2016.04]]/t_Parts[[NetPPH]:[NetPPH]]),0)</f>
        <v>21.249090909090906</v>
      </c>
      <c r="DI19" s="39">
        <f>IF(AND(BC$3&gt;=VALUE(t_Parts[[SOP]:[SOP]]),BC$3&lt;=VALUE(t_Parts[[EOP]:[EOP]])), t_Parts[[SetupHrsPerMo]:[SetupHrsPerMo]]+(t_Parts[[#This Row],[pv2016.05]]/t_Parts[[NetPPH]:[NetPPH]]),0)</f>
        <v>21.249090909090906</v>
      </c>
      <c r="DJ19" s="39">
        <f>IF(AND(BD$3&gt;=VALUE(t_Parts[[SOP]:[SOP]]),BD$3&lt;=VALUE(t_Parts[[EOP]:[EOP]])), t_Parts[[SetupHrsPerMo]:[SetupHrsPerMo]]+(t_Parts[[#This Row],[pv2016.06]]/t_Parts[[NetPPH]:[NetPPH]]),0)</f>
        <v>25.561363636363634</v>
      </c>
      <c r="DK19" s="39">
        <f>IF(AND(BE$3&gt;=VALUE(t_Parts[[SOP]:[SOP]]),BE$3&lt;=VALUE(t_Parts[[EOP]:[EOP]])), t_Parts[[SetupHrsPerMo]:[SetupHrsPerMo]]+(t_Parts[[#This Row],[pv2016.07]]/t_Parts[[NetPPH]:[NetPPH]]),0)</f>
        <v>21.249090909090906</v>
      </c>
      <c r="DL19" s="39">
        <f>IF(AND(BF$3&gt;=VALUE(t_Parts[[SOP]:[SOP]]),BF$3&lt;=VALUE(t_Parts[[EOP]:[EOP]])), t_Parts[[SetupHrsPerMo]:[SetupHrsPerMo]]+(t_Parts[[#This Row],[pv2016.08]]/t_Parts[[NetPPH]:[NetPPH]]),0)</f>
        <v>21.249090909090906</v>
      </c>
      <c r="DM19" s="39">
        <f>IF(AND(BG$3&gt;=VALUE(t_Parts[[SOP]:[SOP]]),BG$3&lt;=VALUE(t_Parts[[EOP]:[EOP]])), t_Parts[[SetupHrsPerMo]:[SetupHrsPerMo]]+(t_Parts[[#This Row],[pv2016.09]]/t_Parts[[NetPPH]:[NetPPH]]),0)</f>
        <v>25.561363636363634</v>
      </c>
      <c r="DN19" s="39">
        <f>IF(AND(BH$3&gt;=VALUE(t_Parts[[SOP]:[SOP]]),BH$3&lt;=VALUE(t_Parts[[EOP]:[EOP]])), t_Parts[[SetupHrsPerMo]:[SetupHrsPerMo]]+(t_Parts[[#This Row],[pv2016.10]]/t_Parts[[NetPPH]:[NetPPH]]),0)</f>
        <v>21.249090909090906</v>
      </c>
      <c r="DO19" s="39">
        <f>IF(AND(BI$3&gt;=VALUE(t_Parts[[SOP]:[SOP]]),BI$3&lt;=VALUE(t_Parts[[EOP]:[EOP]])), t_Parts[[SetupHrsPerMo]:[SetupHrsPerMo]]+(t_Parts[[#This Row],[pv2016.11]]/t_Parts[[NetPPH]:[NetPPH]]),0)</f>
        <v>21.249090909090906</v>
      </c>
      <c r="DP19" s="39">
        <f>IF(AND(BJ$3&gt;=VALUE(t_Parts[[SOP]:[SOP]]),BJ$3&lt;=VALUE(t_Parts[[EOP]:[EOP]])), t_Parts[[SetupHrsPerMo]:[SetupHrsPerMo]]+(t_Parts[[#This Row],[pv2016.12]]/t_Parts[[NetPPH]:[NetPPH]]),0)</f>
        <v>25.561363636363634</v>
      </c>
      <c r="DQ19" s="39">
        <f>SUM(t_Parts[[#This Row],[hp2016.01]:[hp2016.12]])</f>
        <v>272.23818181818177</v>
      </c>
      <c r="DR19" s="39">
        <f>IF(AND(BL$3&gt;=VALUE(t_Parts[[SOP]:[SOP]]),BL$3&lt;=VALUE(t_Parts[[EOP]:[EOP]])), 12*t_Parts[[SetupHrsPerMo]:[SetupHrsPerMo]]+(t_Parts[[#This Row],[pv2017]]/t_Parts[[NetPPH]:[NetPPH]]),0)</f>
        <v>272.23818181818183</v>
      </c>
      <c r="DS19" s="39">
        <f>IF(AND(BM$3&gt;=VALUE(t_Parts[[SOP]:[SOP]]),BM$3&lt;=VALUE(t_Parts[[EOP]:[EOP]])), 12*t_Parts[[SetupHrsPerMo]:[SetupHrsPerMo]]+(t_Parts[[#This Row],[pv2018]]/t_Parts[[NetPPH]:[NetPPH]]),0)</f>
        <v>0</v>
      </c>
      <c r="DT19" s="39">
        <f>IF(AND(BN$3&gt;=VALUE(t_Parts[[SOP]:[SOP]]),BN$3&lt;=VALUE(t_Parts[[EOP]:[EOP]])), 12*t_Parts[[SetupHrsPerMo]:[SetupHrsPerMo]]+(t_Parts[[#This Row],[pv2019]]/t_Parts[[NetPPH]:[NetPPH]]),0)</f>
        <v>0</v>
      </c>
      <c r="DU19" s="47">
        <f>t_Parts[[#This Row],[hp2015.01]]/t_Parts[[#This Row],[ha2015.01]]</f>
        <v>7.5889610389610382E-2</v>
      </c>
      <c r="DV19" s="47">
        <f>t_Parts[[#This Row],[hp2015.02]]/t_Parts[[#This Row],[ha2015.02]]</f>
        <v>7.5889610389610382E-2</v>
      </c>
      <c r="DW19" s="47">
        <f>t_Parts[[#This Row],[hp2015.03]]/t_Parts[[#This Row],[ha2015.03]]</f>
        <v>7.3032467532467532E-2</v>
      </c>
      <c r="DX19" s="47">
        <f>t_Parts[[#This Row],[hp2015.04]]/t_Parts[[#This Row],[ha2015.04]]</f>
        <v>7.5889610389610382E-2</v>
      </c>
      <c r="DY19" s="47">
        <f>t_Parts[[#This Row],[hp2015.05]]/t_Parts[[#This Row],[ha2015.05]]</f>
        <v>7.5889610389610382E-2</v>
      </c>
      <c r="DZ19" s="47">
        <f>t_Parts[[#This Row],[hp2015.06]]/t_Parts[[#This Row],[ha2015.06]]</f>
        <v>7.3032467532467532E-2</v>
      </c>
      <c r="EA19" s="47">
        <f>t_Parts[[#This Row],[hp2015.07]]/t_Parts[[#This Row],[ha2015.07]]</f>
        <v>7.5889610389610382E-2</v>
      </c>
      <c r="EB19" s="47">
        <f>t_Parts[[#This Row],[hp2015.08]]/t_Parts[[#This Row],[ha2015.08]]</f>
        <v>7.5889610389610382E-2</v>
      </c>
      <c r="EC19" s="47">
        <f>t_Parts[[#This Row],[hp2015.09]]/t_Parts[[#This Row],[ha2015.09]]</f>
        <v>7.3032467532467532E-2</v>
      </c>
      <c r="ED19" s="47">
        <f>t_Parts[[#This Row],[hp2015.10]]/t_Parts[[#This Row],[ha2015.10]]</f>
        <v>7.5889610389610382E-2</v>
      </c>
      <c r="EE19" s="47">
        <f>t_Parts[[#This Row],[hp2015.11]]/t_Parts[[#This Row],[ha2015.11]]</f>
        <v>7.5889610389610382E-2</v>
      </c>
      <c r="EF19" s="47">
        <f>t_Parts[[#This Row],[hp2015.12]]/t_Parts[[#This Row],[ha2015.12]]</f>
        <v>7.3032467532467532E-2</v>
      </c>
      <c r="EG19" s="47">
        <f>t_Parts[[#This Row],[hp2015.FY]]/t_Parts[[#This Row],[ha2015.FY]]</f>
        <v>7.4790709290709273E-2</v>
      </c>
      <c r="EH19" s="47">
        <f>t_Parts[[#This Row],[hp2016.01]]/t_Parts[[#This Row],[ha2016.01]]</f>
        <v>7.5889610389610382E-2</v>
      </c>
      <c r="EI19" s="47">
        <f>t_Parts[[#This Row],[hp2016.02]]/t_Parts[[#This Row],[ha2016.02]]</f>
        <v>7.5889610389610382E-2</v>
      </c>
      <c r="EJ19" s="47">
        <f>t_Parts[[#This Row],[hp2016.03]]/t_Parts[[#This Row],[ha2016.03]]</f>
        <v>7.3032467532467532E-2</v>
      </c>
      <c r="EK19" s="47">
        <f>t_Parts[[#This Row],[hp2016.04]]/t_Parts[[#This Row],[ha2016.04]]</f>
        <v>7.5889610389610382E-2</v>
      </c>
      <c r="EL19" s="47">
        <f>t_Parts[[#This Row],[hp2016.05]]/t_Parts[[#This Row],[ha2016.05]]</f>
        <v>7.5889610389610382E-2</v>
      </c>
      <c r="EM19" s="47">
        <f>t_Parts[[#This Row],[hp2016.06]]/t_Parts[[#This Row],[ha2016.06]]</f>
        <v>7.3032467532467532E-2</v>
      </c>
      <c r="EN19" s="47">
        <f>t_Parts[[#This Row],[hp2016.07]]/t_Parts[[#This Row],[ha2016.07]]</f>
        <v>7.5889610389610382E-2</v>
      </c>
      <c r="EO19" s="47">
        <f>t_Parts[[#This Row],[hp2016.08]]/t_Parts[[#This Row],[ha2016.08]]</f>
        <v>7.5889610389610382E-2</v>
      </c>
      <c r="EP19" s="47">
        <f>t_Parts[[#This Row],[hp2016.09]]/t_Parts[[#This Row],[ha2016.09]]</f>
        <v>7.3032467532467532E-2</v>
      </c>
      <c r="EQ19" s="47">
        <f>t_Parts[[#This Row],[hp2016.10]]/t_Parts[[#This Row],[ha2016.10]]</f>
        <v>7.5889610389610382E-2</v>
      </c>
      <c r="ER19" s="47">
        <f>t_Parts[[#This Row],[hp2016.11]]/t_Parts[[#This Row],[ha2016.11]]</f>
        <v>7.5889610389610382E-2</v>
      </c>
      <c r="ES19" s="47">
        <f>t_Parts[[#This Row],[hp2016.12]]/t_Parts[[#This Row],[ha2016.12]]</f>
        <v>7.3032467532467532E-2</v>
      </c>
      <c r="ET19" s="47">
        <f>t_Parts[[#This Row],[hp2016.FY]]/t_Parts[[#This Row],[ha2016.FY]]</f>
        <v>7.4790709290709273E-2</v>
      </c>
      <c r="EU19" s="47">
        <f>t_Parts[[#This Row],[hp2017]]/t_Parts[[#This Row],[ha2017]]</f>
        <v>7.4790709290709287E-2</v>
      </c>
      <c r="EV19" s="47">
        <f>t_Parts[[#This Row],[hp2018]]/t_Parts[[#This Row],[ha2018]]</f>
        <v>0</v>
      </c>
      <c r="EW19" s="47">
        <f>t_Parts[[#This Row],[hp2019]]/t_Parts[[#This Row],[hp2015.01]]</f>
        <v>0</v>
      </c>
      <c r="EX19" s="58">
        <f>(t_Parts[[#This Row],[ha2015.01]]-t_Parts[[#This Row],[hp2015.01]])*t_Parts[[NetPPH]:[NetPPH]]</f>
        <v>426939.00000000006</v>
      </c>
      <c r="EY19" s="58">
        <f>(t_Parts[[#This Row],[ha2015.02]]-t_Parts[[#This Row],[hp2015.02]])*t_Parts[[NetPPH]:[NetPPH]]</f>
        <v>426939.00000000006</v>
      </c>
      <c r="EZ19" s="58">
        <f>(t_Parts[[#This Row],[ha2015.03]]-t_Parts[[#This Row],[hp2015.03]])*t_Parts[[NetPPH]:[NetPPH]]</f>
        <v>535323.75000000012</v>
      </c>
      <c r="FA19" s="58">
        <f>(t_Parts[[#This Row],[ha2015.04]]-t_Parts[[#This Row],[hp2015.04]])*t_Parts[[NetPPH]:[NetPPH]]</f>
        <v>426939.00000000006</v>
      </c>
      <c r="FB19" s="58">
        <f>(t_Parts[[#This Row],[ha2015.05]]-t_Parts[[#This Row],[hp2015.05]])*t_Parts[[NetPPH]:[NetPPH]]</f>
        <v>426939.00000000006</v>
      </c>
      <c r="FC19" s="58">
        <f>(t_Parts[[#This Row],[ha2015.06]]-t_Parts[[#This Row],[hp2015.06]])*t_Parts[[NetPPH]:[NetPPH]]</f>
        <v>535323.75000000012</v>
      </c>
      <c r="FD19" s="58">
        <f>(t_Parts[[#This Row],[ha2015.07]]-t_Parts[[#This Row],[hp2015.07]])*t_Parts[[NetPPH]:[NetPPH]]</f>
        <v>426939.00000000006</v>
      </c>
      <c r="FE19" s="58">
        <f>(t_Parts[[#This Row],[ha2015.08]]-t_Parts[[#This Row],[hp2015.08]])*t_Parts[[NetPPH]:[NetPPH]]</f>
        <v>426939.00000000006</v>
      </c>
      <c r="FF19" s="58">
        <f>(t_Parts[[#This Row],[ha2015.09]]-t_Parts[[#This Row],[hp2015.09]])*t_Parts[[NetPPH]:[NetPPH]]</f>
        <v>535323.75000000012</v>
      </c>
      <c r="FG19" s="58">
        <f>(t_Parts[[#This Row],[ha2015.10]]-t_Parts[[#This Row],[hp2015.10]])*t_Parts[[NetPPH]:[NetPPH]]</f>
        <v>426939.00000000006</v>
      </c>
      <c r="FH19" s="58">
        <f>(t_Parts[[#This Row],[ha2015.11]]-t_Parts[[#This Row],[hp2015.11]])*t_Parts[[NetPPH]:[NetPPH]]</f>
        <v>426939.00000000006</v>
      </c>
      <c r="FI19" s="58">
        <f>(t_Parts[[#This Row],[ha2015.12]]-t_Parts[[#This Row],[hp2015.12]])*t_Parts[[NetPPH]:[NetPPH]]</f>
        <v>535323.75000000012</v>
      </c>
      <c r="FJ19" s="58">
        <f>(t_Parts[[#This Row],[ha2015.FY]]-t_Parts[[#This Row],[hp2015.FY]])*t_Parts[[NetPPH]:[NetPPH]]</f>
        <v>5556807.0000000009</v>
      </c>
      <c r="FK19" s="58">
        <f>(t_Parts[[#This Row],[ha2016.01]]-t_Parts[[#This Row],[hp2016.01]])*t_Parts[[NetPPH]:[NetPPH]]</f>
        <v>426939.00000000006</v>
      </c>
      <c r="FL19" s="58">
        <f>(t_Parts[[#This Row],[ha2016.02]]-t_Parts[[#This Row],[hp2016.02]])*t_Parts[[NetPPH]:[NetPPH]]</f>
        <v>426939.00000000006</v>
      </c>
      <c r="FM19" s="58">
        <f>(t_Parts[[#This Row],[ha2016.03]]-t_Parts[[#This Row],[hp2016.03]])*t_Parts[[NetPPH]:[NetPPH]]</f>
        <v>535323.75000000012</v>
      </c>
      <c r="FN19" s="58">
        <f>(t_Parts[[#This Row],[ha2016.04]]-t_Parts[[#This Row],[hp2016.04]])*t_Parts[[NetPPH]:[NetPPH]]</f>
        <v>426939.00000000006</v>
      </c>
      <c r="FO19" s="58">
        <f>(t_Parts[[#This Row],[ha2016.05]]-t_Parts[[#This Row],[hp2016.05]])*t_Parts[[NetPPH]:[NetPPH]]</f>
        <v>426939.00000000006</v>
      </c>
      <c r="FP19" s="58">
        <f>(t_Parts[[#This Row],[ha2016.06]]-t_Parts[[#This Row],[hp2016.06]])*t_Parts[[NetPPH]:[NetPPH]]</f>
        <v>535323.75000000012</v>
      </c>
      <c r="FQ19" s="58">
        <f>(t_Parts[[#This Row],[ha2016.07]]-t_Parts[[#This Row],[hp2016.07]])*t_Parts[[NetPPH]:[NetPPH]]</f>
        <v>426939.00000000006</v>
      </c>
      <c r="FR19" s="58">
        <f>(t_Parts[[#This Row],[ha2016.08]]-t_Parts[[#This Row],[hp2016.08]])*t_Parts[[NetPPH]:[NetPPH]]</f>
        <v>426939.00000000006</v>
      </c>
      <c r="FS19" s="58">
        <f>(t_Parts[[#This Row],[ha2016.09]]-t_Parts[[#This Row],[hp2016.09]])*t_Parts[[NetPPH]:[NetPPH]]</f>
        <v>535323.75000000012</v>
      </c>
      <c r="FT19" s="58">
        <f>(t_Parts[[#This Row],[ha2016.10]]-t_Parts[[#This Row],[hp2016.10]])*t_Parts[[NetPPH]:[NetPPH]]</f>
        <v>426939.00000000006</v>
      </c>
      <c r="FU19" s="58">
        <f>(t_Parts[[#This Row],[ha2016.11]]-t_Parts[[#This Row],[hp2016.11]])*t_Parts[[NetPPH]:[NetPPH]]</f>
        <v>426939.00000000006</v>
      </c>
      <c r="FV19" s="58">
        <f>(t_Parts[[#This Row],[ha2016.12]]-t_Parts[[#This Row],[hp2016.12]])*t_Parts[[NetPPH]:[NetPPH]]</f>
        <v>535323.75000000012</v>
      </c>
      <c r="FW19" s="58">
        <f>(t_Parts[[#This Row],[ha2016.FY]]-t_Parts[[#This Row],[hp2016.FY]])*t_Parts[[NetPPH]:[NetPPH]]</f>
        <v>5556807.0000000009</v>
      </c>
      <c r="FX19" s="58">
        <f>(t_Parts[[#This Row],[ha2017]]-t_Parts[[#This Row],[hp2017]])*t_Parts[[NetPPH]:[NetPPH]]</f>
        <v>5556807</v>
      </c>
      <c r="FY19" s="58">
        <f>(t_Parts[[#This Row],[ha2018]]-t_Parts[[#This Row],[hp2018]])*t_Parts[[NetPPH]:[NetPPH]]</f>
        <v>6006000.0000000009</v>
      </c>
      <c r="FZ19" s="58">
        <f>(t_Parts[[#This Row],[ha2019]]-t_Parts[[#This Row],[hp2019]])*t_Parts[[NetPPH]:[NetPPH]]</f>
        <v>6006000.0000000009</v>
      </c>
    </row>
    <row r="20" spans="1:182" s="14" customFormat="1" x14ac:dyDescent="0.25">
      <c r="A20" s="74" t="s">
        <v>610</v>
      </c>
      <c r="B20" s="74"/>
      <c r="C20" s="74">
        <v>21013</v>
      </c>
      <c r="D20" s="75">
        <v>1</v>
      </c>
      <c r="E20" s="73">
        <v>2400</v>
      </c>
      <c r="F20" s="76">
        <v>1</v>
      </c>
      <c r="G20" s="77">
        <v>4</v>
      </c>
      <c r="H20" s="16">
        <v>2015.01</v>
      </c>
      <c r="I20" s="16" t="s">
        <v>82</v>
      </c>
      <c r="J20" s="73">
        <v>132469</v>
      </c>
      <c r="K20" s="73">
        <v>132469</v>
      </c>
      <c r="L20" s="73">
        <v>132469</v>
      </c>
      <c r="M20" s="73">
        <v>132469</v>
      </c>
      <c r="N20" s="73">
        <v>132469</v>
      </c>
      <c r="O20" s="78"/>
      <c r="P20" s="78"/>
      <c r="Q20" s="79">
        <v>20.88</v>
      </c>
      <c r="R20" s="79"/>
      <c r="S20" s="78">
        <v>120</v>
      </c>
      <c r="T20" s="80"/>
      <c r="U20" s="80" t="s">
        <v>121</v>
      </c>
      <c r="V20" s="81" t="s">
        <v>611</v>
      </c>
      <c r="W20" s="82">
        <v>0.48</v>
      </c>
      <c r="X20" s="82" t="s">
        <v>608</v>
      </c>
      <c r="Y20" s="82"/>
      <c r="Z20" s="82"/>
      <c r="AA20" s="82"/>
      <c r="AB20" s="82"/>
      <c r="AC20" s="83" t="s">
        <v>667</v>
      </c>
      <c r="AD20" s="40" t="str">
        <f>VLOOKUP(t_Parts[[#This Row],[Press]],t_Presses[],Press!B$1,FALSE)</f>
        <v>Plainfield</v>
      </c>
      <c r="AE20" s="40" t="str">
        <f>VLOOKUP(t_Parts[[#This Row],[Press]],t_Presses[],Press!E$1,FALSE)</f>
        <v>0-299</v>
      </c>
      <c r="AF20" s="47">
        <f>VLOOKUP(t_Parts[[#This Row],[Plant]],t_Plants[],Plants!C$1,FALSE)</f>
        <v>0.55000000000000004</v>
      </c>
      <c r="AG20" s="47">
        <f>VLOOKUP(t_Parts[[#This Row],[Press]],t_Presses[],Press!F$1,FALSE)</f>
        <v>0</v>
      </c>
      <c r="AH20" s="84"/>
      <c r="AI20" s="47">
        <f>IF(ISBLANK(t_Parts[[#This Row],[PartOEE]])=FALSE,t_Parts[[#This Row],[PartOEE]], IF(t_Parts[[#This Row],[PressOEE]]&gt;0, t_Parts[[#This Row],[PressOEE]], t_Parts[[#This Row],[PlantOEE]] ))</f>
        <v>0.55000000000000004</v>
      </c>
      <c r="AJ20" s="70">
        <f>t_Parts[[#This Row],[SetupsPerMo]]*t_Parts[[#This Row],[SetupHrs]]</f>
        <v>4</v>
      </c>
      <c r="AK20" s="39">
        <f>(t_Parts[[#This Row],[PartsPerStroke]]*t_Parts[[#This Row],[StrokesPerHr]])*t_Parts[[#This Row],[UseOEE]]</f>
        <v>1320</v>
      </c>
      <c r="AL2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10189.923076923076</v>
      </c>
      <c r="AM2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10189.923076923076</v>
      </c>
      <c r="AN2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12737.403846153846</v>
      </c>
      <c r="AO2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10189.923076923076</v>
      </c>
      <c r="AP2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10189.923076923076</v>
      </c>
      <c r="AQ2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12737.403846153846</v>
      </c>
      <c r="AR2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10189.923076923076</v>
      </c>
      <c r="AS2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10189.923076923076</v>
      </c>
      <c r="AT2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12737.403846153846</v>
      </c>
      <c r="AU2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10189.923076923076</v>
      </c>
      <c r="AV2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10189.923076923076</v>
      </c>
      <c r="AW2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12737.403846153846</v>
      </c>
      <c r="AX20" s="39">
        <f>SUM(t_Parts[[#This Row],[pv2015.01]:[pv2015.12]])</f>
        <v>132469</v>
      </c>
      <c r="AY2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10189.923076923076</v>
      </c>
      <c r="AZ2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10189.923076923076</v>
      </c>
      <c r="BA2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12737.403846153846</v>
      </c>
      <c r="BB2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10189.923076923076</v>
      </c>
      <c r="BC2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10189.923076923076</v>
      </c>
      <c r="BD2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12737.403846153846</v>
      </c>
      <c r="BE2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10189.923076923076</v>
      </c>
      <c r="BF2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10189.923076923076</v>
      </c>
      <c r="BG2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12737.403846153846</v>
      </c>
      <c r="BH2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10189.923076923076</v>
      </c>
      <c r="BI2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10189.923076923076</v>
      </c>
      <c r="BJ2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12737.403846153846</v>
      </c>
      <c r="BK20" s="39">
        <f>SUM(t_Parts[[#This Row],[pv2016.01]:[pv2016.12]])</f>
        <v>132469</v>
      </c>
      <c r="BL20" s="39">
        <f>t_Parts[[#This Row],[2017vol]]</f>
        <v>132469</v>
      </c>
      <c r="BM20" s="39">
        <f>t_Parts[[#This Row],[2018vol]]</f>
        <v>132469</v>
      </c>
      <c r="BN20" s="39">
        <f>t_Parts[[#This Row],[2019vol]]</f>
        <v>132469</v>
      </c>
      <c r="BO20" s="40">
        <f>VLOOKUP(t_Parts[[Plant]:[Plant]],t_Plants[],Plants!CN$1,FALSE)</f>
        <v>280</v>
      </c>
      <c r="BP20" s="14">
        <f>VLOOKUP(t_Parts[[Plant]:[Plant]],t_Plants[],Plants!CO$1,FALSE)</f>
        <v>280</v>
      </c>
      <c r="BQ20" s="14">
        <f>VLOOKUP(t_Parts[[Plant]:[Plant]],t_Plants[],Plants!CP$1,FALSE)</f>
        <v>350</v>
      </c>
      <c r="BR20" s="14">
        <f>VLOOKUP(t_Parts[[Plant]:[Plant]],t_Plants[],Plants!CQ$1,FALSE)</f>
        <v>280</v>
      </c>
      <c r="BS20" s="14">
        <f>VLOOKUP(t_Parts[[Plant]:[Plant]],t_Plants[],Plants!CR$1,FALSE)</f>
        <v>280</v>
      </c>
      <c r="BT20" s="14">
        <f>VLOOKUP(t_Parts[[Plant]:[Plant]],t_Plants[],Plants!CS$1,FALSE)</f>
        <v>350</v>
      </c>
      <c r="BU20" s="14">
        <f>VLOOKUP(t_Parts[[Plant]:[Plant]],t_Plants[],Plants!CT$1,FALSE)</f>
        <v>280</v>
      </c>
      <c r="BV20" s="14">
        <f>VLOOKUP(t_Parts[[Plant]:[Plant]],t_Plants[],Plants!CU$1,FALSE)</f>
        <v>280</v>
      </c>
      <c r="BW20" s="14">
        <f>VLOOKUP(t_Parts[[Plant]:[Plant]],t_Plants[],Plants!CV$1,FALSE)</f>
        <v>350</v>
      </c>
      <c r="BX20" s="14">
        <f>VLOOKUP(t_Parts[[Plant]:[Plant]],t_Plants[],Plants!CW$1,FALSE)</f>
        <v>280</v>
      </c>
      <c r="BY20" s="14">
        <f>VLOOKUP(t_Parts[[Plant]:[Plant]],t_Plants[],Plants!CX$1,FALSE)</f>
        <v>280</v>
      </c>
      <c r="BZ20" s="14">
        <f>VLOOKUP(t_Parts[[Plant]:[Plant]],t_Plants[],Plants!CY$1,FALSE)</f>
        <v>350</v>
      </c>
      <c r="CA20" s="40">
        <f>SUM(t_Parts[[#This Row],[ha2015.01]:[ha2015.12]])</f>
        <v>3640</v>
      </c>
      <c r="CB20" s="14">
        <f>VLOOKUP(t_Parts[[Plant]:[Plant]],t_Plants[],Plants!DA$1,FALSE)</f>
        <v>280</v>
      </c>
      <c r="CC20" s="14">
        <f>VLOOKUP(t_Parts[[Plant]:[Plant]],t_Plants[],Plants!DB$1,FALSE)</f>
        <v>280</v>
      </c>
      <c r="CD20" s="14">
        <f>VLOOKUP(t_Parts[[Plant]:[Plant]],t_Plants[],Plants!DC$1,FALSE)</f>
        <v>350</v>
      </c>
      <c r="CE20" s="14">
        <f>VLOOKUP(t_Parts[[Plant]:[Plant]],t_Plants[],Plants!DD$1,FALSE)</f>
        <v>280</v>
      </c>
      <c r="CF20" s="14">
        <f>VLOOKUP(t_Parts[[Plant]:[Plant]],t_Plants[],Plants!DE$1,FALSE)</f>
        <v>280</v>
      </c>
      <c r="CG20" s="14">
        <f>VLOOKUP(t_Parts[[Plant]:[Plant]],t_Plants[],Plants!DF$1,FALSE)</f>
        <v>350</v>
      </c>
      <c r="CH20" s="14">
        <f>VLOOKUP(t_Parts[[Plant]:[Plant]],t_Plants[],Plants!DG$1,FALSE)</f>
        <v>280</v>
      </c>
      <c r="CI20" s="14">
        <f>VLOOKUP(t_Parts[[Plant]:[Plant]],t_Plants[],Plants!DH$1,FALSE)</f>
        <v>280</v>
      </c>
      <c r="CJ20" s="14">
        <f>VLOOKUP(t_Parts[[Plant]:[Plant]],t_Plants[],Plants!DI$1,FALSE)</f>
        <v>350</v>
      </c>
      <c r="CK20" s="14">
        <f>VLOOKUP(t_Parts[[Plant]:[Plant]],t_Plants[],Plants!DJ$1,FALSE)</f>
        <v>280</v>
      </c>
      <c r="CL20" s="14">
        <f>VLOOKUP(t_Parts[[Plant]:[Plant]],t_Plants[],Plants!DK$1,FALSE)</f>
        <v>280</v>
      </c>
      <c r="CM20" s="14">
        <f>VLOOKUP(t_Parts[[Plant]:[Plant]],t_Plants[],Plants!DL$1,FALSE)</f>
        <v>350</v>
      </c>
      <c r="CN20" s="14">
        <f>VLOOKUP(t_Parts[[Plant]:[Plant]],t_Plants[],Plants!DM$1,FALSE)</f>
        <v>3640</v>
      </c>
      <c r="CO20" s="14">
        <f>VLOOKUP(t_Parts[[Plant]:[Plant]],t_Plants[],Plants!DN$1,FALSE)</f>
        <v>3640</v>
      </c>
      <c r="CP20" s="14">
        <f>VLOOKUP(t_Parts[[Plant]:[Plant]],t_Plants[],Plants!DO$1,FALSE)</f>
        <v>3640</v>
      </c>
      <c r="CQ20" s="14">
        <f>VLOOKUP(t_Parts[[Plant]:[Plant]],t_Plants[],Plants!DP$1,FALSE)</f>
        <v>3640</v>
      </c>
      <c r="CR20" s="39">
        <f>IF(AND(AL$3&gt;=VALUE(t_Parts[[SOP]:[SOP]]),AL$3&lt;=VALUE(t_Parts[[EOP]:[EOP]])), t_Parts[[SetupHrsPerMo]:[SetupHrsPerMo]]+(t_Parts[[#This Row],[pv2015.01]]/t_Parts[[NetPPH]:[NetPPH]]),0)</f>
        <v>11.719638694638693</v>
      </c>
      <c r="CS20" s="39">
        <f>IF(AND(AM$3&gt;=VALUE(t_Parts[[SOP]:[SOP]]),AM$3&lt;=VALUE(t_Parts[[EOP]:[EOP]])), t_Parts[[SetupHrsPerMo]:[SetupHrsPerMo]]+(t_Parts[[#This Row],[pv2015.02]]/t_Parts[[NetPPH]:[NetPPH]]),0)</f>
        <v>11.719638694638693</v>
      </c>
      <c r="CT20" s="39">
        <f>IF(AND(AN$3&gt;=VALUE(t_Parts[[SOP]:[SOP]]),AN$3&lt;=VALUE(t_Parts[[EOP]:[EOP]])), t_Parts[[SetupHrsPerMo]:[SetupHrsPerMo]]+(t_Parts[[#This Row],[pv2015.03]]/t_Parts[[NetPPH]:[NetPPH]]),0)</f>
        <v>13.649548368298367</v>
      </c>
      <c r="CU20" s="39">
        <f>IF(AND(AO$3&gt;=VALUE(t_Parts[[SOP]:[SOP]]),AO$3&lt;=VALUE(t_Parts[[EOP]:[EOP]])), t_Parts[[SetupHrsPerMo]:[SetupHrsPerMo]]+(t_Parts[[#This Row],[pv2015.04]]/t_Parts[[NetPPH]:[NetPPH]]),0)</f>
        <v>11.719638694638693</v>
      </c>
      <c r="CV20" s="39">
        <f>IF(AND(AP$3&gt;=VALUE(t_Parts[[SOP]:[SOP]]),AP$3&lt;=VALUE(t_Parts[[EOP]:[EOP]])), t_Parts[[SetupHrsPerMo]:[SetupHrsPerMo]]+(t_Parts[[#This Row],[pv2015.05]]/t_Parts[[NetPPH]:[NetPPH]]),0)</f>
        <v>11.719638694638693</v>
      </c>
      <c r="CW20" s="39">
        <f>IF(AND(AQ$3&gt;=VALUE(t_Parts[[SOP]:[SOP]]),AQ$3&lt;=VALUE(t_Parts[[EOP]:[EOP]])), t_Parts[[SetupHrsPerMo]:[SetupHrsPerMo]]+(t_Parts[[#This Row],[pv2015.06]]/t_Parts[[NetPPH]:[NetPPH]]),0)</f>
        <v>13.649548368298367</v>
      </c>
      <c r="CX20" s="39">
        <f>IF(AND(AR$3&gt;=VALUE(t_Parts[[SOP]:[SOP]]),AR$3&lt;=VALUE(t_Parts[[EOP]:[EOP]])), t_Parts[[SetupHrsPerMo]:[SetupHrsPerMo]]+(t_Parts[[#This Row],[pv2015.07]]/t_Parts[[NetPPH]:[NetPPH]]),0)</f>
        <v>11.719638694638693</v>
      </c>
      <c r="CY20" s="39">
        <f>IF(AND(AS$3&gt;=VALUE(t_Parts[[SOP]:[SOP]]),AS$3&lt;=VALUE(t_Parts[[EOP]:[EOP]])), t_Parts[[SetupHrsPerMo]:[SetupHrsPerMo]]+(t_Parts[[#This Row],[pv2015.08]]/t_Parts[[NetPPH]:[NetPPH]]),0)</f>
        <v>11.719638694638693</v>
      </c>
      <c r="CZ20" s="39">
        <f>IF(AND(AT$3&gt;=VALUE(t_Parts[[SOP]:[SOP]]),AT$3&lt;=VALUE(t_Parts[[EOP]:[EOP]])), t_Parts[[SetupHrsPerMo]:[SetupHrsPerMo]]+(t_Parts[[#This Row],[pv2015.09]]/t_Parts[[NetPPH]:[NetPPH]]),0)</f>
        <v>13.649548368298367</v>
      </c>
      <c r="DA20" s="39">
        <f>IF(AND(AU$3&gt;=VALUE(t_Parts[[SOP]:[SOP]]),AU$3&lt;=VALUE(t_Parts[[EOP]:[EOP]])), t_Parts[[SetupHrsPerMo]:[SetupHrsPerMo]]+(t_Parts[[#This Row],[pv2015.10]]/t_Parts[[NetPPH]:[NetPPH]]),0)</f>
        <v>11.719638694638693</v>
      </c>
      <c r="DB20" s="39">
        <f>IF(AND(AV$3&gt;=VALUE(t_Parts[[SOP]:[SOP]]),AV$3&lt;=VALUE(t_Parts[[EOP]:[EOP]])), t_Parts[[SetupHrsPerMo]:[SetupHrsPerMo]]+(t_Parts[[#This Row],[pv2015.11]]/t_Parts[[NetPPH]:[NetPPH]]),0)</f>
        <v>11.719638694638693</v>
      </c>
      <c r="DC20" s="39">
        <f>IF(AND(AW$3&gt;=VALUE(t_Parts[[SOP]:[SOP]]),AW$3&lt;=VALUE(t_Parts[[EOP]:[EOP]])), t_Parts[[SetupHrsPerMo]:[SetupHrsPerMo]]+(t_Parts[[#This Row],[pv2015.12]]/t_Parts[[NetPPH]:[NetPPH]]),0)</f>
        <v>13.649548368298367</v>
      </c>
      <c r="DD20" s="39">
        <f>SUM(t_Parts[[#This Row],[hp2015.01]:[hp2015.12]])</f>
        <v>148.35530303030299</v>
      </c>
      <c r="DE20" s="39">
        <f>IF(AND(AY$3&gt;=VALUE(t_Parts[[SOP]:[SOP]]),AY$3&lt;=VALUE(t_Parts[[EOP]:[EOP]])), t_Parts[[SetupHrsPerMo]:[SetupHrsPerMo]]+(t_Parts[[#This Row],[pv2016.01]]/t_Parts[[NetPPH]:[NetPPH]]),0)</f>
        <v>11.719638694638693</v>
      </c>
      <c r="DF20" s="39">
        <f>IF(AND(AZ$3&gt;=VALUE(t_Parts[[SOP]:[SOP]]),AZ$3&lt;=VALUE(t_Parts[[EOP]:[EOP]])), t_Parts[[SetupHrsPerMo]:[SetupHrsPerMo]]+(t_Parts[[#This Row],[pv2016.02]]/t_Parts[[NetPPH]:[NetPPH]]),0)</f>
        <v>11.719638694638693</v>
      </c>
      <c r="DG20" s="39">
        <f>IF(AND(BA$3&gt;=VALUE(t_Parts[[SOP]:[SOP]]),BA$3&lt;=VALUE(t_Parts[[EOP]:[EOP]])), t_Parts[[SetupHrsPerMo]:[SetupHrsPerMo]]+(t_Parts[[#This Row],[pv2016.03]]/t_Parts[[NetPPH]:[NetPPH]]),0)</f>
        <v>13.649548368298367</v>
      </c>
      <c r="DH20" s="39">
        <f>IF(AND(BB$3&gt;=VALUE(t_Parts[[SOP]:[SOP]]),BB$3&lt;=VALUE(t_Parts[[EOP]:[EOP]])), t_Parts[[SetupHrsPerMo]:[SetupHrsPerMo]]+(t_Parts[[#This Row],[pv2016.04]]/t_Parts[[NetPPH]:[NetPPH]]),0)</f>
        <v>11.719638694638693</v>
      </c>
      <c r="DI20" s="39">
        <f>IF(AND(BC$3&gt;=VALUE(t_Parts[[SOP]:[SOP]]),BC$3&lt;=VALUE(t_Parts[[EOP]:[EOP]])), t_Parts[[SetupHrsPerMo]:[SetupHrsPerMo]]+(t_Parts[[#This Row],[pv2016.05]]/t_Parts[[NetPPH]:[NetPPH]]),0)</f>
        <v>11.719638694638693</v>
      </c>
      <c r="DJ20" s="39">
        <f>IF(AND(BD$3&gt;=VALUE(t_Parts[[SOP]:[SOP]]),BD$3&lt;=VALUE(t_Parts[[EOP]:[EOP]])), t_Parts[[SetupHrsPerMo]:[SetupHrsPerMo]]+(t_Parts[[#This Row],[pv2016.06]]/t_Parts[[NetPPH]:[NetPPH]]),0)</f>
        <v>13.649548368298367</v>
      </c>
      <c r="DK20" s="39">
        <f>IF(AND(BE$3&gt;=VALUE(t_Parts[[SOP]:[SOP]]),BE$3&lt;=VALUE(t_Parts[[EOP]:[EOP]])), t_Parts[[SetupHrsPerMo]:[SetupHrsPerMo]]+(t_Parts[[#This Row],[pv2016.07]]/t_Parts[[NetPPH]:[NetPPH]]),0)</f>
        <v>11.719638694638693</v>
      </c>
      <c r="DL20" s="39">
        <f>IF(AND(BF$3&gt;=VALUE(t_Parts[[SOP]:[SOP]]),BF$3&lt;=VALUE(t_Parts[[EOP]:[EOP]])), t_Parts[[SetupHrsPerMo]:[SetupHrsPerMo]]+(t_Parts[[#This Row],[pv2016.08]]/t_Parts[[NetPPH]:[NetPPH]]),0)</f>
        <v>11.719638694638693</v>
      </c>
      <c r="DM20" s="39">
        <f>IF(AND(BG$3&gt;=VALUE(t_Parts[[SOP]:[SOP]]),BG$3&lt;=VALUE(t_Parts[[EOP]:[EOP]])), t_Parts[[SetupHrsPerMo]:[SetupHrsPerMo]]+(t_Parts[[#This Row],[pv2016.09]]/t_Parts[[NetPPH]:[NetPPH]]),0)</f>
        <v>13.649548368298367</v>
      </c>
      <c r="DN20" s="39">
        <f>IF(AND(BH$3&gt;=VALUE(t_Parts[[SOP]:[SOP]]),BH$3&lt;=VALUE(t_Parts[[EOP]:[EOP]])), t_Parts[[SetupHrsPerMo]:[SetupHrsPerMo]]+(t_Parts[[#This Row],[pv2016.10]]/t_Parts[[NetPPH]:[NetPPH]]),0)</f>
        <v>11.719638694638693</v>
      </c>
      <c r="DO20" s="39">
        <f>IF(AND(BI$3&gt;=VALUE(t_Parts[[SOP]:[SOP]]),BI$3&lt;=VALUE(t_Parts[[EOP]:[EOP]])), t_Parts[[SetupHrsPerMo]:[SetupHrsPerMo]]+(t_Parts[[#This Row],[pv2016.11]]/t_Parts[[NetPPH]:[NetPPH]]),0)</f>
        <v>11.719638694638693</v>
      </c>
      <c r="DP20" s="39">
        <f>IF(AND(BJ$3&gt;=VALUE(t_Parts[[SOP]:[SOP]]),BJ$3&lt;=VALUE(t_Parts[[EOP]:[EOP]])), t_Parts[[SetupHrsPerMo]:[SetupHrsPerMo]]+(t_Parts[[#This Row],[pv2016.12]]/t_Parts[[NetPPH]:[NetPPH]]),0)</f>
        <v>13.649548368298367</v>
      </c>
      <c r="DQ20" s="39">
        <f>SUM(t_Parts[[#This Row],[hp2016.01]:[hp2016.12]])</f>
        <v>148.35530303030299</v>
      </c>
      <c r="DR20" s="39">
        <f>IF(AND(BL$3&gt;=VALUE(t_Parts[[SOP]:[SOP]]),BL$3&lt;=VALUE(t_Parts[[EOP]:[EOP]])), 12*t_Parts[[SetupHrsPerMo]:[SetupHrsPerMo]]+(t_Parts[[#This Row],[pv2017]]/t_Parts[[NetPPH]:[NetPPH]]),0)</f>
        <v>148.35530303030305</v>
      </c>
      <c r="DS20" s="39">
        <f>IF(AND(BM$3&gt;=VALUE(t_Parts[[SOP]:[SOP]]),BM$3&lt;=VALUE(t_Parts[[EOP]:[EOP]])), 12*t_Parts[[SetupHrsPerMo]:[SetupHrsPerMo]]+(t_Parts[[#This Row],[pv2018]]/t_Parts[[NetPPH]:[NetPPH]]),0)</f>
        <v>148.35530303030305</v>
      </c>
      <c r="DT20" s="39">
        <f>IF(AND(BN$3&gt;=VALUE(t_Parts[[SOP]:[SOP]]),BN$3&lt;=VALUE(t_Parts[[EOP]:[EOP]])), 12*t_Parts[[SetupHrsPerMo]:[SetupHrsPerMo]]+(t_Parts[[#This Row],[pv2019]]/t_Parts[[NetPPH]:[NetPPH]]),0)</f>
        <v>0</v>
      </c>
      <c r="DU20" s="47">
        <f>t_Parts[[#This Row],[hp2015.01]]/t_Parts[[#This Row],[ha2015.01]]</f>
        <v>4.1855852480852475E-2</v>
      </c>
      <c r="DV20" s="47">
        <f>t_Parts[[#This Row],[hp2015.02]]/t_Parts[[#This Row],[ha2015.02]]</f>
        <v>4.1855852480852475E-2</v>
      </c>
      <c r="DW20" s="47">
        <f>t_Parts[[#This Row],[hp2015.03]]/t_Parts[[#This Row],[ha2015.03]]</f>
        <v>3.8998709623709618E-2</v>
      </c>
      <c r="DX20" s="47">
        <f>t_Parts[[#This Row],[hp2015.04]]/t_Parts[[#This Row],[ha2015.04]]</f>
        <v>4.1855852480852475E-2</v>
      </c>
      <c r="DY20" s="47">
        <f>t_Parts[[#This Row],[hp2015.05]]/t_Parts[[#This Row],[ha2015.05]]</f>
        <v>4.1855852480852475E-2</v>
      </c>
      <c r="DZ20" s="47">
        <f>t_Parts[[#This Row],[hp2015.06]]/t_Parts[[#This Row],[ha2015.06]]</f>
        <v>3.8998709623709618E-2</v>
      </c>
      <c r="EA20" s="47">
        <f>t_Parts[[#This Row],[hp2015.07]]/t_Parts[[#This Row],[ha2015.07]]</f>
        <v>4.1855852480852475E-2</v>
      </c>
      <c r="EB20" s="47">
        <f>t_Parts[[#This Row],[hp2015.08]]/t_Parts[[#This Row],[ha2015.08]]</f>
        <v>4.1855852480852475E-2</v>
      </c>
      <c r="EC20" s="47">
        <f>t_Parts[[#This Row],[hp2015.09]]/t_Parts[[#This Row],[ha2015.09]]</f>
        <v>3.8998709623709618E-2</v>
      </c>
      <c r="ED20" s="47">
        <f>t_Parts[[#This Row],[hp2015.10]]/t_Parts[[#This Row],[ha2015.10]]</f>
        <v>4.1855852480852475E-2</v>
      </c>
      <c r="EE20" s="47">
        <f>t_Parts[[#This Row],[hp2015.11]]/t_Parts[[#This Row],[ha2015.11]]</f>
        <v>4.1855852480852475E-2</v>
      </c>
      <c r="EF20" s="47">
        <f>t_Parts[[#This Row],[hp2015.12]]/t_Parts[[#This Row],[ha2015.12]]</f>
        <v>3.8998709623709618E-2</v>
      </c>
      <c r="EG20" s="47">
        <f>t_Parts[[#This Row],[hp2015.FY]]/t_Parts[[#This Row],[ha2015.FY]]</f>
        <v>4.0756951381951373E-2</v>
      </c>
      <c r="EH20" s="47">
        <f>t_Parts[[#This Row],[hp2016.01]]/t_Parts[[#This Row],[ha2016.01]]</f>
        <v>4.1855852480852475E-2</v>
      </c>
      <c r="EI20" s="47">
        <f>t_Parts[[#This Row],[hp2016.02]]/t_Parts[[#This Row],[ha2016.02]]</f>
        <v>4.1855852480852475E-2</v>
      </c>
      <c r="EJ20" s="47">
        <f>t_Parts[[#This Row],[hp2016.03]]/t_Parts[[#This Row],[ha2016.03]]</f>
        <v>3.8998709623709618E-2</v>
      </c>
      <c r="EK20" s="47">
        <f>t_Parts[[#This Row],[hp2016.04]]/t_Parts[[#This Row],[ha2016.04]]</f>
        <v>4.1855852480852475E-2</v>
      </c>
      <c r="EL20" s="47">
        <f>t_Parts[[#This Row],[hp2016.05]]/t_Parts[[#This Row],[ha2016.05]]</f>
        <v>4.1855852480852475E-2</v>
      </c>
      <c r="EM20" s="47">
        <f>t_Parts[[#This Row],[hp2016.06]]/t_Parts[[#This Row],[ha2016.06]]</f>
        <v>3.8998709623709618E-2</v>
      </c>
      <c r="EN20" s="47">
        <f>t_Parts[[#This Row],[hp2016.07]]/t_Parts[[#This Row],[ha2016.07]]</f>
        <v>4.1855852480852475E-2</v>
      </c>
      <c r="EO20" s="47">
        <f>t_Parts[[#This Row],[hp2016.08]]/t_Parts[[#This Row],[ha2016.08]]</f>
        <v>4.1855852480852475E-2</v>
      </c>
      <c r="EP20" s="47">
        <f>t_Parts[[#This Row],[hp2016.09]]/t_Parts[[#This Row],[ha2016.09]]</f>
        <v>3.8998709623709618E-2</v>
      </c>
      <c r="EQ20" s="47">
        <f>t_Parts[[#This Row],[hp2016.10]]/t_Parts[[#This Row],[ha2016.10]]</f>
        <v>4.1855852480852475E-2</v>
      </c>
      <c r="ER20" s="47">
        <f>t_Parts[[#This Row],[hp2016.11]]/t_Parts[[#This Row],[ha2016.11]]</f>
        <v>4.1855852480852475E-2</v>
      </c>
      <c r="ES20" s="47">
        <f>t_Parts[[#This Row],[hp2016.12]]/t_Parts[[#This Row],[ha2016.12]]</f>
        <v>3.8998709623709618E-2</v>
      </c>
      <c r="ET20" s="47">
        <f>t_Parts[[#This Row],[hp2016.FY]]/t_Parts[[#This Row],[ha2016.FY]]</f>
        <v>4.0756951381951373E-2</v>
      </c>
      <c r="EU20" s="47">
        <f>t_Parts[[#This Row],[hp2017]]/t_Parts[[#This Row],[ha2017]]</f>
        <v>4.0756951381951387E-2</v>
      </c>
      <c r="EV20" s="47">
        <f>t_Parts[[#This Row],[hp2018]]/t_Parts[[#This Row],[ha2018]]</f>
        <v>4.0756951381951387E-2</v>
      </c>
      <c r="EW20" s="47">
        <f>t_Parts[[#This Row],[hp2019]]/t_Parts[[#This Row],[hp2015.01]]</f>
        <v>0</v>
      </c>
      <c r="EX20" s="58">
        <f>(t_Parts[[#This Row],[ha2015.01]]-t_Parts[[#This Row],[hp2015.01]])*t_Parts[[NetPPH]:[NetPPH]]</f>
        <v>354130.07692307688</v>
      </c>
      <c r="EY20" s="58">
        <f>(t_Parts[[#This Row],[ha2015.02]]-t_Parts[[#This Row],[hp2015.02]])*t_Parts[[NetPPH]:[NetPPH]]</f>
        <v>354130.07692307688</v>
      </c>
      <c r="EZ20" s="58">
        <f>(t_Parts[[#This Row],[ha2015.03]]-t_Parts[[#This Row],[hp2015.03]])*t_Parts[[NetPPH]:[NetPPH]]</f>
        <v>443982.59615384613</v>
      </c>
      <c r="FA20" s="58">
        <f>(t_Parts[[#This Row],[ha2015.04]]-t_Parts[[#This Row],[hp2015.04]])*t_Parts[[NetPPH]:[NetPPH]]</f>
        <v>354130.07692307688</v>
      </c>
      <c r="FB20" s="58">
        <f>(t_Parts[[#This Row],[ha2015.05]]-t_Parts[[#This Row],[hp2015.05]])*t_Parts[[NetPPH]:[NetPPH]]</f>
        <v>354130.07692307688</v>
      </c>
      <c r="FC20" s="58">
        <f>(t_Parts[[#This Row],[ha2015.06]]-t_Parts[[#This Row],[hp2015.06]])*t_Parts[[NetPPH]:[NetPPH]]</f>
        <v>443982.59615384613</v>
      </c>
      <c r="FD20" s="58">
        <f>(t_Parts[[#This Row],[ha2015.07]]-t_Parts[[#This Row],[hp2015.07]])*t_Parts[[NetPPH]:[NetPPH]]</f>
        <v>354130.07692307688</v>
      </c>
      <c r="FE20" s="58">
        <f>(t_Parts[[#This Row],[ha2015.08]]-t_Parts[[#This Row],[hp2015.08]])*t_Parts[[NetPPH]:[NetPPH]]</f>
        <v>354130.07692307688</v>
      </c>
      <c r="FF20" s="58">
        <f>(t_Parts[[#This Row],[ha2015.09]]-t_Parts[[#This Row],[hp2015.09]])*t_Parts[[NetPPH]:[NetPPH]]</f>
        <v>443982.59615384613</v>
      </c>
      <c r="FG20" s="58">
        <f>(t_Parts[[#This Row],[ha2015.10]]-t_Parts[[#This Row],[hp2015.10]])*t_Parts[[NetPPH]:[NetPPH]]</f>
        <v>354130.07692307688</v>
      </c>
      <c r="FH20" s="58">
        <f>(t_Parts[[#This Row],[ha2015.11]]-t_Parts[[#This Row],[hp2015.11]])*t_Parts[[NetPPH]:[NetPPH]]</f>
        <v>354130.07692307688</v>
      </c>
      <c r="FI20" s="58">
        <f>(t_Parts[[#This Row],[ha2015.12]]-t_Parts[[#This Row],[hp2015.12]])*t_Parts[[NetPPH]:[NetPPH]]</f>
        <v>443982.59615384613</v>
      </c>
      <c r="FJ20" s="58">
        <f>(t_Parts[[#This Row],[ha2015.FY]]-t_Parts[[#This Row],[hp2015.FY]])*t_Parts[[NetPPH]:[NetPPH]]</f>
        <v>4608971</v>
      </c>
      <c r="FK20" s="58">
        <f>(t_Parts[[#This Row],[ha2016.01]]-t_Parts[[#This Row],[hp2016.01]])*t_Parts[[NetPPH]:[NetPPH]]</f>
        <v>354130.07692307688</v>
      </c>
      <c r="FL20" s="58">
        <f>(t_Parts[[#This Row],[ha2016.02]]-t_Parts[[#This Row],[hp2016.02]])*t_Parts[[NetPPH]:[NetPPH]]</f>
        <v>354130.07692307688</v>
      </c>
      <c r="FM20" s="58">
        <f>(t_Parts[[#This Row],[ha2016.03]]-t_Parts[[#This Row],[hp2016.03]])*t_Parts[[NetPPH]:[NetPPH]]</f>
        <v>443982.59615384613</v>
      </c>
      <c r="FN20" s="58">
        <f>(t_Parts[[#This Row],[ha2016.04]]-t_Parts[[#This Row],[hp2016.04]])*t_Parts[[NetPPH]:[NetPPH]]</f>
        <v>354130.07692307688</v>
      </c>
      <c r="FO20" s="58">
        <f>(t_Parts[[#This Row],[ha2016.05]]-t_Parts[[#This Row],[hp2016.05]])*t_Parts[[NetPPH]:[NetPPH]]</f>
        <v>354130.07692307688</v>
      </c>
      <c r="FP20" s="58">
        <f>(t_Parts[[#This Row],[ha2016.06]]-t_Parts[[#This Row],[hp2016.06]])*t_Parts[[NetPPH]:[NetPPH]]</f>
        <v>443982.59615384613</v>
      </c>
      <c r="FQ20" s="58">
        <f>(t_Parts[[#This Row],[ha2016.07]]-t_Parts[[#This Row],[hp2016.07]])*t_Parts[[NetPPH]:[NetPPH]]</f>
        <v>354130.07692307688</v>
      </c>
      <c r="FR20" s="58">
        <f>(t_Parts[[#This Row],[ha2016.08]]-t_Parts[[#This Row],[hp2016.08]])*t_Parts[[NetPPH]:[NetPPH]]</f>
        <v>354130.07692307688</v>
      </c>
      <c r="FS20" s="58">
        <f>(t_Parts[[#This Row],[ha2016.09]]-t_Parts[[#This Row],[hp2016.09]])*t_Parts[[NetPPH]:[NetPPH]]</f>
        <v>443982.59615384613</v>
      </c>
      <c r="FT20" s="58">
        <f>(t_Parts[[#This Row],[ha2016.10]]-t_Parts[[#This Row],[hp2016.10]])*t_Parts[[NetPPH]:[NetPPH]]</f>
        <v>354130.07692307688</v>
      </c>
      <c r="FU20" s="58">
        <f>(t_Parts[[#This Row],[ha2016.11]]-t_Parts[[#This Row],[hp2016.11]])*t_Parts[[NetPPH]:[NetPPH]]</f>
        <v>354130.07692307688</v>
      </c>
      <c r="FV20" s="58">
        <f>(t_Parts[[#This Row],[ha2016.12]]-t_Parts[[#This Row],[hp2016.12]])*t_Parts[[NetPPH]:[NetPPH]]</f>
        <v>443982.59615384613</v>
      </c>
      <c r="FW20" s="58">
        <f>(t_Parts[[#This Row],[ha2016.FY]]-t_Parts[[#This Row],[hp2016.FY]])*t_Parts[[NetPPH]:[NetPPH]]</f>
        <v>4608971</v>
      </c>
      <c r="FX20" s="58">
        <f>(t_Parts[[#This Row],[ha2017]]-t_Parts[[#This Row],[hp2017]])*t_Parts[[NetPPH]:[NetPPH]]</f>
        <v>4608971</v>
      </c>
      <c r="FY20" s="58">
        <f>(t_Parts[[#This Row],[ha2018]]-t_Parts[[#This Row],[hp2018]])*t_Parts[[NetPPH]:[NetPPH]]</f>
        <v>4608971</v>
      </c>
      <c r="FZ20" s="58">
        <f>(t_Parts[[#This Row],[ha2019]]-t_Parts[[#This Row],[hp2019]])*t_Parts[[NetPPH]:[NetPPH]]</f>
        <v>4804800</v>
      </c>
    </row>
    <row r="21" spans="1:182" s="14" customFormat="1" x14ac:dyDescent="0.25">
      <c r="A21" s="74" t="s">
        <v>562</v>
      </c>
      <c r="B21" s="74"/>
      <c r="C21" s="74">
        <v>21013</v>
      </c>
      <c r="D21" s="75">
        <v>1</v>
      </c>
      <c r="E21" s="73">
        <v>2400</v>
      </c>
      <c r="F21" s="76">
        <v>1</v>
      </c>
      <c r="G21" s="77">
        <v>4</v>
      </c>
      <c r="H21" s="16">
        <v>2015.01</v>
      </c>
      <c r="I21" s="16" t="s">
        <v>92</v>
      </c>
      <c r="J21" s="73">
        <v>48011</v>
      </c>
      <c r="K21" s="73">
        <v>48011</v>
      </c>
      <c r="L21" s="73">
        <v>48011</v>
      </c>
      <c r="M21" s="73">
        <v>48011</v>
      </c>
      <c r="N21" s="73">
        <v>48011</v>
      </c>
      <c r="O21" s="78">
        <v>28</v>
      </c>
      <c r="P21" s="78">
        <v>41</v>
      </c>
      <c r="Q21" s="79">
        <v>21.12</v>
      </c>
      <c r="R21" s="79"/>
      <c r="S21" s="78">
        <v>57</v>
      </c>
      <c r="T21" s="80">
        <v>16</v>
      </c>
      <c r="U21" s="80" t="s">
        <v>121</v>
      </c>
      <c r="V21" s="81" t="s">
        <v>563</v>
      </c>
      <c r="W21" s="82">
        <v>0.41</v>
      </c>
      <c r="X21" s="82" t="s">
        <v>495</v>
      </c>
      <c r="Y21" s="82"/>
      <c r="Z21" s="82"/>
      <c r="AA21" s="82"/>
      <c r="AB21" s="82"/>
      <c r="AC21" s="83" t="s">
        <v>667</v>
      </c>
      <c r="AD21" s="40" t="str">
        <f>VLOOKUP(t_Parts[[#This Row],[Press]],t_Presses[],Press!B$1,FALSE)</f>
        <v>Plainfield</v>
      </c>
      <c r="AE21" s="40" t="str">
        <f>VLOOKUP(t_Parts[[#This Row],[Press]],t_Presses[],Press!E$1,FALSE)</f>
        <v>0-299</v>
      </c>
      <c r="AF21" s="47">
        <f>VLOOKUP(t_Parts[[#This Row],[Plant]],t_Plants[],Plants!C$1,FALSE)</f>
        <v>0.55000000000000004</v>
      </c>
      <c r="AG21" s="47">
        <f>VLOOKUP(t_Parts[[#This Row],[Press]],t_Presses[],Press!F$1,FALSE)</f>
        <v>0</v>
      </c>
      <c r="AH21" s="84"/>
      <c r="AI21" s="47">
        <f>IF(ISBLANK(t_Parts[[#This Row],[PartOEE]])=FALSE,t_Parts[[#This Row],[PartOEE]], IF(t_Parts[[#This Row],[PressOEE]]&gt;0, t_Parts[[#This Row],[PressOEE]], t_Parts[[#This Row],[PlantOEE]] ))</f>
        <v>0.55000000000000004</v>
      </c>
      <c r="AJ21" s="70">
        <f>t_Parts[[#This Row],[SetupsPerMo]]*t_Parts[[#This Row],[SetupHrs]]</f>
        <v>4</v>
      </c>
      <c r="AK21" s="39">
        <f>(t_Parts[[#This Row],[PartsPerStroke]]*t_Parts[[#This Row],[StrokesPerHr]])*t_Parts[[#This Row],[UseOEE]]</f>
        <v>1320</v>
      </c>
      <c r="AL2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3693.1538461538462</v>
      </c>
      <c r="AM2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3693.1538461538462</v>
      </c>
      <c r="AN2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4616.4423076923076</v>
      </c>
      <c r="AO2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3693.1538461538462</v>
      </c>
      <c r="AP2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3693.1538461538462</v>
      </c>
      <c r="AQ2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4616.4423076923076</v>
      </c>
      <c r="AR2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3693.1538461538462</v>
      </c>
      <c r="AS2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3693.1538461538462</v>
      </c>
      <c r="AT2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4616.4423076923076</v>
      </c>
      <c r="AU2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3693.1538461538462</v>
      </c>
      <c r="AV2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3693.1538461538462</v>
      </c>
      <c r="AW2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4616.4423076923076</v>
      </c>
      <c r="AX21" s="39">
        <f>SUM(t_Parts[[#This Row],[pv2015.01]:[pv2015.12]])</f>
        <v>48010.999999999993</v>
      </c>
      <c r="AY2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2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2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2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2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2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2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2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2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2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2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2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21" s="39">
        <f>SUM(t_Parts[[#This Row],[pv2016.01]:[pv2016.12]])</f>
        <v>0</v>
      </c>
      <c r="BL21" s="39">
        <f>t_Parts[[#This Row],[2017vol]]</f>
        <v>48011</v>
      </c>
      <c r="BM21" s="39">
        <f>t_Parts[[#This Row],[2018vol]]</f>
        <v>48011</v>
      </c>
      <c r="BN21" s="39">
        <f>t_Parts[[#This Row],[2019vol]]</f>
        <v>48011</v>
      </c>
      <c r="BO21" s="40">
        <f>VLOOKUP(t_Parts[[Plant]:[Plant]],t_Plants[],Plants!CN$1,FALSE)</f>
        <v>280</v>
      </c>
      <c r="BP21" s="14">
        <f>VLOOKUP(t_Parts[[Plant]:[Plant]],t_Plants[],Plants!CO$1,FALSE)</f>
        <v>280</v>
      </c>
      <c r="BQ21" s="14">
        <f>VLOOKUP(t_Parts[[Plant]:[Plant]],t_Plants[],Plants!CP$1,FALSE)</f>
        <v>350</v>
      </c>
      <c r="BR21" s="14">
        <f>VLOOKUP(t_Parts[[Plant]:[Plant]],t_Plants[],Plants!CQ$1,FALSE)</f>
        <v>280</v>
      </c>
      <c r="BS21" s="14">
        <f>VLOOKUP(t_Parts[[Plant]:[Plant]],t_Plants[],Plants!CR$1,FALSE)</f>
        <v>280</v>
      </c>
      <c r="BT21" s="14">
        <f>VLOOKUP(t_Parts[[Plant]:[Plant]],t_Plants[],Plants!CS$1,FALSE)</f>
        <v>350</v>
      </c>
      <c r="BU21" s="14">
        <f>VLOOKUP(t_Parts[[Plant]:[Plant]],t_Plants[],Plants!CT$1,FALSE)</f>
        <v>280</v>
      </c>
      <c r="BV21" s="14">
        <f>VLOOKUP(t_Parts[[Plant]:[Plant]],t_Plants[],Plants!CU$1,FALSE)</f>
        <v>280</v>
      </c>
      <c r="BW21" s="14">
        <f>VLOOKUP(t_Parts[[Plant]:[Plant]],t_Plants[],Plants!CV$1,FALSE)</f>
        <v>350</v>
      </c>
      <c r="BX21" s="14">
        <f>VLOOKUP(t_Parts[[Plant]:[Plant]],t_Plants[],Plants!CW$1,FALSE)</f>
        <v>280</v>
      </c>
      <c r="BY21" s="14">
        <f>VLOOKUP(t_Parts[[Plant]:[Plant]],t_Plants[],Plants!CX$1,FALSE)</f>
        <v>280</v>
      </c>
      <c r="BZ21" s="14">
        <f>VLOOKUP(t_Parts[[Plant]:[Plant]],t_Plants[],Plants!CY$1,FALSE)</f>
        <v>350</v>
      </c>
      <c r="CA21" s="40">
        <f>SUM(t_Parts[[#This Row],[ha2015.01]:[ha2015.12]])</f>
        <v>3640</v>
      </c>
      <c r="CB21" s="14">
        <f>VLOOKUP(t_Parts[[Plant]:[Plant]],t_Plants[],Plants!DA$1,FALSE)</f>
        <v>280</v>
      </c>
      <c r="CC21" s="14">
        <f>VLOOKUP(t_Parts[[Plant]:[Plant]],t_Plants[],Plants!DB$1,FALSE)</f>
        <v>280</v>
      </c>
      <c r="CD21" s="14">
        <f>VLOOKUP(t_Parts[[Plant]:[Plant]],t_Plants[],Plants!DC$1,FALSE)</f>
        <v>350</v>
      </c>
      <c r="CE21" s="14">
        <f>VLOOKUP(t_Parts[[Plant]:[Plant]],t_Plants[],Plants!DD$1,FALSE)</f>
        <v>280</v>
      </c>
      <c r="CF21" s="14">
        <f>VLOOKUP(t_Parts[[Plant]:[Plant]],t_Plants[],Plants!DE$1,FALSE)</f>
        <v>280</v>
      </c>
      <c r="CG21" s="14">
        <f>VLOOKUP(t_Parts[[Plant]:[Plant]],t_Plants[],Plants!DF$1,FALSE)</f>
        <v>350</v>
      </c>
      <c r="CH21" s="14">
        <f>VLOOKUP(t_Parts[[Plant]:[Plant]],t_Plants[],Plants!DG$1,FALSE)</f>
        <v>280</v>
      </c>
      <c r="CI21" s="14">
        <f>VLOOKUP(t_Parts[[Plant]:[Plant]],t_Plants[],Plants!DH$1,FALSE)</f>
        <v>280</v>
      </c>
      <c r="CJ21" s="14">
        <f>VLOOKUP(t_Parts[[Plant]:[Plant]],t_Plants[],Plants!DI$1,FALSE)</f>
        <v>350</v>
      </c>
      <c r="CK21" s="14">
        <f>VLOOKUP(t_Parts[[Plant]:[Plant]],t_Plants[],Plants!DJ$1,FALSE)</f>
        <v>280</v>
      </c>
      <c r="CL21" s="14">
        <f>VLOOKUP(t_Parts[[Plant]:[Plant]],t_Plants[],Plants!DK$1,FALSE)</f>
        <v>280</v>
      </c>
      <c r="CM21" s="14">
        <f>VLOOKUP(t_Parts[[Plant]:[Plant]],t_Plants[],Plants!DL$1,FALSE)</f>
        <v>350</v>
      </c>
      <c r="CN21" s="14">
        <f>VLOOKUP(t_Parts[[Plant]:[Plant]],t_Plants[],Plants!DM$1,FALSE)</f>
        <v>3640</v>
      </c>
      <c r="CO21" s="14">
        <f>VLOOKUP(t_Parts[[Plant]:[Plant]],t_Plants[],Plants!DN$1,FALSE)</f>
        <v>3640</v>
      </c>
      <c r="CP21" s="14">
        <f>VLOOKUP(t_Parts[[Plant]:[Plant]],t_Plants[],Plants!DO$1,FALSE)</f>
        <v>3640</v>
      </c>
      <c r="CQ21" s="14">
        <f>VLOOKUP(t_Parts[[Plant]:[Plant]],t_Plants[],Plants!DP$1,FALSE)</f>
        <v>3640</v>
      </c>
      <c r="CR21" s="39">
        <f>IF(AND(AL$3&gt;=VALUE(t_Parts[[SOP]:[SOP]]),AL$3&lt;=VALUE(t_Parts[[EOP]:[EOP]])), t_Parts[[SetupHrsPerMo]:[SetupHrsPerMo]]+(t_Parts[[#This Row],[pv2015.01]]/t_Parts[[NetPPH]:[NetPPH]]),0)</f>
        <v>6.7978438228438227</v>
      </c>
      <c r="CS21" s="39">
        <f>IF(AND(AM$3&gt;=VALUE(t_Parts[[SOP]:[SOP]]),AM$3&lt;=VALUE(t_Parts[[EOP]:[EOP]])), t_Parts[[SetupHrsPerMo]:[SetupHrsPerMo]]+(t_Parts[[#This Row],[pv2015.02]]/t_Parts[[NetPPH]:[NetPPH]]),0)</f>
        <v>6.7978438228438227</v>
      </c>
      <c r="CT21" s="39">
        <f>IF(AND(AN$3&gt;=VALUE(t_Parts[[SOP]:[SOP]]),AN$3&lt;=VALUE(t_Parts[[EOP]:[EOP]])), t_Parts[[SetupHrsPerMo]:[SetupHrsPerMo]]+(t_Parts[[#This Row],[pv2015.03]]/t_Parts[[NetPPH]:[NetPPH]]),0)</f>
        <v>7.4973047785547786</v>
      </c>
      <c r="CU21" s="39">
        <f>IF(AND(AO$3&gt;=VALUE(t_Parts[[SOP]:[SOP]]),AO$3&lt;=VALUE(t_Parts[[EOP]:[EOP]])), t_Parts[[SetupHrsPerMo]:[SetupHrsPerMo]]+(t_Parts[[#This Row],[pv2015.04]]/t_Parts[[NetPPH]:[NetPPH]]),0)</f>
        <v>6.7978438228438227</v>
      </c>
      <c r="CV21" s="39">
        <f>IF(AND(AP$3&gt;=VALUE(t_Parts[[SOP]:[SOP]]),AP$3&lt;=VALUE(t_Parts[[EOP]:[EOP]])), t_Parts[[SetupHrsPerMo]:[SetupHrsPerMo]]+(t_Parts[[#This Row],[pv2015.05]]/t_Parts[[NetPPH]:[NetPPH]]),0)</f>
        <v>6.7978438228438227</v>
      </c>
      <c r="CW21" s="39">
        <f>IF(AND(AQ$3&gt;=VALUE(t_Parts[[SOP]:[SOP]]),AQ$3&lt;=VALUE(t_Parts[[EOP]:[EOP]])), t_Parts[[SetupHrsPerMo]:[SetupHrsPerMo]]+(t_Parts[[#This Row],[pv2015.06]]/t_Parts[[NetPPH]:[NetPPH]]),0)</f>
        <v>7.4973047785547786</v>
      </c>
      <c r="CX21" s="39">
        <f>IF(AND(AR$3&gt;=VALUE(t_Parts[[SOP]:[SOP]]),AR$3&lt;=VALUE(t_Parts[[EOP]:[EOP]])), t_Parts[[SetupHrsPerMo]:[SetupHrsPerMo]]+(t_Parts[[#This Row],[pv2015.07]]/t_Parts[[NetPPH]:[NetPPH]]),0)</f>
        <v>6.7978438228438227</v>
      </c>
      <c r="CY21" s="39">
        <f>IF(AND(AS$3&gt;=VALUE(t_Parts[[SOP]:[SOP]]),AS$3&lt;=VALUE(t_Parts[[EOP]:[EOP]])), t_Parts[[SetupHrsPerMo]:[SetupHrsPerMo]]+(t_Parts[[#This Row],[pv2015.08]]/t_Parts[[NetPPH]:[NetPPH]]),0)</f>
        <v>6.7978438228438227</v>
      </c>
      <c r="CZ21" s="39">
        <f>IF(AND(AT$3&gt;=VALUE(t_Parts[[SOP]:[SOP]]),AT$3&lt;=VALUE(t_Parts[[EOP]:[EOP]])), t_Parts[[SetupHrsPerMo]:[SetupHrsPerMo]]+(t_Parts[[#This Row],[pv2015.09]]/t_Parts[[NetPPH]:[NetPPH]]),0)</f>
        <v>7.4973047785547786</v>
      </c>
      <c r="DA21" s="39">
        <f>IF(AND(AU$3&gt;=VALUE(t_Parts[[SOP]:[SOP]]),AU$3&lt;=VALUE(t_Parts[[EOP]:[EOP]])), t_Parts[[SetupHrsPerMo]:[SetupHrsPerMo]]+(t_Parts[[#This Row],[pv2015.10]]/t_Parts[[NetPPH]:[NetPPH]]),0)</f>
        <v>6.7978438228438227</v>
      </c>
      <c r="DB21" s="39">
        <f>IF(AND(AV$3&gt;=VALUE(t_Parts[[SOP]:[SOP]]),AV$3&lt;=VALUE(t_Parts[[EOP]:[EOP]])), t_Parts[[SetupHrsPerMo]:[SetupHrsPerMo]]+(t_Parts[[#This Row],[pv2015.11]]/t_Parts[[NetPPH]:[NetPPH]]),0)</f>
        <v>6.7978438228438227</v>
      </c>
      <c r="DC21" s="39">
        <f>IF(AND(AW$3&gt;=VALUE(t_Parts[[SOP]:[SOP]]),AW$3&lt;=VALUE(t_Parts[[EOP]:[EOP]])), t_Parts[[SetupHrsPerMo]:[SetupHrsPerMo]]+(t_Parts[[#This Row],[pv2015.12]]/t_Parts[[NetPPH]:[NetPPH]]),0)</f>
        <v>7.4973047785547786</v>
      </c>
      <c r="DD21" s="39">
        <f>SUM(t_Parts[[#This Row],[hp2015.01]:[hp2015.12]])</f>
        <v>84.371969696969686</v>
      </c>
      <c r="DE21" s="39">
        <f>IF(AND(AY$3&gt;=VALUE(t_Parts[[SOP]:[SOP]]),AY$3&lt;=VALUE(t_Parts[[EOP]:[EOP]])), t_Parts[[SetupHrsPerMo]:[SetupHrsPerMo]]+(t_Parts[[#This Row],[pv2016.01]]/t_Parts[[NetPPH]:[NetPPH]]),0)</f>
        <v>0</v>
      </c>
      <c r="DF21" s="39">
        <f>IF(AND(AZ$3&gt;=VALUE(t_Parts[[SOP]:[SOP]]),AZ$3&lt;=VALUE(t_Parts[[EOP]:[EOP]])), t_Parts[[SetupHrsPerMo]:[SetupHrsPerMo]]+(t_Parts[[#This Row],[pv2016.02]]/t_Parts[[NetPPH]:[NetPPH]]),0)</f>
        <v>0</v>
      </c>
      <c r="DG21" s="39">
        <f>IF(AND(BA$3&gt;=VALUE(t_Parts[[SOP]:[SOP]]),BA$3&lt;=VALUE(t_Parts[[EOP]:[EOP]])), t_Parts[[SetupHrsPerMo]:[SetupHrsPerMo]]+(t_Parts[[#This Row],[pv2016.03]]/t_Parts[[NetPPH]:[NetPPH]]),0)</f>
        <v>0</v>
      </c>
      <c r="DH21" s="39">
        <f>IF(AND(BB$3&gt;=VALUE(t_Parts[[SOP]:[SOP]]),BB$3&lt;=VALUE(t_Parts[[EOP]:[EOP]])), t_Parts[[SetupHrsPerMo]:[SetupHrsPerMo]]+(t_Parts[[#This Row],[pv2016.04]]/t_Parts[[NetPPH]:[NetPPH]]),0)</f>
        <v>0</v>
      </c>
      <c r="DI21" s="39">
        <f>IF(AND(BC$3&gt;=VALUE(t_Parts[[SOP]:[SOP]]),BC$3&lt;=VALUE(t_Parts[[EOP]:[EOP]])), t_Parts[[SetupHrsPerMo]:[SetupHrsPerMo]]+(t_Parts[[#This Row],[pv2016.05]]/t_Parts[[NetPPH]:[NetPPH]]),0)</f>
        <v>0</v>
      </c>
      <c r="DJ21" s="39">
        <f>IF(AND(BD$3&gt;=VALUE(t_Parts[[SOP]:[SOP]]),BD$3&lt;=VALUE(t_Parts[[EOP]:[EOP]])), t_Parts[[SetupHrsPerMo]:[SetupHrsPerMo]]+(t_Parts[[#This Row],[pv2016.06]]/t_Parts[[NetPPH]:[NetPPH]]),0)</f>
        <v>0</v>
      </c>
      <c r="DK21" s="39">
        <f>IF(AND(BE$3&gt;=VALUE(t_Parts[[SOP]:[SOP]]),BE$3&lt;=VALUE(t_Parts[[EOP]:[EOP]])), t_Parts[[SetupHrsPerMo]:[SetupHrsPerMo]]+(t_Parts[[#This Row],[pv2016.07]]/t_Parts[[NetPPH]:[NetPPH]]),0)</f>
        <v>0</v>
      </c>
      <c r="DL21" s="39">
        <f>IF(AND(BF$3&gt;=VALUE(t_Parts[[SOP]:[SOP]]),BF$3&lt;=VALUE(t_Parts[[EOP]:[EOP]])), t_Parts[[SetupHrsPerMo]:[SetupHrsPerMo]]+(t_Parts[[#This Row],[pv2016.08]]/t_Parts[[NetPPH]:[NetPPH]]),0)</f>
        <v>0</v>
      </c>
      <c r="DM21" s="39">
        <f>IF(AND(BG$3&gt;=VALUE(t_Parts[[SOP]:[SOP]]),BG$3&lt;=VALUE(t_Parts[[EOP]:[EOP]])), t_Parts[[SetupHrsPerMo]:[SetupHrsPerMo]]+(t_Parts[[#This Row],[pv2016.09]]/t_Parts[[NetPPH]:[NetPPH]]),0)</f>
        <v>0</v>
      </c>
      <c r="DN21" s="39">
        <f>IF(AND(BH$3&gt;=VALUE(t_Parts[[SOP]:[SOP]]),BH$3&lt;=VALUE(t_Parts[[EOP]:[EOP]])), t_Parts[[SetupHrsPerMo]:[SetupHrsPerMo]]+(t_Parts[[#This Row],[pv2016.10]]/t_Parts[[NetPPH]:[NetPPH]]),0)</f>
        <v>0</v>
      </c>
      <c r="DO21" s="39">
        <f>IF(AND(BI$3&gt;=VALUE(t_Parts[[SOP]:[SOP]]),BI$3&lt;=VALUE(t_Parts[[EOP]:[EOP]])), t_Parts[[SetupHrsPerMo]:[SetupHrsPerMo]]+(t_Parts[[#This Row],[pv2016.11]]/t_Parts[[NetPPH]:[NetPPH]]),0)</f>
        <v>0</v>
      </c>
      <c r="DP21" s="39">
        <f>IF(AND(BJ$3&gt;=VALUE(t_Parts[[SOP]:[SOP]]),BJ$3&lt;=VALUE(t_Parts[[EOP]:[EOP]])), t_Parts[[SetupHrsPerMo]:[SetupHrsPerMo]]+(t_Parts[[#This Row],[pv2016.12]]/t_Parts[[NetPPH]:[NetPPH]]),0)</f>
        <v>0</v>
      </c>
      <c r="DQ21" s="39">
        <f>SUM(t_Parts[[#This Row],[hp2016.01]:[hp2016.12]])</f>
        <v>0</v>
      </c>
      <c r="DR21" s="39">
        <f>IF(AND(BL$3&gt;=VALUE(t_Parts[[SOP]:[SOP]]),BL$3&lt;=VALUE(t_Parts[[EOP]:[EOP]])), 12*t_Parts[[SetupHrsPerMo]:[SetupHrsPerMo]]+(t_Parts[[#This Row],[pv2017]]/t_Parts[[NetPPH]:[NetPPH]]),0)</f>
        <v>0</v>
      </c>
      <c r="DS21" s="39">
        <f>IF(AND(BM$3&gt;=VALUE(t_Parts[[SOP]:[SOP]]),BM$3&lt;=VALUE(t_Parts[[EOP]:[EOP]])), 12*t_Parts[[SetupHrsPerMo]:[SetupHrsPerMo]]+(t_Parts[[#This Row],[pv2018]]/t_Parts[[NetPPH]:[NetPPH]]),0)</f>
        <v>0</v>
      </c>
      <c r="DT21" s="39">
        <f>IF(AND(BN$3&gt;=VALUE(t_Parts[[SOP]:[SOP]]),BN$3&lt;=VALUE(t_Parts[[EOP]:[EOP]])), 12*t_Parts[[SetupHrsPerMo]:[SetupHrsPerMo]]+(t_Parts[[#This Row],[pv2019]]/t_Parts[[NetPPH]:[NetPPH]]),0)</f>
        <v>0</v>
      </c>
      <c r="DU21" s="47">
        <f>t_Parts[[#This Row],[hp2015.01]]/t_Parts[[#This Row],[ha2015.01]]</f>
        <v>2.4278013653013651E-2</v>
      </c>
      <c r="DV21" s="47">
        <f>t_Parts[[#This Row],[hp2015.02]]/t_Parts[[#This Row],[ha2015.02]]</f>
        <v>2.4278013653013651E-2</v>
      </c>
      <c r="DW21" s="47">
        <f>t_Parts[[#This Row],[hp2015.03]]/t_Parts[[#This Row],[ha2015.03]]</f>
        <v>2.1420870795870794E-2</v>
      </c>
      <c r="DX21" s="47">
        <f>t_Parts[[#This Row],[hp2015.04]]/t_Parts[[#This Row],[ha2015.04]]</f>
        <v>2.4278013653013651E-2</v>
      </c>
      <c r="DY21" s="47">
        <f>t_Parts[[#This Row],[hp2015.05]]/t_Parts[[#This Row],[ha2015.05]]</f>
        <v>2.4278013653013651E-2</v>
      </c>
      <c r="DZ21" s="47">
        <f>t_Parts[[#This Row],[hp2015.06]]/t_Parts[[#This Row],[ha2015.06]]</f>
        <v>2.1420870795870794E-2</v>
      </c>
      <c r="EA21" s="47">
        <f>t_Parts[[#This Row],[hp2015.07]]/t_Parts[[#This Row],[ha2015.07]]</f>
        <v>2.4278013653013651E-2</v>
      </c>
      <c r="EB21" s="47">
        <f>t_Parts[[#This Row],[hp2015.08]]/t_Parts[[#This Row],[ha2015.08]]</f>
        <v>2.4278013653013651E-2</v>
      </c>
      <c r="EC21" s="47">
        <f>t_Parts[[#This Row],[hp2015.09]]/t_Parts[[#This Row],[ha2015.09]]</f>
        <v>2.1420870795870794E-2</v>
      </c>
      <c r="ED21" s="47">
        <f>t_Parts[[#This Row],[hp2015.10]]/t_Parts[[#This Row],[ha2015.10]]</f>
        <v>2.4278013653013651E-2</v>
      </c>
      <c r="EE21" s="47">
        <f>t_Parts[[#This Row],[hp2015.11]]/t_Parts[[#This Row],[ha2015.11]]</f>
        <v>2.4278013653013651E-2</v>
      </c>
      <c r="EF21" s="47">
        <f>t_Parts[[#This Row],[hp2015.12]]/t_Parts[[#This Row],[ha2015.12]]</f>
        <v>2.1420870795870794E-2</v>
      </c>
      <c r="EG21" s="47">
        <f>t_Parts[[#This Row],[hp2015.FY]]/t_Parts[[#This Row],[ha2015.FY]]</f>
        <v>2.3179112554112553E-2</v>
      </c>
      <c r="EH21" s="47">
        <f>t_Parts[[#This Row],[hp2016.01]]/t_Parts[[#This Row],[ha2016.01]]</f>
        <v>0</v>
      </c>
      <c r="EI21" s="47">
        <f>t_Parts[[#This Row],[hp2016.02]]/t_Parts[[#This Row],[ha2016.02]]</f>
        <v>0</v>
      </c>
      <c r="EJ21" s="47">
        <f>t_Parts[[#This Row],[hp2016.03]]/t_Parts[[#This Row],[ha2016.03]]</f>
        <v>0</v>
      </c>
      <c r="EK21" s="47">
        <f>t_Parts[[#This Row],[hp2016.04]]/t_Parts[[#This Row],[ha2016.04]]</f>
        <v>0</v>
      </c>
      <c r="EL21" s="47">
        <f>t_Parts[[#This Row],[hp2016.05]]/t_Parts[[#This Row],[ha2016.05]]</f>
        <v>0</v>
      </c>
      <c r="EM21" s="47">
        <f>t_Parts[[#This Row],[hp2016.06]]/t_Parts[[#This Row],[ha2016.06]]</f>
        <v>0</v>
      </c>
      <c r="EN21" s="47">
        <f>t_Parts[[#This Row],[hp2016.07]]/t_Parts[[#This Row],[ha2016.07]]</f>
        <v>0</v>
      </c>
      <c r="EO21" s="47">
        <f>t_Parts[[#This Row],[hp2016.08]]/t_Parts[[#This Row],[ha2016.08]]</f>
        <v>0</v>
      </c>
      <c r="EP21" s="47">
        <f>t_Parts[[#This Row],[hp2016.09]]/t_Parts[[#This Row],[ha2016.09]]</f>
        <v>0</v>
      </c>
      <c r="EQ21" s="47">
        <f>t_Parts[[#This Row],[hp2016.10]]/t_Parts[[#This Row],[ha2016.10]]</f>
        <v>0</v>
      </c>
      <c r="ER21" s="47">
        <f>t_Parts[[#This Row],[hp2016.11]]/t_Parts[[#This Row],[ha2016.11]]</f>
        <v>0</v>
      </c>
      <c r="ES21" s="47">
        <f>t_Parts[[#This Row],[hp2016.12]]/t_Parts[[#This Row],[ha2016.12]]</f>
        <v>0</v>
      </c>
      <c r="ET21" s="47">
        <f>t_Parts[[#This Row],[hp2016.FY]]/t_Parts[[#This Row],[ha2016.FY]]</f>
        <v>0</v>
      </c>
      <c r="EU21" s="47">
        <f>t_Parts[[#This Row],[hp2017]]/t_Parts[[#This Row],[ha2017]]</f>
        <v>0</v>
      </c>
      <c r="EV21" s="47">
        <f>t_Parts[[#This Row],[hp2018]]/t_Parts[[#This Row],[ha2018]]</f>
        <v>0</v>
      </c>
      <c r="EW21" s="47">
        <f>t_Parts[[#This Row],[hp2019]]/t_Parts[[#This Row],[hp2015.01]]</f>
        <v>0</v>
      </c>
      <c r="EX21" s="58">
        <f>(t_Parts[[#This Row],[ha2015.01]]-t_Parts[[#This Row],[hp2015.01]])*t_Parts[[NetPPH]:[NetPPH]]</f>
        <v>360626.84615384613</v>
      </c>
      <c r="EY21" s="58">
        <f>(t_Parts[[#This Row],[ha2015.02]]-t_Parts[[#This Row],[hp2015.02]])*t_Parts[[NetPPH]:[NetPPH]]</f>
        <v>360626.84615384613</v>
      </c>
      <c r="EZ21" s="58">
        <f>(t_Parts[[#This Row],[ha2015.03]]-t_Parts[[#This Row],[hp2015.03]])*t_Parts[[NetPPH]:[NetPPH]]</f>
        <v>452103.55769230769</v>
      </c>
      <c r="FA21" s="58">
        <f>(t_Parts[[#This Row],[ha2015.04]]-t_Parts[[#This Row],[hp2015.04]])*t_Parts[[NetPPH]:[NetPPH]]</f>
        <v>360626.84615384613</v>
      </c>
      <c r="FB21" s="58">
        <f>(t_Parts[[#This Row],[ha2015.05]]-t_Parts[[#This Row],[hp2015.05]])*t_Parts[[NetPPH]:[NetPPH]]</f>
        <v>360626.84615384613</v>
      </c>
      <c r="FC21" s="58">
        <f>(t_Parts[[#This Row],[ha2015.06]]-t_Parts[[#This Row],[hp2015.06]])*t_Parts[[NetPPH]:[NetPPH]]</f>
        <v>452103.55769230769</v>
      </c>
      <c r="FD21" s="58">
        <f>(t_Parts[[#This Row],[ha2015.07]]-t_Parts[[#This Row],[hp2015.07]])*t_Parts[[NetPPH]:[NetPPH]]</f>
        <v>360626.84615384613</v>
      </c>
      <c r="FE21" s="58">
        <f>(t_Parts[[#This Row],[ha2015.08]]-t_Parts[[#This Row],[hp2015.08]])*t_Parts[[NetPPH]:[NetPPH]]</f>
        <v>360626.84615384613</v>
      </c>
      <c r="FF21" s="58">
        <f>(t_Parts[[#This Row],[ha2015.09]]-t_Parts[[#This Row],[hp2015.09]])*t_Parts[[NetPPH]:[NetPPH]]</f>
        <v>452103.55769230769</v>
      </c>
      <c r="FG21" s="58">
        <f>(t_Parts[[#This Row],[ha2015.10]]-t_Parts[[#This Row],[hp2015.10]])*t_Parts[[NetPPH]:[NetPPH]]</f>
        <v>360626.84615384613</v>
      </c>
      <c r="FH21" s="58">
        <f>(t_Parts[[#This Row],[ha2015.11]]-t_Parts[[#This Row],[hp2015.11]])*t_Parts[[NetPPH]:[NetPPH]]</f>
        <v>360626.84615384613</v>
      </c>
      <c r="FI21" s="58">
        <f>(t_Parts[[#This Row],[ha2015.12]]-t_Parts[[#This Row],[hp2015.12]])*t_Parts[[NetPPH]:[NetPPH]]</f>
        <v>452103.55769230769</v>
      </c>
      <c r="FJ21" s="58">
        <f>(t_Parts[[#This Row],[ha2015.FY]]-t_Parts[[#This Row],[hp2015.FY]])*t_Parts[[NetPPH]:[NetPPH]]</f>
        <v>4693429</v>
      </c>
      <c r="FK21" s="58">
        <f>(t_Parts[[#This Row],[ha2016.01]]-t_Parts[[#This Row],[hp2016.01]])*t_Parts[[NetPPH]:[NetPPH]]</f>
        <v>369600</v>
      </c>
      <c r="FL21" s="58">
        <f>(t_Parts[[#This Row],[ha2016.02]]-t_Parts[[#This Row],[hp2016.02]])*t_Parts[[NetPPH]:[NetPPH]]</f>
        <v>369600</v>
      </c>
      <c r="FM21" s="58">
        <f>(t_Parts[[#This Row],[ha2016.03]]-t_Parts[[#This Row],[hp2016.03]])*t_Parts[[NetPPH]:[NetPPH]]</f>
        <v>462000</v>
      </c>
      <c r="FN21" s="58">
        <f>(t_Parts[[#This Row],[ha2016.04]]-t_Parts[[#This Row],[hp2016.04]])*t_Parts[[NetPPH]:[NetPPH]]</f>
        <v>369600</v>
      </c>
      <c r="FO21" s="58">
        <f>(t_Parts[[#This Row],[ha2016.05]]-t_Parts[[#This Row],[hp2016.05]])*t_Parts[[NetPPH]:[NetPPH]]</f>
        <v>369600</v>
      </c>
      <c r="FP21" s="58">
        <f>(t_Parts[[#This Row],[ha2016.06]]-t_Parts[[#This Row],[hp2016.06]])*t_Parts[[NetPPH]:[NetPPH]]</f>
        <v>462000</v>
      </c>
      <c r="FQ21" s="58">
        <f>(t_Parts[[#This Row],[ha2016.07]]-t_Parts[[#This Row],[hp2016.07]])*t_Parts[[NetPPH]:[NetPPH]]</f>
        <v>369600</v>
      </c>
      <c r="FR21" s="58">
        <f>(t_Parts[[#This Row],[ha2016.08]]-t_Parts[[#This Row],[hp2016.08]])*t_Parts[[NetPPH]:[NetPPH]]</f>
        <v>369600</v>
      </c>
      <c r="FS21" s="58">
        <f>(t_Parts[[#This Row],[ha2016.09]]-t_Parts[[#This Row],[hp2016.09]])*t_Parts[[NetPPH]:[NetPPH]]</f>
        <v>462000</v>
      </c>
      <c r="FT21" s="58">
        <f>(t_Parts[[#This Row],[ha2016.10]]-t_Parts[[#This Row],[hp2016.10]])*t_Parts[[NetPPH]:[NetPPH]]</f>
        <v>369600</v>
      </c>
      <c r="FU21" s="58">
        <f>(t_Parts[[#This Row],[ha2016.11]]-t_Parts[[#This Row],[hp2016.11]])*t_Parts[[NetPPH]:[NetPPH]]</f>
        <v>369600</v>
      </c>
      <c r="FV21" s="58">
        <f>(t_Parts[[#This Row],[ha2016.12]]-t_Parts[[#This Row],[hp2016.12]])*t_Parts[[NetPPH]:[NetPPH]]</f>
        <v>462000</v>
      </c>
      <c r="FW21" s="58">
        <f>(t_Parts[[#This Row],[ha2016.FY]]-t_Parts[[#This Row],[hp2016.FY]])*t_Parts[[NetPPH]:[NetPPH]]</f>
        <v>4804800</v>
      </c>
      <c r="FX21" s="58">
        <f>(t_Parts[[#This Row],[ha2017]]-t_Parts[[#This Row],[hp2017]])*t_Parts[[NetPPH]:[NetPPH]]</f>
        <v>4804800</v>
      </c>
      <c r="FY21" s="58">
        <f>(t_Parts[[#This Row],[ha2018]]-t_Parts[[#This Row],[hp2018]])*t_Parts[[NetPPH]:[NetPPH]]</f>
        <v>4804800</v>
      </c>
      <c r="FZ21" s="58">
        <f>(t_Parts[[#This Row],[ha2019]]-t_Parts[[#This Row],[hp2019]])*t_Parts[[NetPPH]:[NetPPH]]</f>
        <v>4804800</v>
      </c>
    </row>
    <row r="22" spans="1:182" s="14" customFormat="1" x14ac:dyDescent="0.25">
      <c r="A22" s="74" t="s">
        <v>620</v>
      </c>
      <c r="B22" s="74"/>
      <c r="C22" s="74">
        <v>21013</v>
      </c>
      <c r="D22" s="75">
        <v>2</v>
      </c>
      <c r="E22" s="73">
        <v>2400</v>
      </c>
      <c r="F22" s="76">
        <v>1</v>
      </c>
      <c r="G22" s="77">
        <v>4</v>
      </c>
      <c r="H22" s="16">
        <v>2015.01</v>
      </c>
      <c r="I22" s="16" t="s">
        <v>82</v>
      </c>
      <c r="J22" s="73">
        <v>170499</v>
      </c>
      <c r="K22" s="73">
        <v>170499</v>
      </c>
      <c r="L22" s="73">
        <v>170499</v>
      </c>
      <c r="M22" s="73">
        <v>170499</v>
      </c>
      <c r="N22" s="73">
        <v>170499</v>
      </c>
      <c r="O22" s="78">
        <v>28</v>
      </c>
      <c r="P22" s="78">
        <v>60</v>
      </c>
      <c r="Q22" s="79">
        <v>21.215</v>
      </c>
      <c r="R22" s="79"/>
      <c r="S22" s="78">
        <v>168</v>
      </c>
      <c r="T22" s="80">
        <v>11</v>
      </c>
      <c r="U22" s="80" t="s">
        <v>121</v>
      </c>
      <c r="V22" s="81" t="s">
        <v>621</v>
      </c>
      <c r="W22" s="82">
        <v>0.91</v>
      </c>
      <c r="X22" s="82" t="s">
        <v>495</v>
      </c>
      <c r="Y22" s="82"/>
      <c r="Z22" s="82"/>
      <c r="AA22" s="82"/>
      <c r="AB22" s="82"/>
      <c r="AC22" s="83" t="s">
        <v>667</v>
      </c>
      <c r="AD22" s="40" t="str">
        <f>VLOOKUP(t_Parts[[#This Row],[Press]],t_Presses[],Press!B$1,FALSE)</f>
        <v>Plainfield</v>
      </c>
      <c r="AE22" s="40" t="str">
        <f>VLOOKUP(t_Parts[[#This Row],[Press]],t_Presses[],Press!E$1,FALSE)</f>
        <v>0-299</v>
      </c>
      <c r="AF22" s="47">
        <f>VLOOKUP(t_Parts[[#This Row],[Plant]],t_Plants[],Plants!C$1,FALSE)</f>
        <v>0.55000000000000004</v>
      </c>
      <c r="AG22" s="47">
        <f>VLOOKUP(t_Parts[[#This Row],[Press]],t_Presses[],Press!F$1,FALSE)</f>
        <v>0</v>
      </c>
      <c r="AH22" s="84"/>
      <c r="AI22" s="47">
        <f>IF(ISBLANK(t_Parts[[#This Row],[PartOEE]])=FALSE,t_Parts[[#This Row],[PartOEE]], IF(t_Parts[[#This Row],[PressOEE]]&gt;0, t_Parts[[#This Row],[PressOEE]], t_Parts[[#This Row],[PlantOEE]] ))</f>
        <v>0.55000000000000004</v>
      </c>
      <c r="AJ22" s="70">
        <f>t_Parts[[#This Row],[SetupsPerMo]]*t_Parts[[#This Row],[SetupHrs]]</f>
        <v>4</v>
      </c>
      <c r="AK22" s="39">
        <f>(t_Parts[[#This Row],[PartsPerStroke]]*t_Parts[[#This Row],[StrokesPerHr]])*t_Parts[[#This Row],[UseOEE]]</f>
        <v>2640</v>
      </c>
      <c r="AL2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13115.307692307691</v>
      </c>
      <c r="AM2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13115.307692307691</v>
      </c>
      <c r="AN2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16394.134615384613</v>
      </c>
      <c r="AO2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13115.307692307691</v>
      </c>
      <c r="AP2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13115.307692307691</v>
      </c>
      <c r="AQ2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16394.134615384613</v>
      </c>
      <c r="AR2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13115.307692307691</v>
      </c>
      <c r="AS2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13115.307692307691</v>
      </c>
      <c r="AT2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16394.134615384613</v>
      </c>
      <c r="AU2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13115.307692307691</v>
      </c>
      <c r="AV2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13115.307692307691</v>
      </c>
      <c r="AW2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16394.134615384613</v>
      </c>
      <c r="AX22" s="39">
        <f>SUM(t_Parts[[#This Row],[pv2015.01]:[pv2015.12]])</f>
        <v>170498.99999999997</v>
      </c>
      <c r="AY2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13115.307692307691</v>
      </c>
      <c r="AZ2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13115.307692307691</v>
      </c>
      <c r="BA2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16394.134615384613</v>
      </c>
      <c r="BB2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13115.307692307691</v>
      </c>
      <c r="BC2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13115.307692307691</v>
      </c>
      <c r="BD2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16394.134615384613</v>
      </c>
      <c r="BE2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13115.307692307691</v>
      </c>
      <c r="BF2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13115.307692307691</v>
      </c>
      <c r="BG2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16394.134615384613</v>
      </c>
      <c r="BH2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13115.307692307691</v>
      </c>
      <c r="BI2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13115.307692307691</v>
      </c>
      <c r="BJ2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16394.134615384613</v>
      </c>
      <c r="BK22" s="39">
        <f>SUM(t_Parts[[#This Row],[pv2016.01]:[pv2016.12]])</f>
        <v>170498.99999999997</v>
      </c>
      <c r="BL22" s="39">
        <f>t_Parts[[#This Row],[2017vol]]</f>
        <v>170499</v>
      </c>
      <c r="BM22" s="39">
        <f>t_Parts[[#This Row],[2018vol]]</f>
        <v>170499</v>
      </c>
      <c r="BN22" s="39">
        <f>t_Parts[[#This Row],[2019vol]]</f>
        <v>170499</v>
      </c>
      <c r="BO22" s="40">
        <f>VLOOKUP(t_Parts[[Plant]:[Plant]],t_Plants[],Plants!CN$1,FALSE)</f>
        <v>280</v>
      </c>
      <c r="BP22" s="14">
        <f>VLOOKUP(t_Parts[[Plant]:[Plant]],t_Plants[],Plants!CO$1,FALSE)</f>
        <v>280</v>
      </c>
      <c r="BQ22" s="14">
        <f>VLOOKUP(t_Parts[[Plant]:[Plant]],t_Plants[],Plants!CP$1,FALSE)</f>
        <v>350</v>
      </c>
      <c r="BR22" s="14">
        <f>VLOOKUP(t_Parts[[Plant]:[Plant]],t_Plants[],Plants!CQ$1,FALSE)</f>
        <v>280</v>
      </c>
      <c r="BS22" s="14">
        <f>VLOOKUP(t_Parts[[Plant]:[Plant]],t_Plants[],Plants!CR$1,FALSE)</f>
        <v>280</v>
      </c>
      <c r="BT22" s="14">
        <f>VLOOKUP(t_Parts[[Plant]:[Plant]],t_Plants[],Plants!CS$1,FALSE)</f>
        <v>350</v>
      </c>
      <c r="BU22" s="14">
        <f>VLOOKUP(t_Parts[[Plant]:[Plant]],t_Plants[],Plants!CT$1,FALSE)</f>
        <v>280</v>
      </c>
      <c r="BV22" s="14">
        <f>VLOOKUP(t_Parts[[Plant]:[Plant]],t_Plants[],Plants!CU$1,FALSE)</f>
        <v>280</v>
      </c>
      <c r="BW22" s="14">
        <f>VLOOKUP(t_Parts[[Plant]:[Plant]],t_Plants[],Plants!CV$1,FALSE)</f>
        <v>350</v>
      </c>
      <c r="BX22" s="14">
        <f>VLOOKUP(t_Parts[[Plant]:[Plant]],t_Plants[],Plants!CW$1,FALSE)</f>
        <v>280</v>
      </c>
      <c r="BY22" s="14">
        <f>VLOOKUP(t_Parts[[Plant]:[Plant]],t_Plants[],Plants!CX$1,FALSE)</f>
        <v>280</v>
      </c>
      <c r="BZ22" s="14">
        <f>VLOOKUP(t_Parts[[Plant]:[Plant]],t_Plants[],Plants!CY$1,FALSE)</f>
        <v>350</v>
      </c>
      <c r="CA22" s="40">
        <f>SUM(t_Parts[[#This Row],[ha2015.01]:[ha2015.12]])</f>
        <v>3640</v>
      </c>
      <c r="CB22" s="14">
        <f>VLOOKUP(t_Parts[[Plant]:[Plant]],t_Plants[],Plants!DA$1,FALSE)</f>
        <v>280</v>
      </c>
      <c r="CC22" s="14">
        <f>VLOOKUP(t_Parts[[Plant]:[Plant]],t_Plants[],Plants!DB$1,FALSE)</f>
        <v>280</v>
      </c>
      <c r="CD22" s="14">
        <f>VLOOKUP(t_Parts[[Plant]:[Plant]],t_Plants[],Plants!DC$1,FALSE)</f>
        <v>350</v>
      </c>
      <c r="CE22" s="14">
        <f>VLOOKUP(t_Parts[[Plant]:[Plant]],t_Plants[],Plants!DD$1,FALSE)</f>
        <v>280</v>
      </c>
      <c r="CF22" s="14">
        <f>VLOOKUP(t_Parts[[Plant]:[Plant]],t_Plants[],Plants!DE$1,FALSE)</f>
        <v>280</v>
      </c>
      <c r="CG22" s="14">
        <f>VLOOKUP(t_Parts[[Plant]:[Plant]],t_Plants[],Plants!DF$1,FALSE)</f>
        <v>350</v>
      </c>
      <c r="CH22" s="14">
        <f>VLOOKUP(t_Parts[[Plant]:[Plant]],t_Plants[],Plants!DG$1,FALSE)</f>
        <v>280</v>
      </c>
      <c r="CI22" s="14">
        <f>VLOOKUP(t_Parts[[Plant]:[Plant]],t_Plants[],Plants!DH$1,FALSE)</f>
        <v>280</v>
      </c>
      <c r="CJ22" s="14">
        <f>VLOOKUP(t_Parts[[Plant]:[Plant]],t_Plants[],Plants!DI$1,FALSE)</f>
        <v>350</v>
      </c>
      <c r="CK22" s="14">
        <f>VLOOKUP(t_Parts[[Plant]:[Plant]],t_Plants[],Plants!DJ$1,FALSE)</f>
        <v>280</v>
      </c>
      <c r="CL22" s="14">
        <f>VLOOKUP(t_Parts[[Plant]:[Plant]],t_Plants[],Plants!DK$1,FALSE)</f>
        <v>280</v>
      </c>
      <c r="CM22" s="14">
        <f>VLOOKUP(t_Parts[[Plant]:[Plant]],t_Plants[],Plants!DL$1,FALSE)</f>
        <v>350</v>
      </c>
      <c r="CN22" s="14">
        <f>VLOOKUP(t_Parts[[Plant]:[Plant]],t_Plants[],Plants!DM$1,FALSE)</f>
        <v>3640</v>
      </c>
      <c r="CO22" s="14">
        <f>VLOOKUP(t_Parts[[Plant]:[Plant]],t_Plants[],Plants!DN$1,FALSE)</f>
        <v>3640</v>
      </c>
      <c r="CP22" s="14">
        <f>VLOOKUP(t_Parts[[Plant]:[Plant]],t_Plants[],Plants!DO$1,FALSE)</f>
        <v>3640</v>
      </c>
      <c r="CQ22" s="14">
        <f>VLOOKUP(t_Parts[[Plant]:[Plant]],t_Plants[],Plants!DP$1,FALSE)</f>
        <v>3640</v>
      </c>
      <c r="CR22" s="39">
        <f>IF(AND(AL$3&gt;=VALUE(t_Parts[[SOP]:[SOP]]),AL$3&lt;=VALUE(t_Parts[[EOP]:[EOP]])), t_Parts[[SetupHrsPerMo]:[SetupHrsPerMo]]+(t_Parts[[#This Row],[pv2015.01]]/t_Parts[[NetPPH]:[NetPPH]]),0)</f>
        <v>8.9679195804195793</v>
      </c>
      <c r="CS22" s="39">
        <f>IF(AND(AM$3&gt;=VALUE(t_Parts[[SOP]:[SOP]]),AM$3&lt;=VALUE(t_Parts[[EOP]:[EOP]])), t_Parts[[SetupHrsPerMo]:[SetupHrsPerMo]]+(t_Parts[[#This Row],[pv2015.02]]/t_Parts[[NetPPH]:[NetPPH]]),0)</f>
        <v>8.9679195804195793</v>
      </c>
      <c r="CT22" s="39">
        <f>IF(AND(AN$3&gt;=VALUE(t_Parts[[SOP]:[SOP]]),AN$3&lt;=VALUE(t_Parts[[EOP]:[EOP]])), t_Parts[[SetupHrsPerMo]:[SetupHrsPerMo]]+(t_Parts[[#This Row],[pv2015.03]]/t_Parts[[NetPPH]:[NetPPH]]),0)</f>
        <v>10.209899475524475</v>
      </c>
      <c r="CU22" s="39">
        <f>IF(AND(AO$3&gt;=VALUE(t_Parts[[SOP]:[SOP]]),AO$3&lt;=VALUE(t_Parts[[EOP]:[EOP]])), t_Parts[[SetupHrsPerMo]:[SetupHrsPerMo]]+(t_Parts[[#This Row],[pv2015.04]]/t_Parts[[NetPPH]:[NetPPH]]),0)</f>
        <v>8.9679195804195793</v>
      </c>
      <c r="CV22" s="39">
        <f>IF(AND(AP$3&gt;=VALUE(t_Parts[[SOP]:[SOP]]),AP$3&lt;=VALUE(t_Parts[[EOP]:[EOP]])), t_Parts[[SetupHrsPerMo]:[SetupHrsPerMo]]+(t_Parts[[#This Row],[pv2015.05]]/t_Parts[[NetPPH]:[NetPPH]]),0)</f>
        <v>8.9679195804195793</v>
      </c>
      <c r="CW22" s="39">
        <f>IF(AND(AQ$3&gt;=VALUE(t_Parts[[SOP]:[SOP]]),AQ$3&lt;=VALUE(t_Parts[[EOP]:[EOP]])), t_Parts[[SetupHrsPerMo]:[SetupHrsPerMo]]+(t_Parts[[#This Row],[pv2015.06]]/t_Parts[[NetPPH]:[NetPPH]]),0)</f>
        <v>10.209899475524475</v>
      </c>
      <c r="CX22" s="39">
        <f>IF(AND(AR$3&gt;=VALUE(t_Parts[[SOP]:[SOP]]),AR$3&lt;=VALUE(t_Parts[[EOP]:[EOP]])), t_Parts[[SetupHrsPerMo]:[SetupHrsPerMo]]+(t_Parts[[#This Row],[pv2015.07]]/t_Parts[[NetPPH]:[NetPPH]]),0)</f>
        <v>8.9679195804195793</v>
      </c>
      <c r="CY22" s="39">
        <f>IF(AND(AS$3&gt;=VALUE(t_Parts[[SOP]:[SOP]]),AS$3&lt;=VALUE(t_Parts[[EOP]:[EOP]])), t_Parts[[SetupHrsPerMo]:[SetupHrsPerMo]]+(t_Parts[[#This Row],[pv2015.08]]/t_Parts[[NetPPH]:[NetPPH]]),0)</f>
        <v>8.9679195804195793</v>
      </c>
      <c r="CZ22" s="39">
        <f>IF(AND(AT$3&gt;=VALUE(t_Parts[[SOP]:[SOP]]),AT$3&lt;=VALUE(t_Parts[[EOP]:[EOP]])), t_Parts[[SetupHrsPerMo]:[SetupHrsPerMo]]+(t_Parts[[#This Row],[pv2015.09]]/t_Parts[[NetPPH]:[NetPPH]]),0)</f>
        <v>10.209899475524475</v>
      </c>
      <c r="DA22" s="39">
        <f>IF(AND(AU$3&gt;=VALUE(t_Parts[[SOP]:[SOP]]),AU$3&lt;=VALUE(t_Parts[[EOP]:[EOP]])), t_Parts[[SetupHrsPerMo]:[SetupHrsPerMo]]+(t_Parts[[#This Row],[pv2015.10]]/t_Parts[[NetPPH]:[NetPPH]]),0)</f>
        <v>8.9679195804195793</v>
      </c>
      <c r="DB22" s="39">
        <f>IF(AND(AV$3&gt;=VALUE(t_Parts[[SOP]:[SOP]]),AV$3&lt;=VALUE(t_Parts[[EOP]:[EOP]])), t_Parts[[SetupHrsPerMo]:[SetupHrsPerMo]]+(t_Parts[[#This Row],[pv2015.11]]/t_Parts[[NetPPH]:[NetPPH]]),0)</f>
        <v>8.9679195804195793</v>
      </c>
      <c r="DC22" s="39">
        <f>IF(AND(AW$3&gt;=VALUE(t_Parts[[SOP]:[SOP]]),AW$3&lt;=VALUE(t_Parts[[EOP]:[EOP]])), t_Parts[[SetupHrsPerMo]:[SetupHrsPerMo]]+(t_Parts[[#This Row],[pv2015.12]]/t_Parts[[NetPPH]:[NetPPH]]),0)</f>
        <v>10.209899475524475</v>
      </c>
      <c r="DD22" s="39">
        <f>SUM(t_Parts[[#This Row],[hp2015.01]:[hp2015.12]])</f>
        <v>112.58295454545453</v>
      </c>
      <c r="DE22" s="39">
        <f>IF(AND(AY$3&gt;=VALUE(t_Parts[[SOP]:[SOP]]),AY$3&lt;=VALUE(t_Parts[[EOP]:[EOP]])), t_Parts[[SetupHrsPerMo]:[SetupHrsPerMo]]+(t_Parts[[#This Row],[pv2016.01]]/t_Parts[[NetPPH]:[NetPPH]]),0)</f>
        <v>8.9679195804195793</v>
      </c>
      <c r="DF22" s="39">
        <f>IF(AND(AZ$3&gt;=VALUE(t_Parts[[SOP]:[SOP]]),AZ$3&lt;=VALUE(t_Parts[[EOP]:[EOP]])), t_Parts[[SetupHrsPerMo]:[SetupHrsPerMo]]+(t_Parts[[#This Row],[pv2016.02]]/t_Parts[[NetPPH]:[NetPPH]]),0)</f>
        <v>8.9679195804195793</v>
      </c>
      <c r="DG22" s="39">
        <f>IF(AND(BA$3&gt;=VALUE(t_Parts[[SOP]:[SOP]]),BA$3&lt;=VALUE(t_Parts[[EOP]:[EOP]])), t_Parts[[SetupHrsPerMo]:[SetupHrsPerMo]]+(t_Parts[[#This Row],[pv2016.03]]/t_Parts[[NetPPH]:[NetPPH]]),0)</f>
        <v>10.209899475524475</v>
      </c>
      <c r="DH22" s="39">
        <f>IF(AND(BB$3&gt;=VALUE(t_Parts[[SOP]:[SOP]]),BB$3&lt;=VALUE(t_Parts[[EOP]:[EOP]])), t_Parts[[SetupHrsPerMo]:[SetupHrsPerMo]]+(t_Parts[[#This Row],[pv2016.04]]/t_Parts[[NetPPH]:[NetPPH]]),0)</f>
        <v>8.9679195804195793</v>
      </c>
      <c r="DI22" s="39">
        <f>IF(AND(BC$3&gt;=VALUE(t_Parts[[SOP]:[SOP]]),BC$3&lt;=VALUE(t_Parts[[EOP]:[EOP]])), t_Parts[[SetupHrsPerMo]:[SetupHrsPerMo]]+(t_Parts[[#This Row],[pv2016.05]]/t_Parts[[NetPPH]:[NetPPH]]),0)</f>
        <v>8.9679195804195793</v>
      </c>
      <c r="DJ22" s="39">
        <f>IF(AND(BD$3&gt;=VALUE(t_Parts[[SOP]:[SOP]]),BD$3&lt;=VALUE(t_Parts[[EOP]:[EOP]])), t_Parts[[SetupHrsPerMo]:[SetupHrsPerMo]]+(t_Parts[[#This Row],[pv2016.06]]/t_Parts[[NetPPH]:[NetPPH]]),0)</f>
        <v>10.209899475524475</v>
      </c>
      <c r="DK22" s="39">
        <f>IF(AND(BE$3&gt;=VALUE(t_Parts[[SOP]:[SOP]]),BE$3&lt;=VALUE(t_Parts[[EOP]:[EOP]])), t_Parts[[SetupHrsPerMo]:[SetupHrsPerMo]]+(t_Parts[[#This Row],[pv2016.07]]/t_Parts[[NetPPH]:[NetPPH]]),0)</f>
        <v>8.9679195804195793</v>
      </c>
      <c r="DL22" s="39">
        <f>IF(AND(BF$3&gt;=VALUE(t_Parts[[SOP]:[SOP]]),BF$3&lt;=VALUE(t_Parts[[EOP]:[EOP]])), t_Parts[[SetupHrsPerMo]:[SetupHrsPerMo]]+(t_Parts[[#This Row],[pv2016.08]]/t_Parts[[NetPPH]:[NetPPH]]),0)</f>
        <v>8.9679195804195793</v>
      </c>
      <c r="DM22" s="39">
        <f>IF(AND(BG$3&gt;=VALUE(t_Parts[[SOP]:[SOP]]),BG$3&lt;=VALUE(t_Parts[[EOP]:[EOP]])), t_Parts[[SetupHrsPerMo]:[SetupHrsPerMo]]+(t_Parts[[#This Row],[pv2016.09]]/t_Parts[[NetPPH]:[NetPPH]]),0)</f>
        <v>10.209899475524475</v>
      </c>
      <c r="DN22" s="39">
        <f>IF(AND(BH$3&gt;=VALUE(t_Parts[[SOP]:[SOP]]),BH$3&lt;=VALUE(t_Parts[[EOP]:[EOP]])), t_Parts[[SetupHrsPerMo]:[SetupHrsPerMo]]+(t_Parts[[#This Row],[pv2016.10]]/t_Parts[[NetPPH]:[NetPPH]]),0)</f>
        <v>8.9679195804195793</v>
      </c>
      <c r="DO22" s="39">
        <f>IF(AND(BI$3&gt;=VALUE(t_Parts[[SOP]:[SOP]]),BI$3&lt;=VALUE(t_Parts[[EOP]:[EOP]])), t_Parts[[SetupHrsPerMo]:[SetupHrsPerMo]]+(t_Parts[[#This Row],[pv2016.11]]/t_Parts[[NetPPH]:[NetPPH]]),0)</f>
        <v>8.9679195804195793</v>
      </c>
      <c r="DP22" s="39">
        <f>IF(AND(BJ$3&gt;=VALUE(t_Parts[[SOP]:[SOP]]),BJ$3&lt;=VALUE(t_Parts[[EOP]:[EOP]])), t_Parts[[SetupHrsPerMo]:[SetupHrsPerMo]]+(t_Parts[[#This Row],[pv2016.12]]/t_Parts[[NetPPH]:[NetPPH]]),0)</f>
        <v>10.209899475524475</v>
      </c>
      <c r="DQ22" s="39">
        <f>SUM(t_Parts[[#This Row],[hp2016.01]:[hp2016.12]])</f>
        <v>112.58295454545453</v>
      </c>
      <c r="DR22" s="39">
        <f>IF(AND(BL$3&gt;=VALUE(t_Parts[[SOP]:[SOP]]),BL$3&lt;=VALUE(t_Parts[[EOP]:[EOP]])), 12*t_Parts[[SetupHrsPerMo]:[SetupHrsPerMo]]+(t_Parts[[#This Row],[pv2017]]/t_Parts[[NetPPH]:[NetPPH]]),0)</f>
        <v>112.58295454545454</v>
      </c>
      <c r="DS22" s="39">
        <f>IF(AND(BM$3&gt;=VALUE(t_Parts[[SOP]:[SOP]]),BM$3&lt;=VALUE(t_Parts[[EOP]:[EOP]])), 12*t_Parts[[SetupHrsPerMo]:[SetupHrsPerMo]]+(t_Parts[[#This Row],[pv2018]]/t_Parts[[NetPPH]:[NetPPH]]),0)</f>
        <v>112.58295454545454</v>
      </c>
      <c r="DT22" s="39">
        <f>IF(AND(BN$3&gt;=VALUE(t_Parts[[SOP]:[SOP]]),BN$3&lt;=VALUE(t_Parts[[EOP]:[EOP]])), 12*t_Parts[[SetupHrsPerMo]:[SetupHrsPerMo]]+(t_Parts[[#This Row],[pv2019]]/t_Parts[[NetPPH]:[NetPPH]]),0)</f>
        <v>0</v>
      </c>
      <c r="DU22" s="47">
        <f>t_Parts[[#This Row],[hp2015.01]]/t_Parts[[#This Row],[ha2015.01]]</f>
        <v>3.2028284215784214E-2</v>
      </c>
      <c r="DV22" s="47">
        <f>t_Parts[[#This Row],[hp2015.02]]/t_Parts[[#This Row],[ha2015.02]]</f>
        <v>3.2028284215784214E-2</v>
      </c>
      <c r="DW22" s="47">
        <f>t_Parts[[#This Row],[hp2015.03]]/t_Parts[[#This Row],[ha2015.03]]</f>
        <v>2.9171141358641357E-2</v>
      </c>
      <c r="DX22" s="47">
        <f>t_Parts[[#This Row],[hp2015.04]]/t_Parts[[#This Row],[ha2015.04]]</f>
        <v>3.2028284215784214E-2</v>
      </c>
      <c r="DY22" s="47">
        <f>t_Parts[[#This Row],[hp2015.05]]/t_Parts[[#This Row],[ha2015.05]]</f>
        <v>3.2028284215784214E-2</v>
      </c>
      <c r="DZ22" s="47">
        <f>t_Parts[[#This Row],[hp2015.06]]/t_Parts[[#This Row],[ha2015.06]]</f>
        <v>2.9171141358641357E-2</v>
      </c>
      <c r="EA22" s="47">
        <f>t_Parts[[#This Row],[hp2015.07]]/t_Parts[[#This Row],[ha2015.07]]</f>
        <v>3.2028284215784214E-2</v>
      </c>
      <c r="EB22" s="47">
        <f>t_Parts[[#This Row],[hp2015.08]]/t_Parts[[#This Row],[ha2015.08]]</f>
        <v>3.2028284215784214E-2</v>
      </c>
      <c r="EC22" s="47">
        <f>t_Parts[[#This Row],[hp2015.09]]/t_Parts[[#This Row],[ha2015.09]]</f>
        <v>2.9171141358641357E-2</v>
      </c>
      <c r="ED22" s="47">
        <f>t_Parts[[#This Row],[hp2015.10]]/t_Parts[[#This Row],[ha2015.10]]</f>
        <v>3.2028284215784214E-2</v>
      </c>
      <c r="EE22" s="47">
        <f>t_Parts[[#This Row],[hp2015.11]]/t_Parts[[#This Row],[ha2015.11]]</f>
        <v>3.2028284215784214E-2</v>
      </c>
      <c r="EF22" s="47">
        <f>t_Parts[[#This Row],[hp2015.12]]/t_Parts[[#This Row],[ha2015.12]]</f>
        <v>2.9171141358641357E-2</v>
      </c>
      <c r="EG22" s="47">
        <f>t_Parts[[#This Row],[hp2015.FY]]/t_Parts[[#This Row],[ha2015.FY]]</f>
        <v>3.0929383116883112E-2</v>
      </c>
      <c r="EH22" s="47">
        <f>t_Parts[[#This Row],[hp2016.01]]/t_Parts[[#This Row],[ha2016.01]]</f>
        <v>3.2028284215784214E-2</v>
      </c>
      <c r="EI22" s="47">
        <f>t_Parts[[#This Row],[hp2016.02]]/t_Parts[[#This Row],[ha2016.02]]</f>
        <v>3.2028284215784214E-2</v>
      </c>
      <c r="EJ22" s="47">
        <f>t_Parts[[#This Row],[hp2016.03]]/t_Parts[[#This Row],[ha2016.03]]</f>
        <v>2.9171141358641357E-2</v>
      </c>
      <c r="EK22" s="47">
        <f>t_Parts[[#This Row],[hp2016.04]]/t_Parts[[#This Row],[ha2016.04]]</f>
        <v>3.2028284215784214E-2</v>
      </c>
      <c r="EL22" s="47">
        <f>t_Parts[[#This Row],[hp2016.05]]/t_Parts[[#This Row],[ha2016.05]]</f>
        <v>3.2028284215784214E-2</v>
      </c>
      <c r="EM22" s="47">
        <f>t_Parts[[#This Row],[hp2016.06]]/t_Parts[[#This Row],[ha2016.06]]</f>
        <v>2.9171141358641357E-2</v>
      </c>
      <c r="EN22" s="47">
        <f>t_Parts[[#This Row],[hp2016.07]]/t_Parts[[#This Row],[ha2016.07]]</f>
        <v>3.2028284215784214E-2</v>
      </c>
      <c r="EO22" s="47">
        <f>t_Parts[[#This Row],[hp2016.08]]/t_Parts[[#This Row],[ha2016.08]]</f>
        <v>3.2028284215784214E-2</v>
      </c>
      <c r="EP22" s="47">
        <f>t_Parts[[#This Row],[hp2016.09]]/t_Parts[[#This Row],[ha2016.09]]</f>
        <v>2.9171141358641357E-2</v>
      </c>
      <c r="EQ22" s="47">
        <f>t_Parts[[#This Row],[hp2016.10]]/t_Parts[[#This Row],[ha2016.10]]</f>
        <v>3.2028284215784214E-2</v>
      </c>
      <c r="ER22" s="47">
        <f>t_Parts[[#This Row],[hp2016.11]]/t_Parts[[#This Row],[ha2016.11]]</f>
        <v>3.2028284215784214E-2</v>
      </c>
      <c r="ES22" s="47">
        <f>t_Parts[[#This Row],[hp2016.12]]/t_Parts[[#This Row],[ha2016.12]]</f>
        <v>2.9171141358641357E-2</v>
      </c>
      <c r="ET22" s="47">
        <f>t_Parts[[#This Row],[hp2016.FY]]/t_Parts[[#This Row],[ha2016.FY]]</f>
        <v>3.0929383116883112E-2</v>
      </c>
      <c r="EU22" s="47">
        <f>t_Parts[[#This Row],[hp2017]]/t_Parts[[#This Row],[ha2017]]</f>
        <v>3.0929383116883116E-2</v>
      </c>
      <c r="EV22" s="47">
        <f>t_Parts[[#This Row],[hp2018]]/t_Parts[[#This Row],[ha2018]]</f>
        <v>3.0929383116883116E-2</v>
      </c>
      <c r="EW22" s="47">
        <f>t_Parts[[#This Row],[hp2019]]/t_Parts[[#This Row],[hp2015.01]]</f>
        <v>0</v>
      </c>
      <c r="EX22" s="58">
        <f>(t_Parts[[#This Row],[ha2015.01]]-t_Parts[[#This Row],[hp2015.01]])*t_Parts[[NetPPH]:[NetPPH]]</f>
        <v>715524.69230769237</v>
      </c>
      <c r="EY22" s="58">
        <f>(t_Parts[[#This Row],[ha2015.02]]-t_Parts[[#This Row],[hp2015.02]])*t_Parts[[NetPPH]:[NetPPH]]</f>
        <v>715524.69230769237</v>
      </c>
      <c r="EZ22" s="58">
        <f>(t_Parts[[#This Row],[ha2015.03]]-t_Parts[[#This Row],[hp2015.03]])*t_Parts[[NetPPH]:[NetPPH]]</f>
        <v>897045.86538461538</v>
      </c>
      <c r="FA22" s="58">
        <f>(t_Parts[[#This Row],[ha2015.04]]-t_Parts[[#This Row],[hp2015.04]])*t_Parts[[NetPPH]:[NetPPH]]</f>
        <v>715524.69230769237</v>
      </c>
      <c r="FB22" s="58">
        <f>(t_Parts[[#This Row],[ha2015.05]]-t_Parts[[#This Row],[hp2015.05]])*t_Parts[[NetPPH]:[NetPPH]]</f>
        <v>715524.69230769237</v>
      </c>
      <c r="FC22" s="58">
        <f>(t_Parts[[#This Row],[ha2015.06]]-t_Parts[[#This Row],[hp2015.06]])*t_Parts[[NetPPH]:[NetPPH]]</f>
        <v>897045.86538461538</v>
      </c>
      <c r="FD22" s="58">
        <f>(t_Parts[[#This Row],[ha2015.07]]-t_Parts[[#This Row],[hp2015.07]])*t_Parts[[NetPPH]:[NetPPH]]</f>
        <v>715524.69230769237</v>
      </c>
      <c r="FE22" s="58">
        <f>(t_Parts[[#This Row],[ha2015.08]]-t_Parts[[#This Row],[hp2015.08]])*t_Parts[[NetPPH]:[NetPPH]]</f>
        <v>715524.69230769237</v>
      </c>
      <c r="FF22" s="58">
        <f>(t_Parts[[#This Row],[ha2015.09]]-t_Parts[[#This Row],[hp2015.09]])*t_Parts[[NetPPH]:[NetPPH]]</f>
        <v>897045.86538461538</v>
      </c>
      <c r="FG22" s="58">
        <f>(t_Parts[[#This Row],[ha2015.10]]-t_Parts[[#This Row],[hp2015.10]])*t_Parts[[NetPPH]:[NetPPH]]</f>
        <v>715524.69230769237</v>
      </c>
      <c r="FH22" s="58">
        <f>(t_Parts[[#This Row],[ha2015.11]]-t_Parts[[#This Row],[hp2015.11]])*t_Parts[[NetPPH]:[NetPPH]]</f>
        <v>715524.69230769237</v>
      </c>
      <c r="FI22" s="58">
        <f>(t_Parts[[#This Row],[ha2015.12]]-t_Parts[[#This Row],[hp2015.12]])*t_Parts[[NetPPH]:[NetPPH]]</f>
        <v>897045.86538461538</v>
      </c>
      <c r="FJ22" s="58">
        <f>(t_Parts[[#This Row],[ha2015.FY]]-t_Parts[[#This Row],[hp2015.FY]])*t_Parts[[NetPPH]:[NetPPH]]</f>
        <v>9312381</v>
      </c>
      <c r="FK22" s="58">
        <f>(t_Parts[[#This Row],[ha2016.01]]-t_Parts[[#This Row],[hp2016.01]])*t_Parts[[NetPPH]:[NetPPH]]</f>
        <v>715524.69230769237</v>
      </c>
      <c r="FL22" s="58">
        <f>(t_Parts[[#This Row],[ha2016.02]]-t_Parts[[#This Row],[hp2016.02]])*t_Parts[[NetPPH]:[NetPPH]]</f>
        <v>715524.69230769237</v>
      </c>
      <c r="FM22" s="58">
        <f>(t_Parts[[#This Row],[ha2016.03]]-t_Parts[[#This Row],[hp2016.03]])*t_Parts[[NetPPH]:[NetPPH]]</f>
        <v>897045.86538461538</v>
      </c>
      <c r="FN22" s="58">
        <f>(t_Parts[[#This Row],[ha2016.04]]-t_Parts[[#This Row],[hp2016.04]])*t_Parts[[NetPPH]:[NetPPH]]</f>
        <v>715524.69230769237</v>
      </c>
      <c r="FO22" s="58">
        <f>(t_Parts[[#This Row],[ha2016.05]]-t_Parts[[#This Row],[hp2016.05]])*t_Parts[[NetPPH]:[NetPPH]]</f>
        <v>715524.69230769237</v>
      </c>
      <c r="FP22" s="58">
        <f>(t_Parts[[#This Row],[ha2016.06]]-t_Parts[[#This Row],[hp2016.06]])*t_Parts[[NetPPH]:[NetPPH]]</f>
        <v>897045.86538461538</v>
      </c>
      <c r="FQ22" s="58">
        <f>(t_Parts[[#This Row],[ha2016.07]]-t_Parts[[#This Row],[hp2016.07]])*t_Parts[[NetPPH]:[NetPPH]]</f>
        <v>715524.69230769237</v>
      </c>
      <c r="FR22" s="58">
        <f>(t_Parts[[#This Row],[ha2016.08]]-t_Parts[[#This Row],[hp2016.08]])*t_Parts[[NetPPH]:[NetPPH]]</f>
        <v>715524.69230769237</v>
      </c>
      <c r="FS22" s="58">
        <f>(t_Parts[[#This Row],[ha2016.09]]-t_Parts[[#This Row],[hp2016.09]])*t_Parts[[NetPPH]:[NetPPH]]</f>
        <v>897045.86538461538</v>
      </c>
      <c r="FT22" s="58">
        <f>(t_Parts[[#This Row],[ha2016.10]]-t_Parts[[#This Row],[hp2016.10]])*t_Parts[[NetPPH]:[NetPPH]]</f>
        <v>715524.69230769237</v>
      </c>
      <c r="FU22" s="58">
        <f>(t_Parts[[#This Row],[ha2016.11]]-t_Parts[[#This Row],[hp2016.11]])*t_Parts[[NetPPH]:[NetPPH]]</f>
        <v>715524.69230769237</v>
      </c>
      <c r="FV22" s="58">
        <f>(t_Parts[[#This Row],[ha2016.12]]-t_Parts[[#This Row],[hp2016.12]])*t_Parts[[NetPPH]:[NetPPH]]</f>
        <v>897045.86538461538</v>
      </c>
      <c r="FW22" s="58">
        <f>(t_Parts[[#This Row],[ha2016.FY]]-t_Parts[[#This Row],[hp2016.FY]])*t_Parts[[NetPPH]:[NetPPH]]</f>
        <v>9312381</v>
      </c>
      <c r="FX22" s="58">
        <f>(t_Parts[[#This Row],[ha2017]]-t_Parts[[#This Row],[hp2017]])*t_Parts[[NetPPH]:[NetPPH]]</f>
        <v>9312381</v>
      </c>
      <c r="FY22" s="58">
        <f>(t_Parts[[#This Row],[ha2018]]-t_Parts[[#This Row],[hp2018]])*t_Parts[[NetPPH]:[NetPPH]]</f>
        <v>9312381</v>
      </c>
      <c r="FZ22" s="58">
        <f>(t_Parts[[#This Row],[ha2019]]-t_Parts[[#This Row],[hp2019]])*t_Parts[[NetPPH]:[NetPPH]]</f>
        <v>9609600</v>
      </c>
    </row>
    <row r="23" spans="1:182" s="14" customFormat="1" x14ac:dyDescent="0.25">
      <c r="A23" s="74" t="s">
        <v>658</v>
      </c>
      <c r="B23" s="74"/>
      <c r="C23" s="74">
        <v>21013</v>
      </c>
      <c r="D23" s="75">
        <v>1</v>
      </c>
      <c r="E23" s="73">
        <v>2400</v>
      </c>
      <c r="F23" s="76">
        <v>1</v>
      </c>
      <c r="G23" s="77">
        <v>4</v>
      </c>
      <c r="H23" s="16">
        <v>2015.01</v>
      </c>
      <c r="I23" s="16" t="s">
        <v>81</v>
      </c>
      <c r="J23" s="73">
        <v>379984</v>
      </c>
      <c r="K23" s="73">
        <v>379984</v>
      </c>
      <c r="L23" s="73">
        <v>379984</v>
      </c>
      <c r="M23" s="73">
        <v>379984</v>
      </c>
      <c r="N23" s="73">
        <v>379984</v>
      </c>
      <c r="O23" s="78">
        <v>30</v>
      </c>
      <c r="P23" s="78">
        <v>60</v>
      </c>
      <c r="Q23" s="79">
        <v>20.79</v>
      </c>
      <c r="R23" s="79"/>
      <c r="S23" s="78">
        <v>168</v>
      </c>
      <c r="T23" s="80">
        <v>11.5</v>
      </c>
      <c r="U23" s="80" t="s">
        <v>121</v>
      </c>
      <c r="V23" s="81" t="s">
        <v>659</v>
      </c>
      <c r="W23" s="82">
        <v>0.65600000000000003</v>
      </c>
      <c r="X23" s="82" t="s">
        <v>608</v>
      </c>
      <c r="Y23" s="82"/>
      <c r="Z23" s="82"/>
      <c r="AA23" s="82"/>
      <c r="AB23" s="82"/>
      <c r="AC23" s="83" t="s">
        <v>667</v>
      </c>
      <c r="AD23" s="40" t="str">
        <f>VLOOKUP(t_Parts[[#This Row],[Press]],t_Presses[],Press!B$1,FALSE)</f>
        <v>Plainfield</v>
      </c>
      <c r="AE23" s="40" t="str">
        <f>VLOOKUP(t_Parts[[#This Row],[Press]],t_Presses[],Press!E$1,FALSE)</f>
        <v>0-299</v>
      </c>
      <c r="AF23" s="47">
        <f>VLOOKUP(t_Parts[[#This Row],[Plant]],t_Plants[],Plants!C$1,FALSE)</f>
        <v>0.55000000000000004</v>
      </c>
      <c r="AG23" s="47">
        <f>VLOOKUP(t_Parts[[#This Row],[Press]],t_Presses[],Press!F$1,FALSE)</f>
        <v>0</v>
      </c>
      <c r="AH23" s="84"/>
      <c r="AI23" s="47">
        <f>IF(ISBLANK(t_Parts[[#This Row],[PartOEE]])=FALSE,t_Parts[[#This Row],[PartOEE]], IF(t_Parts[[#This Row],[PressOEE]]&gt;0, t_Parts[[#This Row],[PressOEE]], t_Parts[[#This Row],[PlantOEE]] ))</f>
        <v>0.55000000000000004</v>
      </c>
      <c r="AJ23" s="70">
        <f>t_Parts[[#This Row],[SetupsPerMo]]*t_Parts[[#This Row],[SetupHrs]]</f>
        <v>4</v>
      </c>
      <c r="AK23" s="39">
        <f>(t_Parts[[#This Row],[PartsPerStroke]]*t_Parts[[#This Row],[StrokesPerHr]])*t_Parts[[#This Row],[UseOEE]]</f>
        <v>1320</v>
      </c>
      <c r="AL2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29229.538461538461</v>
      </c>
      <c r="AM2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29229.538461538461</v>
      </c>
      <c r="AN2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36536.923076923071</v>
      </c>
      <c r="AO2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29229.538461538461</v>
      </c>
      <c r="AP2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29229.538461538461</v>
      </c>
      <c r="AQ2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36536.923076923071</v>
      </c>
      <c r="AR2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29229.538461538461</v>
      </c>
      <c r="AS2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29229.538461538461</v>
      </c>
      <c r="AT2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36536.923076923071</v>
      </c>
      <c r="AU2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29229.538461538461</v>
      </c>
      <c r="AV2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29229.538461538461</v>
      </c>
      <c r="AW2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36536.923076923071</v>
      </c>
      <c r="AX23" s="39">
        <f>SUM(t_Parts[[#This Row],[pv2015.01]:[pv2015.12]])</f>
        <v>379983.99999999994</v>
      </c>
      <c r="AY2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29229.538461538461</v>
      </c>
      <c r="AZ2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29229.538461538461</v>
      </c>
      <c r="BA2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36536.923076923071</v>
      </c>
      <c r="BB2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29229.538461538461</v>
      </c>
      <c r="BC2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29229.538461538461</v>
      </c>
      <c r="BD2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36536.923076923071</v>
      </c>
      <c r="BE2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29229.538461538461</v>
      </c>
      <c r="BF2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29229.538461538461</v>
      </c>
      <c r="BG2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36536.923076923071</v>
      </c>
      <c r="BH2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29229.538461538461</v>
      </c>
      <c r="BI2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29229.538461538461</v>
      </c>
      <c r="BJ2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36536.923076923071</v>
      </c>
      <c r="BK23" s="39">
        <f>SUM(t_Parts[[#This Row],[pv2016.01]:[pv2016.12]])</f>
        <v>379983.99999999994</v>
      </c>
      <c r="BL23" s="39">
        <f>t_Parts[[#This Row],[2017vol]]</f>
        <v>379984</v>
      </c>
      <c r="BM23" s="39">
        <f>t_Parts[[#This Row],[2018vol]]</f>
        <v>379984</v>
      </c>
      <c r="BN23" s="39">
        <f>t_Parts[[#This Row],[2019vol]]</f>
        <v>379984</v>
      </c>
      <c r="BO23" s="40">
        <f>VLOOKUP(t_Parts[[Plant]:[Plant]],t_Plants[],Plants!CN$1,FALSE)</f>
        <v>280</v>
      </c>
      <c r="BP23" s="14">
        <f>VLOOKUP(t_Parts[[Plant]:[Plant]],t_Plants[],Plants!CO$1,FALSE)</f>
        <v>280</v>
      </c>
      <c r="BQ23" s="14">
        <f>VLOOKUP(t_Parts[[Plant]:[Plant]],t_Plants[],Plants!CP$1,FALSE)</f>
        <v>350</v>
      </c>
      <c r="BR23" s="14">
        <f>VLOOKUP(t_Parts[[Plant]:[Plant]],t_Plants[],Plants!CQ$1,FALSE)</f>
        <v>280</v>
      </c>
      <c r="BS23" s="14">
        <f>VLOOKUP(t_Parts[[Plant]:[Plant]],t_Plants[],Plants!CR$1,FALSE)</f>
        <v>280</v>
      </c>
      <c r="BT23" s="14">
        <f>VLOOKUP(t_Parts[[Plant]:[Plant]],t_Plants[],Plants!CS$1,FALSE)</f>
        <v>350</v>
      </c>
      <c r="BU23" s="14">
        <f>VLOOKUP(t_Parts[[Plant]:[Plant]],t_Plants[],Plants!CT$1,FALSE)</f>
        <v>280</v>
      </c>
      <c r="BV23" s="14">
        <f>VLOOKUP(t_Parts[[Plant]:[Plant]],t_Plants[],Plants!CU$1,FALSE)</f>
        <v>280</v>
      </c>
      <c r="BW23" s="14">
        <f>VLOOKUP(t_Parts[[Plant]:[Plant]],t_Plants[],Plants!CV$1,FALSE)</f>
        <v>350</v>
      </c>
      <c r="BX23" s="14">
        <f>VLOOKUP(t_Parts[[Plant]:[Plant]],t_Plants[],Plants!CW$1,FALSE)</f>
        <v>280</v>
      </c>
      <c r="BY23" s="14">
        <f>VLOOKUP(t_Parts[[Plant]:[Plant]],t_Plants[],Plants!CX$1,FALSE)</f>
        <v>280</v>
      </c>
      <c r="BZ23" s="14">
        <f>VLOOKUP(t_Parts[[Plant]:[Plant]],t_Plants[],Plants!CY$1,FALSE)</f>
        <v>350</v>
      </c>
      <c r="CA23" s="40">
        <f>SUM(t_Parts[[#This Row],[ha2015.01]:[ha2015.12]])</f>
        <v>3640</v>
      </c>
      <c r="CB23" s="14">
        <f>VLOOKUP(t_Parts[[Plant]:[Plant]],t_Plants[],Plants!DA$1,FALSE)</f>
        <v>280</v>
      </c>
      <c r="CC23" s="14">
        <f>VLOOKUP(t_Parts[[Plant]:[Plant]],t_Plants[],Plants!DB$1,FALSE)</f>
        <v>280</v>
      </c>
      <c r="CD23" s="14">
        <f>VLOOKUP(t_Parts[[Plant]:[Plant]],t_Plants[],Plants!DC$1,FALSE)</f>
        <v>350</v>
      </c>
      <c r="CE23" s="14">
        <f>VLOOKUP(t_Parts[[Plant]:[Plant]],t_Plants[],Plants!DD$1,FALSE)</f>
        <v>280</v>
      </c>
      <c r="CF23" s="14">
        <f>VLOOKUP(t_Parts[[Plant]:[Plant]],t_Plants[],Plants!DE$1,FALSE)</f>
        <v>280</v>
      </c>
      <c r="CG23" s="14">
        <f>VLOOKUP(t_Parts[[Plant]:[Plant]],t_Plants[],Plants!DF$1,FALSE)</f>
        <v>350</v>
      </c>
      <c r="CH23" s="14">
        <f>VLOOKUP(t_Parts[[Plant]:[Plant]],t_Plants[],Plants!DG$1,FALSE)</f>
        <v>280</v>
      </c>
      <c r="CI23" s="14">
        <f>VLOOKUP(t_Parts[[Plant]:[Plant]],t_Plants[],Plants!DH$1,FALSE)</f>
        <v>280</v>
      </c>
      <c r="CJ23" s="14">
        <f>VLOOKUP(t_Parts[[Plant]:[Plant]],t_Plants[],Plants!DI$1,FALSE)</f>
        <v>350</v>
      </c>
      <c r="CK23" s="14">
        <f>VLOOKUP(t_Parts[[Plant]:[Plant]],t_Plants[],Plants!DJ$1,FALSE)</f>
        <v>280</v>
      </c>
      <c r="CL23" s="14">
        <f>VLOOKUP(t_Parts[[Plant]:[Plant]],t_Plants[],Plants!DK$1,FALSE)</f>
        <v>280</v>
      </c>
      <c r="CM23" s="14">
        <f>VLOOKUP(t_Parts[[Plant]:[Plant]],t_Plants[],Plants!DL$1,FALSE)</f>
        <v>350</v>
      </c>
      <c r="CN23" s="14">
        <f>VLOOKUP(t_Parts[[Plant]:[Plant]],t_Plants[],Plants!DM$1,FALSE)</f>
        <v>3640</v>
      </c>
      <c r="CO23" s="14">
        <f>VLOOKUP(t_Parts[[Plant]:[Plant]],t_Plants[],Plants!DN$1,FALSE)</f>
        <v>3640</v>
      </c>
      <c r="CP23" s="14">
        <f>VLOOKUP(t_Parts[[Plant]:[Plant]],t_Plants[],Plants!DO$1,FALSE)</f>
        <v>3640</v>
      </c>
      <c r="CQ23" s="14">
        <f>VLOOKUP(t_Parts[[Plant]:[Plant]],t_Plants[],Plants!DP$1,FALSE)</f>
        <v>3640</v>
      </c>
      <c r="CR23" s="39">
        <f>IF(AND(AL$3&gt;=VALUE(t_Parts[[SOP]:[SOP]]),AL$3&lt;=VALUE(t_Parts[[EOP]:[EOP]])), t_Parts[[SetupHrsPerMo]:[SetupHrsPerMo]]+(t_Parts[[#This Row],[pv2015.01]]/t_Parts[[NetPPH]:[NetPPH]]),0)</f>
        <v>26.143589743589743</v>
      </c>
      <c r="CS23" s="39">
        <f>IF(AND(AM$3&gt;=VALUE(t_Parts[[SOP]:[SOP]]),AM$3&lt;=VALUE(t_Parts[[EOP]:[EOP]])), t_Parts[[SetupHrsPerMo]:[SetupHrsPerMo]]+(t_Parts[[#This Row],[pv2015.02]]/t_Parts[[NetPPH]:[NetPPH]]),0)</f>
        <v>26.143589743589743</v>
      </c>
      <c r="CT23" s="39">
        <f>IF(AND(AN$3&gt;=VALUE(t_Parts[[SOP]:[SOP]]),AN$3&lt;=VALUE(t_Parts[[EOP]:[EOP]])), t_Parts[[SetupHrsPerMo]:[SetupHrsPerMo]]+(t_Parts[[#This Row],[pv2015.03]]/t_Parts[[NetPPH]:[NetPPH]]),0)</f>
        <v>31.679487179487175</v>
      </c>
      <c r="CU23" s="39">
        <f>IF(AND(AO$3&gt;=VALUE(t_Parts[[SOP]:[SOP]]),AO$3&lt;=VALUE(t_Parts[[EOP]:[EOP]])), t_Parts[[SetupHrsPerMo]:[SetupHrsPerMo]]+(t_Parts[[#This Row],[pv2015.04]]/t_Parts[[NetPPH]:[NetPPH]]),0)</f>
        <v>26.143589743589743</v>
      </c>
      <c r="CV23" s="39">
        <f>IF(AND(AP$3&gt;=VALUE(t_Parts[[SOP]:[SOP]]),AP$3&lt;=VALUE(t_Parts[[EOP]:[EOP]])), t_Parts[[SetupHrsPerMo]:[SetupHrsPerMo]]+(t_Parts[[#This Row],[pv2015.05]]/t_Parts[[NetPPH]:[NetPPH]]),0)</f>
        <v>26.143589743589743</v>
      </c>
      <c r="CW23" s="39">
        <f>IF(AND(AQ$3&gt;=VALUE(t_Parts[[SOP]:[SOP]]),AQ$3&lt;=VALUE(t_Parts[[EOP]:[EOP]])), t_Parts[[SetupHrsPerMo]:[SetupHrsPerMo]]+(t_Parts[[#This Row],[pv2015.06]]/t_Parts[[NetPPH]:[NetPPH]]),0)</f>
        <v>31.679487179487175</v>
      </c>
      <c r="CX23" s="39">
        <f>IF(AND(AR$3&gt;=VALUE(t_Parts[[SOP]:[SOP]]),AR$3&lt;=VALUE(t_Parts[[EOP]:[EOP]])), t_Parts[[SetupHrsPerMo]:[SetupHrsPerMo]]+(t_Parts[[#This Row],[pv2015.07]]/t_Parts[[NetPPH]:[NetPPH]]),0)</f>
        <v>26.143589743589743</v>
      </c>
      <c r="CY23" s="39">
        <f>IF(AND(AS$3&gt;=VALUE(t_Parts[[SOP]:[SOP]]),AS$3&lt;=VALUE(t_Parts[[EOP]:[EOP]])), t_Parts[[SetupHrsPerMo]:[SetupHrsPerMo]]+(t_Parts[[#This Row],[pv2015.08]]/t_Parts[[NetPPH]:[NetPPH]]),0)</f>
        <v>26.143589743589743</v>
      </c>
      <c r="CZ23" s="39">
        <f>IF(AND(AT$3&gt;=VALUE(t_Parts[[SOP]:[SOP]]),AT$3&lt;=VALUE(t_Parts[[EOP]:[EOP]])), t_Parts[[SetupHrsPerMo]:[SetupHrsPerMo]]+(t_Parts[[#This Row],[pv2015.09]]/t_Parts[[NetPPH]:[NetPPH]]),0)</f>
        <v>31.679487179487175</v>
      </c>
      <c r="DA23" s="39">
        <f>IF(AND(AU$3&gt;=VALUE(t_Parts[[SOP]:[SOP]]),AU$3&lt;=VALUE(t_Parts[[EOP]:[EOP]])), t_Parts[[SetupHrsPerMo]:[SetupHrsPerMo]]+(t_Parts[[#This Row],[pv2015.10]]/t_Parts[[NetPPH]:[NetPPH]]),0)</f>
        <v>26.143589743589743</v>
      </c>
      <c r="DB23" s="39">
        <f>IF(AND(AV$3&gt;=VALUE(t_Parts[[SOP]:[SOP]]),AV$3&lt;=VALUE(t_Parts[[EOP]:[EOP]])), t_Parts[[SetupHrsPerMo]:[SetupHrsPerMo]]+(t_Parts[[#This Row],[pv2015.11]]/t_Parts[[NetPPH]:[NetPPH]]),0)</f>
        <v>26.143589743589743</v>
      </c>
      <c r="DC23" s="39">
        <f>IF(AND(AW$3&gt;=VALUE(t_Parts[[SOP]:[SOP]]),AW$3&lt;=VALUE(t_Parts[[EOP]:[EOP]])), t_Parts[[SetupHrsPerMo]:[SetupHrsPerMo]]+(t_Parts[[#This Row],[pv2015.12]]/t_Parts[[NetPPH]:[NetPPH]]),0)</f>
        <v>31.679487179487175</v>
      </c>
      <c r="DD23" s="39">
        <f>SUM(t_Parts[[#This Row],[hp2015.01]:[hp2015.12]])</f>
        <v>335.86666666666673</v>
      </c>
      <c r="DE23" s="39">
        <f>IF(AND(AY$3&gt;=VALUE(t_Parts[[SOP]:[SOP]]),AY$3&lt;=VALUE(t_Parts[[EOP]:[EOP]])), t_Parts[[SetupHrsPerMo]:[SetupHrsPerMo]]+(t_Parts[[#This Row],[pv2016.01]]/t_Parts[[NetPPH]:[NetPPH]]),0)</f>
        <v>26.143589743589743</v>
      </c>
      <c r="DF23" s="39">
        <f>IF(AND(AZ$3&gt;=VALUE(t_Parts[[SOP]:[SOP]]),AZ$3&lt;=VALUE(t_Parts[[EOP]:[EOP]])), t_Parts[[SetupHrsPerMo]:[SetupHrsPerMo]]+(t_Parts[[#This Row],[pv2016.02]]/t_Parts[[NetPPH]:[NetPPH]]),0)</f>
        <v>26.143589743589743</v>
      </c>
      <c r="DG23" s="39">
        <f>IF(AND(BA$3&gt;=VALUE(t_Parts[[SOP]:[SOP]]),BA$3&lt;=VALUE(t_Parts[[EOP]:[EOP]])), t_Parts[[SetupHrsPerMo]:[SetupHrsPerMo]]+(t_Parts[[#This Row],[pv2016.03]]/t_Parts[[NetPPH]:[NetPPH]]),0)</f>
        <v>31.679487179487175</v>
      </c>
      <c r="DH23" s="39">
        <f>IF(AND(BB$3&gt;=VALUE(t_Parts[[SOP]:[SOP]]),BB$3&lt;=VALUE(t_Parts[[EOP]:[EOP]])), t_Parts[[SetupHrsPerMo]:[SetupHrsPerMo]]+(t_Parts[[#This Row],[pv2016.04]]/t_Parts[[NetPPH]:[NetPPH]]),0)</f>
        <v>26.143589743589743</v>
      </c>
      <c r="DI23" s="39">
        <f>IF(AND(BC$3&gt;=VALUE(t_Parts[[SOP]:[SOP]]),BC$3&lt;=VALUE(t_Parts[[EOP]:[EOP]])), t_Parts[[SetupHrsPerMo]:[SetupHrsPerMo]]+(t_Parts[[#This Row],[pv2016.05]]/t_Parts[[NetPPH]:[NetPPH]]),0)</f>
        <v>26.143589743589743</v>
      </c>
      <c r="DJ23" s="39">
        <f>IF(AND(BD$3&gt;=VALUE(t_Parts[[SOP]:[SOP]]),BD$3&lt;=VALUE(t_Parts[[EOP]:[EOP]])), t_Parts[[SetupHrsPerMo]:[SetupHrsPerMo]]+(t_Parts[[#This Row],[pv2016.06]]/t_Parts[[NetPPH]:[NetPPH]]),0)</f>
        <v>31.679487179487175</v>
      </c>
      <c r="DK23" s="39">
        <f>IF(AND(BE$3&gt;=VALUE(t_Parts[[SOP]:[SOP]]),BE$3&lt;=VALUE(t_Parts[[EOP]:[EOP]])), t_Parts[[SetupHrsPerMo]:[SetupHrsPerMo]]+(t_Parts[[#This Row],[pv2016.07]]/t_Parts[[NetPPH]:[NetPPH]]),0)</f>
        <v>26.143589743589743</v>
      </c>
      <c r="DL23" s="39">
        <f>IF(AND(BF$3&gt;=VALUE(t_Parts[[SOP]:[SOP]]),BF$3&lt;=VALUE(t_Parts[[EOP]:[EOP]])), t_Parts[[SetupHrsPerMo]:[SetupHrsPerMo]]+(t_Parts[[#This Row],[pv2016.08]]/t_Parts[[NetPPH]:[NetPPH]]),0)</f>
        <v>26.143589743589743</v>
      </c>
      <c r="DM23" s="39">
        <f>IF(AND(BG$3&gt;=VALUE(t_Parts[[SOP]:[SOP]]),BG$3&lt;=VALUE(t_Parts[[EOP]:[EOP]])), t_Parts[[SetupHrsPerMo]:[SetupHrsPerMo]]+(t_Parts[[#This Row],[pv2016.09]]/t_Parts[[NetPPH]:[NetPPH]]),0)</f>
        <v>31.679487179487175</v>
      </c>
      <c r="DN23" s="39">
        <f>IF(AND(BH$3&gt;=VALUE(t_Parts[[SOP]:[SOP]]),BH$3&lt;=VALUE(t_Parts[[EOP]:[EOP]])), t_Parts[[SetupHrsPerMo]:[SetupHrsPerMo]]+(t_Parts[[#This Row],[pv2016.10]]/t_Parts[[NetPPH]:[NetPPH]]),0)</f>
        <v>26.143589743589743</v>
      </c>
      <c r="DO23" s="39">
        <f>IF(AND(BI$3&gt;=VALUE(t_Parts[[SOP]:[SOP]]),BI$3&lt;=VALUE(t_Parts[[EOP]:[EOP]])), t_Parts[[SetupHrsPerMo]:[SetupHrsPerMo]]+(t_Parts[[#This Row],[pv2016.11]]/t_Parts[[NetPPH]:[NetPPH]]),0)</f>
        <v>26.143589743589743</v>
      </c>
      <c r="DP23" s="39">
        <f>IF(AND(BJ$3&gt;=VALUE(t_Parts[[SOP]:[SOP]]),BJ$3&lt;=VALUE(t_Parts[[EOP]:[EOP]])), t_Parts[[SetupHrsPerMo]:[SetupHrsPerMo]]+(t_Parts[[#This Row],[pv2016.12]]/t_Parts[[NetPPH]:[NetPPH]]),0)</f>
        <v>31.679487179487175</v>
      </c>
      <c r="DQ23" s="39">
        <f>SUM(t_Parts[[#This Row],[hp2016.01]:[hp2016.12]])</f>
        <v>335.86666666666673</v>
      </c>
      <c r="DR23" s="39">
        <f>IF(AND(BL$3&gt;=VALUE(t_Parts[[SOP]:[SOP]]),BL$3&lt;=VALUE(t_Parts[[EOP]:[EOP]])), 12*t_Parts[[SetupHrsPerMo]:[SetupHrsPerMo]]+(t_Parts[[#This Row],[pv2017]]/t_Parts[[NetPPH]:[NetPPH]]),0)</f>
        <v>335.86666666666667</v>
      </c>
      <c r="DS23" s="39">
        <f>IF(AND(BM$3&gt;=VALUE(t_Parts[[SOP]:[SOP]]),BM$3&lt;=VALUE(t_Parts[[EOP]:[EOP]])), 12*t_Parts[[SetupHrsPerMo]:[SetupHrsPerMo]]+(t_Parts[[#This Row],[pv2018]]/t_Parts[[NetPPH]:[NetPPH]]),0)</f>
        <v>0</v>
      </c>
      <c r="DT23" s="39">
        <f>IF(AND(BN$3&gt;=VALUE(t_Parts[[SOP]:[SOP]]),BN$3&lt;=VALUE(t_Parts[[EOP]:[EOP]])), 12*t_Parts[[SetupHrsPerMo]:[SetupHrsPerMo]]+(t_Parts[[#This Row],[pv2019]]/t_Parts[[NetPPH]:[NetPPH]]),0)</f>
        <v>0</v>
      </c>
      <c r="DU23" s="47">
        <f>t_Parts[[#This Row],[hp2015.01]]/t_Parts[[#This Row],[ha2015.01]]</f>
        <v>9.3369963369963366E-2</v>
      </c>
      <c r="DV23" s="47">
        <f>t_Parts[[#This Row],[hp2015.02]]/t_Parts[[#This Row],[ha2015.02]]</f>
        <v>9.3369963369963366E-2</v>
      </c>
      <c r="DW23" s="47">
        <f>t_Parts[[#This Row],[hp2015.03]]/t_Parts[[#This Row],[ha2015.03]]</f>
        <v>9.0512820512820502E-2</v>
      </c>
      <c r="DX23" s="47">
        <f>t_Parts[[#This Row],[hp2015.04]]/t_Parts[[#This Row],[ha2015.04]]</f>
        <v>9.3369963369963366E-2</v>
      </c>
      <c r="DY23" s="47">
        <f>t_Parts[[#This Row],[hp2015.05]]/t_Parts[[#This Row],[ha2015.05]]</f>
        <v>9.3369963369963366E-2</v>
      </c>
      <c r="DZ23" s="47">
        <f>t_Parts[[#This Row],[hp2015.06]]/t_Parts[[#This Row],[ha2015.06]]</f>
        <v>9.0512820512820502E-2</v>
      </c>
      <c r="EA23" s="47">
        <f>t_Parts[[#This Row],[hp2015.07]]/t_Parts[[#This Row],[ha2015.07]]</f>
        <v>9.3369963369963366E-2</v>
      </c>
      <c r="EB23" s="47">
        <f>t_Parts[[#This Row],[hp2015.08]]/t_Parts[[#This Row],[ha2015.08]]</f>
        <v>9.3369963369963366E-2</v>
      </c>
      <c r="EC23" s="47">
        <f>t_Parts[[#This Row],[hp2015.09]]/t_Parts[[#This Row],[ha2015.09]]</f>
        <v>9.0512820512820502E-2</v>
      </c>
      <c r="ED23" s="47">
        <f>t_Parts[[#This Row],[hp2015.10]]/t_Parts[[#This Row],[ha2015.10]]</f>
        <v>9.3369963369963366E-2</v>
      </c>
      <c r="EE23" s="47">
        <f>t_Parts[[#This Row],[hp2015.11]]/t_Parts[[#This Row],[ha2015.11]]</f>
        <v>9.3369963369963366E-2</v>
      </c>
      <c r="EF23" s="47">
        <f>t_Parts[[#This Row],[hp2015.12]]/t_Parts[[#This Row],[ha2015.12]]</f>
        <v>9.0512820512820502E-2</v>
      </c>
      <c r="EG23" s="47">
        <f>t_Parts[[#This Row],[hp2015.FY]]/t_Parts[[#This Row],[ha2015.FY]]</f>
        <v>9.2271062271062285E-2</v>
      </c>
      <c r="EH23" s="47">
        <f>t_Parts[[#This Row],[hp2016.01]]/t_Parts[[#This Row],[ha2016.01]]</f>
        <v>9.3369963369963366E-2</v>
      </c>
      <c r="EI23" s="47">
        <f>t_Parts[[#This Row],[hp2016.02]]/t_Parts[[#This Row],[ha2016.02]]</f>
        <v>9.3369963369963366E-2</v>
      </c>
      <c r="EJ23" s="47">
        <f>t_Parts[[#This Row],[hp2016.03]]/t_Parts[[#This Row],[ha2016.03]]</f>
        <v>9.0512820512820502E-2</v>
      </c>
      <c r="EK23" s="47">
        <f>t_Parts[[#This Row],[hp2016.04]]/t_Parts[[#This Row],[ha2016.04]]</f>
        <v>9.3369963369963366E-2</v>
      </c>
      <c r="EL23" s="47">
        <f>t_Parts[[#This Row],[hp2016.05]]/t_Parts[[#This Row],[ha2016.05]]</f>
        <v>9.3369963369963366E-2</v>
      </c>
      <c r="EM23" s="47">
        <f>t_Parts[[#This Row],[hp2016.06]]/t_Parts[[#This Row],[ha2016.06]]</f>
        <v>9.0512820512820502E-2</v>
      </c>
      <c r="EN23" s="47">
        <f>t_Parts[[#This Row],[hp2016.07]]/t_Parts[[#This Row],[ha2016.07]]</f>
        <v>9.3369963369963366E-2</v>
      </c>
      <c r="EO23" s="47">
        <f>t_Parts[[#This Row],[hp2016.08]]/t_Parts[[#This Row],[ha2016.08]]</f>
        <v>9.3369963369963366E-2</v>
      </c>
      <c r="EP23" s="47">
        <f>t_Parts[[#This Row],[hp2016.09]]/t_Parts[[#This Row],[ha2016.09]]</f>
        <v>9.0512820512820502E-2</v>
      </c>
      <c r="EQ23" s="47">
        <f>t_Parts[[#This Row],[hp2016.10]]/t_Parts[[#This Row],[ha2016.10]]</f>
        <v>9.3369963369963366E-2</v>
      </c>
      <c r="ER23" s="47">
        <f>t_Parts[[#This Row],[hp2016.11]]/t_Parts[[#This Row],[ha2016.11]]</f>
        <v>9.3369963369963366E-2</v>
      </c>
      <c r="ES23" s="47">
        <f>t_Parts[[#This Row],[hp2016.12]]/t_Parts[[#This Row],[ha2016.12]]</f>
        <v>9.0512820512820502E-2</v>
      </c>
      <c r="ET23" s="47">
        <f>t_Parts[[#This Row],[hp2016.FY]]/t_Parts[[#This Row],[ha2016.FY]]</f>
        <v>9.2271062271062285E-2</v>
      </c>
      <c r="EU23" s="47">
        <f>t_Parts[[#This Row],[hp2017]]/t_Parts[[#This Row],[ha2017]]</f>
        <v>9.2271062271062271E-2</v>
      </c>
      <c r="EV23" s="47">
        <f>t_Parts[[#This Row],[hp2018]]/t_Parts[[#This Row],[ha2018]]</f>
        <v>0</v>
      </c>
      <c r="EW23" s="47">
        <f>t_Parts[[#This Row],[hp2019]]/t_Parts[[#This Row],[hp2015.01]]</f>
        <v>0</v>
      </c>
      <c r="EX23" s="58">
        <f>(t_Parts[[#This Row],[ha2015.01]]-t_Parts[[#This Row],[hp2015.01]])*t_Parts[[NetPPH]:[NetPPH]]</f>
        <v>335090.4615384615</v>
      </c>
      <c r="EY23" s="58">
        <f>(t_Parts[[#This Row],[ha2015.02]]-t_Parts[[#This Row],[hp2015.02]])*t_Parts[[NetPPH]:[NetPPH]]</f>
        <v>335090.4615384615</v>
      </c>
      <c r="EZ23" s="58">
        <f>(t_Parts[[#This Row],[ha2015.03]]-t_Parts[[#This Row],[hp2015.03]])*t_Parts[[NetPPH]:[NetPPH]]</f>
        <v>420183.07692307694</v>
      </c>
      <c r="FA23" s="58">
        <f>(t_Parts[[#This Row],[ha2015.04]]-t_Parts[[#This Row],[hp2015.04]])*t_Parts[[NetPPH]:[NetPPH]]</f>
        <v>335090.4615384615</v>
      </c>
      <c r="FB23" s="58">
        <f>(t_Parts[[#This Row],[ha2015.05]]-t_Parts[[#This Row],[hp2015.05]])*t_Parts[[NetPPH]:[NetPPH]]</f>
        <v>335090.4615384615</v>
      </c>
      <c r="FC23" s="58">
        <f>(t_Parts[[#This Row],[ha2015.06]]-t_Parts[[#This Row],[hp2015.06]])*t_Parts[[NetPPH]:[NetPPH]]</f>
        <v>420183.07692307694</v>
      </c>
      <c r="FD23" s="58">
        <f>(t_Parts[[#This Row],[ha2015.07]]-t_Parts[[#This Row],[hp2015.07]])*t_Parts[[NetPPH]:[NetPPH]]</f>
        <v>335090.4615384615</v>
      </c>
      <c r="FE23" s="58">
        <f>(t_Parts[[#This Row],[ha2015.08]]-t_Parts[[#This Row],[hp2015.08]])*t_Parts[[NetPPH]:[NetPPH]]</f>
        <v>335090.4615384615</v>
      </c>
      <c r="FF23" s="58">
        <f>(t_Parts[[#This Row],[ha2015.09]]-t_Parts[[#This Row],[hp2015.09]])*t_Parts[[NetPPH]:[NetPPH]]</f>
        <v>420183.07692307694</v>
      </c>
      <c r="FG23" s="58">
        <f>(t_Parts[[#This Row],[ha2015.10]]-t_Parts[[#This Row],[hp2015.10]])*t_Parts[[NetPPH]:[NetPPH]]</f>
        <v>335090.4615384615</v>
      </c>
      <c r="FH23" s="58">
        <f>(t_Parts[[#This Row],[ha2015.11]]-t_Parts[[#This Row],[hp2015.11]])*t_Parts[[NetPPH]:[NetPPH]]</f>
        <v>335090.4615384615</v>
      </c>
      <c r="FI23" s="58">
        <f>(t_Parts[[#This Row],[ha2015.12]]-t_Parts[[#This Row],[hp2015.12]])*t_Parts[[NetPPH]:[NetPPH]]</f>
        <v>420183.07692307694</v>
      </c>
      <c r="FJ23" s="58">
        <f>(t_Parts[[#This Row],[ha2015.FY]]-t_Parts[[#This Row],[hp2015.FY]])*t_Parts[[NetPPH]:[NetPPH]]</f>
        <v>4361456</v>
      </c>
      <c r="FK23" s="58">
        <f>(t_Parts[[#This Row],[ha2016.01]]-t_Parts[[#This Row],[hp2016.01]])*t_Parts[[NetPPH]:[NetPPH]]</f>
        <v>335090.4615384615</v>
      </c>
      <c r="FL23" s="58">
        <f>(t_Parts[[#This Row],[ha2016.02]]-t_Parts[[#This Row],[hp2016.02]])*t_Parts[[NetPPH]:[NetPPH]]</f>
        <v>335090.4615384615</v>
      </c>
      <c r="FM23" s="58">
        <f>(t_Parts[[#This Row],[ha2016.03]]-t_Parts[[#This Row],[hp2016.03]])*t_Parts[[NetPPH]:[NetPPH]]</f>
        <v>420183.07692307694</v>
      </c>
      <c r="FN23" s="58">
        <f>(t_Parts[[#This Row],[ha2016.04]]-t_Parts[[#This Row],[hp2016.04]])*t_Parts[[NetPPH]:[NetPPH]]</f>
        <v>335090.4615384615</v>
      </c>
      <c r="FO23" s="58">
        <f>(t_Parts[[#This Row],[ha2016.05]]-t_Parts[[#This Row],[hp2016.05]])*t_Parts[[NetPPH]:[NetPPH]]</f>
        <v>335090.4615384615</v>
      </c>
      <c r="FP23" s="58">
        <f>(t_Parts[[#This Row],[ha2016.06]]-t_Parts[[#This Row],[hp2016.06]])*t_Parts[[NetPPH]:[NetPPH]]</f>
        <v>420183.07692307694</v>
      </c>
      <c r="FQ23" s="58">
        <f>(t_Parts[[#This Row],[ha2016.07]]-t_Parts[[#This Row],[hp2016.07]])*t_Parts[[NetPPH]:[NetPPH]]</f>
        <v>335090.4615384615</v>
      </c>
      <c r="FR23" s="58">
        <f>(t_Parts[[#This Row],[ha2016.08]]-t_Parts[[#This Row],[hp2016.08]])*t_Parts[[NetPPH]:[NetPPH]]</f>
        <v>335090.4615384615</v>
      </c>
      <c r="FS23" s="58">
        <f>(t_Parts[[#This Row],[ha2016.09]]-t_Parts[[#This Row],[hp2016.09]])*t_Parts[[NetPPH]:[NetPPH]]</f>
        <v>420183.07692307694</v>
      </c>
      <c r="FT23" s="58">
        <f>(t_Parts[[#This Row],[ha2016.10]]-t_Parts[[#This Row],[hp2016.10]])*t_Parts[[NetPPH]:[NetPPH]]</f>
        <v>335090.4615384615</v>
      </c>
      <c r="FU23" s="58">
        <f>(t_Parts[[#This Row],[ha2016.11]]-t_Parts[[#This Row],[hp2016.11]])*t_Parts[[NetPPH]:[NetPPH]]</f>
        <v>335090.4615384615</v>
      </c>
      <c r="FV23" s="58">
        <f>(t_Parts[[#This Row],[ha2016.12]]-t_Parts[[#This Row],[hp2016.12]])*t_Parts[[NetPPH]:[NetPPH]]</f>
        <v>420183.07692307694</v>
      </c>
      <c r="FW23" s="58">
        <f>(t_Parts[[#This Row],[ha2016.FY]]-t_Parts[[#This Row],[hp2016.FY]])*t_Parts[[NetPPH]:[NetPPH]]</f>
        <v>4361456</v>
      </c>
      <c r="FX23" s="58">
        <f>(t_Parts[[#This Row],[ha2017]]-t_Parts[[#This Row],[hp2017]])*t_Parts[[NetPPH]:[NetPPH]]</f>
        <v>4361456</v>
      </c>
      <c r="FY23" s="58">
        <f>(t_Parts[[#This Row],[ha2018]]-t_Parts[[#This Row],[hp2018]])*t_Parts[[NetPPH]:[NetPPH]]</f>
        <v>4804800</v>
      </c>
      <c r="FZ23" s="58">
        <f>(t_Parts[[#This Row],[ha2019]]-t_Parts[[#This Row],[hp2019]])*t_Parts[[NetPPH]:[NetPPH]]</f>
        <v>4804800</v>
      </c>
    </row>
    <row r="24" spans="1:182" s="14" customFormat="1" x14ac:dyDescent="0.25">
      <c r="A24" s="74" t="s">
        <v>633</v>
      </c>
      <c r="B24" s="74"/>
      <c r="C24" s="74">
        <v>21013</v>
      </c>
      <c r="D24" s="75">
        <v>1</v>
      </c>
      <c r="E24" s="73">
        <v>3000</v>
      </c>
      <c r="F24" s="76">
        <v>1</v>
      </c>
      <c r="G24" s="77">
        <v>4</v>
      </c>
      <c r="H24" s="16">
        <v>2015.01</v>
      </c>
      <c r="I24" s="16" t="s">
        <v>81</v>
      </c>
      <c r="J24" s="73">
        <v>189992</v>
      </c>
      <c r="K24" s="73">
        <v>189992</v>
      </c>
      <c r="L24" s="73">
        <v>189992</v>
      </c>
      <c r="M24" s="73">
        <v>189992</v>
      </c>
      <c r="N24" s="73">
        <v>189992</v>
      </c>
      <c r="O24" s="78"/>
      <c r="P24" s="78"/>
      <c r="Q24" s="79">
        <v>21.344999999999999</v>
      </c>
      <c r="R24" s="79"/>
      <c r="S24" s="78"/>
      <c r="T24" s="80"/>
      <c r="U24" s="80" t="s">
        <v>121</v>
      </c>
      <c r="V24" s="81"/>
      <c r="W24" s="82">
        <v>0.19400000000000001</v>
      </c>
      <c r="X24" s="82" t="s">
        <v>608</v>
      </c>
      <c r="Y24" s="82"/>
      <c r="Z24" s="82"/>
      <c r="AA24" s="82"/>
      <c r="AB24" s="82"/>
      <c r="AC24" s="83" t="s">
        <v>667</v>
      </c>
      <c r="AD24" s="40" t="str">
        <f>VLOOKUP(t_Parts[[#This Row],[Press]],t_Presses[],Press!B$1,FALSE)</f>
        <v>Plainfield</v>
      </c>
      <c r="AE24" s="40" t="str">
        <f>VLOOKUP(t_Parts[[#This Row],[Press]],t_Presses[],Press!E$1,FALSE)</f>
        <v>0-299</v>
      </c>
      <c r="AF24" s="47">
        <f>VLOOKUP(t_Parts[[#This Row],[Plant]],t_Plants[],Plants!C$1,FALSE)</f>
        <v>0.55000000000000004</v>
      </c>
      <c r="AG24" s="47">
        <f>VLOOKUP(t_Parts[[#This Row],[Press]],t_Presses[],Press!F$1,FALSE)</f>
        <v>0</v>
      </c>
      <c r="AH24" s="84"/>
      <c r="AI24" s="47">
        <f>IF(ISBLANK(t_Parts[[#This Row],[PartOEE]])=FALSE,t_Parts[[#This Row],[PartOEE]], IF(t_Parts[[#This Row],[PressOEE]]&gt;0, t_Parts[[#This Row],[PressOEE]], t_Parts[[#This Row],[PlantOEE]] ))</f>
        <v>0.55000000000000004</v>
      </c>
      <c r="AJ24" s="70">
        <f>t_Parts[[#This Row],[SetupsPerMo]]*t_Parts[[#This Row],[SetupHrs]]</f>
        <v>4</v>
      </c>
      <c r="AK24" s="39">
        <f>(t_Parts[[#This Row],[PartsPerStroke]]*t_Parts[[#This Row],[StrokesPerHr]])*t_Parts[[#This Row],[UseOEE]]</f>
        <v>1650.0000000000002</v>
      </c>
      <c r="AL2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14614.76923076923</v>
      </c>
      <c r="AM2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14614.76923076923</v>
      </c>
      <c r="AN2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18268.461538461535</v>
      </c>
      <c r="AO2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14614.76923076923</v>
      </c>
      <c r="AP2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14614.76923076923</v>
      </c>
      <c r="AQ2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18268.461538461535</v>
      </c>
      <c r="AR2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14614.76923076923</v>
      </c>
      <c r="AS2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14614.76923076923</v>
      </c>
      <c r="AT2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18268.461538461535</v>
      </c>
      <c r="AU2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14614.76923076923</v>
      </c>
      <c r="AV2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14614.76923076923</v>
      </c>
      <c r="AW2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18268.461538461535</v>
      </c>
      <c r="AX24" s="39">
        <f>SUM(t_Parts[[#This Row],[pv2015.01]:[pv2015.12]])</f>
        <v>189991.99999999997</v>
      </c>
      <c r="AY2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14614.76923076923</v>
      </c>
      <c r="AZ2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14614.76923076923</v>
      </c>
      <c r="BA2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18268.461538461535</v>
      </c>
      <c r="BB2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14614.76923076923</v>
      </c>
      <c r="BC2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14614.76923076923</v>
      </c>
      <c r="BD2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18268.461538461535</v>
      </c>
      <c r="BE2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14614.76923076923</v>
      </c>
      <c r="BF2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14614.76923076923</v>
      </c>
      <c r="BG2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18268.461538461535</v>
      </c>
      <c r="BH2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14614.76923076923</v>
      </c>
      <c r="BI2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14614.76923076923</v>
      </c>
      <c r="BJ2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18268.461538461535</v>
      </c>
      <c r="BK24" s="39">
        <f>SUM(t_Parts[[#This Row],[pv2016.01]:[pv2016.12]])</f>
        <v>189991.99999999997</v>
      </c>
      <c r="BL24" s="39">
        <f>t_Parts[[#This Row],[2017vol]]</f>
        <v>189992</v>
      </c>
      <c r="BM24" s="39">
        <f>t_Parts[[#This Row],[2018vol]]</f>
        <v>189992</v>
      </c>
      <c r="BN24" s="39">
        <f>t_Parts[[#This Row],[2019vol]]</f>
        <v>189992</v>
      </c>
      <c r="BO24" s="40">
        <f>VLOOKUP(t_Parts[[Plant]:[Plant]],t_Plants[],Plants!CN$1,FALSE)</f>
        <v>280</v>
      </c>
      <c r="BP24" s="14">
        <f>VLOOKUP(t_Parts[[Plant]:[Plant]],t_Plants[],Plants!CO$1,FALSE)</f>
        <v>280</v>
      </c>
      <c r="BQ24" s="14">
        <f>VLOOKUP(t_Parts[[Plant]:[Plant]],t_Plants[],Plants!CP$1,FALSE)</f>
        <v>350</v>
      </c>
      <c r="BR24" s="14">
        <f>VLOOKUP(t_Parts[[Plant]:[Plant]],t_Plants[],Plants!CQ$1,FALSE)</f>
        <v>280</v>
      </c>
      <c r="BS24" s="14">
        <f>VLOOKUP(t_Parts[[Plant]:[Plant]],t_Plants[],Plants!CR$1,FALSE)</f>
        <v>280</v>
      </c>
      <c r="BT24" s="14">
        <f>VLOOKUP(t_Parts[[Plant]:[Plant]],t_Plants[],Plants!CS$1,FALSE)</f>
        <v>350</v>
      </c>
      <c r="BU24" s="14">
        <f>VLOOKUP(t_Parts[[Plant]:[Plant]],t_Plants[],Plants!CT$1,FALSE)</f>
        <v>280</v>
      </c>
      <c r="BV24" s="14">
        <f>VLOOKUP(t_Parts[[Plant]:[Plant]],t_Plants[],Plants!CU$1,FALSE)</f>
        <v>280</v>
      </c>
      <c r="BW24" s="14">
        <f>VLOOKUP(t_Parts[[Plant]:[Plant]],t_Plants[],Plants!CV$1,FALSE)</f>
        <v>350</v>
      </c>
      <c r="BX24" s="14">
        <f>VLOOKUP(t_Parts[[Plant]:[Plant]],t_Plants[],Plants!CW$1,FALSE)</f>
        <v>280</v>
      </c>
      <c r="BY24" s="14">
        <f>VLOOKUP(t_Parts[[Plant]:[Plant]],t_Plants[],Plants!CX$1,FALSE)</f>
        <v>280</v>
      </c>
      <c r="BZ24" s="14">
        <f>VLOOKUP(t_Parts[[Plant]:[Plant]],t_Plants[],Plants!CY$1,FALSE)</f>
        <v>350</v>
      </c>
      <c r="CA24" s="40">
        <f>SUM(t_Parts[[#This Row],[ha2015.01]:[ha2015.12]])</f>
        <v>3640</v>
      </c>
      <c r="CB24" s="14">
        <f>VLOOKUP(t_Parts[[Plant]:[Plant]],t_Plants[],Plants!DA$1,FALSE)</f>
        <v>280</v>
      </c>
      <c r="CC24" s="14">
        <f>VLOOKUP(t_Parts[[Plant]:[Plant]],t_Plants[],Plants!DB$1,FALSE)</f>
        <v>280</v>
      </c>
      <c r="CD24" s="14">
        <f>VLOOKUP(t_Parts[[Plant]:[Plant]],t_Plants[],Plants!DC$1,FALSE)</f>
        <v>350</v>
      </c>
      <c r="CE24" s="14">
        <f>VLOOKUP(t_Parts[[Plant]:[Plant]],t_Plants[],Plants!DD$1,FALSE)</f>
        <v>280</v>
      </c>
      <c r="CF24" s="14">
        <f>VLOOKUP(t_Parts[[Plant]:[Plant]],t_Plants[],Plants!DE$1,FALSE)</f>
        <v>280</v>
      </c>
      <c r="CG24" s="14">
        <f>VLOOKUP(t_Parts[[Plant]:[Plant]],t_Plants[],Plants!DF$1,FALSE)</f>
        <v>350</v>
      </c>
      <c r="CH24" s="14">
        <f>VLOOKUP(t_Parts[[Plant]:[Plant]],t_Plants[],Plants!DG$1,FALSE)</f>
        <v>280</v>
      </c>
      <c r="CI24" s="14">
        <f>VLOOKUP(t_Parts[[Plant]:[Plant]],t_Plants[],Plants!DH$1,FALSE)</f>
        <v>280</v>
      </c>
      <c r="CJ24" s="14">
        <f>VLOOKUP(t_Parts[[Plant]:[Plant]],t_Plants[],Plants!DI$1,FALSE)</f>
        <v>350</v>
      </c>
      <c r="CK24" s="14">
        <f>VLOOKUP(t_Parts[[Plant]:[Plant]],t_Plants[],Plants!DJ$1,FALSE)</f>
        <v>280</v>
      </c>
      <c r="CL24" s="14">
        <f>VLOOKUP(t_Parts[[Plant]:[Plant]],t_Plants[],Plants!DK$1,FALSE)</f>
        <v>280</v>
      </c>
      <c r="CM24" s="14">
        <f>VLOOKUP(t_Parts[[Plant]:[Plant]],t_Plants[],Plants!DL$1,FALSE)</f>
        <v>350</v>
      </c>
      <c r="CN24" s="14">
        <f>VLOOKUP(t_Parts[[Plant]:[Plant]],t_Plants[],Plants!DM$1,FALSE)</f>
        <v>3640</v>
      </c>
      <c r="CO24" s="14">
        <f>VLOOKUP(t_Parts[[Plant]:[Plant]],t_Plants[],Plants!DN$1,FALSE)</f>
        <v>3640</v>
      </c>
      <c r="CP24" s="14">
        <f>VLOOKUP(t_Parts[[Plant]:[Plant]],t_Plants[],Plants!DO$1,FALSE)</f>
        <v>3640</v>
      </c>
      <c r="CQ24" s="14">
        <f>VLOOKUP(t_Parts[[Plant]:[Plant]],t_Plants[],Plants!DP$1,FALSE)</f>
        <v>3640</v>
      </c>
      <c r="CR24" s="39">
        <f>IF(AND(AL$3&gt;=VALUE(t_Parts[[SOP]:[SOP]]),AL$3&lt;=VALUE(t_Parts[[EOP]:[EOP]])), t_Parts[[SetupHrsPerMo]:[SetupHrsPerMo]]+(t_Parts[[#This Row],[pv2015.01]]/t_Parts[[NetPPH]:[NetPPH]]),0)</f>
        <v>12.857435897435897</v>
      </c>
      <c r="CS24" s="39">
        <f>IF(AND(AM$3&gt;=VALUE(t_Parts[[SOP]:[SOP]]),AM$3&lt;=VALUE(t_Parts[[EOP]:[EOP]])), t_Parts[[SetupHrsPerMo]:[SetupHrsPerMo]]+(t_Parts[[#This Row],[pv2015.02]]/t_Parts[[NetPPH]:[NetPPH]]),0)</f>
        <v>12.857435897435897</v>
      </c>
      <c r="CT24" s="39">
        <f>IF(AND(AN$3&gt;=VALUE(t_Parts[[SOP]:[SOP]]),AN$3&lt;=VALUE(t_Parts[[EOP]:[EOP]])), t_Parts[[SetupHrsPerMo]:[SetupHrsPerMo]]+(t_Parts[[#This Row],[pv2015.03]]/t_Parts[[NetPPH]:[NetPPH]]),0)</f>
        <v>15.071794871794868</v>
      </c>
      <c r="CU24" s="39">
        <f>IF(AND(AO$3&gt;=VALUE(t_Parts[[SOP]:[SOP]]),AO$3&lt;=VALUE(t_Parts[[EOP]:[EOP]])), t_Parts[[SetupHrsPerMo]:[SetupHrsPerMo]]+(t_Parts[[#This Row],[pv2015.04]]/t_Parts[[NetPPH]:[NetPPH]]),0)</f>
        <v>12.857435897435897</v>
      </c>
      <c r="CV24" s="39">
        <f>IF(AND(AP$3&gt;=VALUE(t_Parts[[SOP]:[SOP]]),AP$3&lt;=VALUE(t_Parts[[EOP]:[EOP]])), t_Parts[[SetupHrsPerMo]:[SetupHrsPerMo]]+(t_Parts[[#This Row],[pv2015.05]]/t_Parts[[NetPPH]:[NetPPH]]),0)</f>
        <v>12.857435897435897</v>
      </c>
      <c r="CW24" s="39">
        <f>IF(AND(AQ$3&gt;=VALUE(t_Parts[[SOP]:[SOP]]),AQ$3&lt;=VALUE(t_Parts[[EOP]:[EOP]])), t_Parts[[SetupHrsPerMo]:[SetupHrsPerMo]]+(t_Parts[[#This Row],[pv2015.06]]/t_Parts[[NetPPH]:[NetPPH]]),0)</f>
        <v>15.071794871794868</v>
      </c>
      <c r="CX24" s="39">
        <f>IF(AND(AR$3&gt;=VALUE(t_Parts[[SOP]:[SOP]]),AR$3&lt;=VALUE(t_Parts[[EOP]:[EOP]])), t_Parts[[SetupHrsPerMo]:[SetupHrsPerMo]]+(t_Parts[[#This Row],[pv2015.07]]/t_Parts[[NetPPH]:[NetPPH]]),0)</f>
        <v>12.857435897435897</v>
      </c>
      <c r="CY24" s="39">
        <f>IF(AND(AS$3&gt;=VALUE(t_Parts[[SOP]:[SOP]]),AS$3&lt;=VALUE(t_Parts[[EOP]:[EOP]])), t_Parts[[SetupHrsPerMo]:[SetupHrsPerMo]]+(t_Parts[[#This Row],[pv2015.08]]/t_Parts[[NetPPH]:[NetPPH]]),0)</f>
        <v>12.857435897435897</v>
      </c>
      <c r="CZ24" s="39">
        <f>IF(AND(AT$3&gt;=VALUE(t_Parts[[SOP]:[SOP]]),AT$3&lt;=VALUE(t_Parts[[EOP]:[EOP]])), t_Parts[[SetupHrsPerMo]:[SetupHrsPerMo]]+(t_Parts[[#This Row],[pv2015.09]]/t_Parts[[NetPPH]:[NetPPH]]),0)</f>
        <v>15.071794871794868</v>
      </c>
      <c r="DA24" s="39">
        <f>IF(AND(AU$3&gt;=VALUE(t_Parts[[SOP]:[SOP]]),AU$3&lt;=VALUE(t_Parts[[EOP]:[EOP]])), t_Parts[[SetupHrsPerMo]:[SetupHrsPerMo]]+(t_Parts[[#This Row],[pv2015.10]]/t_Parts[[NetPPH]:[NetPPH]]),0)</f>
        <v>12.857435897435897</v>
      </c>
      <c r="DB24" s="39">
        <f>IF(AND(AV$3&gt;=VALUE(t_Parts[[SOP]:[SOP]]),AV$3&lt;=VALUE(t_Parts[[EOP]:[EOP]])), t_Parts[[SetupHrsPerMo]:[SetupHrsPerMo]]+(t_Parts[[#This Row],[pv2015.11]]/t_Parts[[NetPPH]:[NetPPH]]),0)</f>
        <v>12.857435897435897</v>
      </c>
      <c r="DC24" s="39">
        <f>IF(AND(AW$3&gt;=VALUE(t_Parts[[SOP]:[SOP]]),AW$3&lt;=VALUE(t_Parts[[EOP]:[EOP]])), t_Parts[[SetupHrsPerMo]:[SetupHrsPerMo]]+(t_Parts[[#This Row],[pv2015.12]]/t_Parts[[NetPPH]:[NetPPH]]),0)</f>
        <v>15.071794871794868</v>
      </c>
      <c r="DD24" s="39">
        <f>SUM(t_Parts[[#This Row],[hp2015.01]:[hp2015.12]])</f>
        <v>163.14666666666665</v>
      </c>
      <c r="DE24" s="39">
        <f>IF(AND(AY$3&gt;=VALUE(t_Parts[[SOP]:[SOP]]),AY$3&lt;=VALUE(t_Parts[[EOP]:[EOP]])), t_Parts[[SetupHrsPerMo]:[SetupHrsPerMo]]+(t_Parts[[#This Row],[pv2016.01]]/t_Parts[[NetPPH]:[NetPPH]]),0)</f>
        <v>12.857435897435897</v>
      </c>
      <c r="DF24" s="39">
        <f>IF(AND(AZ$3&gt;=VALUE(t_Parts[[SOP]:[SOP]]),AZ$3&lt;=VALUE(t_Parts[[EOP]:[EOP]])), t_Parts[[SetupHrsPerMo]:[SetupHrsPerMo]]+(t_Parts[[#This Row],[pv2016.02]]/t_Parts[[NetPPH]:[NetPPH]]),0)</f>
        <v>12.857435897435897</v>
      </c>
      <c r="DG24" s="39">
        <f>IF(AND(BA$3&gt;=VALUE(t_Parts[[SOP]:[SOP]]),BA$3&lt;=VALUE(t_Parts[[EOP]:[EOP]])), t_Parts[[SetupHrsPerMo]:[SetupHrsPerMo]]+(t_Parts[[#This Row],[pv2016.03]]/t_Parts[[NetPPH]:[NetPPH]]),0)</f>
        <v>15.071794871794868</v>
      </c>
      <c r="DH24" s="39">
        <f>IF(AND(BB$3&gt;=VALUE(t_Parts[[SOP]:[SOP]]),BB$3&lt;=VALUE(t_Parts[[EOP]:[EOP]])), t_Parts[[SetupHrsPerMo]:[SetupHrsPerMo]]+(t_Parts[[#This Row],[pv2016.04]]/t_Parts[[NetPPH]:[NetPPH]]),0)</f>
        <v>12.857435897435897</v>
      </c>
      <c r="DI24" s="39">
        <f>IF(AND(BC$3&gt;=VALUE(t_Parts[[SOP]:[SOP]]),BC$3&lt;=VALUE(t_Parts[[EOP]:[EOP]])), t_Parts[[SetupHrsPerMo]:[SetupHrsPerMo]]+(t_Parts[[#This Row],[pv2016.05]]/t_Parts[[NetPPH]:[NetPPH]]),0)</f>
        <v>12.857435897435897</v>
      </c>
      <c r="DJ24" s="39">
        <f>IF(AND(BD$3&gt;=VALUE(t_Parts[[SOP]:[SOP]]),BD$3&lt;=VALUE(t_Parts[[EOP]:[EOP]])), t_Parts[[SetupHrsPerMo]:[SetupHrsPerMo]]+(t_Parts[[#This Row],[pv2016.06]]/t_Parts[[NetPPH]:[NetPPH]]),0)</f>
        <v>15.071794871794868</v>
      </c>
      <c r="DK24" s="39">
        <f>IF(AND(BE$3&gt;=VALUE(t_Parts[[SOP]:[SOP]]),BE$3&lt;=VALUE(t_Parts[[EOP]:[EOP]])), t_Parts[[SetupHrsPerMo]:[SetupHrsPerMo]]+(t_Parts[[#This Row],[pv2016.07]]/t_Parts[[NetPPH]:[NetPPH]]),0)</f>
        <v>12.857435897435897</v>
      </c>
      <c r="DL24" s="39">
        <f>IF(AND(BF$3&gt;=VALUE(t_Parts[[SOP]:[SOP]]),BF$3&lt;=VALUE(t_Parts[[EOP]:[EOP]])), t_Parts[[SetupHrsPerMo]:[SetupHrsPerMo]]+(t_Parts[[#This Row],[pv2016.08]]/t_Parts[[NetPPH]:[NetPPH]]),0)</f>
        <v>12.857435897435897</v>
      </c>
      <c r="DM24" s="39">
        <f>IF(AND(BG$3&gt;=VALUE(t_Parts[[SOP]:[SOP]]),BG$3&lt;=VALUE(t_Parts[[EOP]:[EOP]])), t_Parts[[SetupHrsPerMo]:[SetupHrsPerMo]]+(t_Parts[[#This Row],[pv2016.09]]/t_Parts[[NetPPH]:[NetPPH]]),0)</f>
        <v>15.071794871794868</v>
      </c>
      <c r="DN24" s="39">
        <f>IF(AND(BH$3&gt;=VALUE(t_Parts[[SOP]:[SOP]]),BH$3&lt;=VALUE(t_Parts[[EOP]:[EOP]])), t_Parts[[SetupHrsPerMo]:[SetupHrsPerMo]]+(t_Parts[[#This Row],[pv2016.10]]/t_Parts[[NetPPH]:[NetPPH]]),0)</f>
        <v>12.857435897435897</v>
      </c>
      <c r="DO24" s="39">
        <f>IF(AND(BI$3&gt;=VALUE(t_Parts[[SOP]:[SOP]]),BI$3&lt;=VALUE(t_Parts[[EOP]:[EOP]])), t_Parts[[SetupHrsPerMo]:[SetupHrsPerMo]]+(t_Parts[[#This Row],[pv2016.11]]/t_Parts[[NetPPH]:[NetPPH]]),0)</f>
        <v>12.857435897435897</v>
      </c>
      <c r="DP24" s="39">
        <f>IF(AND(BJ$3&gt;=VALUE(t_Parts[[SOP]:[SOP]]),BJ$3&lt;=VALUE(t_Parts[[EOP]:[EOP]])), t_Parts[[SetupHrsPerMo]:[SetupHrsPerMo]]+(t_Parts[[#This Row],[pv2016.12]]/t_Parts[[NetPPH]:[NetPPH]]),0)</f>
        <v>15.071794871794868</v>
      </c>
      <c r="DQ24" s="39">
        <f>SUM(t_Parts[[#This Row],[hp2016.01]:[hp2016.12]])</f>
        <v>163.14666666666665</v>
      </c>
      <c r="DR24" s="39">
        <f>IF(AND(BL$3&gt;=VALUE(t_Parts[[SOP]:[SOP]]),BL$3&lt;=VALUE(t_Parts[[EOP]:[EOP]])), 12*t_Parts[[SetupHrsPerMo]:[SetupHrsPerMo]]+(t_Parts[[#This Row],[pv2017]]/t_Parts[[NetPPH]:[NetPPH]]),0)</f>
        <v>163.14666666666665</v>
      </c>
      <c r="DS24" s="39">
        <f>IF(AND(BM$3&gt;=VALUE(t_Parts[[SOP]:[SOP]]),BM$3&lt;=VALUE(t_Parts[[EOP]:[EOP]])), 12*t_Parts[[SetupHrsPerMo]:[SetupHrsPerMo]]+(t_Parts[[#This Row],[pv2018]]/t_Parts[[NetPPH]:[NetPPH]]),0)</f>
        <v>0</v>
      </c>
      <c r="DT24" s="39">
        <f>IF(AND(BN$3&gt;=VALUE(t_Parts[[SOP]:[SOP]]),BN$3&lt;=VALUE(t_Parts[[EOP]:[EOP]])), 12*t_Parts[[SetupHrsPerMo]:[SetupHrsPerMo]]+(t_Parts[[#This Row],[pv2019]]/t_Parts[[NetPPH]:[NetPPH]]),0)</f>
        <v>0</v>
      </c>
      <c r="DU24" s="47">
        <f>t_Parts[[#This Row],[hp2015.01]]/t_Parts[[#This Row],[ha2015.01]]</f>
        <v>4.5919413919413919E-2</v>
      </c>
      <c r="DV24" s="47">
        <f>t_Parts[[#This Row],[hp2015.02]]/t_Parts[[#This Row],[ha2015.02]]</f>
        <v>4.5919413919413919E-2</v>
      </c>
      <c r="DW24" s="47">
        <f>t_Parts[[#This Row],[hp2015.03]]/t_Parts[[#This Row],[ha2015.03]]</f>
        <v>4.3062271062271049E-2</v>
      </c>
      <c r="DX24" s="47">
        <f>t_Parts[[#This Row],[hp2015.04]]/t_Parts[[#This Row],[ha2015.04]]</f>
        <v>4.5919413919413919E-2</v>
      </c>
      <c r="DY24" s="47">
        <f>t_Parts[[#This Row],[hp2015.05]]/t_Parts[[#This Row],[ha2015.05]]</f>
        <v>4.5919413919413919E-2</v>
      </c>
      <c r="DZ24" s="47">
        <f>t_Parts[[#This Row],[hp2015.06]]/t_Parts[[#This Row],[ha2015.06]]</f>
        <v>4.3062271062271049E-2</v>
      </c>
      <c r="EA24" s="47">
        <f>t_Parts[[#This Row],[hp2015.07]]/t_Parts[[#This Row],[ha2015.07]]</f>
        <v>4.5919413919413919E-2</v>
      </c>
      <c r="EB24" s="47">
        <f>t_Parts[[#This Row],[hp2015.08]]/t_Parts[[#This Row],[ha2015.08]]</f>
        <v>4.5919413919413919E-2</v>
      </c>
      <c r="EC24" s="47">
        <f>t_Parts[[#This Row],[hp2015.09]]/t_Parts[[#This Row],[ha2015.09]]</f>
        <v>4.3062271062271049E-2</v>
      </c>
      <c r="ED24" s="47">
        <f>t_Parts[[#This Row],[hp2015.10]]/t_Parts[[#This Row],[ha2015.10]]</f>
        <v>4.5919413919413919E-2</v>
      </c>
      <c r="EE24" s="47">
        <f>t_Parts[[#This Row],[hp2015.11]]/t_Parts[[#This Row],[ha2015.11]]</f>
        <v>4.5919413919413919E-2</v>
      </c>
      <c r="EF24" s="47">
        <f>t_Parts[[#This Row],[hp2015.12]]/t_Parts[[#This Row],[ha2015.12]]</f>
        <v>4.3062271062271049E-2</v>
      </c>
      <c r="EG24" s="47">
        <f>t_Parts[[#This Row],[hp2015.FY]]/t_Parts[[#This Row],[ha2015.FY]]</f>
        <v>4.4820512820512817E-2</v>
      </c>
      <c r="EH24" s="47">
        <f>t_Parts[[#This Row],[hp2016.01]]/t_Parts[[#This Row],[ha2016.01]]</f>
        <v>4.5919413919413919E-2</v>
      </c>
      <c r="EI24" s="47">
        <f>t_Parts[[#This Row],[hp2016.02]]/t_Parts[[#This Row],[ha2016.02]]</f>
        <v>4.5919413919413919E-2</v>
      </c>
      <c r="EJ24" s="47">
        <f>t_Parts[[#This Row],[hp2016.03]]/t_Parts[[#This Row],[ha2016.03]]</f>
        <v>4.3062271062271049E-2</v>
      </c>
      <c r="EK24" s="47">
        <f>t_Parts[[#This Row],[hp2016.04]]/t_Parts[[#This Row],[ha2016.04]]</f>
        <v>4.5919413919413919E-2</v>
      </c>
      <c r="EL24" s="47">
        <f>t_Parts[[#This Row],[hp2016.05]]/t_Parts[[#This Row],[ha2016.05]]</f>
        <v>4.5919413919413919E-2</v>
      </c>
      <c r="EM24" s="47">
        <f>t_Parts[[#This Row],[hp2016.06]]/t_Parts[[#This Row],[ha2016.06]]</f>
        <v>4.3062271062271049E-2</v>
      </c>
      <c r="EN24" s="47">
        <f>t_Parts[[#This Row],[hp2016.07]]/t_Parts[[#This Row],[ha2016.07]]</f>
        <v>4.5919413919413919E-2</v>
      </c>
      <c r="EO24" s="47">
        <f>t_Parts[[#This Row],[hp2016.08]]/t_Parts[[#This Row],[ha2016.08]]</f>
        <v>4.5919413919413919E-2</v>
      </c>
      <c r="EP24" s="47">
        <f>t_Parts[[#This Row],[hp2016.09]]/t_Parts[[#This Row],[ha2016.09]]</f>
        <v>4.3062271062271049E-2</v>
      </c>
      <c r="EQ24" s="47">
        <f>t_Parts[[#This Row],[hp2016.10]]/t_Parts[[#This Row],[ha2016.10]]</f>
        <v>4.5919413919413919E-2</v>
      </c>
      <c r="ER24" s="47">
        <f>t_Parts[[#This Row],[hp2016.11]]/t_Parts[[#This Row],[ha2016.11]]</f>
        <v>4.5919413919413919E-2</v>
      </c>
      <c r="ES24" s="47">
        <f>t_Parts[[#This Row],[hp2016.12]]/t_Parts[[#This Row],[ha2016.12]]</f>
        <v>4.3062271062271049E-2</v>
      </c>
      <c r="ET24" s="47">
        <f>t_Parts[[#This Row],[hp2016.FY]]/t_Parts[[#This Row],[ha2016.FY]]</f>
        <v>4.4820512820512817E-2</v>
      </c>
      <c r="EU24" s="47">
        <f>t_Parts[[#This Row],[hp2017]]/t_Parts[[#This Row],[ha2017]]</f>
        <v>4.4820512820512817E-2</v>
      </c>
      <c r="EV24" s="47">
        <f>t_Parts[[#This Row],[hp2018]]/t_Parts[[#This Row],[ha2018]]</f>
        <v>0</v>
      </c>
      <c r="EW24" s="47">
        <f>t_Parts[[#This Row],[hp2019]]/t_Parts[[#This Row],[hp2015.01]]</f>
        <v>0</v>
      </c>
      <c r="EX24" s="58">
        <f>(t_Parts[[#This Row],[ha2015.01]]-t_Parts[[#This Row],[hp2015.01]])*t_Parts[[NetPPH]:[NetPPH]]</f>
        <v>440785.23076923087</v>
      </c>
      <c r="EY24" s="58">
        <f>(t_Parts[[#This Row],[ha2015.02]]-t_Parts[[#This Row],[hp2015.02]])*t_Parts[[NetPPH]:[NetPPH]]</f>
        <v>440785.23076923087</v>
      </c>
      <c r="EZ24" s="58">
        <f>(t_Parts[[#This Row],[ha2015.03]]-t_Parts[[#This Row],[hp2015.03]])*t_Parts[[NetPPH]:[NetPPH]]</f>
        <v>552631.53846153861</v>
      </c>
      <c r="FA24" s="58">
        <f>(t_Parts[[#This Row],[ha2015.04]]-t_Parts[[#This Row],[hp2015.04]])*t_Parts[[NetPPH]:[NetPPH]]</f>
        <v>440785.23076923087</v>
      </c>
      <c r="FB24" s="58">
        <f>(t_Parts[[#This Row],[ha2015.05]]-t_Parts[[#This Row],[hp2015.05]])*t_Parts[[NetPPH]:[NetPPH]]</f>
        <v>440785.23076923087</v>
      </c>
      <c r="FC24" s="58">
        <f>(t_Parts[[#This Row],[ha2015.06]]-t_Parts[[#This Row],[hp2015.06]])*t_Parts[[NetPPH]:[NetPPH]]</f>
        <v>552631.53846153861</v>
      </c>
      <c r="FD24" s="58">
        <f>(t_Parts[[#This Row],[ha2015.07]]-t_Parts[[#This Row],[hp2015.07]])*t_Parts[[NetPPH]:[NetPPH]]</f>
        <v>440785.23076923087</v>
      </c>
      <c r="FE24" s="58">
        <f>(t_Parts[[#This Row],[ha2015.08]]-t_Parts[[#This Row],[hp2015.08]])*t_Parts[[NetPPH]:[NetPPH]]</f>
        <v>440785.23076923087</v>
      </c>
      <c r="FF24" s="58">
        <f>(t_Parts[[#This Row],[ha2015.09]]-t_Parts[[#This Row],[hp2015.09]])*t_Parts[[NetPPH]:[NetPPH]]</f>
        <v>552631.53846153861</v>
      </c>
      <c r="FG24" s="58">
        <f>(t_Parts[[#This Row],[ha2015.10]]-t_Parts[[#This Row],[hp2015.10]])*t_Parts[[NetPPH]:[NetPPH]]</f>
        <v>440785.23076923087</v>
      </c>
      <c r="FH24" s="58">
        <f>(t_Parts[[#This Row],[ha2015.11]]-t_Parts[[#This Row],[hp2015.11]])*t_Parts[[NetPPH]:[NetPPH]]</f>
        <v>440785.23076923087</v>
      </c>
      <c r="FI24" s="58">
        <f>(t_Parts[[#This Row],[ha2015.12]]-t_Parts[[#This Row],[hp2015.12]])*t_Parts[[NetPPH]:[NetPPH]]</f>
        <v>552631.53846153861</v>
      </c>
      <c r="FJ24" s="58">
        <f>(t_Parts[[#This Row],[ha2015.FY]]-t_Parts[[#This Row],[hp2015.FY]])*t_Parts[[NetPPH]:[NetPPH]]</f>
        <v>5736808.0000000009</v>
      </c>
      <c r="FK24" s="58">
        <f>(t_Parts[[#This Row],[ha2016.01]]-t_Parts[[#This Row],[hp2016.01]])*t_Parts[[NetPPH]:[NetPPH]]</f>
        <v>440785.23076923087</v>
      </c>
      <c r="FL24" s="58">
        <f>(t_Parts[[#This Row],[ha2016.02]]-t_Parts[[#This Row],[hp2016.02]])*t_Parts[[NetPPH]:[NetPPH]]</f>
        <v>440785.23076923087</v>
      </c>
      <c r="FM24" s="58">
        <f>(t_Parts[[#This Row],[ha2016.03]]-t_Parts[[#This Row],[hp2016.03]])*t_Parts[[NetPPH]:[NetPPH]]</f>
        <v>552631.53846153861</v>
      </c>
      <c r="FN24" s="58">
        <f>(t_Parts[[#This Row],[ha2016.04]]-t_Parts[[#This Row],[hp2016.04]])*t_Parts[[NetPPH]:[NetPPH]]</f>
        <v>440785.23076923087</v>
      </c>
      <c r="FO24" s="58">
        <f>(t_Parts[[#This Row],[ha2016.05]]-t_Parts[[#This Row],[hp2016.05]])*t_Parts[[NetPPH]:[NetPPH]]</f>
        <v>440785.23076923087</v>
      </c>
      <c r="FP24" s="58">
        <f>(t_Parts[[#This Row],[ha2016.06]]-t_Parts[[#This Row],[hp2016.06]])*t_Parts[[NetPPH]:[NetPPH]]</f>
        <v>552631.53846153861</v>
      </c>
      <c r="FQ24" s="58">
        <f>(t_Parts[[#This Row],[ha2016.07]]-t_Parts[[#This Row],[hp2016.07]])*t_Parts[[NetPPH]:[NetPPH]]</f>
        <v>440785.23076923087</v>
      </c>
      <c r="FR24" s="58">
        <f>(t_Parts[[#This Row],[ha2016.08]]-t_Parts[[#This Row],[hp2016.08]])*t_Parts[[NetPPH]:[NetPPH]]</f>
        <v>440785.23076923087</v>
      </c>
      <c r="FS24" s="58">
        <f>(t_Parts[[#This Row],[ha2016.09]]-t_Parts[[#This Row],[hp2016.09]])*t_Parts[[NetPPH]:[NetPPH]]</f>
        <v>552631.53846153861</v>
      </c>
      <c r="FT24" s="58">
        <f>(t_Parts[[#This Row],[ha2016.10]]-t_Parts[[#This Row],[hp2016.10]])*t_Parts[[NetPPH]:[NetPPH]]</f>
        <v>440785.23076923087</v>
      </c>
      <c r="FU24" s="58">
        <f>(t_Parts[[#This Row],[ha2016.11]]-t_Parts[[#This Row],[hp2016.11]])*t_Parts[[NetPPH]:[NetPPH]]</f>
        <v>440785.23076923087</v>
      </c>
      <c r="FV24" s="58">
        <f>(t_Parts[[#This Row],[ha2016.12]]-t_Parts[[#This Row],[hp2016.12]])*t_Parts[[NetPPH]:[NetPPH]]</f>
        <v>552631.53846153861</v>
      </c>
      <c r="FW24" s="58">
        <f>(t_Parts[[#This Row],[ha2016.FY]]-t_Parts[[#This Row],[hp2016.FY]])*t_Parts[[NetPPH]:[NetPPH]]</f>
        <v>5736808.0000000009</v>
      </c>
      <c r="FX24" s="58">
        <f>(t_Parts[[#This Row],[ha2017]]-t_Parts[[#This Row],[hp2017]])*t_Parts[[NetPPH]:[NetPPH]]</f>
        <v>5736808.0000000009</v>
      </c>
      <c r="FY24" s="58">
        <f>(t_Parts[[#This Row],[ha2018]]-t_Parts[[#This Row],[hp2018]])*t_Parts[[NetPPH]:[NetPPH]]</f>
        <v>6006000.0000000009</v>
      </c>
      <c r="FZ24" s="58">
        <f>(t_Parts[[#This Row],[ha2019]]-t_Parts[[#This Row],[hp2019]])*t_Parts[[NetPPH]:[NetPPH]]</f>
        <v>6006000.0000000009</v>
      </c>
    </row>
    <row r="25" spans="1:182" s="14" customFormat="1" x14ac:dyDescent="0.25">
      <c r="A25" s="74" t="s">
        <v>629</v>
      </c>
      <c r="B25" s="74"/>
      <c r="C25" s="74">
        <v>21003</v>
      </c>
      <c r="D25" s="75">
        <v>1</v>
      </c>
      <c r="E25" s="73">
        <v>3000</v>
      </c>
      <c r="F25" s="76">
        <v>1</v>
      </c>
      <c r="G25" s="77">
        <v>4</v>
      </c>
      <c r="H25" s="16">
        <v>2015.01</v>
      </c>
      <c r="I25" s="16" t="s">
        <v>81</v>
      </c>
      <c r="J25" s="73">
        <v>189992</v>
      </c>
      <c r="K25" s="73">
        <v>189992</v>
      </c>
      <c r="L25" s="73">
        <v>189992</v>
      </c>
      <c r="M25" s="73">
        <v>189992</v>
      </c>
      <c r="N25" s="73">
        <v>189992</v>
      </c>
      <c r="O25" s="78">
        <v>30</v>
      </c>
      <c r="P25" s="78">
        <v>49</v>
      </c>
      <c r="Q25" s="79">
        <v>21.1</v>
      </c>
      <c r="R25" s="79"/>
      <c r="S25" s="78">
        <v>188</v>
      </c>
      <c r="T25" s="80">
        <v>13</v>
      </c>
      <c r="U25" s="80" t="s">
        <v>121</v>
      </c>
      <c r="V25" s="81" t="s">
        <v>630</v>
      </c>
      <c r="W25" s="82">
        <v>1.66</v>
      </c>
      <c r="X25" s="82" t="s">
        <v>608</v>
      </c>
      <c r="Y25" s="82"/>
      <c r="Z25" s="82"/>
      <c r="AA25" s="82"/>
      <c r="AB25" s="82"/>
      <c r="AC25" s="83" t="s">
        <v>667</v>
      </c>
      <c r="AD25" s="40" t="str">
        <f>VLOOKUP(t_Parts[[#This Row],[Press]],t_Presses[],Press!B$1,FALSE)</f>
        <v>Plainfield</v>
      </c>
      <c r="AE25" s="40" t="str">
        <f>VLOOKUP(t_Parts[[#This Row],[Press]],t_Presses[],Press!E$1,FALSE)</f>
        <v>300-599</v>
      </c>
      <c r="AF25" s="47">
        <f>VLOOKUP(t_Parts[[#This Row],[Plant]],t_Plants[],Plants!C$1,FALSE)</f>
        <v>0.55000000000000004</v>
      </c>
      <c r="AG25" s="47">
        <f>VLOOKUP(t_Parts[[#This Row],[Press]],t_Presses[],Press!F$1,FALSE)</f>
        <v>0</v>
      </c>
      <c r="AH25" s="84"/>
      <c r="AI25" s="47">
        <f>IF(ISBLANK(t_Parts[[#This Row],[PartOEE]])=FALSE,t_Parts[[#This Row],[PartOEE]], IF(t_Parts[[#This Row],[PressOEE]]&gt;0, t_Parts[[#This Row],[PressOEE]], t_Parts[[#This Row],[PlantOEE]] ))</f>
        <v>0.55000000000000004</v>
      </c>
      <c r="AJ25" s="70">
        <f>t_Parts[[#This Row],[SetupsPerMo]]*t_Parts[[#This Row],[SetupHrs]]</f>
        <v>4</v>
      </c>
      <c r="AK25" s="39">
        <f>(t_Parts[[#This Row],[PartsPerStroke]]*t_Parts[[#This Row],[StrokesPerHr]])*t_Parts[[#This Row],[UseOEE]]</f>
        <v>1650.0000000000002</v>
      </c>
      <c r="AL2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14614.76923076923</v>
      </c>
      <c r="AM2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14614.76923076923</v>
      </c>
      <c r="AN2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18268.461538461535</v>
      </c>
      <c r="AO2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14614.76923076923</v>
      </c>
      <c r="AP2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14614.76923076923</v>
      </c>
      <c r="AQ2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18268.461538461535</v>
      </c>
      <c r="AR2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14614.76923076923</v>
      </c>
      <c r="AS2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14614.76923076923</v>
      </c>
      <c r="AT2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18268.461538461535</v>
      </c>
      <c r="AU2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14614.76923076923</v>
      </c>
      <c r="AV2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14614.76923076923</v>
      </c>
      <c r="AW2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18268.461538461535</v>
      </c>
      <c r="AX25" s="39">
        <f>SUM(t_Parts[[#This Row],[pv2015.01]:[pv2015.12]])</f>
        <v>189991.99999999997</v>
      </c>
      <c r="AY2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14614.76923076923</v>
      </c>
      <c r="AZ2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14614.76923076923</v>
      </c>
      <c r="BA2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18268.461538461535</v>
      </c>
      <c r="BB2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14614.76923076923</v>
      </c>
      <c r="BC2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14614.76923076923</v>
      </c>
      <c r="BD2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18268.461538461535</v>
      </c>
      <c r="BE2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14614.76923076923</v>
      </c>
      <c r="BF2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14614.76923076923</v>
      </c>
      <c r="BG2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18268.461538461535</v>
      </c>
      <c r="BH2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14614.76923076923</v>
      </c>
      <c r="BI2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14614.76923076923</v>
      </c>
      <c r="BJ2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18268.461538461535</v>
      </c>
      <c r="BK25" s="39">
        <f>SUM(t_Parts[[#This Row],[pv2016.01]:[pv2016.12]])</f>
        <v>189991.99999999997</v>
      </c>
      <c r="BL25" s="39">
        <f>t_Parts[[#This Row],[2017vol]]</f>
        <v>189992</v>
      </c>
      <c r="BM25" s="39">
        <f>t_Parts[[#This Row],[2018vol]]</f>
        <v>189992</v>
      </c>
      <c r="BN25" s="39">
        <f>t_Parts[[#This Row],[2019vol]]</f>
        <v>189992</v>
      </c>
      <c r="BO25" s="40">
        <f>VLOOKUP(t_Parts[[Plant]:[Plant]],t_Plants[],Plants!CN$1,FALSE)</f>
        <v>280</v>
      </c>
      <c r="BP25" s="14">
        <f>VLOOKUP(t_Parts[[Plant]:[Plant]],t_Plants[],Plants!CO$1,FALSE)</f>
        <v>280</v>
      </c>
      <c r="BQ25" s="14">
        <f>VLOOKUP(t_Parts[[Plant]:[Plant]],t_Plants[],Plants!CP$1,FALSE)</f>
        <v>350</v>
      </c>
      <c r="BR25" s="14">
        <f>VLOOKUP(t_Parts[[Plant]:[Plant]],t_Plants[],Plants!CQ$1,FALSE)</f>
        <v>280</v>
      </c>
      <c r="BS25" s="14">
        <f>VLOOKUP(t_Parts[[Plant]:[Plant]],t_Plants[],Plants!CR$1,FALSE)</f>
        <v>280</v>
      </c>
      <c r="BT25" s="14">
        <f>VLOOKUP(t_Parts[[Plant]:[Plant]],t_Plants[],Plants!CS$1,FALSE)</f>
        <v>350</v>
      </c>
      <c r="BU25" s="14">
        <f>VLOOKUP(t_Parts[[Plant]:[Plant]],t_Plants[],Plants!CT$1,FALSE)</f>
        <v>280</v>
      </c>
      <c r="BV25" s="14">
        <f>VLOOKUP(t_Parts[[Plant]:[Plant]],t_Plants[],Plants!CU$1,FALSE)</f>
        <v>280</v>
      </c>
      <c r="BW25" s="14">
        <f>VLOOKUP(t_Parts[[Plant]:[Plant]],t_Plants[],Plants!CV$1,FALSE)</f>
        <v>350</v>
      </c>
      <c r="BX25" s="14">
        <f>VLOOKUP(t_Parts[[Plant]:[Plant]],t_Plants[],Plants!CW$1,FALSE)</f>
        <v>280</v>
      </c>
      <c r="BY25" s="14">
        <f>VLOOKUP(t_Parts[[Plant]:[Plant]],t_Plants[],Plants!CX$1,FALSE)</f>
        <v>280</v>
      </c>
      <c r="BZ25" s="14">
        <f>VLOOKUP(t_Parts[[Plant]:[Plant]],t_Plants[],Plants!CY$1,FALSE)</f>
        <v>350</v>
      </c>
      <c r="CA25" s="40">
        <f>SUM(t_Parts[[#This Row],[ha2015.01]:[ha2015.12]])</f>
        <v>3640</v>
      </c>
      <c r="CB25" s="14">
        <f>VLOOKUP(t_Parts[[Plant]:[Plant]],t_Plants[],Plants!DA$1,FALSE)</f>
        <v>280</v>
      </c>
      <c r="CC25" s="14">
        <f>VLOOKUP(t_Parts[[Plant]:[Plant]],t_Plants[],Plants!DB$1,FALSE)</f>
        <v>280</v>
      </c>
      <c r="CD25" s="14">
        <f>VLOOKUP(t_Parts[[Plant]:[Plant]],t_Plants[],Plants!DC$1,FALSE)</f>
        <v>350</v>
      </c>
      <c r="CE25" s="14">
        <f>VLOOKUP(t_Parts[[Plant]:[Plant]],t_Plants[],Plants!DD$1,FALSE)</f>
        <v>280</v>
      </c>
      <c r="CF25" s="14">
        <f>VLOOKUP(t_Parts[[Plant]:[Plant]],t_Plants[],Plants!DE$1,FALSE)</f>
        <v>280</v>
      </c>
      <c r="CG25" s="14">
        <f>VLOOKUP(t_Parts[[Plant]:[Plant]],t_Plants[],Plants!DF$1,FALSE)</f>
        <v>350</v>
      </c>
      <c r="CH25" s="14">
        <f>VLOOKUP(t_Parts[[Plant]:[Plant]],t_Plants[],Plants!DG$1,FALSE)</f>
        <v>280</v>
      </c>
      <c r="CI25" s="14">
        <f>VLOOKUP(t_Parts[[Plant]:[Plant]],t_Plants[],Plants!DH$1,FALSE)</f>
        <v>280</v>
      </c>
      <c r="CJ25" s="14">
        <f>VLOOKUP(t_Parts[[Plant]:[Plant]],t_Plants[],Plants!DI$1,FALSE)</f>
        <v>350</v>
      </c>
      <c r="CK25" s="14">
        <f>VLOOKUP(t_Parts[[Plant]:[Plant]],t_Plants[],Plants!DJ$1,FALSE)</f>
        <v>280</v>
      </c>
      <c r="CL25" s="14">
        <f>VLOOKUP(t_Parts[[Plant]:[Plant]],t_Plants[],Plants!DK$1,FALSE)</f>
        <v>280</v>
      </c>
      <c r="CM25" s="14">
        <f>VLOOKUP(t_Parts[[Plant]:[Plant]],t_Plants[],Plants!DL$1,FALSE)</f>
        <v>350</v>
      </c>
      <c r="CN25" s="14">
        <f>VLOOKUP(t_Parts[[Plant]:[Plant]],t_Plants[],Plants!DM$1,FALSE)</f>
        <v>3640</v>
      </c>
      <c r="CO25" s="14">
        <f>VLOOKUP(t_Parts[[Plant]:[Plant]],t_Plants[],Plants!DN$1,FALSE)</f>
        <v>3640</v>
      </c>
      <c r="CP25" s="14">
        <f>VLOOKUP(t_Parts[[Plant]:[Plant]],t_Plants[],Plants!DO$1,FALSE)</f>
        <v>3640</v>
      </c>
      <c r="CQ25" s="14">
        <f>VLOOKUP(t_Parts[[Plant]:[Plant]],t_Plants[],Plants!DP$1,FALSE)</f>
        <v>3640</v>
      </c>
      <c r="CR25" s="39">
        <f>IF(AND(AL$3&gt;=VALUE(t_Parts[[SOP]:[SOP]]),AL$3&lt;=VALUE(t_Parts[[EOP]:[EOP]])), t_Parts[[SetupHrsPerMo]:[SetupHrsPerMo]]+(t_Parts[[#This Row],[pv2015.01]]/t_Parts[[NetPPH]:[NetPPH]]),0)</f>
        <v>12.857435897435897</v>
      </c>
      <c r="CS25" s="39">
        <f>IF(AND(AM$3&gt;=VALUE(t_Parts[[SOP]:[SOP]]),AM$3&lt;=VALUE(t_Parts[[EOP]:[EOP]])), t_Parts[[SetupHrsPerMo]:[SetupHrsPerMo]]+(t_Parts[[#This Row],[pv2015.02]]/t_Parts[[NetPPH]:[NetPPH]]),0)</f>
        <v>12.857435897435897</v>
      </c>
      <c r="CT25" s="39">
        <f>IF(AND(AN$3&gt;=VALUE(t_Parts[[SOP]:[SOP]]),AN$3&lt;=VALUE(t_Parts[[EOP]:[EOP]])), t_Parts[[SetupHrsPerMo]:[SetupHrsPerMo]]+(t_Parts[[#This Row],[pv2015.03]]/t_Parts[[NetPPH]:[NetPPH]]),0)</f>
        <v>15.071794871794868</v>
      </c>
      <c r="CU25" s="39">
        <f>IF(AND(AO$3&gt;=VALUE(t_Parts[[SOP]:[SOP]]),AO$3&lt;=VALUE(t_Parts[[EOP]:[EOP]])), t_Parts[[SetupHrsPerMo]:[SetupHrsPerMo]]+(t_Parts[[#This Row],[pv2015.04]]/t_Parts[[NetPPH]:[NetPPH]]),0)</f>
        <v>12.857435897435897</v>
      </c>
      <c r="CV25" s="39">
        <f>IF(AND(AP$3&gt;=VALUE(t_Parts[[SOP]:[SOP]]),AP$3&lt;=VALUE(t_Parts[[EOP]:[EOP]])), t_Parts[[SetupHrsPerMo]:[SetupHrsPerMo]]+(t_Parts[[#This Row],[pv2015.05]]/t_Parts[[NetPPH]:[NetPPH]]),0)</f>
        <v>12.857435897435897</v>
      </c>
      <c r="CW25" s="39">
        <f>IF(AND(AQ$3&gt;=VALUE(t_Parts[[SOP]:[SOP]]),AQ$3&lt;=VALUE(t_Parts[[EOP]:[EOP]])), t_Parts[[SetupHrsPerMo]:[SetupHrsPerMo]]+(t_Parts[[#This Row],[pv2015.06]]/t_Parts[[NetPPH]:[NetPPH]]),0)</f>
        <v>15.071794871794868</v>
      </c>
      <c r="CX25" s="39">
        <f>IF(AND(AR$3&gt;=VALUE(t_Parts[[SOP]:[SOP]]),AR$3&lt;=VALUE(t_Parts[[EOP]:[EOP]])), t_Parts[[SetupHrsPerMo]:[SetupHrsPerMo]]+(t_Parts[[#This Row],[pv2015.07]]/t_Parts[[NetPPH]:[NetPPH]]),0)</f>
        <v>12.857435897435897</v>
      </c>
      <c r="CY25" s="39">
        <f>IF(AND(AS$3&gt;=VALUE(t_Parts[[SOP]:[SOP]]),AS$3&lt;=VALUE(t_Parts[[EOP]:[EOP]])), t_Parts[[SetupHrsPerMo]:[SetupHrsPerMo]]+(t_Parts[[#This Row],[pv2015.08]]/t_Parts[[NetPPH]:[NetPPH]]),0)</f>
        <v>12.857435897435897</v>
      </c>
      <c r="CZ25" s="39">
        <f>IF(AND(AT$3&gt;=VALUE(t_Parts[[SOP]:[SOP]]),AT$3&lt;=VALUE(t_Parts[[EOP]:[EOP]])), t_Parts[[SetupHrsPerMo]:[SetupHrsPerMo]]+(t_Parts[[#This Row],[pv2015.09]]/t_Parts[[NetPPH]:[NetPPH]]),0)</f>
        <v>15.071794871794868</v>
      </c>
      <c r="DA25" s="39">
        <f>IF(AND(AU$3&gt;=VALUE(t_Parts[[SOP]:[SOP]]),AU$3&lt;=VALUE(t_Parts[[EOP]:[EOP]])), t_Parts[[SetupHrsPerMo]:[SetupHrsPerMo]]+(t_Parts[[#This Row],[pv2015.10]]/t_Parts[[NetPPH]:[NetPPH]]),0)</f>
        <v>12.857435897435897</v>
      </c>
      <c r="DB25" s="39">
        <f>IF(AND(AV$3&gt;=VALUE(t_Parts[[SOP]:[SOP]]),AV$3&lt;=VALUE(t_Parts[[EOP]:[EOP]])), t_Parts[[SetupHrsPerMo]:[SetupHrsPerMo]]+(t_Parts[[#This Row],[pv2015.11]]/t_Parts[[NetPPH]:[NetPPH]]),0)</f>
        <v>12.857435897435897</v>
      </c>
      <c r="DC25" s="39">
        <f>IF(AND(AW$3&gt;=VALUE(t_Parts[[SOP]:[SOP]]),AW$3&lt;=VALUE(t_Parts[[EOP]:[EOP]])), t_Parts[[SetupHrsPerMo]:[SetupHrsPerMo]]+(t_Parts[[#This Row],[pv2015.12]]/t_Parts[[NetPPH]:[NetPPH]]),0)</f>
        <v>15.071794871794868</v>
      </c>
      <c r="DD25" s="39">
        <f>SUM(t_Parts[[#This Row],[hp2015.01]:[hp2015.12]])</f>
        <v>163.14666666666665</v>
      </c>
      <c r="DE25" s="39">
        <f>IF(AND(AY$3&gt;=VALUE(t_Parts[[SOP]:[SOP]]),AY$3&lt;=VALUE(t_Parts[[EOP]:[EOP]])), t_Parts[[SetupHrsPerMo]:[SetupHrsPerMo]]+(t_Parts[[#This Row],[pv2016.01]]/t_Parts[[NetPPH]:[NetPPH]]),0)</f>
        <v>12.857435897435897</v>
      </c>
      <c r="DF25" s="39">
        <f>IF(AND(AZ$3&gt;=VALUE(t_Parts[[SOP]:[SOP]]),AZ$3&lt;=VALUE(t_Parts[[EOP]:[EOP]])), t_Parts[[SetupHrsPerMo]:[SetupHrsPerMo]]+(t_Parts[[#This Row],[pv2016.02]]/t_Parts[[NetPPH]:[NetPPH]]),0)</f>
        <v>12.857435897435897</v>
      </c>
      <c r="DG25" s="39">
        <f>IF(AND(BA$3&gt;=VALUE(t_Parts[[SOP]:[SOP]]),BA$3&lt;=VALUE(t_Parts[[EOP]:[EOP]])), t_Parts[[SetupHrsPerMo]:[SetupHrsPerMo]]+(t_Parts[[#This Row],[pv2016.03]]/t_Parts[[NetPPH]:[NetPPH]]),0)</f>
        <v>15.071794871794868</v>
      </c>
      <c r="DH25" s="39">
        <f>IF(AND(BB$3&gt;=VALUE(t_Parts[[SOP]:[SOP]]),BB$3&lt;=VALUE(t_Parts[[EOP]:[EOP]])), t_Parts[[SetupHrsPerMo]:[SetupHrsPerMo]]+(t_Parts[[#This Row],[pv2016.04]]/t_Parts[[NetPPH]:[NetPPH]]),0)</f>
        <v>12.857435897435897</v>
      </c>
      <c r="DI25" s="39">
        <f>IF(AND(BC$3&gt;=VALUE(t_Parts[[SOP]:[SOP]]),BC$3&lt;=VALUE(t_Parts[[EOP]:[EOP]])), t_Parts[[SetupHrsPerMo]:[SetupHrsPerMo]]+(t_Parts[[#This Row],[pv2016.05]]/t_Parts[[NetPPH]:[NetPPH]]),0)</f>
        <v>12.857435897435897</v>
      </c>
      <c r="DJ25" s="39">
        <f>IF(AND(BD$3&gt;=VALUE(t_Parts[[SOP]:[SOP]]),BD$3&lt;=VALUE(t_Parts[[EOP]:[EOP]])), t_Parts[[SetupHrsPerMo]:[SetupHrsPerMo]]+(t_Parts[[#This Row],[pv2016.06]]/t_Parts[[NetPPH]:[NetPPH]]),0)</f>
        <v>15.071794871794868</v>
      </c>
      <c r="DK25" s="39">
        <f>IF(AND(BE$3&gt;=VALUE(t_Parts[[SOP]:[SOP]]),BE$3&lt;=VALUE(t_Parts[[EOP]:[EOP]])), t_Parts[[SetupHrsPerMo]:[SetupHrsPerMo]]+(t_Parts[[#This Row],[pv2016.07]]/t_Parts[[NetPPH]:[NetPPH]]),0)</f>
        <v>12.857435897435897</v>
      </c>
      <c r="DL25" s="39">
        <f>IF(AND(BF$3&gt;=VALUE(t_Parts[[SOP]:[SOP]]),BF$3&lt;=VALUE(t_Parts[[EOP]:[EOP]])), t_Parts[[SetupHrsPerMo]:[SetupHrsPerMo]]+(t_Parts[[#This Row],[pv2016.08]]/t_Parts[[NetPPH]:[NetPPH]]),0)</f>
        <v>12.857435897435897</v>
      </c>
      <c r="DM25" s="39">
        <f>IF(AND(BG$3&gt;=VALUE(t_Parts[[SOP]:[SOP]]),BG$3&lt;=VALUE(t_Parts[[EOP]:[EOP]])), t_Parts[[SetupHrsPerMo]:[SetupHrsPerMo]]+(t_Parts[[#This Row],[pv2016.09]]/t_Parts[[NetPPH]:[NetPPH]]),0)</f>
        <v>15.071794871794868</v>
      </c>
      <c r="DN25" s="39">
        <f>IF(AND(BH$3&gt;=VALUE(t_Parts[[SOP]:[SOP]]),BH$3&lt;=VALUE(t_Parts[[EOP]:[EOP]])), t_Parts[[SetupHrsPerMo]:[SetupHrsPerMo]]+(t_Parts[[#This Row],[pv2016.10]]/t_Parts[[NetPPH]:[NetPPH]]),0)</f>
        <v>12.857435897435897</v>
      </c>
      <c r="DO25" s="39">
        <f>IF(AND(BI$3&gt;=VALUE(t_Parts[[SOP]:[SOP]]),BI$3&lt;=VALUE(t_Parts[[EOP]:[EOP]])), t_Parts[[SetupHrsPerMo]:[SetupHrsPerMo]]+(t_Parts[[#This Row],[pv2016.11]]/t_Parts[[NetPPH]:[NetPPH]]),0)</f>
        <v>12.857435897435897</v>
      </c>
      <c r="DP25" s="39">
        <f>IF(AND(BJ$3&gt;=VALUE(t_Parts[[SOP]:[SOP]]),BJ$3&lt;=VALUE(t_Parts[[EOP]:[EOP]])), t_Parts[[SetupHrsPerMo]:[SetupHrsPerMo]]+(t_Parts[[#This Row],[pv2016.12]]/t_Parts[[NetPPH]:[NetPPH]]),0)</f>
        <v>15.071794871794868</v>
      </c>
      <c r="DQ25" s="39">
        <f>SUM(t_Parts[[#This Row],[hp2016.01]:[hp2016.12]])</f>
        <v>163.14666666666665</v>
      </c>
      <c r="DR25" s="39">
        <f>IF(AND(BL$3&gt;=VALUE(t_Parts[[SOP]:[SOP]]),BL$3&lt;=VALUE(t_Parts[[EOP]:[EOP]])), 12*t_Parts[[SetupHrsPerMo]:[SetupHrsPerMo]]+(t_Parts[[#This Row],[pv2017]]/t_Parts[[NetPPH]:[NetPPH]]),0)</f>
        <v>163.14666666666665</v>
      </c>
      <c r="DS25" s="39">
        <f>IF(AND(BM$3&gt;=VALUE(t_Parts[[SOP]:[SOP]]),BM$3&lt;=VALUE(t_Parts[[EOP]:[EOP]])), 12*t_Parts[[SetupHrsPerMo]:[SetupHrsPerMo]]+(t_Parts[[#This Row],[pv2018]]/t_Parts[[NetPPH]:[NetPPH]]),0)</f>
        <v>0</v>
      </c>
      <c r="DT25" s="39">
        <f>IF(AND(BN$3&gt;=VALUE(t_Parts[[SOP]:[SOP]]),BN$3&lt;=VALUE(t_Parts[[EOP]:[EOP]])), 12*t_Parts[[SetupHrsPerMo]:[SetupHrsPerMo]]+(t_Parts[[#This Row],[pv2019]]/t_Parts[[NetPPH]:[NetPPH]]),0)</f>
        <v>0</v>
      </c>
      <c r="DU25" s="47">
        <f>t_Parts[[#This Row],[hp2015.01]]/t_Parts[[#This Row],[ha2015.01]]</f>
        <v>4.5919413919413919E-2</v>
      </c>
      <c r="DV25" s="47">
        <f>t_Parts[[#This Row],[hp2015.02]]/t_Parts[[#This Row],[ha2015.02]]</f>
        <v>4.5919413919413919E-2</v>
      </c>
      <c r="DW25" s="47">
        <f>t_Parts[[#This Row],[hp2015.03]]/t_Parts[[#This Row],[ha2015.03]]</f>
        <v>4.3062271062271049E-2</v>
      </c>
      <c r="DX25" s="47">
        <f>t_Parts[[#This Row],[hp2015.04]]/t_Parts[[#This Row],[ha2015.04]]</f>
        <v>4.5919413919413919E-2</v>
      </c>
      <c r="DY25" s="47">
        <f>t_Parts[[#This Row],[hp2015.05]]/t_Parts[[#This Row],[ha2015.05]]</f>
        <v>4.5919413919413919E-2</v>
      </c>
      <c r="DZ25" s="47">
        <f>t_Parts[[#This Row],[hp2015.06]]/t_Parts[[#This Row],[ha2015.06]]</f>
        <v>4.3062271062271049E-2</v>
      </c>
      <c r="EA25" s="47">
        <f>t_Parts[[#This Row],[hp2015.07]]/t_Parts[[#This Row],[ha2015.07]]</f>
        <v>4.5919413919413919E-2</v>
      </c>
      <c r="EB25" s="47">
        <f>t_Parts[[#This Row],[hp2015.08]]/t_Parts[[#This Row],[ha2015.08]]</f>
        <v>4.5919413919413919E-2</v>
      </c>
      <c r="EC25" s="47">
        <f>t_Parts[[#This Row],[hp2015.09]]/t_Parts[[#This Row],[ha2015.09]]</f>
        <v>4.3062271062271049E-2</v>
      </c>
      <c r="ED25" s="47">
        <f>t_Parts[[#This Row],[hp2015.10]]/t_Parts[[#This Row],[ha2015.10]]</f>
        <v>4.5919413919413919E-2</v>
      </c>
      <c r="EE25" s="47">
        <f>t_Parts[[#This Row],[hp2015.11]]/t_Parts[[#This Row],[ha2015.11]]</f>
        <v>4.5919413919413919E-2</v>
      </c>
      <c r="EF25" s="47">
        <f>t_Parts[[#This Row],[hp2015.12]]/t_Parts[[#This Row],[ha2015.12]]</f>
        <v>4.3062271062271049E-2</v>
      </c>
      <c r="EG25" s="47">
        <f>t_Parts[[#This Row],[hp2015.FY]]/t_Parts[[#This Row],[ha2015.FY]]</f>
        <v>4.4820512820512817E-2</v>
      </c>
      <c r="EH25" s="47">
        <f>t_Parts[[#This Row],[hp2016.01]]/t_Parts[[#This Row],[ha2016.01]]</f>
        <v>4.5919413919413919E-2</v>
      </c>
      <c r="EI25" s="47">
        <f>t_Parts[[#This Row],[hp2016.02]]/t_Parts[[#This Row],[ha2016.02]]</f>
        <v>4.5919413919413919E-2</v>
      </c>
      <c r="EJ25" s="47">
        <f>t_Parts[[#This Row],[hp2016.03]]/t_Parts[[#This Row],[ha2016.03]]</f>
        <v>4.3062271062271049E-2</v>
      </c>
      <c r="EK25" s="47">
        <f>t_Parts[[#This Row],[hp2016.04]]/t_Parts[[#This Row],[ha2016.04]]</f>
        <v>4.5919413919413919E-2</v>
      </c>
      <c r="EL25" s="47">
        <f>t_Parts[[#This Row],[hp2016.05]]/t_Parts[[#This Row],[ha2016.05]]</f>
        <v>4.5919413919413919E-2</v>
      </c>
      <c r="EM25" s="47">
        <f>t_Parts[[#This Row],[hp2016.06]]/t_Parts[[#This Row],[ha2016.06]]</f>
        <v>4.3062271062271049E-2</v>
      </c>
      <c r="EN25" s="47">
        <f>t_Parts[[#This Row],[hp2016.07]]/t_Parts[[#This Row],[ha2016.07]]</f>
        <v>4.5919413919413919E-2</v>
      </c>
      <c r="EO25" s="47">
        <f>t_Parts[[#This Row],[hp2016.08]]/t_Parts[[#This Row],[ha2016.08]]</f>
        <v>4.5919413919413919E-2</v>
      </c>
      <c r="EP25" s="47">
        <f>t_Parts[[#This Row],[hp2016.09]]/t_Parts[[#This Row],[ha2016.09]]</f>
        <v>4.3062271062271049E-2</v>
      </c>
      <c r="EQ25" s="47">
        <f>t_Parts[[#This Row],[hp2016.10]]/t_Parts[[#This Row],[ha2016.10]]</f>
        <v>4.5919413919413919E-2</v>
      </c>
      <c r="ER25" s="47">
        <f>t_Parts[[#This Row],[hp2016.11]]/t_Parts[[#This Row],[ha2016.11]]</f>
        <v>4.5919413919413919E-2</v>
      </c>
      <c r="ES25" s="47">
        <f>t_Parts[[#This Row],[hp2016.12]]/t_Parts[[#This Row],[ha2016.12]]</f>
        <v>4.3062271062271049E-2</v>
      </c>
      <c r="ET25" s="47">
        <f>t_Parts[[#This Row],[hp2016.FY]]/t_Parts[[#This Row],[ha2016.FY]]</f>
        <v>4.4820512820512817E-2</v>
      </c>
      <c r="EU25" s="47">
        <f>t_Parts[[#This Row],[hp2017]]/t_Parts[[#This Row],[ha2017]]</f>
        <v>4.4820512820512817E-2</v>
      </c>
      <c r="EV25" s="47">
        <f>t_Parts[[#This Row],[hp2018]]/t_Parts[[#This Row],[ha2018]]</f>
        <v>0</v>
      </c>
      <c r="EW25" s="47">
        <f>t_Parts[[#This Row],[hp2019]]/t_Parts[[#This Row],[hp2015.01]]</f>
        <v>0</v>
      </c>
      <c r="EX25" s="58">
        <f>(t_Parts[[#This Row],[ha2015.01]]-t_Parts[[#This Row],[hp2015.01]])*t_Parts[[NetPPH]:[NetPPH]]</f>
        <v>440785.23076923087</v>
      </c>
      <c r="EY25" s="58">
        <f>(t_Parts[[#This Row],[ha2015.02]]-t_Parts[[#This Row],[hp2015.02]])*t_Parts[[NetPPH]:[NetPPH]]</f>
        <v>440785.23076923087</v>
      </c>
      <c r="EZ25" s="58">
        <f>(t_Parts[[#This Row],[ha2015.03]]-t_Parts[[#This Row],[hp2015.03]])*t_Parts[[NetPPH]:[NetPPH]]</f>
        <v>552631.53846153861</v>
      </c>
      <c r="FA25" s="58">
        <f>(t_Parts[[#This Row],[ha2015.04]]-t_Parts[[#This Row],[hp2015.04]])*t_Parts[[NetPPH]:[NetPPH]]</f>
        <v>440785.23076923087</v>
      </c>
      <c r="FB25" s="58">
        <f>(t_Parts[[#This Row],[ha2015.05]]-t_Parts[[#This Row],[hp2015.05]])*t_Parts[[NetPPH]:[NetPPH]]</f>
        <v>440785.23076923087</v>
      </c>
      <c r="FC25" s="58">
        <f>(t_Parts[[#This Row],[ha2015.06]]-t_Parts[[#This Row],[hp2015.06]])*t_Parts[[NetPPH]:[NetPPH]]</f>
        <v>552631.53846153861</v>
      </c>
      <c r="FD25" s="58">
        <f>(t_Parts[[#This Row],[ha2015.07]]-t_Parts[[#This Row],[hp2015.07]])*t_Parts[[NetPPH]:[NetPPH]]</f>
        <v>440785.23076923087</v>
      </c>
      <c r="FE25" s="58">
        <f>(t_Parts[[#This Row],[ha2015.08]]-t_Parts[[#This Row],[hp2015.08]])*t_Parts[[NetPPH]:[NetPPH]]</f>
        <v>440785.23076923087</v>
      </c>
      <c r="FF25" s="58">
        <f>(t_Parts[[#This Row],[ha2015.09]]-t_Parts[[#This Row],[hp2015.09]])*t_Parts[[NetPPH]:[NetPPH]]</f>
        <v>552631.53846153861</v>
      </c>
      <c r="FG25" s="58">
        <f>(t_Parts[[#This Row],[ha2015.10]]-t_Parts[[#This Row],[hp2015.10]])*t_Parts[[NetPPH]:[NetPPH]]</f>
        <v>440785.23076923087</v>
      </c>
      <c r="FH25" s="58">
        <f>(t_Parts[[#This Row],[ha2015.11]]-t_Parts[[#This Row],[hp2015.11]])*t_Parts[[NetPPH]:[NetPPH]]</f>
        <v>440785.23076923087</v>
      </c>
      <c r="FI25" s="58">
        <f>(t_Parts[[#This Row],[ha2015.12]]-t_Parts[[#This Row],[hp2015.12]])*t_Parts[[NetPPH]:[NetPPH]]</f>
        <v>552631.53846153861</v>
      </c>
      <c r="FJ25" s="58">
        <f>(t_Parts[[#This Row],[ha2015.FY]]-t_Parts[[#This Row],[hp2015.FY]])*t_Parts[[NetPPH]:[NetPPH]]</f>
        <v>5736808.0000000009</v>
      </c>
      <c r="FK25" s="58">
        <f>(t_Parts[[#This Row],[ha2016.01]]-t_Parts[[#This Row],[hp2016.01]])*t_Parts[[NetPPH]:[NetPPH]]</f>
        <v>440785.23076923087</v>
      </c>
      <c r="FL25" s="58">
        <f>(t_Parts[[#This Row],[ha2016.02]]-t_Parts[[#This Row],[hp2016.02]])*t_Parts[[NetPPH]:[NetPPH]]</f>
        <v>440785.23076923087</v>
      </c>
      <c r="FM25" s="58">
        <f>(t_Parts[[#This Row],[ha2016.03]]-t_Parts[[#This Row],[hp2016.03]])*t_Parts[[NetPPH]:[NetPPH]]</f>
        <v>552631.53846153861</v>
      </c>
      <c r="FN25" s="58">
        <f>(t_Parts[[#This Row],[ha2016.04]]-t_Parts[[#This Row],[hp2016.04]])*t_Parts[[NetPPH]:[NetPPH]]</f>
        <v>440785.23076923087</v>
      </c>
      <c r="FO25" s="58">
        <f>(t_Parts[[#This Row],[ha2016.05]]-t_Parts[[#This Row],[hp2016.05]])*t_Parts[[NetPPH]:[NetPPH]]</f>
        <v>440785.23076923087</v>
      </c>
      <c r="FP25" s="58">
        <f>(t_Parts[[#This Row],[ha2016.06]]-t_Parts[[#This Row],[hp2016.06]])*t_Parts[[NetPPH]:[NetPPH]]</f>
        <v>552631.53846153861</v>
      </c>
      <c r="FQ25" s="58">
        <f>(t_Parts[[#This Row],[ha2016.07]]-t_Parts[[#This Row],[hp2016.07]])*t_Parts[[NetPPH]:[NetPPH]]</f>
        <v>440785.23076923087</v>
      </c>
      <c r="FR25" s="58">
        <f>(t_Parts[[#This Row],[ha2016.08]]-t_Parts[[#This Row],[hp2016.08]])*t_Parts[[NetPPH]:[NetPPH]]</f>
        <v>440785.23076923087</v>
      </c>
      <c r="FS25" s="58">
        <f>(t_Parts[[#This Row],[ha2016.09]]-t_Parts[[#This Row],[hp2016.09]])*t_Parts[[NetPPH]:[NetPPH]]</f>
        <v>552631.53846153861</v>
      </c>
      <c r="FT25" s="58">
        <f>(t_Parts[[#This Row],[ha2016.10]]-t_Parts[[#This Row],[hp2016.10]])*t_Parts[[NetPPH]:[NetPPH]]</f>
        <v>440785.23076923087</v>
      </c>
      <c r="FU25" s="58">
        <f>(t_Parts[[#This Row],[ha2016.11]]-t_Parts[[#This Row],[hp2016.11]])*t_Parts[[NetPPH]:[NetPPH]]</f>
        <v>440785.23076923087</v>
      </c>
      <c r="FV25" s="58">
        <f>(t_Parts[[#This Row],[ha2016.12]]-t_Parts[[#This Row],[hp2016.12]])*t_Parts[[NetPPH]:[NetPPH]]</f>
        <v>552631.53846153861</v>
      </c>
      <c r="FW25" s="58">
        <f>(t_Parts[[#This Row],[ha2016.FY]]-t_Parts[[#This Row],[hp2016.FY]])*t_Parts[[NetPPH]:[NetPPH]]</f>
        <v>5736808.0000000009</v>
      </c>
      <c r="FX25" s="58">
        <f>(t_Parts[[#This Row],[ha2017]]-t_Parts[[#This Row],[hp2017]])*t_Parts[[NetPPH]:[NetPPH]]</f>
        <v>5736808.0000000009</v>
      </c>
      <c r="FY25" s="58">
        <f>(t_Parts[[#This Row],[ha2018]]-t_Parts[[#This Row],[hp2018]])*t_Parts[[NetPPH]:[NetPPH]]</f>
        <v>6006000.0000000009</v>
      </c>
      <c r="FZ25" s="58">
        <f>(t_Parts[[#This Row],[ha2019]]-t_Parts[[#This Row],[hp2019]])*t_Parts[[NetPPH]:[NetPPH]]</f>
        <v>6006000.0000000009</v>
      </c>
    </row>
    <row r="26" spans="1:182" s="14" customFormat="1" x14ac:dyDescent="0.25">
      <c r="A26" s="74" t="s">
        <v>631</v>
      </c>
      <c r="B26" s="74"/>
      <c r="C26" s="74">
        <v>21013</v>
      </c>
      <c r="D26" s="75">
        <v>1</v>
      </c>
      <c r="E26" s="73">
        <v>3000</v>
      </c>
      <c r="F26" s="76">
        <v>1</v>
      </c>
      <c r="G26" s="77">
        <v>4</v>
      </c>
      <c r="H26" s="16">
        <v>2015.01</v>
      </c>
      <c r="I26" s="16" t="s">
        <v>81</v>
      </c>
      <c r="J26" s="73">
        <v>189992</v>
      </c>
      <c r="K26" s="73">
        <v>189992</v>
      </c>
      <c r="L26" s="73">
        <v>189992</v>
      </c>
      <c r="M26" s="73">
        <v>189992</v>
      </c>
      <c r="N26" s="73">
        <v>189992</v>
      </c>
      <c r="O26" s="78">
        <v>20</v>
      </c>
      <c r="P26" s="78">
        <v>25</v>
      </c>
      <c r="Q26" s="79">
        <v>21.29</v>
      </c>
      <c r="R26" s="79"/>
      <c r="S26" s="78">
        <v>67</v>
      </c>
      <c r="T26" s="80">
        <v>11.5</v>
      </c>
      <c r="U26" s="80" t="s">
        <v>121</v>
      </c>
      <c r="V26" s="81" t="s">
        <v>632</v>
      </c>
      <c r="W26" s="82">
        <v>0.19400000000000001</v>
      </c>
      <c r="X26" s="82" t="s">
        <v>608</v>
      </c>
      <c r="Y26" s="82"/>
      <c r="Z26" s="82"/>
      <c r="AA26" s="82"/>
      <c r="AB26" s="82"/>
      <c r="AC26" s="83" t="s">
        <v>667</v>
      </c>
      <c r="AD26" s="40" t="str">
        <f>VLOOKUP(t_Parts[[#This Row],[Press]],t_Presses[],Press!B$1,FALSE)</f>
        <v>Plainfield</v>
      </c>
      <c r="AE26" s="40" t="str">
        <f>VLOOKUP(t_Parts[[#This Row],[Press]],t_Presses[],Press!E$1,FALSE)</f>
        <v>0-299</v>
      </c>
      <c r="AF26" s="47">
        <f>VLOOKUP(t_Parts[[#This Row],[Plant]],t_Plants[],Plants!C$1,FALSE)</f>
        <v>0.55000000000000004</v>
      </c>
      <c r="AG26" s="47">
        <f>VLOOKUP(t_Parts[[#This Row],[Press]],t_Presses[],Press!F$1,FALSE)</f>
        <v>0</v>
      </c>
      <c r="AH26" s="84"/>
      <c r="AI26" s="47">
        <f>IF(ISBLANK(t_Parts[[#This Row],[PartOEE]])=FALSE,t_Parts[[#This Row],[PartOEE]], IF(t_Parts[[#This Row],[PressOEE]]&gt;0, t_Parts[[#This Row],[PressOEE]], t_Parts[[#This Row],[PlantOEE]] ))</f>
        <v>0.55000000000000004</v>
      </c>
      <c r="AJ26" s="70">
        <f>t_Parts[[#This Row],[SetupsPerMo]]*t_Parts[[#This Row],[SetupHrs]]</f>
        <v>4</v>
      </c>
      <c r="AK26" s="39">
        <f>(t_Parts[[#This Row],[PartsPerStroke]]*t_Parts[[#This Row],[StrokesPerHr]])*t_Parts[[#This Row],[UseOEE]]</f>
        <v>1650.0000000000002</v>
      </c>
      <c r="AL2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14614.76923076923</v>
      </c>
      <c r="AM2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14614.76923076923</v>
      </c>
      <c r="AN2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18268.461538461535</v>
      </c>
      <c r="AO2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14614.76923076923</v>
      </c>
      <c r="AP2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14614.76923076923</v>
      </c>
      <c r="AQ2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18268.461538461535</v>
      </c>
      <c r="AR2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14614.76923076923</v>
      </c>
      <c r="AS2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14614.76923076923</v>
      </c>
      <c r="AT2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18268.461538461535</v>
      </c>
      <c r="AU2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14614.76923076923</v>
      </c>
      <c r="AV2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14614.76923076923</v>
      </c>
      <c r="AW2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18268.461538461535</v>
      </c>
      <c r="AX26" s="39">
        <f>SUM(t_Parts[[#This Row],[pv2015.01]:[pv2015.12]])</f>
        <v>189991.99999999997</v>
      </c>
      <c r="AY2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14614.76923076923</v>
      </c>
      <c r="AZ2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14614.76923076923</v>
      </c>
      <c r="BA2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18268.461538461535</v>
      </c>
      <c r="BB2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14614.76923076923</v>
      </c>
      <c r="BC2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14614.76923076923</v>
      </c>
      <c r="BD2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18268.461538461535</v>
      </c>
      <c r="BE2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14614.76923076923</v>
      </c>
      <c r="BF2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14614.76923076923</v>
      </c>
      <c r="BG2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18268.461538461535</v>
      </c>
      <c r="BH2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14614.76923076923</v>
      </c>
      <c r="BI2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14614.76923076923</v>
      </c>
      <c r="BJ2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18268.461538461535</v>
      </c>
      <c r="BK26" s="39">
        <f>SUM(t_Parts[[#This Row],[pv2016.01]:[pv2016.12]])</f>
        <v>189991.99999999997</v>
      </c>
      <c r="BL26" s="39">
        <f>t_Parts[[#This Row],[2017vol]]</f>
        <v>189992</v>
      </c>
      <c r="BM26" s="39">
        <f>t_Parts[[#This Row],[2018vol]]</f>
        <v>189992</v>
      </c>
      <c r="BN26" s="39">
        <f>t_Parts[[#This Row],[2019vol]]</f>
        <v>189992</v>
      </c>
      <c r="BO26" s="40">
        <f>VLOOKUP(t_Parts[[Plant]:[Plant]],t_Plants[],Plants!CN$1,FALSE)</f>
        <v>280</v>
      </c>
      <c r="BP26" s="14">
        <f>VLOOKUP(t_Parts[[Plant]:[Plant]],t_Plants[],Plants!CO$1,FALSE)</f>
        <v>280</v>
      </c>
      <c r="BQ26" s="14">
        <f>VLOOKUP(t_Parts[[Plant]:[Plant]],t_Plants[],Plants!CP$1,FALSE)</f>
        <v>350</v>
      </c>
      <c r="BR26" s="14">
        <f>VLOOKUP(t_Parts[[Plant]:[Plant]],t_Plants[],Plants!CQ$1,FALSE)</f>
        <v>280</v>
      </c>
      <c r="BS26" s="14">
        <f>VLOOKUP(t_Parts[[Plant]:[Plant]],t_Plants[],Plants!CR$1,FALSE)</f>
        <v>280</v>
      </c>
      <c r="BT26" s="14">
        <f>VLOOKUP(t_Parts[[Plant]:[Plant]],t_Plants[],Plants!CS$1,FALSE)</f>
        <v>350</v>
      </c>
      <c r="BU26" s="14">
        <f>VLOOKUP(t_Parts[[Plant]:[Plant]],t_Plants[],Plants!CT$1,FALSE)</f>
        <v>280</v>
      </c>
      <c r="BV26" s="14">
        <f>VLOOKUP(t_Parts[[Plant]:[Plant]],t_Plants[],Plants!CU$1,FALSE)</f>
        <v>280</v>
      </c>
      <c r="BW26" s="14">
        <f>VLOOKUP(t_Parts[[Plant]:[Plant]],t_Plants[],Plants!CV$1,FALSE)</f>
        <v>350</v>
      </c>
      <c r="BX26" s="14">
        <f>VLOOKUP(t_Parts[[Plant]:[Plant]],t_Plants[],Plants!CW$1,FALSE)</f>
        <v>280</v>
      </c>
      <c r="BY26" s="14">
        <f>VLOOKUP(t_Parts[[Plant]:[Plant]],t_Plants[],Plants!CX$1,FALSE)</f>
        <v>280</v>
      </c>
      <c r="BZ26" s="14">
        <f>VLOOKUP(t_Parts[[Plant]:[Plant]],t_Plants[],Plants!CY$1,FALSE)</f>
        <v>350</v>
      </c>
      <c r="CA26" s="40">
        <f>SUM(t_Parts[[#This Row],[ha2015.01]:[ha2015.12]])</f>
        <v>3640</v>
      </c>
      <c r="CB26" s="14">
        <f>VLOOKUP(t_Parts[[Plant]:[Plant]],t_Plants[],Plants!DA$1,FALSE)</f>
        <v>280</v>
      </c>
      <c r="CC26" s="14">
        <f>VLOOKUP(t_Parts[[Plant]:[Plant]],t_Plants[],Plants!DB$1,FALSE)</f>
        <v>280</v>
      </c>
      <c r="CD26" s="14">
        <f>VLOOKUP(t_Parts[[Plant]:[Plant]],t_Plants[],Plants!DC$1,FALSE)</f>
        <v>350</v>
      </c>
      <c r="CE26" s="14">
        <f>VLOOKUP(t_Parts[[Plant]:[Plant]],t_Plants[],Plants!DD$1,FALSE)</f>
        <v>280</v>
      </c>
      <c r="CF26" s="14">
        <f>VLOOKUP(t_Parts[[Plant]:[Plant]],t_Plants[],Plants!DE$1,FALSE)</f>
        <v>280</v>
      </c>
      <c r="CG26" s="14">
        <f>VLOOKUP(t_Parts[[Plant]:[Plant]],t_Plants[],Plants!DF$1,FALSE)</f>
        <v>350</v>
      </c>
      <c r="CH26" s="14">
        <f>VLOOKUP(t_Parts[[Plant]:[Plant]],t_Plants[],Plants!DG$1,FALSE)</f>
        <v>280</v>
      </c>
      <c r="CI26" s="14">
        <f>VLOOKUP(t_Parts[[Plant]:[Plant]],t_Plants[],Plants!DH$1,FALSE)</f>
        <v>280</v>
      </c>
      <c r="CJ26" s="14">
        <f>VLOOKUP(t_Parts[[Plant]:[Plant]],t_Plants[],Plants!DI$1,FALSE)</f>
        <v>350</v>
      </c>
      <c r="CK26" s="14">
        <f>VLOOKUP(t_Parts[[Plant]:[Plant]],t_Plants[],Plants!DJ$1,FALSE)</f>
        <v>280</v>
      </c>
      <c r="CL26" s="14">
        <f>VLOOKUP(t_Parts[[Plant]:[Plant]],t_Plants[],Plants!DK$1,FALSE)</f>
        <v>280</v>
      </c>
      <c r="CM26" s="14">
        <f>VLOOKUP(t_Parts[[Plant]:[Plant]],t_Plants[],Plants!DL$1,FALSE)</f>
        <v>350</v>
      </c>
      <c r="CN26" s="14">
        <f>VLOOKUP(t_Parts[[Plant]:[Plant]],t_Plants[],Plants!DM$1,FALSE)</f>
        <v>3640</v>
      </c>
      <c r="CO26" s="14">
        <f>VLOOKUP(t_Parts[[Plant]:[Plant]],t_Plants[],Plants!DN$1,FALSE)</f>
        <v>3640</v>
      </c>
      <c r="CP26" s="14">
        <f>VLOOKUP(t_Parts[[Plant]:[Plant]],t_Plants[],Plants!DO$1,FALSE)</f>
        <v>3640</v>
      </c>
      <c r="CQ26" s="14">
        <f>VLOOKUP(t_Parts[[Plant]:[Plant]],t_Plants[],Plants!DP$1,FALSE)</f>
        <v>3640</v>
      </c>
      <c r="CR26" s="39">
        <f>IF(AND(AL$3&gt;=VALUE(t_Parts[[SOP]:[SOP]]),AL$3&lt;=VALUE(t_Parts[[EOP]:[EOP]])), t_Parts[[SetupHrsPerMo]:[SetupHrsPerMo]]+(t_Parts[[#This Row],[pv2015.01]]/t_Parts[[NetPPH]:[NetPPH]]),0)</f>
        <v>12.857435897435897</v>
      </c>
      <c r="CS26" s="39">
        <f>IF(AND(AM$3&gt;=VALUE(t_Parts[[SOP]:[SOP]]),AM$3&lt;=VALUE(t_Parts[[EOP]:[EOP]])), t_Parts[[SetupHrsPerMo]:[SetupHrsPerMo]]+(t_Parts[[#This Row],[pv2015.02]]/t_Parts[[NetPPH]:[NetPPH]]),0)</f>
        <v>12.857435897435897</v>
      </c>
      <c r="CT26" s="39">
        <f>IF(AND(AN$3&gt;=VALUE(t_Parts[[SOP]:[SOP]]),AN$3&lt;=VALUE(t_Parts[[EOP]:[EOP]])), t_Parts[[SetupHrsPerMo]:[SetupHrsPerMo]]+(t_Parts[[#This Row],[pv2015.03]]/t_Parts[[NetPPH]:[NetPPH]]),0)</f>
        <v>15.071794871794868</v>
      </c>
      <c r="CU26" s="39">
        <f>IF(AND(AO$3&gt;=VALUE(t_Parts[[SOP]:[SOP]]),AO$3&lt;=VALUE(t_Parts[[EOP]:[EOP]])), t_Parts[[SetupHrsPerMo]:[SetupHrsPerMo]]+(t_Parts[[#This Row],[pv2015.04]]/t_Parts[[NetPPH]:[NetPPH]]),0)</f>
        <v>12.857435897435897</v>
      </c>
      <c r="CV26" s="39">
        <f>IF(AND(AP$3&gt;=VALUE(t_Parts[[SOP]:[SOP]]),AP$3&lt;=VALUE(t_Parts[[EOP]:[EOP]])), t_Parts[[SetupHrsPerMo]:[SetupHrsPerMo]]+(t_Parts[[#This Row],[pv2015.05]]/t_Parts[[NetPPH]:[NetPPH]]),0)</f>
        <v>12.857435897435897</v>
      </c>
      <c r="CW26" s="39">
        <f>IF(AND(AQ$3&gt;=VALUE(t_Parts[[SOP]:[SOP]]),AQ$3&lt;=VALUE(t_Parts[[EOP]:[EOP]])), t_Parts[[SetupHrsPerMo]:[SetupHrsPerMo]]+(t_Parts[[#This Row],[pv2015.06]]/t_Parts[[NetPPH]:[NetPPH]]),0)</f>
        <v>15.071794871794868</v>
      </c>
      <c r="CX26" s="39">
        <f>IF(AND(AR$3&gt;=VALUE(t_Parts[[SOP]:[SOP]]),AR$3&lt;=VALUE(t_Parts[[EOP]:[EOP]])), t_Parts[[SetupHrsPerMo]:[SetupHrsPerMo]]+(t_Parts[[#This Row],[pv2015.07]]/t_Parts[[NetPPH]:[NetPPH]]),0)</f>
        <v>12.857435897435897</v>
      </c>
      <c r="CY26" s="39">
        <f>IF(AND(AS$3&gt;=VALUE(t_Parts[[SOP]:[SOP]]),AS$3&lt;=VALUE(t_Parts[[EOP]:[EOP]])), t_Parts[[SetupHrsPerMo]:[SetupHrsPerMo]]+(t_Parts[[#This Row],[pv2015.08]]/t_Parts[[NetPPH]:[NetPPH]]),0)</f>
        <v>12.857435897435897</v>
      </c>
      <c r="CZ26" s="39">
        <f>IF(AND(AT$3&gt;=VALUE(t_Parts[[SOP]:[SOP]]),AT$3&lt;=VALUE(t_Parts[[EOP]:[EOP]])), t_Parts[[SetupHrsPerMo]:[SetupHrsPerMo]]+(t_Parts[[#This Row],[pv2015.09]]/t_Parts[[NetPPH]:[NetPPH]]),0)</f>
        <v>15.071794871794868</v>
      </c>
      <c r="DA26" s="39">
        <f>IF(AND(AU$3&gt;=VALUE(t_Parts[[SOP]:[SOP]]),AU$3&lt;=VALUE(t_Parts[[EOP]:[EOP]])), t_Parts[[SetupHrsPerMo]:[SetupHrsPerMo]]+(t_Parts[[#This Row],[pv2015.10]]/t_Parts[[NetPPH]:[NetPPH]]),0)</f>
        <v>12.857435897435897</v>
      </c>
      <c r="DB26" s="39">
        <f>IF(AND(AV$3&gt;=VALUE(t_Parts[[SOP]:[SOP]]),AV$3&lt;=VALUE(t_Parts[[EOP]:[EOP]])), t_Parts[[SetupHrsPerMo]:[SetupHrsPerMo]]+(t_Parts[[#This Row],[pv2015.11]]/t_Parts[[NetPPH]:[NetPPH]]),0)</f>
        <v>12.857435897435897</v>
      </c>
      <c r="DC26" s="39">
        <f>IF(AND(AW$3&gt;=VALUE(t_Parts[[SOP]:[SOP]]),AW$3&lt;=VALUE(t_Parts[[EOP]:[EOP]])), t_Parts[[SetupHrsPerMo]:[SetupHrsPerMo]]+(t_Parts[[#This Row],[pv2015.12]]/t_Parts[[NetPPH]:[NetPPH]]),0)</f>
        <v>15.071794871794868</v>
      </c>
      <c r="DD26" s="39">
        <f>SUM(t_Parts[[#This Row],[hp2015.01]:[hp2015.12]])</f>
        <v>163.14666666666665</v>
      </c>
      <c r="DE26" s="39">
        <f>IF(AND(AY$3&gt;=VALUE(t_Parts[[SOP]:[SOP]]),AY$3&lt;=VALUE(t_Parts[[EOP]:[EOP]])), t_Parts[[SetupHrsPerMo]:[SetupHrsPerMo]]+(t_Parts[[#This Row],[pv2016.01]]/t_Parts[[NetPPH]:[NetPPH]]),0)</f>
        <v>12.857435897435897</v>
      </c>
      <c r="DF26" s="39">
        <f>IF(AND(AZ$3&gt;=VALUE(t_Parts[[SOP]:[SOP]]),AZ$3&lt;=VALUE(t_Parts[[EOP]:[EOP]])), t_Parts[[SetupHrsPerMo]:[SetupHrsPerMo]]+(t_Parts[[#This Row],[pv2016.02]]/t_Parts[[NetPPH]:[NetPPH]]),0)</f>
        <v>12.857435897435897</v>
      </c>
      <c r="DG26" s="39">
        <f>IF(AND(BA$3&gt;=VALUE(t_Parts[[SOP]:[SOP]]),BA$3&lt;=VALUE(t_Parts[[EOP]:[EOP]])), t_Parts[[SetupHrsPerMo]:[SetupHrsPerMo]]+(t_Parts[[#This Row],[pv2016.03]]/t_Parts[[NetPPH]:[NetPPH]]),0)</f>
        <v>15.071794871794868</v>
      </c>
      <c r="DH26" s="39">
        <f>IF(AND(BB$3&gt;=VALUE(t_Parts[[SOP]:[SOP]]),BB$3&lt;=VALUE(t_Parts[[EOP]:[EOP]])), t_Parts[[SetupHrsPerMo]:[SetupHrsPerMo]]+(t_Parts[[#This Row],[pv2016.04]]/t_Parts[[NetPPH]:[NetPPH]]),0)</f>
        <v>12.857435897435897</v>
      </c>
      <c r="DI26" s="39">
        <f>IF(AND(BC$3&gt;=VALUE(t_Parts[[SOP]:[SOP]]),BC$3&lt;=VALUE(t_Parts[[EOP]:[EOP]])), t_Parts[[SetupHrsPerMo]:[SetupHrsPerMo]]+(t_Parts[[#This Row],[pv2016.05]]/t_Parts[[NetPPH]:[NetPPH]]),0)</f>
        <v>12.857435897435897</v>
      </c>
      <c r="DJ26" s="39">
        <f>IF(AND(BD$3&gt;=VALUE(t_Parts[[SOP]:[SOP]]),BD$3&lt;=VALUE(t_Parts[[EOP]:[EOP]])), t_Parts[[SetupHrsPerMo]:[SetupHrsPerMo]]+(t_Parts[[#This Row],[pv2016.06]]/t_Parts[[NetPPH]:[NetPPH]]),0)</f>
        <v>15.071794871794868</v>
      </c>
      <c r="DK26" s="39">
        <f>IF(AND(BE$3&gt;=VALUE(t_Parts[[SOP]:[SOP]]),BE$3&lt;=VALUE(t_Parts[[EOP]:[EOP]])), t_Parts[[SetupHrsPerMo]:[SetupHrsPerMo]]+(t_Parts[[#This Row],[pv2016.07]]/t_Parts[[NetPPH]:[NetPPH]]),0)</f>
        <v>12.857435897435897</v>
      </c>
      <c r="DL26" s="39">
        <f>IF(AND(BF$3&gt;=VALUE(t_Parts[[SOP]:[SOP]]),BF$3&lt;=VALUE(t_Parts[[EOP]:[EOP]])), t_Parts[[SetupHrsPerMo]:[SetupHrsPerMo]]+(t_Parts[[#This Row],[pv2016.08]]/t_Parts[[NetPPH]:[NetPPH]]),0)</f>
        <v>12.857435897435897</v>
      </c>
      <c r="DM26" s="39">
        <f>IF(AND(BG$3&gt;=VALUE(t_Parts[[SOP]:[SOP]]),BG$3&lt;=VALUE(t_Parts[[EOP]:[EOP]])), t_Parts[[SetupHrsPerMo]:[SetupHrsPerMo]]+(t_Parts[[#This Row],[pv2016.09]]/t_Parts[[NetPPH]:[NetPPH]]),0)</f>
        <v>15.071794871794868</v>
      </c>
      <c r="DN26" s="39">
        <f>IF(AND(BH$3&gt;=VALUE(t_Parts[[SOP]:[SOP]]),BH$3&lt;=VALUE(t_Parts[[EOP]:[EOP]])), t_Parts[[SetupHrsPerMo]:[SetupHrsPerMo]]+(t_Parts[[#This Row],[pv2016.10]]/t_Parts[[NetPPH]:[NetPPH]]),0)</f>
        <v>12.857435897435897</v>
      </c>
      <c r="DO26" s="39">
        <f>IF(AND(BI$3&gt;=VALUE(t_Parts[[SOP]:[SOP]]),BI$3&lt;=VALUE(t_Parts[[EOP]:[EOP]])), t_Parts[[SetupHrsPerMo]:[SetupHrsPerMo]]+(t_Parts[[#This Row],[pv2016.11]]/t_Parts[[NetPPH]:[NetPPH]]),0)</f>
        <v>12.857435897435897</v>
      </c>
      <c r="DP26" s="39">
        <f>IF(AND(BJ$3&gt;=VALUE(t_Parts[[SOP]:[SOP]]),BJ$3&lt;=VALUE(t_Parts[[EOP]:[EOP]])), t_Parts[[SetupHrsPerMo]:[SetupHrsPerMo]]+(t_Parts[[#This Row],[pv2016.12]]/t_Parts[[NetPPH]:[NetPPH]]),0)</f>
        <v>15.071794871794868</v>
      </c>
      <c r="DQ26" s="39">
        <f>SUM(t_Parts[[#This Row],[hp2016.01]:[hp2016.12]])</f>
        <v>163.14666666666665</v>
      </c>
      <c r="DR26" s="39">
        <f>IF(AND(BL$3&gt;=VALUE(t_Parts[[SOP]:[SOP]]),BL$3&lt;=VALUE(t_Parts[[EOP]:[EOP]])), 12*t_Parts[[SetupHrsPerMo]:[SetupHrsPerMo]]+(t_Parts[[#This Row],[pv2017]]/t_Parts[[NetPPH]:[NetPPH]]),0)</f>
        <v>163.14666666666665</v>
      </c>
      <c r="DS26" s="39">
        <f>IF(AND(BM$3&gt;=VALUE(t_Parts[[SOP]:[SOP]]),BM$3&lt;=VALUE(t_Parts[[EOP]:[EOP]])), 12*t_Parts[[SetupHrsPerMo]:[SetupHrsPerMo]]+(t_Parts[[#This Row],[pv2018]]/t_Parts[[NetPPH]:[NetPPH]]),0)</f>
        <v>0</v>
      </c>
      <c r="DT26" s="39">
        <f>IF(AND(BN$3&gt;=VALUE(t_Parts[[SOP]:[SOP]]),BN$3&lt;=VALUE(t_Parts[[EOP]:[EOP]])), 12*t_Parts[[SetupHrsPerMo]:[SetupHrsPerMo]]+(t_Parts[[#This Row],[pv2019]]/t_Parts[[NetPPH]:[NetPPH]]),0)</f>
        <v>0</v>
      </c>
      <c r="DU26" s="47">
        <f>t_Parts[[#This Row],[hp2015.01]]/t_Parts[[#This Row],[ha2015.01]]</f>
        <v>4.5919413919413919E-2</v>
      </c>
      <c r="DV26" s="47">
        <f>t_Parts[[#This Row],[hp2015.02]]/t_Parts[[#This Row],[ha2015.02]]</f>
        <v>4.5919413919413919E-2</v>
      </c>
      <c r="DW26" s="47">
        <f>t_Parts[[#This Row],[hp2015.03]]/t_Parts[[#This Row],[ha2015.03]]</f>
        <v>4.3062271062271049E-2</v>
      </c>
      <c r="DX26" s="47">
        <f>t_Parts[[#This Row],[hp2015.04]]/t_Parts[[#This Row],[ha2015.04]]</f>
        <v>4.5919413919413919E-2</v>
      </c>
      <c r="DY26" s="47">
        <f>t_Parts[[#This Row],[hp2015.05]]/t_Parts[[#This Row],[ha2015.05]]</f>
        <v>4.5919413919413919E-2</v>
      </c>
      <c r="DZ26" s="47">
        <f>t_Parts[[#This Row],[hp2015.06]]/t_Parts[[#This Row],[ha2015.06]]</f>
        <v>4.3062271062271049E-2</v>
      </c>
      <c r="EA26" s="47">
        <f>t_Parts[[#This Row],[hp2015.07]]/t_Parts[[#This Row],[ha2015.07]]</f>
        <v>4.5919413919413919E-2</v>
      </c>
      <c r="EB26" s="47">
        <f>t_Parts[[#This Row],[hp2015.08]]/t_Parts[[#This Row],[ha2015.08]]</f>
        <v>4.5919413919413919E-2</v>
      </c>
      <c r="EC26" s="47">
        <f>t_Parts[[#This Row],[hp2015.09]]/t_Parts[[#This Row],[ha2015.09]]</f>
        <v>4.3062271062271049E-2</v>
      </c>
      <c r="ED26" s="47">
        <f>t_Parts[[#This Row],[hp2015.10]]/t_Parts[[#This Row],[ha2015.10]]</f>
        <v>4.5919413919413919E-2</v>
      </c>
      <c r="EE26" s="47">
        <f>t_Parts[[#This Row],[hp2015.11]]/t_Parts[[#This Row],[ha2015.11]]</f>
        <v>4.5919413919413919E-2</v>
      </c>
      <c r="EF26" s="47">
        <f>t_Parts[[#This Row],[hp2015.12]]/t_Parts[[#This Row],[ha2015.12]]</f>
        <v>4.3062271062271049E-2</v>
      </c>
      <c r="EG26" s="47">
        <f>t_Parts[[#This Row],[hp2015.FY]]/t_Parts[[#This Row],[ha2015.FY]]</f>
        <v>4.4820512820512817E-2</v>
      </c>
      <c r="EH26" s="47">
        <f>t_Parts[[#This Row],[hp2016.01]]/t_Parts[[#This Row],[ha2016.01]]</f>
        <v>4.5919413919413919E-2</v>
      </c>
      <c r="EI26" s="47">
        <f>t_Parts[[#This Row],[hp2016.02]]/t_Parts[[#This Row],[ha2016.02]]</f>
        <v>4.5919413919413919E-2</v>
      </c>
      <c r="EJ26" s="47">
        <f>t_Parts[[#This Row],[hp2016.03]]/t_Parts[[#This Row],[ha2016.03]]</f>
        <v>4.3062271062271049E-2</v>
      </c>
      <c r="EK26" s="47">
        <f>t_Parts[[#This Row],[hp2016.04]]/t_Parts[[#This Row],[ha2016.04]]</f>
        <v>4.5919413919413919E-2</v>
      </c>
      <c r="EL26" s="47">
        <f>t_Parts[[#This Row],[hp2016.05]]/t_Parts[[#This Row],[ha2016.05]]</f>
        <v>4.5919413919413919E-2</v>
      </c>
      <c r="EM26" s="47">
        <f>t_Parts[[#This Row],[hp2016.06]]/t_Parts[[#This Row],[ha2016.06]]</f>
        <v>4.3062271062271049E-2</v>
      </c>
      <c r="EN26" s="47">
        <f>t_Parts[[#This Row],[hp2016.07]]/t_Parts[[#This Row],[ha2016.07]]</f>
        <v>4.5919413919413919E-2</v>
      </c>
      <c r="EO26" s="47">
        <f>t_Parts[[#This Row],[hp2016.08]]/t_Parts[[#This Row],[ha2016.08]]</f>
        <v>4.5919413919413919E-2</v>
      </c>
      <c r="EP26" s="47">
        <f>t_Parts[[#This Row],[hp2016.09]]/t_Parts[[#This Row],[ha2016.09]]</f>
        <v>4.3062271062271049E-2</v>
      </c>
      <c r="EQ26" s="47">
        <f>t_Parts[[#This Row],[hp2016.10]]/t_Parts[[#This Row],[ha2016.10]]</f>
        <v>4.5919413919413919E-2</v>
      </c>
      <c r="ER26" s="47">
        <f>t_Parts[[#This Row],[hp2016.11]]/t_Parts[[#This Row],[ha2016.11]]</f>
        <v>4.5919413919413919E-2</v>
      </c>
      <c r="ES26" s="47">
        <f>t_Parts[[#This Row],[hp2016.12]]/t_Parts[[#This Row],[ha2016.12]]</f>
        <v>4.3062271062271049E-2</v>
      </c>
      <c r="ET26" s="47">
        <f>t_Parts[[#This Row],[hp2016.FY]]/t_Parts[[#This Row],[ha2016.FY]]</f>
        <v>4.4820512820512817E-2</v>
      </c>
      <c r="EU26" s="47">
        <f>t_Parts[[#This Row],[hp2017]]/t_Parts[[#This Row],[ha2017]]</f>
        <v>4.4820512820512817E-2</v>
      </c>
      <c r="EV26" s="47">
        <f>t_Parts[[#This Row],[hp2018]]/t_Parts[[#This Row],[ha2018]]</f>
        <v>0</v>
      </c>
      <c r="EW26" s="47">
        <f>t_Parts[[#This Row],[hp2019]]/t_Parts[[#This Row],[hp2015.01]]</f>
        <v>0</v>
      </c>
      <c r="EX26" s="58">
        <f>(t_Parts[[#This Row],[ha2015.01]]-t_Parts[[#This Row],[hp2015.01]])*t_Parts[[NetPPH]:[NetPPH]]</f>
        <v>440785.23076923087</v>
      </c>
      <c r="EY26" s="58">
        <f>(t_Parts[[#This Row],[ha2015.02]]-t_Parts[[#This Row],[hp2015.02]])*t_Parts[[NetPPH]:[NetPPH]]</f>
        <v>440785.23076923087</v>
      </c>
      <c r="EZ26" s="58">
        <f>(t_Parts[[#This Row],[ha2015.03]]-t_Parts[[#This Row],[hp2015.03]])*t_Parts[[NetPPH]:[NetPPH]]</f>
        <v>552631.53846153861</v>
      </c>
      <c r="FA26" s="58">
        <f>(t_Parts[[#This Row],[ha2015.04]]-t_Parts[[#This Row],[hp2015.04]])*t_Parts[[NetPPH]:[NetPPH]]</f>
        <v>440785.23076923087</v>
      </c>
      <c r="FB26" s="58">
        <f>(t_Parts[[#This Row],[ha2015.05]]-t_Parts[[#This Row],[hp2015.05]])*t_Parts[[NetPPH]:[NetPPH]]</f>
        <v>440785.23076923087</v>
      </c>
      <c r="FC26" s="58">
        <f>(t_Parts[[#This Row],[ha2015.06]]-t_Parts[[#This Row],[hp2015.06]])*t_Parts[[NetPPH]:[NetPPH]]</f>
        <v>552631.53846153861</v>
      </c>
      <c r="FD26" s="58">
        <f>(t_Parts[[#This Row],[ha2015.07]]-t_Parts[[#This Row],[hp2015.07]])*t_Parts[[NetPPH]:[NetPPH]]</f>
        <v>440785.23076923087</v>
      </c>
      <c r="FE26" s="58">
        <f>(t_Parts[[#This Row],[ha2015.08]]-t_Parts[[#This Row],[hp2015.08]])*t_Parts[[NetPPH]:[NetPPH]]</f>
        <v>440785.23076923087</v>
      </c>
      <c r="FF26" s="58">
        <f>(t_Parts[[#This Row],[ha2015.09]]-t_Parts[[#This Row],[hp2015.09]])*t_Parts[[NetPPH]:[NetPPH]]</f>
        <v>552631.53846153861</v>
      </c>
      <c r="FG26" s="58">
        <f>(t_Parts[[#This Row],[ha2015.10]]-t_Parts[[#This Row],[hp2015.10]])*t_Parts[[NetPPH]:[NetPPH]]</f>
        <v>440785.23076923087</v>
      </c>
      <c r="FH26" s="58">
        <f>(t_Parts[[#This Row],[ha2015.11]]-t_Parts[[#This Row],[hp2015.11]])*t_Parts[[NetPPH]:[NetPPH]]</f>
        <v>440785.23076923087</v>
      </c>
      <c r="FI26" s="58">
        <f>(t_Parts[[#This Row],[ha2015.12]]-t_Parts[[#This Row],[hp2015.12]])*t_Parts[[NetPPH]:[NetPPH]]</f>
        <v>552631.53846153861</v>
      </c>
      <c r="FJ26" s="58">
        <f>(t_Parts[[#This Row],[ha2015.FY]]-t_Parts[[#This Row],[hp2015.FY]])*t_Parts[[NetPPH]:[NetPPH]]</f>
        <v>5736808.0000000009</v>
      </c>
      <c r="FK26" s="58">
        <f>(t_Parts[[#This Row],[ha2016.01]]-t_Parts[[#This Row],[hp2016.01]])*t_Parts[[NetPPH]:[NetPPH]]</f>
        <v>440785.23076923087</v>
      </c>
      <c r="FL26" s="58">
        <f>(t_Parts[[#This Row],[ha2016.02]]-t_Parts[[#This Row],[hp2016.02]])*t_Parts[[NetPPH]:[NetPPH]]</f>
        <v>440785.23076923087</v>
      </c>
      <c r="FM26" s="58">
        <f>(t_Parts[[#This Row],[ha2016.03]]-t_Parts[[#This Row],[hp2016.03]])*t_Parts[[NetPPH]:[NetPPH]]</f>
        <v>552631.53846153861</v>
      </c>
      <c r="FN26" s="58">
        <f>(t_Parts[[#This Row],[ha2016.04]]-t_Parts[[#This Row],[hp2016.04]])*t_Parts[[NetPPH]:[NetPPH]]</f>
        <v>440785.23076923087</v>
      </c>
      <c r="FO26" s="58">
        <f>(t_Parts[[#This Row],[ha2016.05]]-t_Parts[[#This Row],[hp2016.05]])*t_Parts[[NetPPH]:[NetPPH]]</f>
        <v>440785.23076923087</v>
      </c>
      <c r="FP26" s="58">
        <f>(t_Parts[[#This Row],[ha2016.06]]-t_Parts[[#This Row],[hp2016.06]])*t_Parts[[NetPPH]:[NetPPH]]</f>
        <v>552631.53846153861</v>
      </c>
      <c r="FQ26" s="58">
        <f>(t_Parts[[#This Row],[ha2016.07]]-t_Parts[[#This Row],[hp2016.07]])*t_Parts[[NetPPH]:[NetPPH]]</f>
        <v>440785.23076923087</v>
      </c>
      <c r="FR26" s="58">
        <f>(t_Parts[[#This Row],[ha2016.08]]-t_Parts[[#This Row],[hp2016.08]])*t_Parts[[NetPPH]:[NetPPH]]</f>
        <v>440785.23076923087</v>
      </c>
      <c r="FS26" s="58">
        <f>(t_Parts[[#This Row],[ha2016.09]]-t_Parts[[#This Row],[hp2016.09]])*t_Parts[[NetPPH]:[NetPPH]]</f>
        <v>552631.53846153861</v>
      </c>
      <c r="FT26" s="58">
        <f>(t_Parts[[#This Row],[ha2016.10]]-t_Parts[[#This Row],[hp2016.10]])*t_Parts[[NetPPH]:[NetPPH]]</f>
        <v>440785.23076923087</v>
      </c>
      <c r="FU26" s="58">
        <f>(t_Parts[[#This Row],[ha2016.11]]-t_Parts[[#This Row],[hp2016.11]])*t_Parts[[NetPPH]:[NetPPH]]</f>
        <v>440785.23076923087</v>
      </c>
      <c r="FV26" s="58">
        <f>(t_Parts[[#This Row],[ha2016.12]]-t_Parts[[#This Row],[hp2016.12]])*t_Parts[[NetPPH]:[NetPPH]]</f>
        <v>552631.53846153861</v>
      </c>
      <c r="FW26" s="58">
        <f>(t_Parts[[#This Row],[ha2016.FY]]-t_Parts[[#This Row],[hp2016.FY]])*t_Parts[[NetPPH]:[NetPPH]]</f>
        <v>5736808.0000000009</v>
      </c>
      <c r="FX26" s="58">
        <f>(t_Parts[[#This Row],[ha2017]]-t_Parts[[#This Row],[hp2017]])*t_Parts[[NetPPH]:[NetPPH]]</f>
        <v>5736808.0000000009</v>
      </c>
      <c r="FY26" s="58">
        <f>(t_Parts[[#This Row],[ha2018]]-t_Parts[[#This Row],[hp2018]])*t_Parts[[NetPPH]:[NetPPH]]</f>
        <v>6006000.0000000009</v>
      </c>
      <c r="FZ26" s="58">
        <f>(t_Parts[[#This Row],[ha2019]]-t_Parts[[#This Row],[hp2019]])*t_Parts[[NetPPH]:[NetPPH]]</f>
        <v>6006000.0000000009</v>
      </c>
    </row>
    <row r="27" spans="1:182" s="14" customFormat="1" x14ac:dyDescent="0.25">
      <c r="A27" s="74" t="s">
        <v>636</v>
      </c>
      <c r="B27" s="74"/>
      <c r="C27" s="74">
        <v>21003</v>
      </c>
      <c r="D27" s="75">
        <v>1</v>
      </c>
      <c r="E27" s="73">
        <v>2100</v>
      </c>
      <c r="F27" s="76">
        <v>1</v>
      </c>
      <c r="G27" s="77">
        <v>4</v>
      </c>
      <c r="H27" s="16">
        <v>2015.01</v>
      </c>
      <c r="I27" s="16" t="s">
        <v>81</v>
      </c>
      <c r="J27" s="73">
        <v>199819</v>
      </c>
      <c r="K27" s="73">
        <v>199819</v>
      </c>
      <c r="L27" s="73">
        <v>199819</v>
      </c>
      <c r="M27" s="73">
        <v>199819</v>
      </c>
      <c r="N27" s="73">
        <v>199819</v>
      </c>
      <c r="O27" s="78">
        <v>36</v>
      </c>
      <c r="P27" s="78">
        <v>72</v>
      </c>
      <c r="Q27" s="79">
        <v>21.204000000000001</v>
      </c>
      <c r="R27" s="79"/>
      <c r="S27" s="78">
        <v>176</v>
      </c>
      <c r="T27" s="80">
        <v>12</v>
      </c>
      <c r="U27" s="80" t="s">
        <v>121</v>
      </c>
      <c r="V27" s="81"/>
      <c r="W27" s="82">
        <v>1.5840000000000001</v>
      </c>
      <c r="X27" s="82" t="s">
        <v>495</v>
      </c>
      <c r="Y27" s="82"/>
      <c r="Z27" s="82"/>
      <c r="AA27" s="82"/>
      <c r="AB27" s="82"/>
      <c r="AC27" s="83" t="s">
        <v>667</v>
      </c>
      <c r="AD27" s="40" t="str">
        <f>VLOOKUP(t_Parts[[#This Row],[Press]],t_Presses[],Press!B$1,FALSE)</f>
        <v>Plainfield</v>
      </c>
      <c r="AE27" s="40" t="str">
        <f>VLOOKUP(t_Parts[[#This Row],[Press]],t_Presses[],Press!E$1,FALSE)</f>
        <v>300-599</v>
      </c>
      <c r="AF27" s="47">
        <f>VLOOKUP(t_Parts[[#This Row],[Plant]],t_Plants[],Plants!C$1,FALSE)</f>
        <v>0.55000000000000004</v>
      </c>
      <c r="AG27" s="47">
        <f>VLOOKUP(t_Parts[[#This Row],[Press]],t_Presses[],Press!F$1,FALSE)</f>
        <v>0</v>
      </c>
      <c r="AH27" s="84"/>
      <c r="AI27" s="47">
        <f>IF(ISBLANK(t_Parts[[#This Row],[PartOEE]])=FALSE,t_Parts[[#This Row],[PartOEE]], IF(t_Parts[[#This Row],[PressOEE]]&gt;0, t_Parts[[#This Row],[PressOEE]], t_Parts[[#This Row],[PlantOEE]] ))</f>
        <v>0.55000000000000004</v>
      </c>
      <c r="AJ27" s="70">
        <f>t_Parts[[#This Row],[SetupsPerMo]]*t_Parts[[#This Row],[SetupHrs]]</f>
        <v>4</v>
      </c>
      <c r="AK27" s="39">
        <f>(t_Parts[[#This Row],[PartsPerStroke]]*t_Parts[[#This Row],[StrokesPerHr]])*t_Parts[[#This Row],[UseOEE]]</f>
        <v>1155</v>
      </c>
      <c r="AL2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15370.692307692309</v>
      </c>
      <c r="AM2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15370.692307692309</v>
      </c>
      <c r="AN2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19213.365384615383</v>
      </c>
      <c r="AO2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15370.692307692309</v>
      </c>
      <c r="AP2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15370.692307692309</v>
      </c>
      <c r="AQ2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19213.365384615383</v>
      </c>
      <c r="AR2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15370.692307692309</v>
      </c>
      <c r="AS2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15370.692307692309</v>
      </c>
      <c r="AT2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19213.365384615383</v>
      </c>
      <c r="AU2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15370.692307692309</v>
      </c>
      <c r="AV2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15370.692307692309</v>
      </c>
      <c r="AW2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19213.365384615383</v>
      </c>
      <c r="AX27" s="39">
        <f>SUM(t_Parts[[#This Row],[pv2015.01]:[pv2015.12]])</f>
        <v>199819</v>
      </c>
      <c r="AY2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15370.692307692309</v>
      </c>
      <c r="AZ2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15370.692307692309</v>
      </c>
      <c r="BA2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19213.365384615383</v>
      </c>
      <c r="BB2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15370.692307692309</v>
      </c>
      <c r="BC2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15370.692307692309</v>
      </c>
      <c r="BD2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19213.365384615383</v>
      </c>
      <c r="BE2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15370.692307692309</v>
      </c>
      <c r="BF2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15370.692307692309</v>
      </c>
      <c r="BG2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19213.365384615383</v>
      </c>
      <c r="BH2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15370.692307692309</v>
      </c>
      <c r="BI2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15370.692307692309</v>
      </c>
      <c r="BJ2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19213.365384615383</v>
      </c>
      <c r="BK27" s="39">
        <f>SUM(t_Parts[[#This Row],[pv2016.01]:[pv2016.12]])</f>
        <v>199819</v>
      </c>
      <c r="BL27" s="39">
        <f>t_Parts[[#This Row],[2017vol]]</f>
        <v>199819</v>
      </c>
      <c r="BM27" s="39">
        <f>t_Parts[[#This Row],[2018vol]]</f>
        <v>199819</v>
      </c>
      <c r="BN27" s="39">
        <f>t_Parts[[#This Row],[2019vol]]</f>
        <v>199819</v>
      </c>
      <c r="BO27" s="40">
        <f>VLOOKUP(t_Parts[[Plant]:[Plant]],t_Plants[],Plants!CN$1,FALSE)</f>
        <v>280</v>
      </c>
      <c r="BP27" s="14">
        <f>VLOOKUP(t_Parts[[Plant]:[Plant]],t_Plants[],Plants!CO$1,FALSE)</f>
        <v>280</v>
      </c>
      <c r="BQ27" s="14">
        <f>VLOOKUP(t_Parts[[Plant]:[Plant]],t_Plants[],Plants!CP$1,FALSE)</f>
        <v>350</v>
      </c>
      <c r="BR27" s="14">
        <f>VLOOKUP(t_Parts[[Plant]:[Plant]],t_Plants[],Plants!CQ$1,FALSE)</f>
        <v>280</v>
      </c>
      <c r="BS27" s="14">
        <f>VLOOKUP(t_Parts[[Plant]:[Plant]],t_Plants[],Plants!CR$1,FALSE)</f>
        <v>280</v>
      </c>
      <c r="BT27" s="14">
        <f>VLOOKUP(t_Parts[[Plant]:[Plant]],t_Plants[],Plants!CS$1,FALSE)</f>
        <v>350</v>
      </c>
      <c r="BU27" s="14">
        <f>VLOOKUP(t_Parts[[Plant]:[Plant]],t_Plants[],Plants!CT$1,FALSE)</f>
        <v>280</v>
      </c>
      <c r="BV27" s="14">
        <f>VLOOKUP(t_Parts[[Plant]:[Plant]],t_Plants[],Plants!CU$1,FALSE)</f>
        <v>280</v>
      </c>
      <c r="BW27" s="14">
        <f>VLOOKUP(t_Parts[[Plant]:[Plant]],t_Plants[],Plants!CV$1,FALSE)</f>
        <v>350</v>
      </c>
      <c r="BX27" s="14">
        <f>VLOOKUP(t_Parts[[Plant]:[Plant]],t_Plants[],Plants!CW$1,FALSE)</f>
        <v>280</v>
      </c>
      <c r="BY27" s="14">
        <f>VLOOKUP(t_Parts[[Plant]:[Plant]],t_Plants[],Plants!CX$1,FALSE)</f>
        <v>280</v>
      </c>
      <c r="BZ27" s="14">
        <f>VLOOKUP(t_Parts[[Plant]:[Plant]],t_Plants[],Plants!CY$1,FALSE)</f>
        <v>350</v>
      </c>
      <c r="CA27" s="40">
        <f>SUM(t_Parts[[#This Row],[ha2015.01]:[ha2015.12]])</f>
        <v>3640</v>
      </c>
      <c r="CB27" s="14">
        <f>VLOOKUP(t_Parts[[Plant]:[Plant]],t_Plants[],Plants!DA$1,FALSE)</f>
        <v>280</v>
      </c>
      <c r="CC27" s="14">
        <f>VLOOKUP(t_Parts[[Plant]:[Plant]],t_Plants[],Plants!DB$1,FALSE)</f>
        <v>280</v>
      </c>
      <c r="CD27" s="14">
        <f>VLOOKUP(t_Parts[[Plant]:[Plant]],t_Plants[],Plants!DC$1,FALSE)</f>
        <v>350</v>
      </c>
      <c r="CE27" s="14">
        <f>VLOOKUP(t_Parts[[Plant]:[Plant]],t_Plants[],Plants!DD$1,FALSE)</f>
        <v>280</v>
      </c>
      <c r="CF27" s="14">
        <f>VLOOKUP(t_Parts[[Plant]:[Plant]],t_Plants[],Plants!DE$1,FALSE)</f>
        <v>280</v>
      </c>
      <c r="CG27" s="14">
        <f>VLOOKUP(t_Parts[[Plant]:[Plant]],t_Plants[],Plants!DF$1,FALSE)</f>
        <v>350</v>
      </c>
      <c r="CH27" s="14">
        <f>VLOOKUP(t_Parts[[Plant]:[Plant]],t_Plants[],Plants!DG$1,FALSE)</f>
        <v>280</v>
      </c>
      <c r="CI27" s="14">
        <f>VLOOKUP(t_Parts[[Plant]:[Plant]],t_Plants[],Plants!DH$1,FALSE)</f>
        <v>280</v>
      </c>
      <c r="CJ27" s="14">
        <f>VLOOKUP(t_Parts[[Plant]:[Plant]],t_Plants[],Plants!DI$1,FALSE)</f>
        <v>350</v>
      </c>
      <c r="CK27" s="14">
        <f>VLOOKUP(t_Parts[[Plant]:[Plant]],t_Plants[],Plants!DJ$1,FALSE)</f>
        <v>280</v>
      </c>
      <c r="CL27" s="14">
        <f>VLOOKUP(t_Parts[[Plant]:[Plant]],t_Plants[],Plants!DK$1,FALSE)</f>
        <v>280</v>
      </c>
      <c r="CM27" s="14">
        <f>VLOOKUP(t_Parts[[Plant]:[Plant]],t_Plants[],Plants!DL$1,FALSE)</f>
        <v>350</v>
      </c>
      <c r="CN27" s="14">
        <f>VLOOKUP(t_Parts[[Plant]:[Plant]],t_Plants[],Plants!DM$1,FALSE)</f>
        <v>3640</v>
      </c>
      <c r="CO27" s="14">
        <f>VLOOKUP(t_Parts[[Plant]:[Plant]],t_Plants[],Plants!DN$1,FALSE)</f>
        <v>3640</v>
      </c>
      <c r="CP27" s="14">
        <f>VLOOKUP(t_Parts[[Plant]:[Plant]],t_Plants[],Plants!DO$1,FALSE)</f>
        <v>3640</v>
      </c>
      <c r="CQ27" s="14">
        <f>VLOOKUP(t_Parts[[Plant]:[Plant]],t_Plants[],Plants!DP$1,FALSE)</f>
        <v>3640</v>
      </c>
      <c r="CR27" s="39">
        <f>IF(AND(AL$3&gt;=VALUE(t_Parts[[SOP]:[SOP]]),AL$3&lt;=VALUE(t_Parts[[EOP]:[EOP]])), t_Parts[[SetupHrsPerMo]:[SetupHrsPerMo]]+(t_Parts[[#This Row],[pv2015.01]]/t_Parts[[NetPPH]:[NetPPH]]),0)</f>
        <v>17.307958707958708</v>
      </c>
      <c r="CS27" s="39">
        <f>IF(AND(AM$3&gt;=VALUE(t_Parts[[SOP]:[SOP]]),AM$3&lt;=VALUE(t_Parts[[EOP]:[EOP]])), t_Parts[[SetupHrsPerMo]:[SetupHrsPerMo]]+(t_Parts[[#This Row],[pv2015.02]]/t_Parts[[NetPPH]:[NetPPH]]),0)</f>
        <v>17.307958707958708</v>
      </c>
      <c r="CT27" s="39">
        <f>IF(AND(AN$3&gt;=VALUE(t_Parts[[SOP]:[SOP]]),AN$3&lt;=VALUE(t_Parts[[EOP]:[EOP]])), t_Parts[[SetupHrsPerMo]:[SetupHrsPerMo]]+(t_Parts[[#This Row],[pv2015.03]]/t_Parts[[NetPPH]:[NetPPH]]),0)</f>
        <v>20.634948384948384</v>
      </c>
      <c r="CU27" s="39">
        <f>IF(AND(AO$3&gt;=VALUE(t_Parts[[SOP]:[SOP]]),AO$3&lt;=VALUE(t_Parts[[EOP]:[EOP]])), t_Parts[[SetupHrsPerMo]:[SetupHrsPerMo]]+(t_Parts[[#This Row],[pv2015.04]]/t_Parts[[NetPPH]:[NetPPH]]),0)</f>
        <v>17.307958707958708</v>
      </c>
      <c r="CV27" s="39">
        <f>IF(AND(AP$3&gt;=VALUE(t_Parts[[SOP]:[SOP]]),AP$3&lt;=VALUE(t_Parts[[EOP]:[EOP]])), t_Parts[[SetupHrsPerMo]:[SetupHrsPerMo]]+(t_Parts[[#This Row],[pv2015.05]]/t_Parts[[NetPPH]:[NetPPH]]),0)</f>
        <v>17.307958707958708</v>
      </c>
      <c r="CW27" s="39">
        <f>IF(AND(AQ$3&gt;=VALUE(t_Parts[[SOP]:[SOP]]),AQ$3&lt;=VALUE(t_Parts[[EOP]:[EOP]])), t_Parts[[SetupHrsPerMo]:[SetupHrsPerMo]]+(t_Parts[[#This Row],[pv2015.06]]/t_Parts[[NetPPH]:[NetPPH]]),0)</f>
        <v>20.634948384948384</v>
      </c>
      <c r="CX27" s="39">
        <f>IF(AND(AR$3&gt;=VALUE(t_Parts[[SOP]:[SOP]]),AR$3&lt;=VALUE(t_Parts[[EOP]:[EOP]])), t_Parts[[SetupHrsPerMo]:[SetupHrsPerMo]]+(t_Parts[[#This Row],[pv2015.07]]/t_Parts[[NetPPH]:[NetPPH]]),0)</f>
        <v>17.307958707958708</v>
      </c>
      <c r="CY27" s="39">
        <f>IF(AND(AS$3&gt;=VALUE(t_Parts[[SOP]:[SOP]]),AS$3&lt;=VALUE(t_Parts[[EOP]:[EOP]])), t_Parts[[SetupHrsPerMo]:[SetupHrsPerMo]]+(t_Parts[[#This Row],[pv2015.08]]/t_Parts[[NetPPH]:[NetPPH]]),0)</f>
        <v>17.307958707958708</v>
      </c>
      <c r="CZ27" s="39">
        <f>IF(AND(AT$3&gt;=VALUE(t_Parts[[SOP]:[SOP]]),AT$3&lt;=VALUE(t_Parts[[EOP]:[EOP]])), t_Parts[[SetupHrsPerMo]:[SetupHrsPerMo]]+(t_Parts[[#This Row],[pv2015.09]]/t_Parts[[NetPPH]:[NetPPH]]),0)</f>
        <v>20.634948384948384</v>
      </c>
      <c r="DA27" s="39">
        <f>IF(AND(AU$3&gt;=VALUE(t_Parts[[SOP]:[SOP]]),AU$3&lt;=VALUE(t_Parts[[EOP]:[EOP]])), t_Parts[[SetupHrsPerMo]:[SetupHrsPerMo]]+(t_Parts[[#This Row],[pv2015.10]]/t_Parts[[NetPPH]:[NetPPH]]),0)</f>
        <v>17.307958707958708</v>
      </c>
      <c r="DB27" s="39">
        <f>IF(AND(AV$3&gt;=VALUE(t_Parts[[SOP]:[SOP]]),AV$3&lt;=VALUE(t_Parts[[EOP]:[EOP]])), t_Parts[[SetupHrsPerMo]:[SetupHrsPerMo]]+(t_Parts[[#This Row],[pv2015.11]]/t_Parts[[NetPPH]:[NetPPH]]),0)</f>
        <v>17.307958707958708</v>
      </c>
      <c r="DC27" s="39">
        <f>IF(AND(AW$3&gt;=VALUE(t_Parts[[SOP]:[SOP]]),AW$3&lt;=VALUE(t_Parts[[EOP]:[EOP]])), t_Parts[[SetupHrsPerMo]:[SetupHrsPerMo]]+(t_Parts[[#This Row],[pv2015.12]]/t_Parts[[NetPPH]:[NetPPH]]),0)</f>
        <v>20.634948384948384</v>
      </c>
      <c r="DD27" s="39">
        <f>SUM(t_Parts[[#This Row],[hp2015.01]:[hp2015.12]])</f>
        <v>221.00346320346318</v>
      </c>
      <c r="DE27" s="39">
        <f>IF(AND(AY$3&gt;=VALUE(t_Parts[[SOP]:[SOP]]),AY$3&lt;=VALUE(t_Parts[[EOP]:[EOP]])), t_Parts[[SetupHrsPerMo]:[SetupHrsPerMo]]+(t_Parts[[#This Row],[pv2016.01]]/t_Parts[[NetPPH]:[NetPPH]]),0)</f>
        <v>17.307958707958708</v>
      </c>
      <c r="DF27" s="39">
        <f>IF(AND(AZ$3&gt;=VALUE(t_Parts[[SOP]:[SOP]]),AZ$3&lt;=VALUE(t_Parts[[EOP]:[EOP]])), t_Parts[[SetupHrsPerMo]:[SetupHrsPerMo]]+(t_Parts[[#This Row],[pv2016.02]]/t_Parts[[NetPPH]:[NetPPH]]),0)</f>
        <v>17.307958707958708</v>
      </c>
      <c r="DG27" s="39">
        <f>IF(AND(BA$3&gt;=VALUE(t_Parts[[SOP]:[SOP]]),BA$3&lt;=VALUE(t_Parts[[EOP]:[EOP]])), t_Parts[[SetupHrsPerMo]:[SetupHrsPerMo]]+(t_Parts[[#This Row],[pv2016.03]]/t_Parts[[NetPPH]:[NetPPH]]),0)</f>
        <v>20.634948384948384</v>
      </c>
      <c r="DH27" s="39">
        <f>IF(AND(BB$3&gt;=VALUE(t_Parts[[SOP]:[SOP]]),BB$3&lt;=VALUE(t_Parts[[EOP]:[EOP]])), t_Parts[[SetupHrsPerMo]:[SetupHrsPerMo]]+(t_Parts[[#This Row],[pv2016.04]]/t_Parts[[NetPPH]:[NetPPH]]),0)</f>
        <v>17.307958707958708</v>
      </c>
      <c r="DI27" s="39">
        <f>IF(AND(BC$3&gt;=VALUE(t_Parts[[SOP]:[SOP]]),BC$3&lt;=VALUE(t_Parts[[EOP]:[EOP]])), t_Parts[[SetupHrsPerMo]:[SetupHrsPerMo]]+(t_Parts[[#This Row],[pv2016.05]]/t_Parts[[NetPPH]:[NetPPH]]),0)</f>
        <v>17.307958707958708</v>
      </c>
      <c r="DJ27" s="39">
        <f>IF(AND(BD$3&gt;=VALUE(t_Parts[[SOP]:[SOP]]),BD$3&lt;=VALUE(t_Parts[[EOP]:[EOP]])), t_Parts[[SetupHrsPerMo]:[SetupHrsPerMo]]+(t_Parts[[#This Row],[pv2016.06]]/t_Parts[[NetPPH]:[NetPPH]]),0)</f>
        <v>20.634948384948384</v>
      </c>
      <c r="DK27" s="39">
        <f>IF(AND(BE$3&gt;=VALUE(t_Parts[[SOP]:[SOP]]),BE$3&lt;=VALUE(t_Parts[[EOP]:[EOP]])), t_Parts[[SetupHrsPerMo]:[SetupHrsPerMo]]+(t_Parts[[#This Row],[pv2016.07]]/t_Parts[[NetPPH]:[NetPPH]]),0)</f>
        <v>17.307958707958708</v>
      </c>
      <c r="DL27" s="39">
        <f>IF(AND(BF$3&gt;=VALUE(t_Parts[[SOP]:[SOP]]),BF$3&lt;=VALUE(t_Parts[[EOP]:[EOP]])), t_Parts[[SetupHrsPerMo]:[SetupHrsPerMo]]+(t_Parts[[#This Row],[pv2016.08]]/t_Parts[[NetPPH]:[NetPPH]]),0)</f>
        <v>17.307958707958708</v>
      </c>
      <c r="DM27" s="39">
        <f>IF(AND(BG$3&gt;=VALUE(t_Parts[[SOP]:[SOP]]),BG$3&lt;=VALUE(t_Parts[[EOP]:[EOP]])), t_Parts[[SetupHrsPerMo]:[SetupHrsPerMo]]+(t_Parts[[#This Row],[pv2016.09]]/t_Parts[[NetPPH]:[NetPPH]]),0)</f>
        <v>20.634948384948384</v>
      </c>
      <c r="DN27" s="39">
        <f>IF(AND(BH$3&gt;=VALUE(t_Parts[[SOP]:[SOP]]),BH$3&lt;=VALUE(t_Parts[[EOP]:[EOP]])), t_Parts[[SetupHrsPerMo]:[SetupHrsPerMo]]+(t_Parts[[#This Row],[pv2016.10]]/t_Parts[[NetPPH]:[NetPPH]]),0)</f>
        <v>17.307958707958708</v>
      </c>
      <c r="DO27" s="39">
        <f>IF(AND(BI$3&gt;=VALUE(t_Parts[[SOP]:[SOP]]),BI$3&lt;=VALUE(t_Parts[[EOP]:[EOP]])), t_Parts[[SetupHrsPerMo]:[SetupHrsPerMo]]+(t_Parts[[#This Row],[pv2016.11]]/t_Parts[[NetPPH]:[NetPPH]]),0)</f>
        <v>17.307958707958708</v>
      </c>
      <c r="DP27" s="39">
        <f>IF(AND(BJ$3&gt;=VALUE(t_Parts[[SOP]:[SOP]]),BJ$3&lt;=VALUE(t_Parts[[EOP]:[EOP]])), t_Parts[[SetupHrsPerMo]:[SetupHrsPerMo]]+(t_Parts[[#This Row],[pv2016.12]]/t_Parts[[NetPPH]:[NetPPH]]),0)</f>
        <v>20.634948384948384</v>
      </c>
      <c r="DQ27" s="39">
        <f>SUM(t_Parts[[#This Row],[hp2016.01]:[hp2016.12]])</f>
        <v>221.00346320346318</v>
      </c>
      <c r="DR27" s="39">
        <f>IF(AND(BL$3&gt;=VALUE(t_Parts[[SOP]:[SOP]]),BL$3&lt;=VALUE(t_Parts[[EOP]:[EOP]])), 12*t_Parts[[SetupHrsPerMo]:[SetupHrsPerMo]]+(t_Parts[[#This Row],[pv2017]]/t_Parts[[NetPPH]:[NetPPH]]),0)</f>
        <v>221.00346320346321</v>
      </c>
      <c r="DS27" s="39">
        <f>IF(AND(BM$3&gt;=VALUE(t_Parts[[SOP]:[SOP]]),BM$3&lt;=VALUE(t_Parts[[EOP]:[EOP]])), 12*t_Parts[[SetupHrsPerMo]:[SetupHrsPerMo]]+(t_Parts[[#This Row],[pv2018]]/t_Parts[[NetPPH]:[NetPPH]]),0)</f>
        <v>0</v>
      </c>
      <c r="DT27" s="39">
        <f>IF(AND(BN$3&gt;=VALUE(t_Parts[[SOP]:[SOP]]),BN$3&lt;=VALUE(t_Parts[[EOP]:[EOP]])), 12*t_Parts[[SetupHrsPerMo]:[SetupHrsPerMo]]+(t_Parts[[#This Row],[pv2019]]/t_Parts[[NetPPH]:[NetPPH]]),0)</f>
        <v>0</v>
      </c>
      <c r="DU27" s="47">
        <f>t_Parts[[#This Row],[hp2015.01]]/t_Parts[[#This Row],[ha2015.01]]</f>
        <v>6.1814138242709669E-2</v>
      </c>
      <c r="DV27" s="47">
        <f>t_Parts[[#This Row],[hp2015.02]]/t_Parts[[#This Row],[ha2015.02]]</f>
        <v>6.1814138242709669E-2</v>
      </c>
      <c r="DW27" s="47">
        <f>t_Parts[[#This Row],[hp2015.03]]/t_Parts[[#This Row],[ha2015.03]]</f>
        <v>5.8956995385566813E-2</v>
      </c>
      <c r="DX27" s="47">
        <f>t_Parts[[#This Row],[hp2015.04]]/t_Parts[[#This Row],[ha2015.04]]</f>
        <v>6.1814138242709669E-2</v>
      </c>
      <c r="DY27" s="47">
        <f>t_Parts[[#This Row],[hp2015.05]]/t_Parts[[#This Row],[ha2015.05]]</f>
        <v>6.1814138242709669E-2</v>
      </c>
      <c r="DZ27" s="47">
        <f>t_Parts[[#This Row],[hp2015.06]]/t_Parts[[#This Row],[ha2015.06]]</f>
        <v>5.8956995385566813E-2</v>
      </c>
      <c r="EA27" s="47">
        <f>t_Parts[[#This Row],[hp2015.07]]/t_Parts[[#This Row],[ha2015.07]]</f>
        <v>6.1814138242709669E-2</v>
      </c>
      <c r="EB27" s="47">
        <f>t_Parts[[#This Row],[hp2015.08]]/t_Parts[[#This Row],[ha2015.08]]</f>
        <v>6.1814138242709669E-2</v>
      </c>
      <c r="EC27" s="47">
        <f>t_Parts[[#This Row],[hp2015.09]]/t_Parts[[#This Row],[ha2015.09]]</f>
        <v>5.8956995385566813E-2</v>
      </c>
      <c r="ED27" s="47">
        <f>t_Parts[[#This Row],[hp2015.10]]/t_Parts[[#This Row],[ha2015.10]]</f>
        <v>6.1814138242709669E-2</v>
      </c>
      <c r="EE27" s="47">
        <f>t_Parts[[#This Row],[hp2015.11]]/t_Parts[[#This Row],[ha2015.11]]</f>
        <v>6.1814138242709669E-2</v>
      </c>
      <c r="EF27" s="47">
        <f>t_Parts[[#This Row],[hp2015.12]]/t_Parts[[#This Row],[ha2015.12]]</f>
        <v>5.8956995385566813E-2</v>
      </c>
      <c r="EG27" s="47">
        <f>t_Parts[[#This Row],[hp2015.FY]]/t_Parts[[#This Row],[ha2015.FY]]</f>
        <v>6.0715237143808568E-2</v>
      </c>
      <c r="EH27" s="47">
        <f>t_Parts[[#This Row],[hp2016.01]]/t_Parts[[#This Row],[ha2016.01]]</f>
        <v>6.1814138242709669E-2</v>
      </c>
      <c r="EI27" s="47">
        <f>t_Parts[[#This Row],[hp2016.02]]/t_Parts[[#This Row],[ha2016.02]]</f>
        <v>6.1814138242709669E-2</v>
      </c>
      <c r="EJ27" s="47">
        <f>t_Parts[[#This Row],[hp2016.03]]/t_Parts[[#This Row],[ha2016.03]]</f>
        <v>5.8956995385566813E-2</v>
      </c>
      <c r="EK27" s="47">
        <f>t_Parts[[#This Row],[hp2016.04]]/t_Parts[[#This Row],[ha2016.04]]</f>
        <v>6.1814138242709669E-2</v>
      </c>
      <c r="EL27" s="47">
        <f>t_Parts[[#This Row],[hp2016.05]]/t_Parts[[#This Row],[ha2016.05]]</f>
        <v>6.1814138242709669E-2</v>
      </c>
      <c r="EM27" s="47">
        <f>t_Parts[[#This Row],[hp2016.06]]/t_Parts[[#This Row],[ha2016.06]]</f>
        <v>5.8956995385566813E-2</v>
      </c>
      <c r="EN27" s="47">
        <f>t_Parts[[#This Row],[hp2016.07]]/t_Parts[[#This Row],[ha2016.07]]</f>
        <v>6.1814138242709669E-2</v>
      </c>
      <c r="EO27" s="47">
        <f>t_Parts[[#This Row],[hp2016.08]]/t_Parts[[#This Row],[ha2016.08]]</f>
        <v>6.1814138242709669E-2</v>
      </c>
      <c r="EP27" s="47">
        <f>t_Parts[[#This Row],[hp2016.09]]/t_Parts[[#This Row],[ha2016.09]]</f>
        <v>5.8956995385566813E-2</v>
      </c>
      <c r="EQ27" s="47">
        <f>t_Parts[[#This Row],[hp2016.10]]/t_Parts[[#This Row],[ha2016.10]]</f>
        <v>6.1814138242709669E-2</v>
      </c>
      <c r="ER27" s="47">
        <f>t_Parts[[#This Row],[hp2016.11]]/t_Parts[[#This Row],[ha2016.11]]</f>
        <v>6.1814138242709669E-2</v>
      </c>
      <c r="ES27" s="47">
        <f>t_Parts[[#This Row],[hp2016.12]]/t_Parts[[#This Row],[ha2016.12]]</f>
        <v>5.8956995385566813E-2</v>
      </c>
      <c r="ET27" s="47">
        <f>t_Parts[[#This Row],[hp2016.FY]]/t_Parts[[#This Row],[ha2016.FY]]</f>
        <v>6.0715237143808568E-2</v>
      </c>
      <c r="EU27" s="47">
        <f>t_Parts[[#This Row],[hp2017]]/t_Parts[[#This Row],[ha2017]]</f>
        <v>6.0715237143808574E-2</v>
      </c>
      <c r="EV27" s="47">
        <f>t_Parts[[#This Row],[hp2018]]/t_Parts[[#This Row],[ha2018]]</f>
        <v>0</v>
      </c>
      <c r="EW27" s="47">
        <f>t_Parts[[#This Row],[hp2019]]/t_Parts[[#This Row],[hp2015.01]]</f>
        <v>0</v>
      </c>
      <c r="EX27" s="58">
        <f>(t_Parts[[#This Row],[ha2015.01]]-t_Parts[[#This Row],[hp2015.01]])*t_Parts[[NetPPH]:[NetPPH]]</f>
        <v>303409.30769230769</v>
      </c>
      <c r="EY27" s="58">
        <f>(t_Parts[[#This Row],[ha2015.02]]-t_Parts[[#This Row],[hp2015.02]])*t_Parts[[NetPPH]:[NetPPH]]</f>
        <v>303409.30769230769</v>
      </c>
      <c r="EZ27" s="58">
        <f>(t_Parts[[#This Row],[ha2015.03]]-t_Parts[[#This Row],[hp2015.03]])*t_Parts[[NetPPH]:[NetPPH]]</f>
        <v>380416.63461538462</v>
      </c>
      <c r="FA27" s="58">
        <f>(t_Parts[[#This Row],[ha2015.04]]-t_Parts[[#This Row],[hp2015.04]])*t_Parts[[NetPPH]:[NetPPH]]</f>
        <v>303409.30769230769</v>
      </c>
      <c r="FB27" s="58">
        <f>(t_Parts[[#This Row],[ha2015.05]]-t_Parts[[#This Row],[hp2015.05]])*t_Parts[[NetPPH]:[NetPPH]]</f>
        <v>303409.30769230769</v>
      </c>
      <c r="FC27" s="58">
        <f>(t_Parts[[#This Row],[ha2015.06]]-t_Parts[[#This Row],[hp2015.06]])*t_Parts[[NetPPH]:[NetPPH]]</f>
        <v>380416.63461538462</v>
      </c>
      <c r="FD27" s="58">
        <f>(t_Parts[[#This Row],[ha2015.07]]-t_Parts[[#This Row],[hp2015.07]])*t_Parts[[NetPPH]:[NetPPH]]</f>
        <v>303409.30769230769</v>
      </c>
      <c r="FE27" s="58">
        <f>(t_Parts[[#This Row],[ha2015.08]]-t_Parts[[#This Row],[hp2015.08]])*t_Parts[[NetPPH]:[NetPPH]]</f>
        <v>303409.30769230769</v>
      </c>
      <c r="FF27" s="58">
        <f>(t_Parts[[#This Row],[ha2015.09]]-t_Parts[[#This Row],[hp2015.09]])*t_Parts[[NetPPH]:[NetPPH]]</f>
        <v>380416.63461538462</v>
      </c>
      <c r="FG27" s="58">
        <f>(t_Parts[[#This Row],[ha2015.10]]-t_Parts[[#This Row],[hp2015.10]])*t_Parts[[NetPPH]:[NetPPH]]</f>
        <v>303409.30769230769</v>
      </c>
      <c r="FH27" s="58">
        <f>(t_Parts[[#This Row],[ha2015.11]]-t_Parts[[#This Row],[hp2015.11]])*t_Parts[[NetPPH]:[NetPPH]]</f>
        <v>303409.30769230769</v>
      </c>
      <c r="FI27" s="58">
        <f>(t_Parts[[#This Row],[ha2015.12]]-t_Parts[[#This Row],[hp2015.12]])*t_Parts[[NetPPH]:[NetPPH]]</f>
        <v>380416.63461538462</v>
      </c>
      <c r="FJ27" s="58">
        <f>(t_Parts[[#This Row],[ha2015.FY]]-t_Parts[[#This Row],[hp2015.FY]])*t_Parts[[NetPPH]:[NetPPH]]</f>
        <v>3948941</v>
      </c>
      <c r="FK27" s="58">
        <f>(t_Parts[[#This Row],[ha2016.01]]-t_Parts[[#This Row],[hp2016.01]])*t_Parts[[NetPPH]:[NetPPH]]</f>
        <v>303409.30769230769</v>
      </c>
      <c r="FL27" s="58">
        <f>(t_Parts[[#This Row],[ha2016.02]]-t_Parts[[#This Row],[hp2016.02]])*t_Parts[[NetPPH]:[NetPPH]]</f>
        <v>303409.30769230769</v>
      </c>
      <c r="FM27" s="58">
        <f>(t_Parts[[#This Row],[ha2016.03]]-t_Parts[[#This Row],[hp2016.03]])*t_Parts[[NetPPH]:[NetPPH]]</f>
        <v>380416.63461538462</v>
      </c>
      <c r="FN27" s="58">
        <f>(t_Parts[[#This Row],[ha2016.04]]-t_Parts[[#This Row],[hp2016.04]])*t_Parts[[NetPPH]:[NetPPH]]</f>
        <v>303409.30769230769</v>
      </c>
      <c r="FO27" s="58">
        <f>(t_Parts[[#This Row],[ha2016.05]]-t_Parts[[#This Row],[hp2016.05]])*t_Parts[[NetPPH]:[NetPPH]]</f>
        <v>303409.30769230769</v>
      </c>
      <c r="FP27" s="58">
        <f>(t_Parts[[#This Row],[ha2016.06]]-t_Parts[[#This Row],[hp2016.06]])*t_Parts[[NetPPH]:[NetPPH]]</f>
        <v>380416.63461538462</v>
      </c>
      <c r="FQ27" s="58">
        <f>(t_Parts[[#This Row],[ha2016.07]]-t_Parts[[#This Row],[hp2016.07]])*t_Parts[[NetPPH]:[NetPPH]]</f>
        <v>303409.30769230769</v>
      </c>
      <c r="FR27" s="58">
        <f>(t_Parts[[#This Row],[ha2016.08]]-t_Parts[[#This Row],[hp2016.08]])*t_Parts[[NetPPH]:[NetPPH]]</f>
        <v>303409.30769230769</v>
      </c>
      <c r="FS27" s="58">
        <f>(t_Parts[[#This Row],[ha2016.09]]-t_Parts[[#This Row],[hp2016.09]])*t_Parts[[NetPPH]:[NetPPH]]</f>
        <v>380416.63461538462</v>
      </c>
      <c r="FT27" s="58">
        <f>(t_Parts[[#This Row],[ha2016.10]]-t_Parts[[#This Row],[hp2016.10]])*t_Parts[[NetPPH]:[NetPPH]]</f>
        <v>303409.30769230769</v>
      </c>
      <c r="FU27" s="58">
        <f>(t_Parts[[#This Row],[ha2016.11]]-t_Parts[[#This Row],[hp2016.11]])*t_Parts[[NetPPH]:[NetPPH]]</f>
        <v>303409.30769230769</v>
      </c>
      <c r="FV27" s="58">
        <f>(t_Parts[[#This Row],[ha2016.12]]-t_Parts[[#This Row],[hp2016.12]])*t_Parts[[NetPPH]:[NetPPH]]</f>
        <v>380416.63461538462</v>
      </c>
      <c r="FW27" s="58">
        <f>(t_Parts[[#This Row],[ha2016.FY]]-t_Parts[[#This Row],[hp2016.FY]])*t_Parts[[NetPPH]:[NetPPH]]</f>
        <v>3948941</v>
      </c>
      <c r="FX27" s="58">
        <f>(t_Parts[[#This Row],[ha2017]]-t_Parts[[#This Row],[hp2017]])*t_Parts[[NetPPH]:[NetPPH]]</f>
        <v>3948941</v>
      </c>
      <c r="FY27" s="58">
        <f>(t_Parts[[#This Row],[ha2018]]-t_Parts[[#This Row],[hp2018]])*t_Parts[[NetPPH]:[NetPPH]]</f>
        <v>4204200</v>
      </c>
      <c r="FZ27" s="58">
        <f>(t_Parts[[#This Row],[ha2019]]-t_Parts[[#This Row],[hp2019]])*t_Parts[[NetPPH]:[NetPPH]]</f>
        <v>4204200</v>
      </c>
    </row>
    <row r="28" spans="1:182" s="14" customFormat="1" x14ac:dyDescent="0.25">
      <c r="A28" s="74" t="s">
        <v>634</v>
      </c>
      <c r="B28" s="74"/>
      <c r="C28" s="74">
        <v>21003</v>
      </c>
      <c r="D28" s="75">
        <v>1</v>
      </c>
      <c r="E28" s="73">
        <v>2100</v>
      </c>
      <c r="F28" s="76">
        <v>1</v>
      </c>
      <c r="G28" s="77">
        <v>4</v>
      </c>
      <c r="H28" s="16">
        <v>2015.01</v>
      </c>
      <c r="I28" s="16" t="s">
        <v>81</v>
      </c>
      <c r="J28" s="73">
        <v>199117</v>
      </c>
      <c r="K28" s="73">
        <v>199117</v>
      </c>
      <c r="L28" s="73">
        <v>199117</v>
      </c>
      <c r="M28" s="73">
        <v>199117</v>
      </c>
      <c r="N28" s="73">
        <v>199117</v>
      </c>
      <c r="O28" s="78">
        <v>36</v>
      </c>
      <c r="P28" s="78">
        <v>72</v>
      </c>
      <c r="Q28" s="79">
        <v>21.21</v>
      </c>
      <c r="R28" s="79"/>
      <c r="S28" s="78">
        <v>169</v>
      </c>
      <c r="T28" s="80">
        <v>12</v>
      </c>
      <c r="U28" s="80" t="s">
        <v>121</v>
      </c>
      <c r="V28" s="81" t="s">
        <v>635</v>
      </c>
      <c r="W28" s="82">
        <v>1.5840000000000001</v>
      </c>
      <c r="X28" s="82" t="s">
        <v>495</v>
      </c>
      <c r="Y28" s="82"/>
      <c r="Z28" s="82"/>
      <c r="AA28" s="82"/>
      <c r="AB28" s="82"/>
      <c r="AC28" s="83" t="s">
        <v>667</v>
      </c>
      <c r="AD28" s="40" t="str">
        <f>VLOOKUP(t_Parts[[#This Row],[Press]],t_Presses[],Press!B$1,FALSE)</f>
        <v>Plainfield</v>
      </c>
      <c r="AE28" s="40" t="str">
        <f>VLOOKUP(t_Parts[[#This Row],[Press]],t_Presses[],Press!E$1,FALSE)</f>
        <v>300-599</v>
      </c>
      <c r="AF28" s="47">
        <f>VLOOKUP(t_Parts[[#This Row],[Plant]],t_Plants[],Plants!C$1,FALSE)</f>
        <v>0.55000000000000004</v>
      </c>
      <c r="AG28" s="47">
        <f>VLOOKUP(t_Parts[[#This Row],[Press]],t_Presses[],Press!F$1,FALSE)</f>
        <v>0</v>
      </c>
      <c r="AH28" s="84"/>
      <c r="AI28" s="47">
        <f>IF(ISBLANK(t_Parts[[#This Row],[PartOEE]])=FALSE,t_Parts[[#This Row],[PartOEE]], IF(t_Parts[[#This Row],[PressOEE]]&gt;0, t_Parts[[#This Row],[PressOEE]], t_Parts[[#This Row],[PlantOEE]] ))</f>
        <v>0.55000000000000004</v>
      </c>
      <c r="AJ28" s="70">
        <f>t_Parts[[#This Row],[SetupsPerMo]]*t_Parts[[#This Row],[SetupHrs]]</f>
        <v>4</v>
      </c>
      <c r="AK28" s="39">
        <f>(t_Parts[[#This Row],[PartsPerStroke]]*t_Parts[[#This Row],[StrokesPerHr]])*t_Parts[[#This Row],[UseOEE]]</f>
        <v>1155</v>
      </c>
      <c r="AL2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15316.692307692307</v>
      </c>
      <c r="AM2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15316.692307692307</v>
      </c>
      <c r="AN2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19145.865384615383</v>
      </c>
      <c r="AO2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15316.692307692307</v>
      </c>
      <c r="AP2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15316.692307692307</v>
      </c>
      <c r="AQ2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19145.865384615383</v>
      </c>
      <c r="AR2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15316.692307692307</v>
      </c>
      <c r="AS2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15316.692307692307</v>
      </c>
      <c r="AT2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19145.865384615383</v>
      </c>
      <c r="AU2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15316.692307692307</v>
      </c>
      <c r="AV2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15316.692307692307</v>
      </c>
      <c r="AW2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19145.865384615383</v>
      </c>
      <c r="AX28" s="39">
        <f>SUM(t_Parts[[#This Row],[pv2015.01]:[pv2015.12]])</f>
        <v>199117</v>
      </c>
      <c r="AY2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15316.692307692307</v>
      </c>
      <c r="AZ2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15316.692307692307</v>
      </c>
      <c r="BA2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19145.865384615383</v>
      </c>
      <c r="BB2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15316.692307692307</v>
      </c>
      <c r="BC2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15316.692307692307</v>
      </c>
      <c r="BD2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19145.865384615383</v>
      </c>
      <c r="BE2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15316.692307692307</v>
      </c>
      <c r="BF2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15316.692307692307</v>
      </c>
      <c r="BG2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19145.865384615383</v>
      </c>
      <c r="BH2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15316.692307692307</v>
      </c>
      <c r="BI2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15316.692307692307</v>
      </c>
      <c r="BJ2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19145.865384615383</v>
      </c>
      <c r="BK28" s="39">
        <f>SUM(t_Parts[[#This Row],[pv2016.01]:[pv2016.12]])</f>
        <v>199117</v>
      </c>
      <c r="BL28" s="39">
        <f>t_Parts[[#This Row],[2017vol]]</f>
        <v>199117</v>
      </c>
      <c r="BM28" s="39">
        <f>t_Parts[[#This Row],[2018vol]]</f>
        <v>199117</v>
      </c>
      <c r="BN28" s="39">
        <f>t_Parts[[#This Row],[2019vol]]</f>
        <v>199117</v>
      </c>
      <c r="BO28" s="40">
        <f>VLOOKUP(t_Parts[[Plant]:[Plant]],t_Plants[],Plants!CN$1,FALSE)</f>
        <v>280</v>
      </c>
      <c r="BP28" s="14">
        <f>VLOOKUP(t_Parts[[Plant]:[Plant]],t_Plants[],Plants!CO$1,FALSE)</f>
        <v>280</v>
      </c>
      <c r="BQ28" s="14">
        <f>VLOOKUP(t_Parts[[Plant]:[Plant]],t_Plants[],Plants!CP$1,FALSE)</f>
        <v>350</v>
      </c>
      <c r="BR28" s="14">
        <f>VLOOKUP(t_Parts[[Plant]:[Plant]],t_Plants[],Plants!CQ$1,FALSE)</f>
        <v>280</v>
      </c>
      <c r="BS28" s="14">
        <f>VLOOKUP(t_Parts[[Plant]:[Plant]],t_Plants[],Plants!CR$1,FALSE)</f>
        <v>280</v>
      </c>
      <c r="BT28" s="14">
        <f>VLOOKUP(t_Parts[[Plant]:[Plant]],t_Plants[],Plants!CS$1,FALSE)</f>
        <v>350</v>
      </c>
      <c r="BU28" s="14">
        <f>VLOOKUP(t_Parts[[Plant]:[Plant]],t_Plants[],Plants!CT$1,FALSE)</f>
        <v>280</v>
      </c>
      <c r="BV28" s="14">
        <f>VLOOKUP(t_Parts[[Plant]:[Plant]],t_Plants[],Plants!CU$1,FALSE)</f>
        <v>280</v>
      </c>
      <c r="BW28" s="14">
        <f>VLOOKUP(t_Parts[[Plant]:[Plant]],t_Plants[],Plants!CV$1,FALSE)</f>
        <v>350</v>
      </c>
      <c r="BX28" s="14">
        <f>VLOOKUP(t_Parts[[Plant]:[Plant]],t_Plants[],Plants!CW$1,FALSE)</f>
        <v>280</v>
      </c>
      <c r="BY28" s="14">
        <f>VLOOKUP(t_Parts[[Plant]:[Plant]],t_Plants[],Plants!CX$1,FALSE)</f>
        <v>280</v>
      </c>
      <c r="BZ28" s="14">
        <f>VLOOKUP(t_Parts[[Plant]:[Plant]],t_Plants[],Plants!CY$1,FALSE)</f>
        <v>350</v>
      </c>
      <c r="CA28" s="40">
        <f>SUM(t_Parts[[#This Row],[ha2015.01]:[ha2015.12]])</f>
        <v>3640</v>
      </c>
      <c r="CB28" s="14">
        <f>VLOOKUP(t_Parts[[Plant]:[Plant]],t_Plants[],Plants!DA$1,FALSE)</f>
        <v>280</v>
      </c>
      <c r="CC28" s="14">
        <f>VLOOKUP(t_Parts[[Plant]:[Plant]],t_Plants[],Plants!DB$1,FALSE)</f>
        <v>280</v>
      </c>
      <c r="CD28" s="14">
        <f>VLOOKUP(t_Parts[[Plant]:[Plant]],t_Plants[],Plants!DC$1,FALSE)</f>
        <v>350</v>
      </c>
      <c r="CE28" s="14">
        <f>VLOOKUP(t_Parts[[Plant]:[Plant]],t_Plants[],Plants!DD$1,FALSE)</f>
        <v>280</v>
      </c>
      <c r="CF28" s="14">
        <f>VLOOKUP(t_Parts[[Plant]:[Plant]],t_Plants[],Plants!DE$1,FALSE)</f>
        <v>280</v>
      </c>
      <c r="CG28" s="14">
        <f>VLOOKUP(t_Parts[[Plant]:[Plant]],t_Plants[],Plants!DF$1,FALSE)</f>
        <v>350</v>
      </c>
      <c r="CH28" s="14">
        <f>VLOOKUP(t_Parts[[Plant]:[Plant]],t_Plants[],Plants!DG$1,FALSE)</f>
        <v>280</v>
      </c>
      <c r="CI28" s="14">
        <f>VLOOKUP(t_Parts[[Plant]:[Plant]],t_Plants[],Plants!DH$1,FALSE)</f>
        <v>280</v>
      </c>
      <c r="CJ28" s="14">
        <f>VLOOKUP(t_Parts[[Plant]:[Plant]],t_Plants[],Plants!DI$1,FALSE)</f>
        <v>350</v>
      </c>
      <c r="CK28" s="14">
        <f>VLOOKUP(t_Parts[[Plant]:[Plant]],t_Plants[],Plants!DJ$1,FALSE)</f>
        <v>280</v>
      </c>
      <c r="CL28" s="14">
        <f>VLOOKUP(t_Parts[[Plant]:[Plant]],t_Plants[],Plants!DK$1,FALSE)</f>
        <v>280</v>
      </c>
      <c r="CM28" s="14">
        <f>VLOOKUP(t_Parts[[Plant]:[Plant]],t_Plants[],Plants!DL$1,FALSE)</f>
        <v>350</v>
      </c>
      <c r="CN28" s="14">
        <f>VLOOKUP(t_Parts[[Plant]:[Plant]],t_Plants[],Plants!DM$1,FALSE)</f>
        <v>3640</v>
      </c>
      <c r="CO28" s="14">
        <f>VLOOKUP(t_Parts[[Plant]:[Plant]],t_Plants[],Plants!DN$1,FALSE)</f>
        <v>3640</v>
      </c>
      <c r="CP28" s="14">
        <f>VLOOKUP(t_Parts[[Plant]:[Plant]],t_Plants[],Plants!DO$1,FALSE)</f>
        <v>3640</v>
      </c>
      <c r="CQ28" s="14">
        <f>VLOOKUP(t_Parts[[Plant]:[Plant]],t_Plants[],Plants!DP$1,FALSE)</f>
        <v>3640</v>
      </c>
      <c r="CR28" s="39">
        <f>IF(AND(AL$3&gt;=VALUE(t_Parts[[SOP]:[SOP]]),AL$3&lt;=VALUE(t_Parts[[EOP]:[EOP]])), t_Parts[[SetupHrsPerMo]:[SetupHrsPerMo]]+(t_Parts[[#This Row],[pv2015.01]]/t_Parts[[NetPPH]:[NetPPH]]),0)</f>
        <v>17.26120546120546</v>
      </c>
      <c r="CS28" s="39">
        <f>IF(AND(AM$3&gt;=VALUE(t_Parts[[SOP]:[SOP]]),AM$3&lt;=VALUE(t_Parts[[EOP]:[EOP]])), t_Parts[[SetupHrsPerMo]:[SetupHrsPerMo]]+(t_Parts[[#This Row],[pv2015.02]]/t_Parts[[NetPPH]:[NetPPH]]),0)</f>
        <v>17.26120546120546</v>
      </c>
      <c r="CT28" s="39">
        <f>IF(AND(AN$3&gt;=VALUE(t_Parts[[SOP]:[SOP]]),AN$3&lt;=VALUE(t_Parts[[EOP]:[EOP]])), t_Parts[[SetupHrsPerMo]:[SetupHrsPerMo]]+(t_Parts[[#This Row],[pv2015.03]]/t_Parts[[NetPPH]:[NetPPH]]),0)</f>
        <v>20.576506826506826</v>
      </c>
      <c r="CU28" s="39">
        <f>IF(AND(AO$3&gt;=VALUE(t_Parts[[SOP]:[SOP]]),AO$3&lt;=VALUE(t_Parts[[EOP]:[EOP]])), t_Parts[[SetupHrsPerMo]:[SetupHrsPerMo]]+(t_Parts[[#This Row],[pv2015.04]]/t_Parts[[NetPPH]:[NetPPH]]),0)</f>
        <v>17.26120546120546</v>
      </c>
      <c r="CV28" s="39">
        <f>IF(AND(AP$3&gt;=VALUE(t_Parts[[SOP]:[SOP]]),AP$3&lt;=VALUE(t_Parts[[EOP]:[EOP]])), t_Parts[[SetupHrsPerMo]:[SetupHrsPerMo]]+(t_Parts[[#This Row],[pv2015.05]]/t_Parts[[NetPPH]:[NetPPH]]),0)</f>
        <v>17.26120546120546</v>
      </c>
      <c r="CW28" s="39">
        <f>IF(AND(AQ$3&gt;=VALUE(t_Parts[[SOP]:[SOP]]),AQ$3&lt;=VALUE(t_Parts[[EOP]:[EOP]])), t_Parts[[SetupHrsPerMo]:[SetupHrsPerMo]]+(t_Parts[[#This Row],[pv2015.06]]/t_Parts[[NetPPH]:[NetPPH]]),0)</f>
        <v>20.576506826506826</v>
      </c>
      <c r="CX28" s="39">
        <f>IF(AND(AR$3&gt;=VALUE(t_Parts[[SOP]:[SOP]]),AR$3&lt;=VALUE(t_Parts[[EOP]:[EOP]])), t_Parts[[SetupHrsPerMo]:[SetupHrsPerMo]]+(t_Parts[[#This Row],[pv2015.07]]/t_Parts[[NetPPH]:[NetPPH]]),0)</f>
        <v>17.26120546120546</v>
      </c>
      <c r="CY28" s="39">
        <f>IF(AND(AS$3&gt;=VALUE(t_Parts[[SOP]:[SOP]]),AS$3&lt;=VALUE(t_Parts[[EOP]:[EOP]])), t_Parts[[SetupHrsPerMo]:[SetupHrsPerMo]]+(t_Parts[[#This Row],[pv2015.08]]/t_Parts[[NetPPH]:[NetPPH]]),0)</f>
        <v>17.26120546120546</v>
      </c>
      <c r="CZ28" s="39">
        <f>IF(AND(AT$3&gt;=VALUE(t_Parts[[SOP]:[SOP]]),AT$3&lt;=VALUE(t_Parts[[EOP]:[EOP]])), t_Parts[[SetupHrsPerMo]:[SetupHrsPerMo]]+(t_Parts[[#This Row],[pv2015.09]]/t_Parts[[NetPPH]:[NetPPH]]),0)</f>
        <v>20.576506826506826</v>
      </c>
      <c r="DA28" s="39">
        <f>IF(AND(AU$3&gt;=VALUE(t_Parts[[SOP]:[SOP]]),AU$3&lt;=VALUE(t_Parts[[EOP]:[EOP]])), t_Parts[[SetupHrsPerMo]:[SetupHrsPerMo]]+(t_Parts[[#This Row],[pv2015.10]]/t_Parts[[NetPPH]:[NetPPH]]),0)</f>
        <v>17.26120546120546</v>
      </c>
      <c r="DB28" s="39">
        <f>IF(AND(AV$3&gt;=VALUE(t_Parts[[SOP]:[SOP]]),AV$3&lt;=VALUE(t_Parts[[EOP]:[EOP]])), t_Parts[[SetupHrsPerMo]:[SetupHrsPerMo]]+(t_Parts[[#This Row],[pv2015.11]]/t_Parts[[NetPPH]:[NetPPH]]),0)</f>
        <v>17.26120546120546</v>
      </c>
      <c r="DC28" s="39">
        <f>IF(AND(AW$3&gt;=VALUE(t_Parts[[SOP]:[SOP]]),AW$3&lt;=VALUE(t_Parts[[EOP]:[EOP]])), t_Parts[[SetupHrsPerMo]:[SetupHrsPerMo]]+(t_Parts[[#This Row],[pv2015.12]]/t_Parts[[NetPPH]:[NetPPH]]),0)</f>
        <v>20.576506826506826</v>
      </c>
      <c r="DD28" s="39">
        <f>SUM(t_Parts[[#This Row],[hp2015.01]:[hp2015.12]])</f>
        <v>220.395670995671</v>
      </c>
      <c r="DE28" s="39">
        <f>IF(AND(AY$3&gt;=VALUE(t_Parts[[SOP]:[SOP]]),AY$3&lt;=VALUE(t_Parts[[EOP]:[EOP]])), t_Parts[[SetupHrsPerMo]:[SetupHrsPerMo]]+(t_Parts[[#This Row],[pv2016.01]]/t_Parts[[NetPPH]:[NetPPH]]),0)</f>
        <v>17.26120546120546</v>
      </c>
      <c r="DF28" s="39">
        <f>IF(AND(AZ$3&gt;=VALUE(t_Parts[[SOP]:[SOP]]),AZ$3&lt;=VALUE(t_Parts[[EOP]:[EOP]])), t_Parts[[SetupHrsPerMo]:[SetupHrsPerMo]]+(t_Parts[[#This Row],[pv2016.02]]/t_Parts[[NetPPH]:[NetPPH]]),0)</f>
        <v>17.26120546120546</v>
      </c>
      <c r="DG28" s="39">
        <f>IF(AND(BA$3&gt;=VALUE(t_Parts[[SOP]:[SOP]]),BA$3&lt;=VALUE(t_Parts[[EOP]:[EOP]])), t_Parts[[SetupHrsPerMo]:[SetupHrsPerMo]]+(t_Parts[[#This Row],[pv2016.03]]/t_Parts[[NetPPH]:[NetPPH]]),0)</f>
        <v>20.576506826506826</v>
      </c>
      <c r="DH28" s="39">
        <f>IF(AND(BB$3&gt;=VALUE(t_Parts[[SOP]:[SOP]]),BB$3&lt;=VALUE(t_Parts[[EOP]:[EOP]])), t_Parts[[SetupHrsPerMo]:[SetupHrsPerMo]]+(t_Parts[[#This Row],[pv2016.04]]/t_Parts[[NetPPH]:[NetPPH]]),0)</f>
        <v>17.26120546120546</v>
      </c>
      <c r="DI28" s="39">
        <f>IF(AND(BC$3&gt;=VALUE(t_Parts[[SOP]:[SOP]]),BC$3&lt;=VALUE(t_Parts[[EOP]:[EOP]])), t_Parts[[SetupHrsPerMo]:[SetupHrsPerMo]]+(t_Parts[[#This Row],[pv2016.05]]/t_Parts[[NetPPH]:[NetPPH]]),0)</f>
        <v>17.26120546120546</v>
      </c>
      <c r="DJ28" s="39">
        <f>IF(AND(BD$3&gt;=VALUE(t_Parts[[SOP]:[SOP]]),BD$3&lt;=VALUE(t_Parts[[EOP]:[EOP]])), t_Parts[[SetupHrsPerMo]:[SetupHrsPerMo]]+(t_Parts[[#This Row],[pv2016.06]]/t_Parts[[NetPPH]:[NetPPH]]),0)</f>
        <v>20.576506826506826</v>
      </c>
      <c r="DK28" s="39">
        <f>IF(AND(BE$3&gt;=VALUE(t_Parts[[SOP]:[SOP]]),BE$3&lt;=VALUE(t_Parts[[EOP]:[EOP]])), t_Parts[[SetupHrsPerMo]:[SetupHrsPerMo]]+(t_Parts[[#This Row],[pv2016.07]]/t_Parts[[NetPPH]:[NetPPH]]),0)</f>
        <v>17.26120546120546</v>
      </c>
      <c r="DL28" s="39">
        <f>IF(AND(BF$3&gt;=VALUE(t_Parts[[SOP]:[SOP]]),BF$3&lt;=VALUE(t_Parts[[EOP]:[EOP]])), t_Parts[[SetupHrsPerMo]:[SetupHrsPerMo]]+(t_Parts[[#This Row],[pv2016.08]]/t_Parts[[NetPPH]:[NetPPH]]),0)</f>
        <v>17.26120546120546</v>
      </c>
      <c r="DM28" s="39">
        <f>IF(AND(BG$3&gt;=VALUE(t_Parts[[SOP]:[SOP]]),BG$3&lt;=VALUE(t_Parts[[EOP]:[EOP]])), t_Parts[[SetupHrsPerMo]:[SetupHrsPerMo]]+(t_Parts[[#This Row],[pv2016.09]]/t_Parts[[NetPPH]:[NetPPH]]),0)</f>
        <v>20.576506826506826</v>
      </c>
      <c r="DN28" s="39">
        <f>IF(AND(BH$3&gt;=VALUE(t_Parts[[SOP]:[SOP]]),BH$3&lt;=VALUE(t_Parts[[EOP]:[EOP]])), t_Parts[[SetupHrsPerMo]:[SetupHrsPerMo]]+(t_Parts[[#This Row],[pv2016.10]]/t_Parts[[NetPPH]:[NetPPH]]),0)</f>
        <v>17.26120546120546</v>
      </c>
      <c r="DO28" s="39">
        <f>IF(AND(BI$3&gt;=VALUE(t_Parts[[SOP]:[SOP]]),BI$3&lt;=VALUE(t_Parts[[EOP]:[EOP]])), t_Parts[[SetupHrsPerMo]:[SetupHrsPerMo]]+(t_Parts[[#This Row],[pv2016.11]]/t_Parts[[NetPPH]:[NetPPH]]),0)</f>
        <v>17.26120546120546</v>
      </c>
      <c r="DP28" s="39">
        <f>IF(AND(BJ$3&gt;=VALUE(t_Parts[[SOP]:[SOP]]),BJ$3&lt;=VALUE(t_Parts[[EOP]:[EOP]])), t_Parts[[SetupHrsPerMo]:[SetupHrsPerMo]]+(t_Parts[[#This Row],[pv2016.12]]/t_Parts[[NetPPH]:[NetPPH]]),0)</f>
        <v>20.576506826506826</v>
      </c>
      <c r="DQ28" s="39">
        <f>SUM(t_Parts[[#This Row],[hp2016.01]:[hp2016.12]])</f>
        <v>220.395670995671</v>
      </c>
      <c r="DR28" s="39">
        <f>IF(AND(BL$3&gt;=VALUE(t_Parts[[SOP]:[SOP]]),BL$3&lt;=VALUE(t_Parts[[EOP]:[EOP]])), 12*t_Parts[[SetupHrsPerMo]:[SetupHrsPerMo]]+(t_Parts[[#This Row],[pv2017]]/t_Parts[[NetPPH]:[NetPPH]]),0)</f>
        <v>220.395670995671</v>
      </c>
      <c r="DS28" s="39">
        <f>IF(AND(BM$3&gt;=VALUE(t_Parts[[SOP]:[SOP]]),BM$3&lt;=VALUE(t_Parts[[EOP]:[EOP]])), 12*t_Parts[[SetupHrsPerMo]:[SetupHrsPerMo]]+(t_Parts[[#This Row],[pv2018]]/t_Parts[[NetPPH]:[NetPPH]]),0)</f>
        <v>0</v>
      </c>
      <c r="DT28" s="39">
        <f>IF(AND(BN$3&gt;=VALUE(t_Parts[[SOP]:[SOP]]),BN$3&lt;=VALUE(t_Parts[[EOP]:[EOP]])), 12*t_Parts[[SetupHrsPerMo]:[SetupHrsPerMo]]+(t_Parts[[#This Row],[pv2019]]/t_Parts[[NetPPH]:[NetPPH]]),0)</f>
        <v>0</v>
      </c>
      <c r="DU28" s="47">
        <f>t_Parts[[#This Row],[hp2015.01]]/t_Parts[[#This Row],[ha2015.01]]</f>
        <v>6.1647162361448071E-2</v>
      </c>
      <c r="DV28" s="47">
        <f>t_Parts[[#This Row],[hp2015.02]]/t_Parts[[#This Row],[ha2015.02]]</f>
        <v>6.1647162361448071E-2</v>
      </c>
      <c r="DW28" s="47">
        <f>t_Parts[[#This Row],[hp2015.03]]/t_Parts[[#This Row],[ha2015.03]]</f>
        <v>5.8790019504305215E-2</v>
      </c>
      <c r="DX28" s="47">
        <f>t_Parts[[#This Row],[hp2015.04]]/t_Parts[[#This Row],[ha2015.04]]</f>
        <v>6.1647162361448071E-2</v>
      </c>
      <c r="DY28" s="47">
        <f>t_Parts[[#This Row],[hp2015.05]]/t_Parts[[#This Row],[ha2015.05]]</f>
        <v>6.1647162361448071E-2</v>
      </c>
      <c r="DZ28" s="47">
        <f>t_Parts[[#This Row],[hp2015.06]]/t_Parts[[#This Row],[ha2015.06]]</f>
        <v>5.8790019504305215E-2</v>
      </c>
      <c r="EA28" s="47">
        <f>t_Parts[[#This Row],[hp2015.07]]/t_Parts[[#This Row],[ha2015.07]]</f>
        <v>6.1647162361448071E-2</v>
      </c>
      <c r="EB28" s="47">
        <f>t_Parts[[#This Row],[hp2015.08]]/t_Parts[[#This Row],[ha2015.08]]</f>
        <v>6.1647162361448071E-2</v>
      </c>
      <c r="EC28" s="47">
        <f>t_Parts[[#This Row],[hp2015.09]]/t_Parts[[#This Row],[ha2015.09]]</f>
        <v>5.8790019504305215E-2</v>
      </c>
      <c r="ED28" s="47">
        <f>t_Parts[[#This Row],[hp2015.10]]/t_Parts[[#This Row],[ha2015.10]]</f>
        <v>6.1647162361448071E-2</v>
      </c>
      <c r="EE28" s="47">
        <f>t_Parts[[#This Row],[hp2015.11]]/t_Parts[[#This Row],[ha2015.11]]</f>
        <v>6.1647162361448071E-2</v>
      </c>
      <c r="EF28" s="47">
        <f>t_Parts[[#This Row],[hp2015.12]]/t_Parts[[#This Row],[ha2015.12]]</f>
        <v>5.8790019504305215E-2</v>
      </c>
      <c r="EG28" s="47">
        <f>t_Parts[[#This Row],[hp2015.FY]]/t_Parts[[#This Row],[ha2015.FY]]</f>
        <v>6.0548261262546976E-2</v>
      </c>
      <c r="EH28" s="47">
        <f>t_Parts[[#This Row],[hp2016.01]]/t_Parts[[#This Row],[ha2016.01]]</f>
        <v>6.1647162361448071E-2</v>
      </c>
      <c r="EI28" s="47">
        <f>t_Parts[[#This Row],[hp2016.02]]/t_Parts[[#This Row],[ha2016.02]]</f>
        <v>6.1647162361448071E-2</v>
      </c>
      <c r="EJ28" s="47">
        <f>t_Parts[[#This Row],[hp2016.03]]/t_Parts[[#This Row],[ha2016.03]]</f>
        <v>5.8790019504305215E-2</v>
      </c>
      <c r="EK28" s="47">
        <f>t_Parts[[#This Row],[hp2016.04]]/t_Parts[[#This Row],[ha2016.04]]</f>
        <v>6.1647162361448071E-2</v>
      </c>
      <c r="EL28" s="47">
        <f>t_Parts[[#This Row],[hp2016.05]]/t_Parts[[#This Row],[ha2016.05]]</f>
        <v>6.1647162361448071E-2</v>
      </c>
      <c r="EM28" s="47">
        <f>t_Parts[[#This Row],[hp2016.06]]/t_Parts[[#This Row],[ha2016.06]]</f>
        <v>5.8790019504305215E-2</v>
      </c>
      <c r="EN28" s="47">
        <f>t_Parts[[#This Row],[hp2016.07]]/t_Parts[[#This Row],[ha2016.07]]</f>
        <v>6.1647162361448071E-2</v>
      </c>
      <c r="EO28" s="47">
        <f>t_Parts[[#This Row],[hp2016.08]]/t_Parts[[#This Row],[ha2016.08]]</f>
        <v>6.1647162361448071E-2</v>
      </c>
      <c r="EP28" s="47">
        <f>t_Parts[[#This Row],[hp2016.09]]/t_Parts[[#This Row],[ha2016.09]]</f>
        <v>5.8790019504305215E-2</v>
      </c>
      <c r="EQ28" s="47">
        <f>t_Parts[[#This Row],[hp2016.10]]/t_Parts[[#This Row],[ha2016.10]]</f>
        <v>6.1647162361448071E-2</v>
      </c>
      <c r="ER28" s="47">
        <f>t_Parts[[#This Row],[hp2016.11]]/t_Parts[[#This Row],[ha2016.11]]</f>
        <v>6.1647162361448071E-2</v>
      </c>
      <c r="ES28" s="47">
        <f>t_Parts[[#This Row],[hp2016.12]]/t_Parts[[#This Row],[ha2016.12]]</f>
        <v>5.8790019504305215E-2</v>
      </c>
      <c r="ET28" s="47">
        <f>t_Parts[[#This Row],[hp2016.FY]]/t_Parts[[#This Row],[ha2016.FY]]</f>
        <v>6.0548261262546976E-2</v>
      </c>
      <c r="EU28" s="47">
        <f>t_Parts[[#This Row],[hp2017]]/t_Parts[[#This Row],[ha2017]]</f>
        <v>6.0548261262546976E-2</v>
      </c>
      <c r="EV28" s="47">
        <f>t_Parts[[#This Row],[hp2018]]/t_Parts[[#This Row],[ha2018]]</f>
        <v>0</v>
      </c>
      <c r="EW28" s="47">
        <f>t_Parts[[#This Row],[hp2019]]/t_Parts[[#This Row],[hp2015.01]]</f>
        <v>0</v>
      </c>
      <c r="EX28" s="58">
        <f>(t_Parts[[#This Row],[ha2015.01]]-t_Parts[[#This Row],[hp2015.01]])*t_Parts[[NetPPH]:[NetPPH]]</f>
        <v>303463.30769230769</v>
      </c>
      <c r="EY28" s="58">
        <f>(t_Parts[[#This Row],[ha2015.02]]-t_Parts[[#This Row],[hp2015.02]])*t_Parts[[NetPPH]:[NetPPH]]</f>
        <v>303463.30769230769</v>
      </c>
      <c r="EZ28" s="58">
        <f>(t_Parts[[#This Row],[ha2015.03]]-t_Parts[[#This Row],[hp2015.03]])*t_Parts[[NetPPH]:[NetPPH]]</f>
        <v>380484.13461538462</v>
      </c>
      <c r="FA28" s="58">
        <f>(t_Parts[[#This Row],[ha2015.04]]-t_Parts[[#This Row],[hp2015.04]])*t_Parts[[NetPPH]:[NetPPH]]</f>
        <v>303463.30769230769</v>
      </c>
      <c r="FB28" s="58">
        <f>(t_Parts[[#This Row],[ha2015.05]]-t_Parts[[#This Row],[hp2015.05]])*t_Parts[[NetPPH]:[NetPPH]]</f>
        <v>303463.30769230769</v>
      </c>
      <c r="FC28" s="58">
        <f>(t_Parts[[#This Row],[ha2015.06]]-t_Parts[[#This Row],[hp2015.06]])*t_Parts[[NetPPH]:[NetPPH]]</f>
        <v>380484.13461538462</v>
      </c>
      <c r="FD28" s="58">
        <f>(t_Parts[[#This Row],[ha2015.07]]-t_Parts[[#This Row],[hp2015.07]])*t_Parts[[NetPPH]:[NetPPH]]</f>
        <v>303463.30769230769</v>
      </c>
      <c r="FE28" s="58">
        <f>(t_Parts[[#This Row],[ha2015.08]]-t_Parts[[#This Row],[hp2015.08]])*t_Parts[[NetPPH]:[NetPPH]]</f>
        <v>303463.30769230769</v>
      </c>
      <c r="FF28" s="58">
        <f>(t_Parts[[#This Row],[ha2015.09]]-t_Parts[[#This Row],[hp2015.09]])*t_Parts[[NetPPH]:[NetPPH]]</f>
        <v>380484.13461538462</v>
      </c>
      <c r="FG28" s="58">
        <f>(t_Parts[[#This Row],[ha2015.10]]-t_Parts[[#This Row],[hp2015.10]])*t_Parts[[NetPPH]:[NetPPH]]</f>
        <v>303463.30769230769</v>
      </c>
      <c r="FH28" s="58">
        <f>(t_Parts[[#This Row],[ha2015.11]]-t_Parts[[#This Row],[hp2015.11]])*t_Parts[[NetPPH]:[NetPPH]]</f>
        <v>303463.30769230769</v>
      </c>
      <c r="FI28" s="58">
        <f>(t_Parts[[#This Row],[ha2015.12]]-t_Parts[[#This Row],[hp2015.12]])*t_Parts[[NetPPH]:[NetPPH]]</f>
        <v>380484.13461538462</v>
      </c>
      <c r="FJ28" s="58">
        <f>(t_Parts[[#This Row],[ha2015.FY]]-t_Parts[[#This Row],[hp2015.FY]])*t_Parts[[NetPPH]:[NetPPH]]</f>
        <v>3949643</v>
      </c>
      <c r="FK28" s="58">
        <f>(t_Parts[[#This Row],[ha2016.01]]-t_Parts[[#This Row],[hp2016.01]])*t_Parts[[NetPPH]:[NetPPH]]</f>
        <v>303463.30769230769</v>
      </c>
      <c r="FL28" s="58">
        <f>(t_Parts[[#This Row],[ha2016.02]]-t_Parts[[#This Row],[hp2016.02]])*t_Parts[[NetPPH]:[NetPPH]]</f>
        <v>303463.30769230769</v>
      </c>
      <c r="FM28" s="58">
        <f>(t_Parts[[#This Row],[ha2016.03]]-t_Parts[[#This Row],[hp2016.03]])*t_Parts[[NetPPH]:[NetPPH]]</f>
        <v>380484.13461538462</v>
      </c>
      <c r="FN28" s="58">
        <f>(t_Parts[[#This Row],[ha2016.04]]-t_Parts[[#This Row],[hp2016.04]])*t_Parts[[NetPPH]:[NetPPH]]</f>
        <v>303463.30769230769</v>
      </c>
      <c r="FO28" s="58">
        <f>(t_Parts[[#This Row],[ha2016.05]]-t_Parts[[#This Row],[hp2016.05]])*t_Parts[[NetPPH]:[NetPPH]]</f>
        <v>303463.30769230769</v>
      </c>
      <c r="FP28" s="58">
        <f>(t_Parts[[#This Row],[ha2016.06]]-t_Parts[[#This Row],[hp2016.06]])*t_Parts[[NetPPH]:[NetPPH]]</f>
        <v>380484.13461538462</v>
      </c>
      <c r="FQ28" s="58">
        <f>(t_Parts[[#This Row],[ha2016.07]]-t_Parts[[#This Row],[hp2016.07]])*t_Parts[[NetPPH]:[NetPPH]]</f>
        <v>303463.30769230769</v>
      </c>
      <c r="FR28" s="58">
        <f>(t_Parts[[#This Row],[ha2016.08]]-t_Parts[[#This Row],[hp2016.08]])*t_Parts[[NetPPH]:[NetPPH]]</f>
        <v>303463.30769230769</v>
      </c>
      <c r="FS28" s="58">
        <f>(t_Parts[[#This Row],[ha2016.09]]-t_Parts[[#This Row],[hp2016.09]])*t_Parts[[NetPPH]:[NetPPH]]</f>
        <v>380484.13461538462</v>
      </c>
      <c r="FT28" s="58">
        <f>(t_Parts[[#This Row],[ha2016.10]]-t_Parts[[#This Row],[hp2016.10]])*t_Parts[[NetPPH]:[NetPPH]]</f>
        <v>303463.30769230769</v>
      </c>
      <c r="FU28" s="58">
        <f>(t_Parts[[#This Row],[ha2016.11]]-t_Parts[[#This Row],[hp2016.11]])*t_Parts[[NetPPH]:[NetPPH]]</f>
        <v>303463.30769230769</v>
      </c>
      <c r="FV28" s="58">
        <f>(t_Parts[[#This Row],[ha2016.12]]-t_Parts[[#This Row],[hp2016.12]])*t_Parts[[NetPPH]:[NetPPH]]</f>
        <v>380484.13461538462</v>
      </c>
      <c r="FW28" s="58">
        <f>(t_Parts[[#This Row],[ha2016.FY]]-t_Parts[[#This Row],[hp2016.FY]])*t_Parts[[NetPPH]:[NetPPH]]</f>
        <v>3949643</v>
      </c>
      <c r="FX28" s="58">
        <f>(t_Parts[[#This Row],[ha2017]]-t_Parts[[#This Row],[hp2017]])*t_Parts[[NetPPH]:[NetPPH]]</f>
        <v>3949643</v>
      </c>
      <c r="FY28" s="58">
        <f>(t_Parts[[#This Row],[ha2018]]-t_Parts[[#This Row],[hp2018]])*t_Parts[[NetPPH]:[NetPPH]]</f>
        <v>4204200</v>
      </c>
      <c r="FZ28" s="58">
        <f>(t_Parts[[#This Row],[ha2019]]-t_Parts[[#This Row],[hp2019]])*t_Parts[[NetPPH]:[NetPPH]]</f>
        <v>4204200</v>
      </c>
    </row>
    <row r="29" spans="1:182" s="14" customFormat="1" x14ac:dyDescent="0.25">
      <c r="A29" s="74" t="s">
        <v>560</v>
      </c>
      <c r="B29" s="74"/>
      <c r="C29" s="74">
        <v>21013</v>
      </c>
      <c r="D29" s="75">
        <v>1</v>
      </c>
      <c r="E29" s="73">
        <v>2700</v>
      </c>
      <c r="F29" s="76">
        <v>1</v>
      </c>
      <c r="G29" s="77">
        <v>2</v>
      </c>
      <c r="H29" s="16">
        <v>2015.01</v>
      </c>
      <c r="I29" s="16" t="s">
        <v>92</v>
      </c>
      <c r="J29" s="73">
        <v>48011</v>
      </c>
      <c r="K29" s="73">
        <v>48011</v>
      </c>
      <c r="L29" s="73">
        <v>48011</v>
      </c>
      <c r="M29" s="73">
        <v>48011</v>
      </c>
      <c r="N29" s="73">
        <v>48011</v>
      </c>
      <c r="O29" s="78"/>
      <c r="P29" s="78"/>
      <c r="Q29" s="79">
        <v>21.19</v>
      </c>
      <c r="R29" s="79"/>
      <c r="S29" s="78">
        <v>106</v>
      </c>
      <c r="T29" s="80"/>
      <c r="U29" s="80" t="s">
        <v>121</v>
      </c>
      <c r="V29" s="81" t="s">
        <v>561</v>
      </c>
      <c r="W29" s="82">
        <v>0.45</v>
      </c>
      <c r="X29" s="82" t="s">
        <v>495</v>
      </c>
      <c r="Y29" s="82"/>
      <c r="Z29" s="82"/>
      <c r="AA29" s="82"/>
      <c r="AB29" s="82"/>
      <c r="AC29" s="83" t="s">
        <v>667</v>
      </c>
      <c r="AD29" s="40" t="str">
        <f>VLOOKUP(t_Parts[[#This Row],[Press]],t_Presses[],Press!B$1,FALSE)</f>
        <v>Plainfield</v>
      </c>
      <c r="AE29" s="40" t="str">
        <f>VLOOKUP(t_Parts[[#This Row],[Press]],t_Presses[],Press!E$1,FALSE)</f>
        <v>0-299</v>
      </c>
      <c r="AF29" s="47">
        <f>VLOOKUP(t_Parts[[#This Row],[Plant]],t_Plants[],Plants!C$1,FALSE)</f>
        <v>0.55000000000000004</v>
      </c>
      <c r="AG29" s="47">
        <f>VLOOKUP(t_Parts[[#This Row],[Press]],t_Presses[],Press!F$1,FALSE)</f>
        <v>0</v>
      </c>
      <c r="AH29" s="84"/>
      <c r="AI29" s="47">
        <f>IF(ISBLANK(t_Parts[[#This Row],[PartOEE]])=FALSE,t_Parts[[#This Row],[PartOEE]], IF(t_Parts[[#This Row],[PressOEE]]&gt;0, t_Parts[[#This Row],[PressOEE]], t_Parts[[#This Row],[PlantOEE]] ))</f>
        <v>0.55000000000000004</v>
      </c>
      <c r="AJ29" s="70">
        <f>t_Parts[[#This Row],[SetupsPerMo]]*t_Parts[[#This Row],[SetupHrs]]</f>
        <v>2</v>
      </c>
      <c r="AK29" s="39">
        <f>(t_Parts[[#This Row],[PartsPerStroke]]*t_Parts[[#This Row],[StrokesPerHr]])*t_Parts[[#This Row],[UseOEE]]</f>
        <v>1485.0000000000002</v>
      </c>
      <c r="AL2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3693.1538461538462</v>
      </c>
      <c r="AM2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3693.1538461538462</v>
      </c>
      <c r="AN2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4616.4423076923076</v>
      </c>
      <c r="AO2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3693.1538461538462</v>
      </c>
      <c r="AP2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3693.1538461538462</v>
      </c>
      <c r="AQ2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4616.4423076923076</v>
      </c>
      <c r="AR2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3693.1538461538462</v>
      </c>
      <c r="AS2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3693.1538461538462</v>
      </c>
      <c r="AT2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4616.4423076923076</v>
      </c>
      <c r="AU2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3693.1538461538462</v>
      </c>
      <c r="AV2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3693.1538461538462</v>
      </c>
      <c r="AW2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4616.4423076923076</v>
      </c>
      <c r="AX29" s="39">
        <f>SUM(t_Parts[[#This Row],[pv2015.01]:[pv2015.12]])</f>
        <v>48010.999999999993</v>
      </c>
      <c r="AY2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2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2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2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2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2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2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2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2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2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2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2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29" s="39">
        <f>SUM(t_Parts[[#This Row],[pv2016.01]:[pv2016.12]])</f>
        <v>0</v>
      </c>
      <c r="BL29" s="39">
        <f>t_Parts[[#This Row],[2017vol]]</f>
        <v>48011</v>
      </c>
      <c r="BM29" s="39">
        <f>t_Parts[[#This Row],[2018vol]]</f>
        <v>48011</v>
      </c>
      <c r="BN29" s="39">
        <f>t_Parts[[#This Row],[2019vol]]</f>
        <v>48011</v>
      </c>
      <c r="BO29" s="40">
        <f>VLOOKUP(t_Parts[[Plant]:[Plant]],t_Plants[],Plants!CN$1,FALSE)</f>
        <v>280</v>
      </c>
      <c r="BP29" s="14">
        <f>VLOOKUP(t_Parts[[Plant]:[Plant]],t_Plants[],Plants!CO$1,FALSE)</f>
        <v>280</v>
      </c>
      <c r="BQ29" s="14">
        <f>VLOOKUP(t_Parts[[Plant]:[Plant]],t_Plants[],Plants!CP$1,FALSE)</f>
        <v>350</v>
      </c>
      <c r="BR29" s="14">
        <f>VLOOKUP(t_Parts[[Plant]:[Plant]],t_Plants[],Plants!CQ$1,FALSE)</f>
        <v>280</v>
      </c>
      <c r="BS29" s="14">
        <f>VLOOKUP(t_Parts[[Plant]:[Plant]],t_Plants[],Plants!CR$1,FALSE)</f>
        <v>280</v>
      </c>
      <c r="BT29" s="14">
        <f>VLOOKUP(t_Parts[[Plant]:[Plant]],t_Plants[],Plants!CS$1,FALSE)</f>
        <v>350</v>
      </c>
      <c r="BU29" s="14">
        <f>VLOOKUP(t_Parts[[Plant]:[Plant]],t_Plants[],Plants!CT$1,FALSE)</f>
        <v>280</v>
      </c>
      <c r="BV29" s="14">
        <f>VLOOKUP(t_Parts[[Plant]:[Plant]],t_Plants[],Plants!CU$1,FALSE)</f>
        <v>280</v>
      </c>
      <c r="BW29" s="14">
        <f>VLOOKUP(t_Parts[[Plant]:[Plant]],t_Plants[],Plants!CV$1,FALSE)</f>
        <v>350</v>
      </c>
      <c r="BX29" s="14">
        <f>VLOOKUP(t_Parts[[Plant]:[Plant]],t_Plants[],Plants!CW$1,FALSE)</f>
        <v>280</v>
      </c>
      <c r="BY29" s="14">
        <f>VLOOKUP(t_Parts[[Plant]:[Plant]],t_Plants[],Plants!CX$1,FALSE)</f>
        <v>280</v>
      </c>
      <c r="BZ29" s="14">
        <f>VLOOKUP(t_Parts[[Plant]:[Plant]],t_Plants[],Plants!CY$1,FALSE)</f>
        <v>350</v>
      </c>
      <c r="CA29" s="40">
        <f>SUM(t_Parts[[#This Row],[ha2015.01]:[ha2015.12]])</f>
        <v>3640</v>
      </c>
      <c r="CB29" s="14">
        <f>VLOOKUP(t_Parts[[Plant]:[Plant]],t_Plants[],Plants!DA$1,FALSE)</f>
        <v>280</v>
      </c>
      <c r="CC29" s="14">
        <f>VLOOKUP(t_Parts[[Plant]:[Plant]],t_Plants[],Plants!DB$1,FALSE)</f>
        <v>280</v>
      </c>
      <c r="CD29" s="14">
        <f>VLOOKUP(t_Parts[[Plant]:[Plant]],t_Plants[],Plants!DC$1,FALSE)</f>
        <v>350</v>
      </c>
      <c r="CE29" s="14">
        <f>VLOOKUP(t_Parts[[Plant]:[Plant]],t_Plants[],Plants!DD$1,FALSE)</f>
        <v>280</v>
      </c>
      <c r="CF29" s="14">
        <f>VLOOKUP(t_Parts[[Plant]:[Plant]],t_Plants[],Plants!DE$1,FALSE)</f>
        <v>280</v>
      </c>
      <c r="CG29" s="14">
        <f>VLOOKUP(t_Parts[[Plant]:[Plant]],t_Plants[],Plants!DF$1,FALSE)</f>
        <v>350</v>
      </c>
      <c r="CH29" s="14">
        <f>VLOOKUP(t_Parts[[Plant]:[Plant]],t_Plants[],Plants!DG$1,FALSE)</f>
        <v>280</v>
      </c>
      <c r="CI29" s="14">
        <f>VLOOKUP(t_Parts[[Plant]:[Plant]],t_Plants[],Plants!DH$1,FALSE)</f>
        <v>280</v>
      </c>
      <c r="CJ29" s="14">
        <f>VLOOKUP(t_Parts[[Plant]:[Plant]],t_Plants[],Plants!DI$1,FALSE)</f>
        <v>350</v>
      </c>
      <c r="CK29" s="14">
        <f>VLOOKUP(t_Parts[[Plant]:[Plant]],t_Plants[],Plants!DJ$1,FALSE)</f>
        <v>280</v>
      </c>
      <c r="CL29" s="14">
        <f>VLOOKUP(t_Parts[[Plant]:[Plant]],t_Plants[],Plants!DK$1,FALSE)</f>
        <v>280</v>
      </c>
      <c r="CM29" s="14">
        <f>VLOOKUP(t_Parts[[Plant]:[Plant]],t_Plants[],Plants!DL$1,FALSE)</f>
        <v>350</v>
      </c>
      <c r="CN29" s="14">
        <f>VLOOKUP(t_Parts[[Plant]:[Plant]],t_Plants[],Plants!DM$1,FALSE)</f>
        <v>3640</v>
      </c>
      <c r="CO29" s="14">
        <f>VLOOKUP(t_Parts[[Plant]:[Plant]],t_Plants[],Plants!DN$1,FALSE)</f>
        <v>3640</v>
      </c>
      <c r="CP29" s="14">
        <f>VLOOKUP(t_Parts[[Plant]:[Plant]],t_Plants[],Plants!DO$1,FALSE)</f>
        <v>3640</v>
      </c>
      <c r="CQ29" s="14">
        <f>VLOOKUP(t_Parts[[Plant]:[Plant]],t_Plants[],Plants!DP$1,FALSE)</f>
        <v>3640</v>
      </c>
      <c r="CR29" s="39">
        <f>IF(AND(AL$3&gt;=VALUE(t_Parts[[SOP]:[SOP]]),AL$3&lt;=VALUE(t_Parts[[EOP]:[EOP]])), t_Parts[[SetupHrsPerMo]:[SetupHrsPerMo]]+(t_Parts[[#This Row],[pv2015.01]]/t_Parts[[NetPPH]:[NetPPH]]),0)</f>
        <v>4.4869722869722866</v>
      </c>
      <c r="CS29" s="39">
        <f>IF(AND(AM$3&gt;=VALUE(t_Parts[[SOP]:[SOP]]),AM$3&lt;=VALUE(t_Parts[[EOP]:[EOP]])), t_Parts[[SetupHrsPerMo]:[SetupHrsPerMo]]+(t_Parts[[#This Row],[pv2015.02]]/t_Parts[[NetPPH]:[NetPPH]]),0)</f>
        <v>4.4869722869722866</v>
      </c>
      <c r="CT29" s="39">
        <f>IF(AND(AN$3&gt;=VALUE(t_Parts[[SOP]:[SOP]]),AN$3&lt;=VALUE(t_Parts[[EOP]:[EOP]])), t_Parts[[SetupHrsPerMo]:[SetupHrsPerMo]]+(t_Parts[[#This Row],[pv2015.03]]/t_Parts[[NetPPH]:[NetPPH]]),0)</f>
        <v>5.108715358715358</v>
      </c>
      <c r="CU29" s="39">
        <f>IF(AND(AO$3&gt;=VALUE(t_Parts[[SOP]:[SOP]]),AO$3&lt;=VALUE(t_Parts[[EOP]:[EOP]])), t_Parts[[SetupHrsPerMo]:[SetupHrsPerMo]]+(t_Parts[[#This Row],[pv2015.04]]/t_Parts[[NetPPH]:[NetPPH]]),0)</f>
        <v>4.4869722869722866</v>
      </c>
      <c r="CV29" s="39">
        <f>IF(AND(AP$3&gt;=VALUE(t_Parts[[SOP]:[SOP]]),AP$3&lt;=VALUE(t_Parts[[EOP]:[EOP]])), t_Parts[[SetupHrsPerMo]:[SetupHrsPerMo]]+(t_Parts[[#This Row],[pv2015.05]]/t_Parts[[NetPPH]:[NetPPH]]),0)</f>
        <v>4.4869722869722866</v>
      </c>
      <c r="CW29" s="39">
        <f>IF(AND(AQ$3&gt;=VALUE(t_Parts[[SOP]:[SOP]]),AQ$3&lt;=VALUE(t_Parts[[EOP]:[EOP]])), t_Parts[[SetupHrsPerMo]:[SetupHrsPerMo]]+(t_Parts[[#This Row],[pv2015.06]]/t_Parts[[NetPPH]:[NetPPH]]),0)</f>
        <v>5.108715358715358</v>
      </c>
      <c r="CX29" s="39">
        <f>IF(AND(AR$3&gt;=VALUE(t_Parts[[SOP]:[SOP]]),AR$3&lt;=VALUE(t_Parts[[EOP]:[EOP]])), t_Parts[[SetupHrsPerMo]:[SetupHrsPerMo]]+(t_Parts[[#This Row],[pv2015.07]]/t_Parts[[NetPPH]:[NetPPH]]),0)</f>
        <v>4.4869722869722866</v>
      </c>
      <c r="CY29" s="39">
        <f>IF(AND(AS$3&gt;=VALUE(t_Parts[[SOP]:[SOP]]),AS$3&lt;=VALUE(t_Parts[[EOP]:[EOP]])), t_Parts[[SetupHrsPerMo]:[SetupHrsPerMo]]+(t_Parts[[#This Row],[pv2015.08]]/t_Parts[[NetPPH]:[NetPPH]]),0)</f>
        <v>4.4869722869722866</v>
      </c>
      <c r="CZ29" s="39">
        <f>IF(AND(AT$3&gt;=VALUE(t_Parts[[SOP]:[SOP]]),AT$3&lt;=VALUE(t_Parts[[EOP]:[EOP]])), t_Parts[[SetupHrsPerMo]:[SetupHrsPerMo]]+(t_Parts[[#This Row],[pv2015.09]]/t_Parts[[NetPPH]:[NetPPH]]),0)</f>
        <v>5.108715358715358</v>
      </c>
      <c r="DA29" s="39">
        <f>IF(AND(AU$3&gt;=VALUE(t_Parts[[SOP]:[SOP]]),AU$3&lt;=VALUE(t_Parts[[EOP]:[EOP]])), t_Parts[[SetupHrsPerMo]:[SetupHrsPerMo]]+(t_Parts[[#This Row],[pv2015.10]]/t_Parts[[NetPPH]:[NetPPH]]),0)</f>
        <v>4.4869722869722866</v>
      </c>
      <c r="DB29" s="39">
        <f>IF(AND(AV$3&gt;=VALUE(t_Parts[[SOP]:[SOP]]),AV$3&lt;=VALUE(t_Parts[[EOP]:[EOP]])), t_Parts[[SetupHrsPerMo]:[SetupHrsPerMo]]+(t_Parts[[#This Row],[pv2015.11]]/t_Parts[[NetPPH]:[NetPPH]]),0)</f>
        <v>4.4869722869722866</v>
      </c>
      <c r="DC29" s="39">
        <f>IF(AND(AW$3&gt;=VALUE(t_Parts[[SOP]:[SOP]]),AW$3&lt;=VALUE(t_Parts[[EOP]:[EOP]])), t_Parts[[SetupHrsPerMo]:[SetupHrsPerMo]]+(t_Parts[[#This Row],[pv2015.12]]/t_Parts[[NetPPH]:[NetPPH]]),0)</f>
        <v>5.108715358715358</v>
      </c>
      <c r="DD29" s="39">
        <f>SUM(t_Parts[[#This Row],[hp2015.01]:[hp2015.12]])</f>
        <v>56.330639730639732</v>
      </c>
      <c r="DE29" s="39">
        <f>IF(AND(AY$3&gt;=VALUE(t_Parts[[SOP]:[SOP]]),AY$3&lt;=VALUE(t_Parts[[EOP]:[EOP]])), t_Parts[[SetupHrsPerMo]:[SetupHrsPerMo]]+(t_Parts[[#This Row],[pv2016.01]]/t_Parts[[NetPPH]:[NetPPH]]),0)</f>
        <v>0</v>
      </c>
      <c r="DF29" s="39">
        <f>IF(AND(AZ$3&gt;=VALUE(t_Parts[[SOP]:[SOP]]),AZ$3&lt;=VALUE(t_Parts[[EOP]:[EOP]])), t_Parts[[SetupHrsPerMo]:[SetupHrsPerMo]]+(t_Parts[[#This Row],[pv2016.02]]/t_Parts[[NetPPH]:[NetPPH]]),0)</f>
        <v>0</v>
      </c>
      <c r="DG29" s="39">
        <f>IF(AND(BA$3&gt;=VALUE(t_Parts[[SOP]:[SOP]]),BA$3&lt;=VALUE(t_Parts[[EOP]:[EOP]])), t_Parts[[SetupHrsPerMo]:[SetupHrsPerMo]]+(t_Parts[[#This Row],[pv2016.03]]/t_Parts[[NetPPH]:[NetPPH]]),0)</f>
        <v>0</v>
      </c>
      <c r="DH29" s="39">
        <f>IF(AND(BB$3&gt;=VALUE(t_Parts[[SOP]:[SOP]]),BB$3&lt;=VALUE(t_Parts[[EOP]:[EOP]])), t_Parts[[SetupHrsPerMo]:[SetupHrsPerMo]]+(t_Parts[[#This Row],[pv2016.04]]/t_Parts[[NetPPH]:[NetPPH]]),0)</f>
        <v>0</v>
      </c>
      <c r="DI29" s="39">
        <f>IF(AND(BC$3&gt;=VALUE(t_Parts[[SOP]:[SOP]]),BC$3&lt;=VALUE(t_Parts[[EOP]:[EOP]])), t_Parts[[SetupHrsPerMo]:[SetupHrsPerMo]]+(t_Parts[[#This Row],[pv2016.05]]/t_Parts[[NetPPH]:[NetPPH]]),0)</f>
        <v>0</v>
      </c>
      <c r="DJ29" s="39">
        <f>IF(AND(BD$3&gt;=VALUE(t_Parts[[SOP]:[SOP]]),BD$3&lt;=VALUE(t_Parts[[EOP]:[EOP]])), t_Parts[[SetupHrsPerMo]:[SetupHrsPerMo]]+(t_Parts[[#This Row],[pv2016.06]]/t_Parts[[NetPPH]:[NetPPH]]),0)</f>
        <v>0</v>
      </c>
      <c r="DK29" s="39">
        <f>IF(AND(BE$3&gt;=VALUE(t_Parts[[SOP]:[SOP]]),BE$3&lt;=VALUE(t_Parts[[EOP]:[EOP]])), t_Parts[[SetupHrsPerMo]:[SetupHrsPerMo]]+(t_Parts[[#This Row],[pv2016.07]]/t_Parts[[NetPPH]:[NetPPH]]),0)</f>
        <v>0</v>
      </c>
      <c r="DL29" s="39">
        <f>IF(AND(BF$3&gt;=VALUE(t_Parts[[SOP]:[SOP]]),BF$3&lt;=VALUE(t_Parts[[EOP]:[EOP]])), t_Parts[[SetupHrsPerMo]:[SetupHrsPerMo]]+(t_Parts[[#This Row],[pv2016.08]]/t_Parts[[NetPPH]:[NetPPH]]),0)</f>
        <v>0</v>
      </c>
      <c r="DM29" s="39">
        <f>IF(AND(BG$3&gt;=VALUE(t_Parts[[SOP]:[SOP]]),BG$3&lt;=VALUE(t_Parts[[EOP]:[EOP]])), t_Parts[[SetupHrsPerMo]:[SetupHrsPerMo]]+(t_Parts[[#This Row],[pv2016.09]]/t_Parts[[NetPPH]:[NetPPH]]),0)</f>
        <v>0</v>
      </c>
      <c r="DN29" s="39">
        <f>IF(AND(BH$3&gt;=VALUE(t_Parts[[SOP]:[SOP]]),BH$3&lt;=VALUE(t_Parts[[EOP]:[EOP]])), t_Parts[[SetupHrsPerMo]:[SetupHrsPerMo]]+(t_Parts[[#This Row],[pv2016.10]]/t_Parts[[NetPPH]:[NetPPH]]),0)</f>
        <v>0</v>
      </c>
      <c r="DO29" s="39">
        <f>IF(AND(BI$3&gt;=VALUE(t_Parts[[SOP]:[SOP]]),BI$3&lt;=VALUE(t_Parts[[EOP]:[EOP]])), t_Parts[[SetupHrsPerMo]:[SetupHrsPerMo]]+(t_Parts[[#This Row],[pv2016.11]]/t_Parts[[NetPPH]:[NetPPH]]),0)</f>
        <v>0</v>
      </c>
      <c r="DP29" s="39">
        <f>IF(AND(BJ$3&gt;=VALUE(t_Parts[[SOP]:[SOP]]),BJ$3&lt;=VALUE(t_Parts[[EOP]:[EOP]])), t_Parts[[SetupHrsPerMo]:[SetupHrsPerMo]]+(t_Parts[[#This Row],[pv2016.12]]/t_Parts[[NetPPH]:[NetPPH]]),0)</f>
        <v>0</v>
      </c>
      <c r="DQ29" s="39">
        <f>SUM(t_Parts[[#This Row],[hp2016.01]:[hp2016.12]])</f>
        <v>0</v>
      </c>
      <c r="DR29" s="39">
        <f>IF(AND(BL$3&gt;=VALUE(t_Parts[[SOP]:[SOP]]),BL$3&lt;=VALUE(t_Parts[[EOP]:[EOP]])), 12*t_Parts[[SetupHrsPerMo]:[SetupHrsPerMo]]+(t_Parts[[#This Row],[pv2017]]/t_Parts[[NetPPH]:[NetPPH]]),0)</f>
        <v>0</v>
      </c>
      <c r="DS29" s="39">
        <f>IF(AND(BM$3&gt;=VALUE(t_Parts[[SOP]:[SOP]]),BM$3&lt;=VALUE(t_Parts[[EOP]:[EOP]])), 12*t_Parts[[SetupHrsPerMo]:[SetupHrsPerMo]]+(t_Parts[[#This Row],[pv2018]]/t_Parts[[NetPPH]:[NetPPH]]),0)</f>
        <v>0</v>
      </c>
      <c r="DT29" s="39">
        <f>IF(AND(BN$3&gt;=VALUE(t_Parts[[SOP]:[SOP]]),BN$3&lt;=VALUE(t_Parts[[EOP]:[EOP]])), 12*t_Parts[[SetupHrsPerMo]:[SetupHrsPerMo]]+(t_Parts[[#This Row],[pv2019]]/t_Parts[[NetPPH]:[NetPPH]]),0)</f>
        <v>0</v>
      </c>
      <c r="DU29" s="47">
        <f>t_Parts[[#This Row],[hp2015.01]]/t_Parts[[#This Row],[ha2015.01]]</f>
        <v>1.6024901024901023E-2</v>
      </c>
      <c r="DV29" s="47">
        <f>t_Parts[[#This Row],[hp2015.02]]/t_Parts[[#This Row],[ha2015.02]]</f>
        <v>1.6024901024901023E-2</v>
      </c>
      <c r="DW29" s="47">
        <f>t_Parts[[#This Row],[hp2015.03]]/t_Parts[[#This Row],[ha2015.03]]</f>
        <v>1.4596329596329595E-2</v>
      </c>
      <c r="DX29" s="47">
        <f>t_Parts[[#This Row],[hp2015.04]]/t_Parts[[#This Row],[ha2015.04]]</f>
        <v>1.6024901024901023E-2</v>
      </c>
      <c r="DY29" s="47">
        <f>t_Parts[[#This Row],[hp2015.05]]/t_Parts[[#This Row],[ha2015.05]]</f>
        <v>1.6024901024901023E-2</v>
      </c>
      <c r="DZ29" s="47">
        <f>t_Parts[[#This Row],[hp2015.06]]/t_Parts[[#This Row],[ha2015.06]]</f>
        <v>1.4596329596329595E-2</v>
      </c>
      <c r="EA29" s="47">
        <f>t_Parts[[#This Row],[hp2015.07]]/t_Parts[[#This Row],[ha2015.07]]</f>
        <v>1.6024901024901023E-2</v>
      </c>
      <c r="EB29" s="47">
        <f>t_Parts[[#This Row],[hp2015.08]]/t_Parts[[#This Row],[ha2015.08]]</f>
        <v>1.6024901024901023E-2</v>
      </c>
      <c r="EC29" s="47">
        <f>t_Parts[[#This Row],[hp2015.09]]/t_Parts[[#This Row],[ha2015.09]]</f>
        <v>1.4596329596329595E-2</v>
      </c>
      <c r="ED29" s="47">
        <f>t_Parts[[#This Row],[hp2015.10]]/t_Parts[[#This Row],[ha2015.10]]</f>
        <v>1.6024901024901023E-2</v>
      </c>
      <c r="EE29" s="47">
        <f>t_Parts[[#This Row],[hp2015.11]]/t_Parts[[#This Row],[ha2015.11]]</f>
        <v>1.6024901024901023E-2</v>
      </c>
      <c r="EF29" s="47">
        <f>t_Parts[[#This Row],[hp2015.12]]/t_Parts[[#This Row],[ha2015.12]]</f>
        <v>1.4596329596329595E-2</v>
      </c>
      <c r="EG29" s="47">
        <f>t_Parts[[#This Row],[hp2015.FY]]/t_Parts[[#This Row],[ha2015.FY]]</f>
        <v>1.5475450475450476E-2</v>
      </c>
      <c r="EH29" s="47">
        <f>t_Parts[[#This Row],[hp2016.01]]/t_Parts[[#This Row],[ha2016.01]]</f>
        <v>0</v>
      </c>
      <c r="EI29" s="47">
        <f>t_Parts[[#This Row],[hp2016.02]]/t_Parts[[#This Row],[ha2016.02]]</f>
        <v>0</v>
      </c>
      <c r="EJ29" s="47">
        <f>t_Parts[[#This Row],[hp2016.03]]/t_Parts[[#This Row],[ha2016.03]]</f>
        <v>0</v>
      </c>
      <c r="EK29" s="47">
        <f>t_Parts[[#This Row],[hp2016.04]]/t_Parts[[#This Row],[ha2016.04]]</f>
        <v>0</v>
      </c>
      <c r="EL29" s="47">
        <f>t_Parts[[#This Row],[hp2016.05]]/t_Parts[[#This Row],[ha2016.05]]</f>
        <v>0</v>
      </c>
      <c r="EM29" s="47">
        <f>t_Parts[[#This Row],[hp2016.06]]/t_Parts[[#This Row],[ha2016.06]]</f>
        <v>0</v>
      </c>
      <c r="EN29" s="47">
        <f>t_Parts[[#This Row],[hp2016.07]]/t_Parts[[#This Row],[ha2016.07]]</f>
        <v>0</v>
      </c>
      <c r="EO29" s="47">
        <f>t_Parts[[#This Row],[hp2016.08]]/t_Parts[[#This Row],[ha2016.08]]</f>
        <v>0</v>
      </c>
      <c r="EP29" s="47">
        <f>t_Parts[[#This Row],[hp2016.09]]/t_Parts[[#This Row],[ha2016.09]]</f>
        <v>0</v>
      </c>
      <c r="EQ29" s="47">
        <f>t_Parts[[#This Row],[hp2016.10]]/t_Parts[[#This Row],[ha2016.10]]</f>
        <v>0</v>
      </c>
      <c r="ER29" s="47">
        <f>t_Parts[[#This Row],[hp2016.11]]/t_Parts[[#This Row],[ha2016.11]]</f>
        <v>0</v>
      </c>
      <c r="ES29" s="47">
        <f>t_Parts[[#This Row],[hp2016.12]]/t_Parts[[#This Row],[ha2016.12]]</f>
        <v>0</v>
      </c>
      <c r="ET29" s="47">
        <f>t_Parts[[#This Row],[hp2016.FY]]/t_Parts[[#This Row],[ha2016.FY]]</f>
        <v>0</v>
      </c>
      <c r="EU29" s="47">
        <f>t_Parts[[#This Row],[hp2017]]/t_Parts[[#This Row],[ha2017]]</f>
        <v>0</v>
      </c>
      <c r="EV29" s="47">
        <f>t_Parts[[#This Row],[hp2018]]/t_Parts[[#This Row],[ha2018]]</f>
        <v>0</v>
      </c>
      <c r="EW29" s="47">
        <f>t_Parts[[#This Row],[hp2019]]/t_Parts[[#This Row],[hp2015.01]]</f>
        <v>0</v>
      </c>
      <c r="EX29" s="58">
        <f>(t_Parts[[#This Row],[ha2015.01]]-t_Parts[[#This Row],[hp2015.01]])*t_Parts[[NetPPH]:[NetPPH]]</f>
        <v>409136.84615384624</v>
      </c>
      <c r="EY29" s="58">
        <f>(t_Parts[[#This Row],[ha2015.02]]-t_Parts[[#This Row],[hp2015.02]])*t_Parts[[NetPPH]:[NetPPH]]</f>
        <v>409136.84615384624</v>
      </c>
      <c r="EZ29" s="58">
        <f>(t_Parts[[#This Row],[ha2015.03]]-t_Parts[[#This Row],[hp2015.03]])*t_Parts[[NetPPH]:[NetPPH]]</f>
        <v>512163.55769230775</v>
      </c>
      <c r="FA29" s="58">
        <f>(t_Parts[[#This Row],[ha2015.04]]-t_Parts[[#This Row],[hp2015.04]])*t_Parts[[NetPPH]:[NetPPH]]</f>
        <v>409136.84615384624</v>
      </c>
      <c r="FB29" s="58">
        <f>(t_Parts[[#This Row],[ha2015.05]]-t_Parts[[#This Row],[hp2015.05]])*t_Parts[[NetPPH]:[NetPPH]]</f>
        <v>409136.84615384624</v>
      </c>
      <c r="FC29" s="58">
        <f>(t_Parts[[#This Row],[ha2015.06]]-t_Parts[[#This Row],[hp2015.06]])*t_Parts[[NetPPH]:[NetPPH]]</f>
        <v>512163.55769230775</v>
      </c>
      <c r="FD29" s="58">
        <f>(t_Parts[[#This Row],[ha2015.07]]-t_Parts[[#This Row],[hp2015.07]])*t_Parts[[NetPPH]:[NetPPH]]</f>
        <v>409136.84615384624</v>
      </c>
      <c r="FE29" s="58">
        <f>(t_Parts[[#This Row],[ha2015.08]]-t_Parts[[#This Row],[hp2015.08]])*t_Parts[[NetPPH]:[NetPPH]]</f>
        <v>409136.84615384624</v>
      </c>
      <c r="FF29" s="58">
        <f>(t_Parts[[#This Row],[ha2015.09]]-t_Parts[[#This Row],[hp2015.09]])*t_Parts[[NetPPH]:[NetPPH]]</f>
        <v>512163.55769230775</v>
      </c>
      <c r="FG29" s="58">
        <f>(t_Parts[[#This Row],[ha2015.10]]-t_Parts[[#This Row],[hp2015.10]])*t_Parts[[NetPPH]:[NetPPH]]</f>
        <v>409136.84615384624</v>
      </c>
      <c r="FH29" s="58">
        <f>(t_Parts[[#This Row],[ha2015.11]]-t_Parts[[#This Row],[hp2015.11]])*t_Parts[[NetPPH]:[NetPPH]]</f>
        <v>409136.84615384624</v>
      </c>
      <c r="FI29" s="58">
        <f>(t_Parts[[#This Row],[ha2015.12]]-t_Parts[[#This Row],[hp2015.12]])*t_Parts[[NetPPH]:[NetPPH]]</f>
        <v>512163.55769230775</v>
      </c>
      <c r="FJ29" s="58">
        <f>(t_Parts[[#This Row],[ha2015.FY]]-t_Parts[[#This Row],[hp2015.FY]])*t_Parts[[NetPPH]:[NetPPH]]</f>
        <v>5321749.0000000009</v>
      </c>
      <c r="FK29" s="58">
        <f>(t_Parts[[#This Row],[ha2016.01]]-t_Parts[[#This Row],[hp2016.01]])*t_Parts[[NetPPH]:[NetPPH]]</f>
        <v>415800.00000000006</v>
      </c>
      <c r="FL29" s="58">
        <f>(t_Parts[[#This Row],[ha2016.02]]-t_Parts[[#This Row],[hp2016.02]])*t_Parts[[NetPPH]:[NetPPH]]</f>
        <v>415800.00000000006</v>
      </c>
      <c r="FM29" s="58">
        <f>(t_Parts[[#This Row],[ha2016.03]]-t_Parts[[#This Row],[hp2016.03]])*t_Parts[[NetPPH]:[NetPPH]]</f>
        <v>519750.00000000006</v>
      </c>
      <c r="FN29" s="58">
        <f>(t_Parts[[#This Row],[ha2016.04]]-t_Parts[[#This Row],[hp2016.04]])*t_Parts[[NetPPH]:[NetPPH]]</f>
        <v>415800.00000000006</v>
      </c>
      <c r="FO29" s="58">
        <f>(t_Parts[[#This Row],[ha2016.05]]-t_Parts[[#This Row],[hp2016.05]])*t_Parts[[NetPPH]:[NetPPH]]</f>
        <v>415800.00000000006</v>
      </c>
      <c r="FP29" s="58">
        <f>(t_Parts[[#This Row],[ha2016.06]]-t_Parts[[#This Row],[hp2016.06]])*t_Parts[[NetPPH]:[NetPPH]]</f>
        <v>519750.00000000006</v>
      </c>
      <c r="FQ29" s="58">
        <f>(t_Parts[[#This Row],[ha2016.07]]-t_Parts[[#This Row],[hp2016.07]])*t_Parts[[NetPPH]:[NetPPH]]</f>
        <v>415800.00000000006</v>
      </c>
      <c r="FR29" s="58">
        <f>(t_Parts[[#This Row],[ha2016.08]]-t_Parts[[#This Row],[hp2016.08]])*t_Parts[[NetPPH]:[NetPPH]]</f>
        <v>415800.00000000006</v>
      </c>
      <c r="FS29" s="58">
        <f>(t_Parts[[#This Row],[ha2016.09]]-t_Parts[[#This Row],[hp2016.09]])*t_Parts[[NetPPH]:[NetPPH]]</f>
        <v>519750.00000000006</v>
      </c>
      <c r="FT29" s="58">
        <f>(t_Parts[[#This Row],[ha2016.10]]-t_Parts[[#This Row],[hp2016.10]])*t_Parts[[NetPPH]:[NetPPH]]</f>
        <v>415800.00000000006</v>
      </c>
      <c r="FU29" s="58">
        <f>(t_Parts[[#This Row],[ha2016.11]]-t_Parts[[#This Row],[hp2016.11]])*t_Parts[[NetPPH]:[NetPPH]]</f>
        <v>415800.00000000006</v>
      </c>
      <c r="FV29" s="58">
        <f>(t_Parts[[#This Row],[ha2016.12]]-t_Parts[[#This Row],[hp2016.12]])*t_Parts[[NetPPH]:[NetPPH]]</f>
        <v>519750.00000000006</v>
      </c>
      <c r="FW29" s="58">
        <f>(t_Parts[[#This Row],[ha2016.FY]]-t_Parts[[#This Row],[hp2016.FY]])*t_Parts[[NetPPH]:[NetPPH]]</f>
        <v>5405400.0000000009</v>
      </c>
      <c r="FX29" s="58">
        <f>(t_Parts[[#This Row],[ha2017]]-t_Parts[[#This Row],[hp2017]])*t_Parts[[NetPPH]:[NetPPH]]</f>
        <v>5405400.0000000009</v>
      </c>
      <c r="FY29" s="58">
        <f>(t_Parts[[#This Row],[ha2018]]-t_Parts[[#This Row],[hp2018]])*t_Parts[[NetPPH]:[NetPPH]]</f>
        <v>5405400.0000000009</v>
      </c>
      <c r="FZ29" s="58">
        <f>(t_Parts[[#This Row],[ha2019]]-t_Parts[[#This Row],[hp2019]])*t_Parts[[NetPPH]:[NetPPH]]</f>
        <v>5405400.0000000009</v>
      </c>
    </row>
    <row r="30" spans="1:182" s="14" customFormat="1" x14ac:dyDescent="0.25">
      <c r="A30" s="74" t="s">
        <v>548</v>
      </c>
      <c r="B30" s="74"/>
      <c r="C30" s="74">
        <v>21001</v>
      </c>
      <c r="D30" s="75">
        <v>1</v>
      </c>
      <c r="E30" s="73">
        <v>2100</v>
      </c>
      <c r="F30" s="76">
        <v>1</v>
      </c>
      <c r="G30" s="77">
        <v>2</v>
      </c>
      <c r="H30" s="16">
        <v>2015.01</v>
      </c>
      <c r="I30" s="16" t="s">
        <v>92</v>
      </c>
      <c r="J30" s="73">
        <v>37496</v>
      </c>
      <c r="K30" s="73">
        <v>37496</v>
      </c>
      <c r="L30" s="73">
        <v>37496</v>
      </c>
      <c r="M30" s="73">
        <v>37496</v>
      </c>
      <c r="N30" s="73">
        <v>37496</v>
      </c>
      <c r="O30" s="78"/>
      <c r="P30" s="78"/>
      <c r="Q30" s="79"/>
      <c r="R30" s="79"/>
      <c r="S30" s="78" t="s">
        <v>513</v>
      </c>
      <c r="T30" s="80"/>
      <c r="U30" s="80" t="s">
        <v>121</v>
      </c>
      <c r="V30" s="81"/>
      <c r="W30" s="82"/>
      <c r="X30" s="82" t="s">
        <v>501</v>
      </c>
      <c r="Y30" s="82"/>
      <c r="Z30" s="82"/>
      <c r="AA30" s="82"/>
      <c r="AB30" s="82"/>
      <c r="AC30" s="83" t="s">
        <v>667</v>
      </c>
      <c r="AD30" s="40" t="str">
        <f>VLOOKUP(t_Parts[[#This Row],[Press]],t_Presses[],Press!B$1,FALSE)</f>
        <v>Plainfield</v>
      </c>
      <c r="AE30" s="40" t="str">
        <f>VLOOKUP(t_Parts[[#This Row],[Press]],t_Presses[],Press!E$1,FALSE)</f>
        <v>300-599</v>
      </c>
      <c r="AF30" s="47">
        <f>VLOOKUP(t_Parts[[#This Row],[Plant]],t_Plants[],Plants!C$1,FALSE)</f>
        <v>0.55000000000000004</v>
      </c>
      <c r="AG30" s="47">
        <f>VLOOKUP(t_Parts[[#This Row],[Press]],t_Presses[],Press!F$1,FALSE)</f>
        <v>0</v>
      </c>
      <c r="AH30" s="84"/>
      <c r="AI30" s="47">
        <f>IF(ISBLANK(t_Parts[[#This Row],[PartOEE]])=FALSE,t_Parts[[#This Row],[PartOEE]], IF(t_Parts[[#This Row],[PressOEE]]&gt;0, t_Parts[[#This Row],[PressOEE]], t_Parts[[#This Row],[PlantOEE]] ))</f>
        <v>0.55000000000000004</v>
      </c>
      <c r="AJ30" s="70">
        <f>t_Parts[[#This Row],[SetupsPerMo]]*t_Parts[[#This Row],[SetupHrs]]</f>
        <v>2</v>
      </c>
      <c r="AK30" s="39">
        <f>(t_Parts[[#This Row],[PartsPerStroke]]*t_Parts[[#This Row],[StrokesPerHr]])*t_Parts[[#This Row],[UseOEE]]</f>
        <v>1155</v>
      </c>
      <c r="AL3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2884.3076923076924</v>
      </c>
      <c r="AM3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2884.3076923076924</v>
      </c>
      <c r="AN3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3605.3846153846152</v>
      </c>
      <c r="AO3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2884.3076923076924</v>
      </c>
      <c r="AP3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2884.3076923076924</v>
      </c>
      <c r="AQ3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3605.3846153846152</v>
      </c>
      <c r="AR3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2884.3076923076924</v>
      </c>
      <c r="AS3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2884.3076923076924</v>
      </c>
      <c r="AT3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3605.3846153846152</v>
      </c>
      <c r="AU3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2884.3076923076924</v>
      </c>
      <c r="AV3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2884.3076923076924</v>
      </c>
      <c r="AW3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3605.3846153846152</v>
      </c>
      <c r="AX30" s="39">
        <f>SUM(t_Parts[[#This Row],[pv2015.01]:[pv2015.12]])</f>
        <v>37496</v>
      </c>
      <c r="AY3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3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3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3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3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3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3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3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3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3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3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3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30" s="39">
        <f>SUM(t_Parts[[#This Row],[pv2016.01]:[pv2016.12]])</f>
        <v>0</v>
      </c>
      <c r="BL30" s="39">
        <f>t_Parts[[#This Row],[2017vol]]</f>
        <v>37496</v>
      </c>
      <c r="BM30" s="39">
        <f>t_Parts[[#This Row],[2018vol]]</f>
        <v>37496</v>
      </c>
      <c r="BN30" s="39">
        <f>t_Parts[[#This Row],[2019vol]]</f>
        <v>37496</v>
      </c>
      <c r="BO30" s="40">
        <f>VLOOKUP(t_Parts[[Plant]:[Plant]],t_Plants[],Plants!CN$1,FALSE)</f>
        <v>280</v>
      </c>
      <c r="BP30" s="14">
        <f>VLOOKUP(t_Parts[[Plant]:[Plant]],t_Plants[],Plants!CO$1,FALSE)</f>
        <v>280</v>
      </c>
      <c r="BQ30" s="14">
        <f>VLOOKUP(t_Parts[[Plant]:[Plant]],t_Plants[],Plants!CP$1,FALSE)</f>
        <v>350</v>
      </c>
      <c r="BR30" s="14">
        <f>VLOOKUP(t_Parts[[Plant]:[Plant]],t_Plants[],Plants!CQ$1,FALSE)</f>
        <v>280</v>
      </c>
      <c r="BS30" s="14">
        <f>VLOOKUP(t_Parts[[Plant]:[Plant]],t_Plants[],Plants!CR$1,FALSE)</f>
        <v>280</v>
      </c>
      <c r="BT30" s="14">
        <f>VLOOKUP(t_Parts[[Plant]:[Plant]],t_Plants[],Plants!CS$1,FALSE)</f>
        <v>350</v>
      </c>
      <c r="BU30" s="14">
        <f>VLOOKUP(t_Parts[[Plant]:[Plant]],t_Plants[],Plants!CT$1,FALSE)</f>
        <v>280</v>
      </c>
      <c r="BV30" s="14">
        <f>VLOOKUP(t_Parts[[Plant]:[Plant]],t_Plants[],Plants!CU$1,FALSE)</f>
        <v>280</v>
      </c>
      <c r="BW30" s="14">
        <f>VLOOKUP(t_Parts[[Plant]:[Plant]],t_Plants[],Plants!CV$1,FALSE)</f>
        <v>350</v>
      </c>
      <c r="BX30" s="14">
        <f>VLOOKUP(t_Parts[[Plant]:[Plant]],t_Plants[],Plants!CW$1,FALSE)</f>
        <v>280</v>
      </c>
      <c r="BY30" s="14">
        <f>VLOOKUP(t_Parts[[Plant]:[Plant]],t_Plants[],Plants!CX$1,FALSE)</f>
        <v>280</v>
      </c>
      <c r="BZ30" s="14">
        <f>VLOOKUP(t_Parts[[Plant]:[Plant]],t_Plants[],Plants!CY$1,FALSE)</f>
        <v>350</v>
      </c>
      <c r="CA30" s="40">
        <f>SUM(t_Parts[[#This Row],[ha2015.01]:[ha2015.12]])</f>
        <v>3640</v>
      </c>
      <c r="CB30" s="14">
        <f>VLOOKUP(t_Parts[[Plant]:[Plant]],t_Plants[],Plants!DA$1,FALSE)</f>
        <v>280</v>
      </c>
      <c r="CC30" s="14">
        <f>VLOOKUP(t_Parts[[Plant]:[Plant]],t_Plants[],Plants!DB$1,FALSE)</f>
        <v>280</v>
      </c>
      <c r="CD30" s="14">
        <f>VLOOKUP(t_Parts[[Plant]:[Plant]],t_Plants[],Plants!DC$1,FALSE)</f>
        <v>350</v>
      </c>
      <c r="CE30" s="14">
        <f>VLOOKUP(t_Parts[[Plant]:[Plant]],t_Plants[],Plants!DD$1,FALSE)</f>
        <v>280</v>
      </c>
      <c r="CF30" s="14">
        <f>VLOOKUP(t_Parts[[Plant]:[Plant]],t_Plants[],Plants!DE$1,FALSE)</f>
        <v>280</v>
      </c>
      <c r="CG30" s="14">
        <f>VLOOKUP(t_Parts[[Plant]:[Plant]],t_Plants[],Plants!DF$1,FALSE)</f>
        <v>350</v>
      </c>
      <c r="CH30" s="14">
        <f>VLOOKUP(t_Parts[[Plant]:[Plant]],t_Plants[],Plants!DG$1,FALSE)</f>
        <v>280</v>
      </c>
      <c r="CI30" s="14">
        <f>VLOOKUP(t_Parts[[Plant]:[Plant]],t_Plants[],Plants!DH$1,FALSE)</f>
        <v>280</v>
      </c>
      <c r="CJ30" s="14">
        <f>VLOOKUP(t_Parts[[Plant]:[Plant]],t_Plants[],Plants!DI$1,FALSE)</f>
        <v>350</v>
      </c>
      <c r="CK30" s="14">
        <f>VLOOKUP(t_Parts[[Plant]:[Plant]],t_Plants[],Plants!DJ$1,FALSE)</f>
        <v>280</v>
      </c>
      <c r="CL30" s="14">
        <f>VLOOKUP(t_Parts[[Plant]:[Plant]],t_Plants[],Plants!DK$1,FALSE)</f>
        <v>280</v>
      </c>
      <c r="CM30" s="14">
        <f>VLOOKUP(t_Parts[[Plant]:[Plant]],t_Plants[],Plants!DL$1,FALSE)</f>
        <v>350</v>
      </c>
      <c r="CN30" s="14">
        <f>VLOOKUP(t_Parts[[Plant]:[Plant]],t_Plants[],Plants!DM$1,FALSE)</f>
        <v>3640</v>
      </c>
      <c r="CO30" s="14">
        <f>VLOOKUP(t_Parts[[Plant]:[Plant]],t_Plants[],Plants!DN$1,FALSE)</f>
        <v>3640</v>
      </c>
      <c r="CP30" s="14">
        <f>VLOOKUP(t_Parts[[Plant]:[Plant]],t_Plants[],Plants!DO$1,FALSE)</f>
        <v>3640</v>
      </c>
      <c r="CQ30" s="14">
        <f>VLOOKUP(t_Parts[[Plant]:[Plant]],t_Plants[],Plants!DP$1,FALSE)</f>
        <v>3640</v>
      </c>
      <c r="CR30" s="39">
        <f>IF(AND(AL$3&gt;=VALUE(t_Parts[[SOP]:[SOP]]),AL$3&lt;=VALUE(t_Parts[[EOP]:[EOP]])), t_Parts[[SetupHrsPerMo]:[SetupHrsPerMo]]+(t_Parts[[#This Row],[pv2015.01]]/t_Parts[[NetPPH]:[NetPPH]]),0)</f>
        <v>4.4972360972360974</v>
      </c>
      <c r="CS30" s="39">
        <f>IF(AND(AM$3&gt;=VALUE(t_Parts[[SOP]:[SOP]]),AM$3&lt;=VALUE(t_Parts[[EOP]:[EOP]])), t_Parts[[SetupHrsPerMo]:[SetupHrsPerMo]]+(t_Parts[[#This Row],[pv2015.02]]/t_Parts[[NetPPH]:[NetPPH]]),0)</f>
        <v>4.4972360972360974</v>
      </c>
      <c r="CT30" s="39">
        <f>IF(AND(AN$3&gt;=VALUE(t_Parts[[SOP]:[SOP]]),AN$3&lt;=VALUE(t_Parts[[EOP]:[EOP]])), t_Parts[[SetupHrsPerMo]:[SetupHrsPerMo]]+(t_Parts[[#This Row],[pv2015.03]]/t_Parts[[NetPPH]:[NetPPH]]),0)</f>
        <v>5.1215451215451218</v>
      </c>
      <c r="CU30" s="39">
        <f>IF(AND(AO$3&gt;=VALUE(t_Parts[[SOP]:[SOP]]),AO$3&lt;=VALUE(t_Parts[[EOP]:[EOP]])), t_Parts[[SetupHrsPerMo]:[SetupHrsPerMo]]+(t_Parts[[#This Row],[pv2015.04]]/t_Parts[[NetPPH]:[NetPPH]]),0)</f>
        <v>4.4972360972360974</v>
      </c>
      <c r="CV30" s="39">
        <f>IF(AND(AP$3&gt;=VALUE(t_Parts[[SOP]:[SOP]]),AP$3&lt;=VALUE(t_Parts[[EOP]:[EOP]])), t_Parts[[SetupHrsPerMo]:[SetupHrsPerMo]]+(t_Parts[[#This Row],[pv2015.05]]/t_Parts[[NetPPH]:[NetPPH]]),0)</f>
        <v>4.4972360972360974</v>
      </c>
      <c r="CW30" s="39">
        <f>IF(AND(AQ$3&gt;=VALUE(t_Parts[[SOP]:[SOP]]),AQ$3&lt;=VALUE(t_Parts[[EOP]:[EOP]])), t_Parts[[SetupHrsPerMo]:[SetupHrsPerMo]]+(t_Parts[[#This Row],[pv2015.06]]/t_Parts[[NetPPH]:[NetPPH]]),0)</f>
        <v>5.1215451215451218</v>
      </c>
      <c r="CX30" s="39">
        <f>IF(AND(AR$3&gt;=VALUE(t_Parts[[SOP]:[SOP]]),AR$3&lt;=VALUE(t_Parts[[EOP]:[EOP]])), t_Parts[[SetupHrsPerMo]:[SetupHrsPerMo]]+(t_Parts[[#This Row],[pv2015.07]]/t_Parts[[NetPPH]:[NetPPH]]),0)</f>
        <v>4.4972360972360974</v>
      </c>
      <c r="CY30" s="39">
        <f>IF(AND(AS$3&gt;=VALUE(t_Parts[[SOP]:[SOP]]),AS$3&lt;=VALUE(t_Parts[[EOP]:[EOP]])), t_Parts[[SetupHrsPerMo]:[SetupHrsPerMo]]+(t_Parts[[#This Row],[pv2015.08]]/t_Parts[[NetPPH]:[NetPPH]]),0)</f>
        <v>4.4972360972360974</v>
      </c>
      <c r="CZ30" s="39">
        <f>IF(AND(AT$3&gt;=VALUE(t_Parts[[SOP]:[SOP]]),AT$3&lt;=VALUE(t_Parts[[EOP]:[EOP]])), t_Parts[[SetupHrsPerMo]:[SetupHrsPerMo]]+(t_Parts[[#This Row],[pv2015.09]]/t_Parts[[NetPPH]:[NetPPH]]),0)</f>
        <v>5.1215451215451218</v>
      </c>
      <c r="DA30" s="39">
        <f>IF(AND(AU$3&gt;=VALUE(t_Parts[[SOP]:[SOP]]),AU$3&lt;=VALUE(t_Parts[[EOP]:[EOP]])), t_Parts[[SetupHrsPerMo]:[SetupHrsPerMo]]+(t_Parts[[#This Row],[pv2015.10]]/t_Parts[[NetPPH]:[NetPPH]]),0)</f>
        <v>4.4972360972360974</v>
      </c>
      <c r="DB30" s="39">
        <f>IF(AND(AV$3&gt;=VALUE(t_Parts[[SOP]:[SOP]]),AV$3&lt;=VALUE(t_Parts[[EOP]:[EOP]])), t_Parts[[SetupHrsPerMo]:[SetupHrsPerMo]]+(t_Parts[[#This Row],[pv2015.11]]/t_Parts[[NetPPH]:[NetPPH]]),0)</f>
        <v>4.4972360972360974</v>
      </c>
      <c r="DC30" s="39">
        <f>IF(AND(AW$3&gt;=VALUE(t_Parts[[SOP]:[SOP]]),AW$3&lt;=VALUE(t_Parts[[EOP]:[EOP]])), t_Parts[[SetupHrsPerMo]:[SetupHrsPerMo]]+(t_Parts[[#This Row],[pv2015.12]]/t_Parts[[NetPPH]:[NetPPH]]),0)</f>
        <v>5.1215451215451218</v>
      </c>
      <c r="DD30" s="39">
        <f>SUM(t_Parts[[#This Row],[hp2015.01]:[hp2015.12]])</f>
        <v>56.464069264069266</v>
      </c>
      <c r="DE30" s="39">
        <f>IF(AND(AY$3&gt;=VALUE(t_Parts[[SOP]:[SOP]]),AY$3&lt;=VALUE(t_Parts[[EOP]:[EOP]])), t_Parts[[SetupHrsPerMo]:[SetupHrsPerMo]]+(t_Parts[[#This Row],[pv2016.01]]/t_Parts[[NetPPH]:[NetPPH]]),0)</f>
        <v>0</v>
      </c>
      <c r="DF30" s="39">
        <f>IF(AND(AZ$3&gt;=VALUE(t_Parts[[SOP]:[SOP]]),AZ$3&lt;=VALUE(t_Parts[[EOP]:[EOP]])), t_Parts[[SetupHrsPerMo]:[SetupHrsPerMo]]+(t_Parts[[#This Row],[pv2016.02]]/t_Parts[[NetPPH]:[NetPPH]]),0)</f>
        <v>0</v>
      </c>
      <c r="DG30" s="39">
        <f>IF(AND(BA$3&gt;=VALUE(t_Parts[[SOP]:[SOP]]),BA$3&lt;=VALUE(t_Parts[[EOP]:[EOP]])), t_Parts[[SetupHrsPerMo]:[SetupHrsPerMo]]+(t_Parts[[#This Row],[pv2016.03]]/t_Parts[[NetPPH]:[NetPPH]]),0)</f>
        <v>0</v>
      </c>
      <c r="DH30" s="39">
        <f>IF(AND(BB$3&gt;=VALUE(t_Parts[[SOP]:[SOP]]),BB$3&lt;=VALUE(t_Parts[[EOP]:[EOP]])), t_Parts[[SetupHrsPerMo]:[SetupHrsPerMo]]+(t_Parts[[#This Row],[pv2016.04]]/t_Parts[[NetPPH]:[NetPPH]]),0)</f>
        <v>0</v>
      </c>
      <c r="DI30" s="39">
        <f>IF(AND(BC$3&gt;=VALUE(t_Parts[[SOP]:[SOP]]),BC$3&lt;=VALUE(t_Parts[[EOP]:[EOP]])), t_Parts[[SetupHrsPerMo]:[SetupHrsPerMo]]+(t_Parts[[#This Row],[pv2016.05]]/t_Parts[[NetPPH]:[NetPPH]]),0)</f>
        <v>0</v>
      </c>
      <c r="DJ30" s="39">
        <f>IF(AND(BD$3&gt;=VALUE(t_Parts[[SOP]:[SOP]]),BD$3&lt;=VALUE(t_Parts[[EOP]:[EOP]])), t_Parts[[SetupHrsPerMo]:[SetupHrsPerMo]]+(t_Parts[[#This Row],[pv2016.06]]/t_Parts[[NetPPH]:[NetPPH]]),0)</f>
        <v>0</v>
      </c>
      <c r="DK30" s="39">
        <f>IF(AND(BE$3&gt;=VALUE(t_Parts[[SOP]:[SOP]]),BE$3&lt;=VALUE(t_Parts[[EOP]:[EOP]])), t_Parts[[SetupHrsPerMo]:[SetupHrsPerMo]]+(t_Parts[[#This Row],[pv2016.07]]/t_Parts[[NetPPH]:[NetPPH]]),0)</f>
        <v>0</v>
      </c>
      <c r="DL30" s="39">
        <f>IF(AND(BF$3&gt;=VALUE(t_Parts[[SOP]:[SOP]]),BF$3&lt;=VALUE(t_Parts[[EOP]:[EOP]])), t_Parts[[SetupHrsPerMo]:[SetupHrsPerMo]]+(t_Parts[[#This Row],[pv2016.08]]/t_Parts[[NetPPH]:[NetPPH]]),0)</f>
        <v>0</v>
      </c>
      <c r="DM30" s="39">
        <f>IF(AND(BG$3&gt;=VALUE(t_Parts[[SOP]:[SOP]]),BG$3&lt;=VALUE(t_Parts[[EOP]:[EOP]])), t_Parts[[SetupHrsPerMo]:[SetupHrsPerMo]]+(t_Parts[[#This Row],[pv2016.09]]/t_Parts[[NetPPH]:[NetPPH]]),0)</f>
        <v>0</v>
      </c>
      <c r="DN30" s="39">
        <f>IF(AND(BH$3&gt;=VALUE(t_Parts[[SOP]:[SOP]]),BH$3&lt;=VALUE(t_Parts[[EOP]:[EOP]])), t_Parts[[SetupHrsPerMo]:[SetupHrsPerMo]]+(t_Parts[[#This Row],[pv2016.10]]/t_Parts[[NetPPH]:[NetPPH]]),0)</f>
        <v>0</v>
      </c>
      <c r="DO30" s="39">
        <f>IF(AND(BI$3&gt;=VALUE(t_Parts[[SOP]:[SOP]]),BI$3&lt;=VALUE(t_Parts[[EOP]:[EOP]])), t_Parts[[SetupHrsPerMo]:[SetupHrsPerMo]]+(t_Parts[[#This Row],[pv2016.11]]/t_Parts[[NetPPH]:[NetPPH]]),0)</f>
        <v>0</v>
      </c>
      <c r="DP30" s="39">
        <f>IF(AND(BJ$3&gt;=VALUE(t_Parts[[SOP]:[SOP]]),BJ$3&lt;=VALUE(t_Parts[[EOP]:[EOP]])), t_Parts[[SetupHrsPerMo]:[SetupHrsPerMo]]+(t_Parts[[#This Row],[pv2016.12]]/t_Parts[[NetPPH]:[NetPPH]]),0)</f>
        <v>0</v>
      </c>
      <c r="DQ30" s="39">
        <f>SUM(t_Parts[[#This Row],[hp2016.01]:[hp2016.12]])</f>
        <v>0</v>
      </c>
      <c r="DR30" s="39">
        <f>IF(AND(BL$3&gt;=VALUE(t_Parts[[SOP]:[SOP]]),BL$3&lt;=VALUE(t_Parts[[EOP]:[EOP]])), 12*t_Parts[[SetupHrsPerMo]:[SetupHrsPerMo]]+(t_Parts[[#This Row],[pv2017]]/t_Parts[[NetPPH]:[NetPPH]]),0)</f>
        <v>0</v>
      </c>
      <c r="DS30" s="39">
        <f>IF(AND(BM$3&gt;=VALUE(t_Parts[[SOP]:[SOP]]),BM$3&lt;=VALUE(t_Parts[[EOP]:[EOP]])), 12*t_Parts[[SetupHrsPerMo]:[SetupHrsPerMo]]+(t_Parts[[#This Row],[pv2018]]/t_Parts[[NetPPH]:[NetPPH]]),0)</f>
        <v>0</v>
      </c>
      <c r="DT30" s="39">
        <f>IF(AND(BN$3&gt;=VALUE(t_Parts[[SOP]:[SOP]]),BN$3&lt;=VALUE(t_Parts[[EOP]:[EOP]])), 12*t_Parts[[SetupHrsPerMo]:[SetupHrsPerMo]]+(t_Parts[[#This Row],[pv2019]]/t_Parts[[NetPPH]:[NetPPH]]),0)</f>
        <v>0</v>
      </c>
      <c r="DU30" s="47">
        <f>t_Parts[[#This Row],[hp2015.01]]/t_Parts[[#This Row],[ha2015.01]]</f>
        <v>1.6061557490128921E-2</v>
      </c>
      <c r="DV30" s="47">
        <f>t_Parts[[#This Row],[hp2015.02]]/t_Parts[[#This Row],[ha2015.02]]</f>
        <v>1.6061557490128921E-2</v>
      </c>
      <c r="DW30" s="47">
        <f>t_Parts[[#This Row],[hp2015.03]]/t_Parts[[#This Row],[ha2015.03]]</f>
        <v>1.4632986061557491E-2</v>
      </c>
      <c r="DX30" s="47">
        <f>t_Parts[[#This Row],[hp2015.04]]/t_Parts[[#This Row],[ha2015.04]]</f>
        <v>1.6061557490128921E-2</v>
      </c>
      <c r="DY30" s="47">
        <f>t_Parts[[#This Row],[hp2015.05]]/t_Parts[[#This Row],[ha2015.05]]</f>
        <v>1.6061557490128921E-2</v>
      </c>
      <c r="DZ30" s="47">
        <f>t_Parts[[#This Row],[hp2015.06]]/t_Parts[[#This Row],[ha2015.06]]</f>
        <v>1.4632986061557491E-2</v>
      </c>
      <c r="EA30" s="47">
        <f>t_Parts[[#This Row],[hp2015.07]]/t_Parts[[#This Row],[ha2015.07]]</f>
        <v>1.6061557490128921E-2</v>
      </c>
      <c r="EB30" s="47">
        <f>t_Parts[[#This Row],[hp2015.08]]/t_Parts[[#This Row],[ha2015.08]]</f>
        <v>1.6061557490128921E-2</v>
      </c>
      <c r="EC30" s="47">
        <f>t_Parts[[#This Row],[hp2015.09]]/t_Parts[[#This Row],[ha2015.09]]</f>
        <v>1.4632986061557491E-2</v>
      </c>
      <c r="ED30" s="47">
        <f>t_Parts[[#This Row],[hp2015.10]]/t_Parts[[#This Row],[ha2015.10]]</f>
        <v>1.6061557490128921E-2</v>
      </c>
      <c r="EE30" s="47">
        <f>t_Parts[[#This Row],[hp2015.11]]/t_Parts[[#This Row],[ha2015.11]]</f>
        <v>1.6061557490128921E-2</v>
      </c>
      <c r="EF30" s="47">
        <f>t_Parts[[#This Row],[hp2015.12]]/t_Parts[[#This Row],[ha2015.12]]</f>
        <v>1.4632986061557491E-2</v>
      </c>
      <c r="EG30" s="47">
        <f>t_Parts[[#This Row],[hp2015.FY]]/t_Parts[[#This Row],[ha2015.FY]]</f>
        <v>1.551210694067837E-2</v>
      </c>
      <c r="EH30" s="47">
        <f>t_Parts[[#This Row],[hp2016.01]]/t_Parts[[#This Row],[ha2016.01]]</f>
        <v>0</v>
      </c>
      <c r="EI30" s="47">
        <f>t_Parts[[#This Row],[hp2016.02]]/t_Parts[[#This Row],[ha2016.02]]</f>
        <v>0</v>
      </c>
      <c r="EJ30" s="47">
        <f>t_Parts[[#This Row],[hp2016.03]]/t_Parts[[#This Row],[ha2016.03]]</f>
        <v>0</v>
      </c>
      <c r="EK30" s="47">
        <f>t_Parts[[#This Row],[hp2016.04]]/t_Parts[[#This Row],[ha2016.04]]</f>
        <v>0</v>
      </c>
      <c r="EL30" s="47">
        <f>t_Parts[[#This Row],[hp2016.05]]/t_Parts[[#This Row],[ha2016.05]]</f>
        <v>0</v>
      </c>
      <c r="EM30" s="47">
        <f>t_Parts[[#This Row],[hp2016.06]]/t_Parts[[#This Row],[ha2016.06]]</f>
        <v>0</v>
      </c>
      <c r="EN30" s="47">
        <f>t_Parts[[#This Row],[hp2016.07]]/t_Parts[[#This Row],[ha2016.07]]</f>
        <v>0</v>
      </c>
      <c r="EO30" s="47">
        <f>t_Parts[[#This Row],[hp2016.08]]/t_Parts[[#This Row],[ha2016.08]]</f>
        <v>0</v>
      </c>
      <c r="EP30" s="47">
        <f>t_Parts[[#This Row],[hp2016.09]]/t_Parts[[#This Row],[ha2016.09]]</f>
        <v>0</v>
      </c>
      <c r="EQ30" s="47">
        <f>t_Parts[[#This Row],[hp2016.10]]/t_Parts[[#This Row],[ha2016.10]]</f>
        <v>0</v>
      </c>
      <c r="ER30" s="47">
        <f>t_Parts[[#This Row],[hp2016.11]]/t_Parts[[#This Row],[ha2016.11]]</f>
        <v>0</v>
      </c>
      <c r="ES30" s="47">
        <f>t_Parts[[#This Row],[hp2016.12]]/t_Parts[[#This Row],[ha2016.12]]</f>
        <v>0</v>
      </c>
      <c r="ET30" s="47">
        <f>t_Parts[[#This Row],[hp2016.FY]]/t_Parts[[#This Row],[ha2016.FY]]</f>
        <v>0</v>
      </c>
      <c r="EU30" s="47">
        <f>t_Parts[[#This Row],[hp2017]]/t_Parts[[#This Row],[ha2017]]</f>
        <v>0</v>
      </c>
      <c r="EV30" s="47">
        <f>t_Parts[[#This Row],[hp2018]]/t_Parts[[#This Row],[ha2018]]</f>
        <v>0</v>
      </c>
      <c r="EW30" s="47">
        <f>t_Parts[[#This Row],[hp2019]]/t_Parts[[#This Row],[hp2015.01]]</f>
        <v>0</v>
      </c>
      <c r="EX30" s="58">
        <f>(t_Parts[[#This Row],[ha2015.01]]-t_Parts[[#This Row],[hp2015.01]])*t_Parts[[NetPPH]:[NetPPH]]</f>
        <v>318205.69230769231</v>
      </c>
      <c r="EY30" s="58">
        <f>(t_Parts[[#This Row],[ha2015.02]]-t_Parts[[#This Row],[hp2015.02]])*t_Parts[[NetPPH]:[NetPPH]]</f>
        <v>318205.69230769231</v>
      </c>
      <c r="EZ30" s="58">
        <f>(t_Parts[[#This Row],[ha2015.03]]-t_Parts[[#This Row],[hp2015.03]])*t_Parts[[NetPPH]:[NetPPH]]</f>
        <v>398334.61538461538</v>
      </c>
      <c r="FA30" s="58">
        <f>(t_Parts[[#This Row],[ha2015.04]]-t_Parts[[#This Row],[hp2015.04]])*t_Parts[[NetPPH]:[NetPPH]]</f>
        <v>318205.69230769231</v>
      </c>
      <c r="FB30" s="58">
        <f>(t_Parts[[#This Row],[ha2015.05]]-t_Parts[[#This Row],[hp2015.05]])*t_Parts[[NetPPH]:[NetPPH]]</f>
        <v>318205.69230769231</v>
      </c>
      <c r="FC30" s="58">
        <f>(t_Parts[[#This Row],[ha2015.06]]-t_Parts[[#This Row],[hp2015.06]])*t_Parts[[NetPPH]:[NetPPH]]</f>
        <v>398334.61538461538</v>
      </c>
      <c r="FD30" s="58">
        <f>(t_Parts[[#This Row],[ha2015.07]]-t_Parts[[#This Row],[hp2015.07]])*t_Parts[[NetPPH]:[NetPPH]]</f>
        <v>318205.69230769231</v>
      </c>
      <c r="FE30" s="58">
        <f>(t_Parts[[#This Row],[ha2015.08]]-t_Parts[[#This Row],[hp2015.08]])*t_Parts[[NetPPH]:[NetPPH]]</f>
        <v>318205.69230769231</v>
      </c>
      <c r="FF30" s="58">
        <f>(t_Parts[[#This Row],[ha2015.09]]-t_Parts[[#This Row],[hp2015.09]])*t_Parts[[NetPPH]:[NetPPH]]</f>
        <v>398334.61538461538</v>
      </c>
      <c r="FG30" s="58">
        <f>(t_Parts[[#This Row],[ha2015.10]]-t_Parts[[#This Row],[hp2015.10]])*t_Parts[[NetPPH]:[NetPPH]]</f>
        <v>318205.69230769231</v>
      </c>
      <c r="FH30" s="58">
        <f>(t_Parts[[#This Row],[ha2015.11]]-t_Parts[[#This Row],[hp2015.11]])*t_Parts[[NetPPH]:[NetPPH]]</f>
        <v>318205.69230769231</v>
      </c>
      <c r="FI30" s="58">
        <f>(t_Parts[[#This Row],[ha2015.12]]-t_Parts[[#This Row],[hp2015.12]])*t_Parts[[NetPPH]:[NetPPH]]</f>
        <v>398334.61538461538</v>
      </c>
      <c r="FJ30" s="58">
        <f>(t_Parts[[#This Row],[ha2015.FY]]-t_Parts[[#This Row],[hp2015.FY]])*t_Parts[[NetPPH]:[NetPPH]]</f>
        <v>4138984</v>
      </c>
      <c r="FK30" s="58">
        <f>(t_Parts[[#This Row],[ha2016.01]]-t_Parts[[#This Row],[hp2016.01]])*t_Parts[[NetPPH]:[NetPPH]]</f>
        <v>323400</v>
      </c>
      <c r="FL30" s="58">
        <f>(t_Parts[[#This Row],[ha2016.02]]-t_Parts[[#This Row],[hp2016.02]])*t_Parts[[NetPPH]:[NetPPH]]</f>
        <v>323400</v>
      </c>
      <c r="FM30" s="58">
        <f>(t_Parts[[#This Row],[ha2016.03]]-t_Parts[[#This Row],[hp2016.03]])*t_Parts[[NetPPH]:[NetPPH]]</f>
        <v>404250</v>
      </c>
      <c r="FN30" s="58">
        <f>(t_Parts[[#This Row],[ha2016.04]]-t_Parts[[#This Row],[hp2016.04]])*t_Parts[[NetPPH]:[NetPPH]]</f>
        <v>323400</v>
      </c>
      <c r="FO30" s="58">
        <f>(t_Parts[[#This Row],[ha2016.05]]-t_Parts[[#This Row],[hp2016.05]])*t_Parts[[NetPPH]:[NetPPH]]</f>
        <v>323400</v>
      </c>
      <c r="FP30" s="58">
        <f>(t_Parts[[#This Row],[ha2016.06]]-t_Parts[[#This Row],[hp2016.06]])*t_Parts[[NetPPH]:[NetPPH]]</f>
        <v>404250</v>
      </c>
      <c r="FQ30" s="58">
        <f>(t_Parts[[#This Row],[ha2016.07]]-t_Parts[[#This Row],[hp2016.07]])*t_Parts[[NetPPH]:[NetPPH]]</f>
        <v>323400</v>
      </c>
      <c r="FR30" s="58">
        <f>(t_Parts[[#This Row],[ha2016.08]]-t_Parts[[#This Row],[hp2016.08]])*t_Parts[[NetPPH]:[NetPPH]]</f>
        <v>323400</v>
      </c>
      <c r="FS30" s="58">
        <f>(t_Parts[[#This Row],[ha2016.09]]-t_Parts[[#This Row],[hp2016.09]])*t_Parts[[NetPPH]:[NetPPH]]</f>
        <v>404250</v>
      </c>
      <c r="FT30" s="58">
        <f>(t_Parts[[#This Row],[ha2016.10]]-t_Parts[[#This Row],[hp2016.10]])*t_Parts[[NetPPH]:[NetPPH]]</f>
        <v>323400</v>
      </c>
      <c r="FU30" s="58">
        <f>(t_Parts[[#This Row],[ha2016.11]]-t_Parts[[#This Row],[hp2016.11]])*t_Parts[[NetPPH]:[NetPPH]]</f>
        <v>323400</v>
      </c>
      <c r="FV30" s="58">
        <f>(t_Parts[[#This Row],[ha2016.12]]-t_Parts[[#This Row],[hp2016.12]])*t_Parts[[NetPPH]:[NetPPH]]</f>
        <v>404250</v>
      </c>
      <c r="FW30" s="58">
        <f>(t_Parts[[#This Row],[ha2016.FY]]-t_Parts[[#This Row],[hp2016.FY]])*t_Parts[[NetPPH]:[NetPPH]]</f>
        <v>4204200</v>
      </c>
      <c r="FX30" s="58">
        <f>(t_Parts[[#This Row],[ha2017]]-t_Parts[[#This Row],[hp2017]])*t_Parts[[NetPPH]:[NetPPH]]</f>
        <v>4204200</v>
      </c>
      <c r="FY30" s="58">
        <f>(t_Parts[[#This Row],[ha2018]]-t_Parts[[#This Row],[hp2018]])*t_Parts[[NetPPH]:[NetPPH]]</f>
        <v>4204200</v>
      </c>
      <c r="FZ30" s="58">
        <f>(t_Parts[[#This Row],[ha2019]]-t_Parts[[#This Row],[hp2019]])*t_Parts[[NetPPH]:[NetPPH]]</f>
        <v>4204200</v>
      </c>
    </row>
    <row r="31" spans="1:182" s="14" customFormat="1" x14ac:dyDescent="0.25">
      <c r="A31" s="74" t="s">
        <v>564</v>
      </c>
      <c r="B31" s="74"/>
      <c r="C31" s="74">
        <v>21003</v>
      </c>
      <c r="D31" s="75">
        <v>1</v>
      </c>
      <c r="E31" s="73">
        <v>2100</v>
      </c>
      <c r="F31" s="76">
        <v>1</v>
      </c>
      <c r="G31" s="77">
        <v>2</v>
      </c>
      <c r="H31" s="16">
        <v>2015.01</v>
      </c>
      <c r="I31" s="16" t="s">
        <v>332</v>
      </c>
      <c r="J31" s="73">
        <v>52996</v>
      </c>
      <c r="K31" s="73">
        <v>52996</v>
      </c>
      <c r="L31" s="73">
        <v>52996</v>
      </c>
      <c r="M31" s="73">
        <v>52996</v>
      </c>
      <c r="N31" s="73">
        <v>52996</v>
      </c>
      <c r="O31" s="78">
        <v>30</v>
      </c>
      <c r="P31" s="78">
        <v>70</v>
      </c>
      <c r="Q31" s="79">
        <v>21.032</v>
      </c>
      <c r="R31" s="79"/>
      <c r="S31" s="78">
        <v>161</v>
      </c>
      <c r="T31" s="80">
        <v>14.5</v>
      </c>
      <c r="U31" s="80" t="s">
        <v>121</v>
      </c>
      <c r="V31" s="81" t="s">
        <v>565</v>
      </c>
      <c r="W31" s="82">
        <v>0.99</v>
      </c>
      <c r="X31" s="82" t="s">
        <v>501</v>
      </c>
      <c r="Y31" s="82"/>
      <c r="Z31" s="82"/>
      <c r="AA31" s="82"/>
      <c r="AB31" s="82"/>
      <c r="AC31" s="83" t="s">
        <v>667</v>
      </c>
      <c r="AD31" s="40" t="str">
        <f>VLOOKUP(t_Parts[[#This Row],[Press]],t_Presses[],Press!B$1,FALSE)</f>
        <v>Plainfield</v>
      </c>
      <c r="AE31" s="40" t="str">
        <f>VLOOKUP(t_Parts[[#This Row],[Press]],t_Presses[],Press!E$1,FALSE)</f>
        <v>300-599</v>
      </c>
      <c r="AF31" s="47">
        <f>VLOOKUP(t_Parts[[#This Row],[Plant]],t_Plants[],Plants!C$1,FALSE)</f>
        <v>0.55000000000000004</v>
      </c>
      <c r="AG31" s="47">
        <f>VLOOKUP(t_Parts[[#This Row],[Press]],t_Presses[],Press!F$1,FALSE)</f>
        <v>0</v>
      </c>
      <c r="AH31" s="84"/>
      <c r="AI31" s="47">
        <f>IF(ISBLANK(t_Parts[[#This Row],[PartOEE]])=FALSE,t_Parts[[#This Row],[PartOEE]], IF(t_Parts[[#This Row],[PressOEE]]&gt;0, t_Parts[[#This Row],[PressOEE]], t_Parts[[#This Row],[PlantOEE]] ))</f>
        <v>0.55000000000000004</v>
      </c>
      <c r="AJ31" s="70">
        <f>t_Parts[[#This Row],[SetupsPerMo]]*t_Parts[[#This Row],[SetupHrs]]</f>
        <v>2</v>
      </c>
      <c r="AK31" s="39">
        <f>(t_Parts[[#This Row],[PartsPerStroke]]*t_Parts[[#This Row],[StrokesPerHr]])*t_Parts[[#This Row],[UseOEE]]</f>
        <v>1155</v>
      </c>
      <c r="AL3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4076.6153846153848</v>
      </c>
      <c r="AM3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4076.6153846153848</v>
      </c>
      <c r="AN3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5095.7692307692305</v>
      </c>
      <c r="AO3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4076.6153846153848</v>
      </c>
      <c r="AP3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4076.6153846153848</v>
      </c>
      <c r="AQ3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5095.7692307692305</v>
      </c>
      <c r="AR3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4076.6153846153848</v>
      </c>
      <c r="AS3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4076.6153846153848</v>
      </c>
      <c r="AT3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5095.7692307692305</v>
      </c>
      <c r="AU3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4076.6153846153848</v>
      </c>
      <c r="AV3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4076.6153846153848</v>
      </c>
      <c r="AW3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5095.7692307692305</v>
      </c>
      <c r="AX31" s="39">
        <f>SUM(t_Parts[[#This Row],[pv2015.01]:[pv2015.12]])</f>
        <v>52996</v>
      </c>
      <c r="AY3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4076.6153846153848</v>
      </c>
      <c r="AZ3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4076.6153846153848</v>
      </c>
      <c r="BA3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5095.7692307692305</v>
      </c>
      <c r="BB3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4076.6153846153848</v>
      </c>
      <c r="BC3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4076.6153846153848</v>
      </c>
      <c r="BD3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5095.7692307692305</v>
      </c>
      <c r="BE3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4076.6153846153848</v>
      </c>
      <c r="BF3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4076.6153846153848</v>
      </c>
      <c r="BG3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5095.7692307692305</v>
      </c>
      <c r="BH3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4076.6153846153848</v>
      </c>
      <c r="BI3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4076.6153846153848</v>
      </c>
      <c r="BJ3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5095.7692307692305</v>
      </c>
      <c r="BK31" s="39">
        <f>SUM(t_Parts[[#This Row],[pv2016.01]:[pv2016.12]])</f>
        <v>52996</v>
      </c>
      <c r="BL31" s="39">
        <f>t_Parts[[#This Row],[2017vol]]</f>
        <v>52996</v>
      </c>
      <c r="BM31" s="39">
        <f>t_Parts[[#This Row],[2018vol]]</f>
        <v>52996</v>
      </c>
      <c r="BN31" s="39">
        <f>t_Parts[[#This Row],[2019vol]]</f>
        <v>52996</v>
      </c>
      <c r="BO31" s="40">
        <f>VLOOKUP(t_Parts[[Plant]:[Plant]],t_Plants[],Plants!CN$1,FALSE)</f>
        <v>280</v>
      </c>
      <c r="BP31" s="14">
        <f>VLOOKUP(t_Parts[[Plant]:[Plant]],t_Plants[],Plants!CO$1,FALSE)</f>
        <v>280</v>
      </c>
      <c r="BQ31" s="14">
        <f>VLOOKUP(t_Parts[[Plant]:[Plant]],t_Plants[],Plants!CP$1,FALSE)</f>
        <v>350</v>
      </c>
      <c r="BR31" s="14">
        <f>VLOOKUP(t_Parts[[Plant]:[Plant]],t_Plants[],Plants!CQ$1,FALSE)</f>
        <v>280</v>
      </c>
      <c r="BS31" s="14">
        <f>VLOOKUP(t_Parts[[Plant]:[Plant]],t_Plants[],Plants!CR$1,FALSE)</f>
        <v>280</v>
      </c>
      <c r="BT31" s="14">
        <f>VLOOKUP(t_Parts[[Plant]:[Plant]],t_Plants[],Plants!CS$1,FALSE)</f>
        <v>350</v>
      </c>
      <c r="BU31" s="14">
        <f>VLOOKUP(t_Parts[[Plant]:[Plant]],t_Plants[],Plants!CT$1,FALSE)</f>
        <v>280</v>
      </c>
      <c r="BV31" s="14">
        <f>VLOOKUP(t_Parts[[Plant]:[Plant]],t_Plants[],Plants!CU$1,FALSE)</f>
        <v>280</v>
      </c>
      <c r="BW31" s="14">
        <f>VLOOKUP(t_Parts[[Plant]:[Plant]],t_Plants[],Plants!CV$1,FALSE)</f>
        <v>350</v>
      </c>
      <c r="BX31" s="14">
        <f>VLOOKUP(t_Parts[[Plant]:[Plant]],t_Plants[],Plants!CW$1,FALSE)</f>
        <v>280</v>
      </c>
      <c r="BY31" s="14">
        <f>VLOOKUP(t_Parts[[Plant]:[Plant]],t_Plants[],Plants!CX$1,FALSE)</f>
        <v>280</v>
      </c>
      <c r="BZ31" s="14">
        <f>VLOOKUP(t_Parts[[Plant]:[Plant]],t_Plants[],Plants!CY$1,FALSE)</f>
        <v>350</v>
      </c>
      <c r="CA31" s="40">
        <f>SUM(t_Parts[[#This Row],[ha2015.01]:[ha2015.12]])</f>
        <v>3640</v>
      </c>
      <c r="CB31" s="14">
        <f>VLOOKUP(t_Parts[[Plant]:[Plant]],t_Plants[],Plants!DA$1,FALSE)</f>
        <v>280</v>
      </c>
      <c r="CC31" s="14">
        <f>VLOOKUP(t_Parts[[Plant]:[Plant]],t_Plants[],Plants!DB$1,FALSE)</f>
        <v>280</v>
      </c>
      <c r="CD31" s="14">
        <f>VLOOKUP(t_Parts[[Plant]:[Plant]],t_Plants[],Plants!DC$1,FALSE)</f>
        <v>350</v>
      </c>
      <c r="CE31" s="14">
        <f>VLOOKUP(t_Parts[[Plant]:[Plant]],t_Plants[],Plants!DD$1,FALSE)</f>
        <v>280</v>
      </c>
      <c r="CF31" s="14">
        <f>VLOOKUP(t_Parts[[Plant]:[Plant]],t_Plants[],Plants!DE$1,FALSE)</f>
        <v>280</v>
      </c>
      <c r="CG31" s="14">
        <f>VLOOKUP(t_Parts[[Plant]:[Plant]],t_Plants[],Plants!DF$1,FALSE)</f>
        <v>350</v>
      </c>
      <c r="CH31" s="14">
        <f>VLOOKUP(t_Parts[[Plant]:[Plant]],t_Plants[],Plants!DG$1,FALSE)</f>
        <v>280</v>
      </c>
      <c r="CI31" s="14">
        <f>VLOOKUP(t_Parts[[Plant]:[Plant]],t_Plants[],Plants!DH$1,FALSE)</f>
        <v>280</v>
      </c>
      <c r="CJ31" s="14">
        <f>VLOOKUP(t_Parts[[Plant]:[Plant]],t_Plants[],Plants!DI$1,FALSE)</f>
        <v>350</v>
      </c>
      <c r="CK31" s="14">
        <f>VLOOKUP(t_Parts[[Plant]:[Plant]],t_Plants[],Plants!DJ$1,FALSE)</f>
        <v>280</v>
      </c>
      <c r="CL31" s="14">
        <f>VLOOKUP(t_Parts[[Plant]:[Plant]],t_Plants[],Plants!DK$1,FALSE)</f>
        <v>280</v>
      </c>
      <c r="CM31" s="14">
        <f>VLOOKUP(t_Parts[[Plant]:[Plant]],t_Plants[],Plants!DL$1,FALSE)</f>
        <v>350</v>
      </c>
      <c r="CN31" s="14">
        <f>VLOOKUP(t_Parts[[Plant]:[Plant]],t_Plants[],Plants!DM$1,FALSE)</f>
        <v>3640</v>
      </c>
      <c r="CO31" s="14">
        <f>VLOOKUP(t_Parts[[Plant]:[Plant]],t_Plants[],Plants!DN$1,FALSE)</f>
        <v>3640</v>
      </c>
      <c r="CP31" s="14">
        <f>VLOOKUP(t_Parts[[Plant]:[Plant]],t_Plants[],Plants!DO$1,FALSE)</f>
        <v>3640</v>
      </c>
      <c r="CQ31" s="14">
        <f>VLOOKUP(t_Parts[[Plant]:[Plant]],t_Plants[],Plants!DP$1,FALSE)</f>
        <v>3640</v>
      </c>
      <c r="CR31" s="39">
        <f>IF(AND(AL$3&gt;=VALUE(t_Parts[[SOP]:[SOP]]),AL$3&lt;=VALUE(t_Parts[[EOP]:[EOP]])), t_Parts[[SetupHrsPerMo]:[SetupHrsPerMo]]+(t_Parts[[#This Row],[pv2015.01]]/t_Parts[[NetPPH]:[NetPPH]]),0)</f>
        <v>5.5295371295371298</v>
      </c>
      <c r="CS31" s="39">
        <f>IF(AND(AM$3&gt;=VALUE(t_Parts[[SOP]:[SOP]]),AM$3&lt;=VALUE(t_Parts[[EOP]:[EOP]])), t_Parts[[SetupHrsPerMo]:[SetupHrsPerMo]]+(t_Parts[[#This Row],[pv2015.02]]/t_Parts[[NetPPH]:[NetPPH]]),0)</f>
        <v>5.5295371295371298</v>
      </c>
      <c r="CT31" s="39">
        <f>IF(AND(AN$3&gt;=VALUE(t_Parts[[SOP]:[SOP]]),AN$3&lt;=VALUE(t_Parts[[EOP]:[EOP]])), t_Parts[[SetupHrsPerMo]:[SetupHrsPerMo]]+(t_Parts[[#This Row],[pv2015.03]]/t_Parts[[NetPPH]:[NetPPH]]),0)</f>
        <v>6.4119214119214121</v>
      </c>
      <c r="CU31" s="39">
        <f>IF(AND(AO$3&gt;=VALUE(t_Parts[[SOP]:[SOP]]),AO$3&lt;=VALUE(t_Parts[[EOP]:[EOP]])), t_Parts[[SetupHrsPerMo]:[SetupHrsPerMo]]+(t_Parts[[#This Row],[pv2015.04]]/t_Parts[[NetPPH]:[NetPPH]]),0)</f>
        <v>5.5295371295371298</v>
      </c>
      <c r="CV31" s="39">
        <f>IF(AND(AP$3&gt;=VALUE(t_Parts[[SOP]:[SOP]]),AP$3&lt;=VALUE(t_Parts[[EOP]:[EOP]])), t_Parts[[SetupHrsPerMo]:[SetupHrsPerMo]]+(t_Parts[[#This Row],[pv2015.05]]/t_Parts[[NetPPH]:[NetPPH]]),0)</f>
        <v>5.5295371295371298</v>
      </c>
      <c r="CW31" s="39">
        <f>IF(AND(AQ$3&gt;=VALUE(t_Parts[[SOP]:[SOP]]),AQ$3&lt;=VALUE(t_Parts[[EOP]:[EOP]])), t_Parts[[SetupHrsPerMo]:[SetupHrsPerMo]]+(t_Parts[[#This Row],[pv2015.06]]/t_Parts[[NetPPH]:[NetPPH]]),0)</f>
        <v>6.4119214119214121</v>
      </c>
      <c r="CX31" s="39">
        <f>IF(AND(AR$3&gt;=VALUE(t_Parts[[SOP]:[SOP]]),AR$3&lt;=VALUE(t_Parts[[EOP]:[EOP]])), t_Parts[[SetupHrsPerMo]:[SetupHrsPerMo]]+(t_Parts[[#This Row],[pv2015.07]]/t_Parts[[NetPPH]:[NetPPH]]),0)</f>
        <v>5.5295371295371298</v>
      </c>
      <c r="CY31" s="39">
        <f>IF(AND(AS$3&gt;=VALUE(t_Parts[[SOP]:[SOP]]),AS$3&lt;=VALUE(t_Parts[[EOP]:[EOP]])), t_Parts[[SetupHrsPerMo]:[SetupHrsPerMo]]+(t_Parts[[#This Row],[pv2015.08]]/t_Parts[[NetPPH]:[NetPPH]]),0)</f>
        <v>5.5295371295371298</v>
      </c>
      <c r="CZ31" s="39">
        <f>IF(AND(AT$3&gt;=VALUE(t_Parts[[SOP]:[SOP]]),AT$3&lt;=VALUE(t_Parts[[EOP]:[EOP]])), t_Parts[[SetupHrsPerMo]:[SetupHrsPerMo]]+(t_Parts[[#This Row],[pv2015.09]]/t_Parts[[NetPPH]:[NetPPH]]),0)</f>
        <v>6.4119214119214121</v>
      </c>
      <c r="DA31" s="39">
        <f>IF(AND(AU$3&gt;=VALUE(t_Parts[[SOP]:[SOP]]),AU$3&lt;=VALUE(t_Parts[[EOP]:[EOP]])), t_Parts[[SetupHrsPerMo]:[SetupHrsPerMo]]+(t_Parts[[#This Row],[pv2015.10]]/t_Parts[[NetPPH]:[NetPPH]]),0)</f>
        <v>5.5295371295371298</v>
      </c>
      <c r="DB31" s="39">
        <f>IF(AND(AV$3&gt;=VALUE(t_Parts[[SOP]:[SOP]]),AV$3&lt;=VALUE(t_Parts[[EOP]:[EOP]])), t_Parts[[SetupHrsPerMo]:[SetupHrsPerMo]]+(t_Parts[[#This Row],[pv2015.11]]/t_Parts[[NetPPH]:[NetPPH]]),0)</f>
        <v>5.5295371295371298</v>
      </c>
      <c r="DC31" s="39">
        <f>IF(AND(AW$3&gt;=VALUE(t_Parts[[SOP]:[SOP]]),AW$3&lt;=VALUE(t_Parts[[EOP]:[EOP]])), t_Parts[[SetupHrsPerMo]:[SetupHrsPerMo]]+(t_Parts[[#This Row],[pv2015.12]]/t_Parts[[NetPPH]:[NetPPH]]),0)</f>
        <v>6.4119214119214121</v>
      </c>
      <c r="DD31" s="39">
        <f>SUM(t_Parts[[#This Row],[hp2015.01]:[hp2015.12]])</f>
        <v>69.883982683982694</v>
      </c>
      <c r="DE31" s="39">
        <f>IF(AND(AY$3&gt;=VALUE(t_Parts[[SOP]:[SOP]]),AY$3&lt;=VALUE(t_Parts[[EOP]:[EOP]])), t_Parts[[SetupHrsPerMo]:[SetupHrsPerMo]]+(t_Parts[[#This Row],[pv2016.01]]/t_Parts[[NetPPH]:[NetPPH]]),0)</f>
        <v>5.5295371295371298</v>
      </c>
      <c r="DF31" s="39">
        <f>IF(AND(AZ$3&gt;=VALUE(t_Parts[[SOP]:[SOP]]),AZ$3&lt;=VALUE(t_Parts[[EOP]:[EOP]])), t_Parts[[SetupHrsPerMo]:[SetupHrsPerMo]]+(t_Parts[[#This Row],[pv2016.02]]/t_Parts[[NetPPH]:[NetPPH]]),0)</f>
        <v>5.5295371295371298</v>
      </c>
      <c r="DG31" s="39">
        <f>IF(AND(BA$3&gt;=VALUE(t_Parts[[SOP]:[SOP]]),BA$3&lt;=VALUE(t_Parts[[EOP]:[EOP]])), t_Parts[[SetupHrsPerMo]:[SetupHrsPerMo]]+(t_Parts[[#This Row],[pv2016.03]]/t_Parts[[NetPPH]:[NetPPH]]),0)</f>
        <v>6.4119214119214121</v>
      </c>
      <c r="DH31" s="39">
        <f>IF(AND(BB$3&gt;=VALUE(t_Parts[[SOP]:[SOP]]),BB$3&lt;=VALUE(t_Parts[[EOP]:[EOP]])), t_Parts[[SetupHrsPerMo]:[SetupHrsPerMo]]+(t_Parts[[#This Row],[pv2016.04]]/t_Parts[[NetPPH]:[NetPPH]]),0)</f>
        <v>5.5295371295371298</v>
      </c>
      <c r="DI31" s="39">
        <f>IF(AND(BC$3&gt;=VALUE(t_Parts[[SOP]:[SOP]]),BC$3&lt;=VALUE(t_Parts[[EOP]:[EOP]])), t_Parts[[SetupHrsPerMo]:[SetupHrsPerMo]]+(t_Parts[[#This Row],[pv2016.05]]/t_Parts[[NetPPH]:[NetPPH]]),0)</f>
        <v>5.5295371295371298</v>
      </c>
      <c r="DJ31" s="39">
        <f>IF(AND(BD$3&gt;=VALUE(t_Parts[[SOP]:[SOP]]),BD$3&lt;=VALUE(t_Parts[[EOP]:[EOP]])), t_Parts[[SetupHrsPerMo]:[SetupHrsPerMo]]+(t_Parts[[#This Row],[pv2016.06]]/t_Parts[[NetPPH]:[NetPPH]]),0)</f>
        <v>6.4119214119214121</v>
      </c>
      <c r="DK31" s="39">
        <f>IF(AND(BE$3&gt;=VALUE(t_Parts[[SOP]:[SOP]]),BE$3&lt;=VALUE(t_Parts[[EOP]:[EOP]])), t_Parts[[SetupHrsPerMo]:[SetupHrsPerMo]]+(t_Parts[[#This Row],[pv2016.07]]/t_Parts[[NetPPH]:[NetPPH]]),0)</f>
        <v>5.5295371295371298</v>
      </c>
      <c r="DL31" s="39">
        <f>IF(AND(BF$3&gt;=VALUE(t_Parts[[SOP]:[SOP]]),BF$3&lt;=VALUE(t_Parts[[EOP]:[EOP]])), t_Parts[[SetupHrsPerMo]:[SetupHrsPerMo]]+(t_Parts[[#This Row],[pv2016.08]]/t_Parts[[NetPPH]:[NetPPH]]),0)</f>
        <v>5.5295371295371298</v>
      </c>
      <c r="DM31" s="39">
        <f>IF(AND(BG$3&gt;=VALUE(t_Parts[[SOP]:[SOP]]),BG$3&lt;=VALUE(t_Parts[[EOP]:[EOP]])), t_Parts[[SetupHrsPerMo]:[SetupHrsPerMo]]+(t_Parts[[#This Row],[pv2016.09]]/t_Parts[[NetPPH]:[NetPPH]]),0)</f>
        <v>6.4119214119214121</v>
      </c>
      <c r="DN31" s="39">
        <f>IF(AND(BH$3&gt;=VALUE(t_Parts[[SOP]:[SOP]]),BH$3&lt;=VALUE(t_Parts[[EOP]:[EOP]])), t_Parts[[SetupHrsPerMo]:[SetupHrsPerMo]]+(t_Parts[[#This Row],[pv2016.10]]/t_Parts[[NetPPH]:[NetPPH]]),0)</f>
        <v>5.5295371295371298</v>
      </c>
      <c r="DO31" s="39">
        <f>IF(AND(BI$3&gt;=VALUE(t_Parts[[SOP]:[SOP]]),BI$3&lt;=VALUE(t_Parts[[EOP]:[EOP]])), t_Parts[[SetupHrsPerMo]:[SetupHrsPerMo]]+(t_Parts[[#This Row],[pv2016.11]]/t_Parts[[NetPPH]:[NetPPH]]),0)</f>
        <v>5.5295371295371298</v>
      </c>
      <c r="DP31" s="39">
        <f>IF(AND(BJ$3&gt;=VALUE(t_Parts[[SOP]:[SOP]]),BJ$3&lt;=VALUE(t_Parts[[EOP]:[EOP]])), t_Parts[[SetupHrsPerMo]:[SetupHrsPerMo]]+(t_Parts[[#This Row],[pv2016.12]]/t_Parts[[NetPPH]:[NetPPH]]),0)</f>
        <v>6.4119214119214121</v>
      </c>
      <c r="DQ31" s="39">
        <f>SUM(t_Parts[[#This Row],[hp2016.01]:[hp2016.12]])</f>
        <v>69.883982683982694</v>
      </c>
      <c r="DR31" s="39">
        <f>IF(AND(BL$3&gt;=VALUE(t_Parts[[SOP]:[SOP]]),BL$3&lt;=VALUE(t_Parts[[EOP]:[EOP]])), 12*t_Parts[[SetupHrsPerMo]:[SetupHrsPerMo]]+(t_Parts[[#This Row],[pv2017]]/t_Parts[[NetPPH]:[NetPPH]]),0)</f>
        <v>0</v>
      </c>
      <c r="DS31" s="39">
        <f>IF(AND(BM$3&gt;=VALUE(t_Parts[[SOP]:[SOP]]),BM$3&lt;=VALUE(t_Parts[[EOP]:[EOP]])), 12*t_Parts[[SetupHrsPerMo]:[SetupHrsPerMo]]+(t_Parts[[#This Row],[pv2018]]/t_Parts[[NetPPH]:[NetPPH]]),0)</f>
        <v>0</v>
      </c>
      <c r="DT31" s="39">
        <f>IF(AND(BN$3&gt;=VALUE(t_Parts[[SOP]:[SOP]]),BN$3&lt;=VALUE(t_Parts[[EOP]:[EOP]])), 12*t_Parts[[SetupHrsPerMo]:[SetupHrsPerMo]]+(t_Parts[[#This Row],[pv2019]]/t_Parts[[NetPPH]:[NetPPH]]),0)</f>
        <v>0</v>
      </c>
      <c r="DU31" s="47">
        <f>t_Parts[[#This Row],[hp2015.01]]/t_Parts[[#This Row],[ha2015.01]]</f>
        <v>1.9748346891204034E-2</v>
      </c>
      <c r="DV31" s="47">
        <f>t_Parts[[#This Row],[hp2015.02]]/t_Parts[[#This Row],[ha2015.02]]</f>
        <v>1.9748346891204034E-2</v>
      </c>
      <c r="DW31" s="47">
        <f>t_Parts[[#This Row],[hp2015.03]]/t_Parts[[#This Row],[ha2015.03]]</f>
        <v>1.8319775462632606E-2</v>
      </c>
      <c r="DX31" s="47">
        <f>t_Parts[[#This Row],[hp2015.04]]/t_Parts[[#This Row],[ha2015.04]]</f>
        <v>1.9748346891204034E-2</v>
      </c>
      <c r="DY31" s="47">
        <f>t_Parts[[#This Row],[hp2015.05]]/t_Parts[[#This Row],[ha2015.05]]</f>
        <v>1.9748346891204034E-2</v>
      </c>
      <c r="DZ31" s="47">
        <f>t_Parts[[#This Row],[hp2015.06]]/t_Parts[[#This Row],[ha2015.06]]</f>
        <v>1.8319775462632606E-2</v>
      </c>
      <c r="EA31" s="47">
        <f>t_Parts[[#This Row],[hp2015.07]]/t_Parts[[#This Row],[ha2015.07]]</f>
        <v>1.9748346891204034E-2</v>
      </c>
      <c r="EB31" s="47">
        <f>t_Parts[[#This Row],[hp2015.08]]/t_Parts[[#This Row],[ha2015.08]]</f>
        <v>1.9748346891204034E-2</v>
      </c>
      <c r="EC31" s="47">
        <f>t_Parts[[#This Row],[hp2015.09]]/t_Parts[[#This Row],[ha2015.09]]</f>
        <v>1.8319775462632606E-2</v>
      </c>
      <c r="ED31" s="47">
        <f>t_Parts[[#This Row],[hp2015.10]]/t_Parts[[#This Row],[ha2015.10]]</f>
        <v>1.9748346891204034E-2</v>
      </c>
      <c r="EE31" s="47">
        <f>t_Parts[[#This Row],[hp2015.11]]/t_Parts[[#This Row],[ha2015.11]]</f>
        <v>1.9748346891204034E-2</v>
      </c>
      <c r="EF31" s="47">
        <f>t_Parts[[#This Row],[hp2015.12]]/t_Parts[[#This Row],[ha2015.12]]</f>
        <v>1.8319775462632606E-2</v>
      </c>
      <c r="EG31" s="47">
        <f>t_Parts[[#This Row],[hp2015.FY]]/t_Parts[[#This Row],[ha2015.FY]]</f>
        <v>1.9198896341753487E-2</v>
      </c>
      <c r="EH31" s="47">
        <f>t_Parts[[#This Row],[hp2016.01]]/t_Parts[[#This Row],[ha2016.01]]</f>
        <v>1.9748346891204034E-2</v>
      </c>
      <c r="EI31" s="47">
        <f>t_Parts[[#This Row],[hp2016.02]]/t_Parts[[#This Row],[ha2016.02]]</f>
        <v>1.9748346891204034E-2</v>
      </c>
      <c r="EJ31" s="47">
        <f>t_Parts[[#This Row],[hp2016.03]]/t_Parts[[#This Row],[ha2016.03]]</f>
        <v>1.8319775462632606E-2</v>
      </c>
      <c r="EK31" s="47">
        <f>t_Parts[[#This Row],[hp2016.04]]/t_Parts[[#This Row],[ha2016.04]]</f>
        <v>1.9748346891204034E-2</v>
      </c>
      <c r="EL31" s="47">
        <f>t_Parts[[#This Row],[hp2016.05]]/t_Parts[[#This Row],[ha2016.05]]</f>
        <v>1.9748346891204034E-2</v>
      </c>
      <c r="EM31" s="47">
        <f>t_Parts[[#This Row],[hp2016.06]]/t_Parts[[#This Row],[ha2016.06]]</f>
        <v>1.8319775462632606E-2</v>
      </c>
      <c r="EN31" s="47">
        <f>t_Parts[[#This Row],[hp2016.07]]/t_Parts[[#This Row],[ha2016.07]]</f>
        <v>1.9748346891204034E-2</v>
      </c>
      <c r="EO31" s="47">
        <f>t_Parts[[#This Row],[hp2016.08]]/t_Parts[[#This Row],[ha2016.08]]</f>
        <v>1.9748346891204034E-2</v>
      </c>
      <c r="EP31" s="47">
        <f>t_Parts[[#This Row],[hp2016.09]]/t_Parts[[#This Row],[ha2016.09]]</f>
        <v>1.8319775462632606E-2</v>
      </c>
      <c r="EQ31" s="47">
        <f>t_Parts[[#This Row],[hp2016.10]]/t_Parts[[#This Row],[ha2016.10]]</f>
        <v>1.9748346891204034E-2</v>
      </c>
      <c r="ER31" s="47">
        <f>t_Parts[[#This Row],[hp2016.11]]/t_Parts[[#This Row],[ha2016.11]]</f>
        <v>1.9748346891204034E-2</v>
      </c>
      <c r="ES31" s="47">
        <f>t_Parts[[#This Row],[hp2016.12]]/t_Parts[[#This Row],[ha2016.12]]</f>
        <v>1.8319775462632606E-2</v>
      </c>
      <c r="ET31" s="47">
        <f>t_Parts[[#This Row],[hp2016.FY]]/t_Parts[[#This Row],[ha2016.FY]]</f>
        <v>1.9198896341753487E-2</v>
      </c>
      <c r="EU31" s="47">
        <f>t_Parts[[#This Row],[hp2017]]/t_Parts[[#This Row],[ha2017]]</f>
        <v>0</v>
      </c>
      <c r="EV31" s="47">
        <f>t_Parts[[#This Row],[hp2018]]/t_Parts[[#This Row],[ha2018]]</f>
        <v>0</v>
      </c>
      <c r="EW31" s="47">
        <f>t_Parts[[#This Row],[hp2019]]/t_Parts[[#This Row],[hp2015.01]]</f>
        <v>0</v>
      </c>
      <c r="EX31" s="58">
        <f>(t_Parts[[#This Row],[ha2015.01]]-t_Parts[[#This Row],[hp2015.01]])*t_Parts[[NetPPH]:[NetPPH]]</f>
        <v>317013.38461538462</v>
      </c>
      <c r="EY31" s="58">
        <f>(t_Parts[[#This Row],[ha2015.02]]-t_Parts[[#This Row],[hp2015.02]])*t_Parts[[NetPPH]:[NetPPH]]</f>
        <v>317013.38461538462</v>
      </c>
      <c r="EZ31" s="58">
        <f>(t_Parts[[#This Row],[ha2015.03]]-t_Parts[[#This Row],[hp2015.03]])*t_Parts[[NetPPH]:[NetPPH]]</f>
        <v>396844.23076923075</v>
      </c>
      <c r="FA31" s="58">
        <f>(t_Parts[[#This Row],[ha2015.04]]-t_Parts[[#This Row],[hp2015.04]])*t_Parts[[NetPPH]:[NetPPH]]</f>
        <v>317013.38461538462</v>
      </c>
      <c r="FB31" s="58">
        <f>(t_Parts[[#This Row],[ha2015.05]]-t_Parts[[#This Row],[hp2015.05]])*t_Parts[[NetPPH]:[NetPPH]]</f>
        <v>317013.38461538462</v>
      </c>
      <c r="FC31" s="58">
        <f>(t_Parts[[#This Row],[ha2015.06]]-t_Parts[[#This Row],[hp2015.06]])*t_Parts[[NetPPH]:[NetPPH]]</f>
        <v>396844.23076923075</v>
      </c>
      <c r="FD31" s="58">
        <f>(t_Parts[[#This Row],[ha2015.07]]-t_Parts[[#This Row],[hp2015.07]])*t_Parts[[NetPPH]:[NetPPH]]</f>
        <v>317013.38461538462</v>
      </c>
      <c r="FE31" s="58">
        <f>(t_Parts[[#This Row],[ha2015.08]]-t_Parts[[#This Row],[hp2015.08]])*t_Parts[[NetPPH]:[NetPPH]]</f>
        <v>317013.38461538462</v>
      </c>
      <c r="FF31" s="58">
        <f>(t_Parts[[#This Row],[ha2015.09]]-t_Parts[[#This Row],[hp2015.09]])*t_Parts[[NetPPH]:[NetPPH]]</f>
        <v>396844.23076923075</v>
      </c>
      <c r="FG31" s="58">
        <f>(t_Parts[[#This Row],[ha2015.10]]-t_Parts[[#This Row],[hp2015.10]])*t_Parts[[NetPPH]:[NetPPH]]</f>
        <v>317013.38461538462</v>
      </c>
      <c r="FH31" s="58">
        <f>(t_Parts[[#This Row],[ha2015.11]]-t_Parts[[#This Row],[hp2015.11]])*t_Parts[[NetPPH]:[NetPPH]]</f>
        <v>317013.38461538462</v>
      </c>
      <c r="FI31" s="58">
        <f>(t_Parts[[#This Row],[ha2015.12]]-t_Parts[[#This Row],[hp2015.12]])*t_Parts[[NetPPH]:[NetPPH]]</f>
        <v>396844.23076923075</v>
      </c>
      <c r="FJ31" s="58">
        <f>(t_Parts[[#This Row],[ha2015.FY]]-t_Parts[[#This Row],[hp2015.FY]])*t_Parts[[NetPPH]:[NetPPH]]</f>
        <v>4123484</v>
      </c>
      <c r="FK31" s="58">
        <f>(t_Parts[[#This Row],[ha2016.01]]-t_Parts[[#This Row],[hp2016.01]])*t_Parts[[NetPPH]:[NetPPH]]</f>
        <v>317013.38461538462</v>
      </c>
      <c r="FL31" s="58">
        <f>(t_Parts[[#This Row],[ha2016.02]]-t_Parts[[#This Row],[hp2016.02]])*t_Parts[[NetPPH]:[NetPPH]]</f>
        <v>317013.38461538462</v>
      </c>
      <c r="FM31" s="58">
        <f>(t_Parts[[#This Row],[ha2016.03]]-t_Parts[[#This Row],[hp2016.03]])*t_Parts[[NetPPH]:[NetPPH]]</f>
        <v>396844.23076923075</v>
      </c>
      <c r="FN31" s="58">
        <f>(t_Parts[[#This Row],[ha2016.04]]-t_Parts[[#This Row],[hp2016.04]])*t_Parts[[NetPPH]:[NetPPH]]</f>
        <v>317013.38461538462</v>
      </c>
      <c r="FO31" s="58">
        <f>(t_Parts[[#This Row],[ha2016.05]]-t_Parts[[#This Row],[hp2016.05]])*t_Parts[[NetPPH]:[NetPPH]]</f>
        <v>317013.38461538462</v>
      </c>
      <c r="FP31" s="58">
        <f>(t_Parts[[#This Row],[ha2016.06]]-t_Parts[[#This Row],[hp2016.06]])*t_Parts[[NetPPH]:[NetPPH]]</f>
        <v>396844.23076923075</v>
      </c>
      <c r="FQ31" s="58">
        <f>(t_Parts[[#This Row],[ha2016.07]]-t_Parts[[#This Row],[hp2016.07]])*t_Parts[[NetPPH]:[NetPPH]]</f>
        <v>317013.38461538462</v>
      </c>
      <c r="FR31" s="58">
        <f>(t_Parts[[#This Row],[ha2016.08]]-t_Parts[[#This Row],[hp2016.08]])*t_Parts[[NetPPH]:[NetPPH]]</f>
        <v>317013.38461538462</v>
      </c>
      <c r="FS31" s="58">
        <f>(t_Parts[[#This Row],[ha2016.09]]-t_Parts[[#This Row],[hp2016.09]])*t_Parts[[NetPPH]:[NetPPH]]</f>
        <v>396844.23076923075</v>
      </c>
      <c r="FT31" s="58">
        <f>(t_Parts[[#This Row],[ha2016.10]]-t_Parts[[#This Row],[hp2016.10]])*t_Parts[[NetPPH]:[NetPPH]]</f>
        <v>317013.38461538462</v>
      </c>
      <c r="FU31" s="58">
        <f>(t_Parts[[#This Row],[ha2016.11]]-t_Parts[[#This Row],[hp2016.11]])*t_Parts[[NetPPH]:[NetPPH]]</f>
        <v>317013.38461538462</v>
      </c>
      <c r="FV31" s="58">
        <f>(t_Parts[[#This Row],[ha2016.12]]-t_Parts[[#This Row],[hp2016.12]])*t_Parts[[NetPPH]:[NetPPH]]</f>
        <v>396844.23076923075</v>
      </c>
      <c r="FW31" s="58">
        <f>(t_Parts[[#This Row],[ha2016.FY]]-t_Parts[[#This Row],[hp2016.FY]])*t_Parts[[NetPPH]:[NetPPH]]</f>
        <v>4123484</v>
      </c>
      <c r="FX31" s="58">
        <f>(t_Parts[[#This Row],[ha2017]]-t_Parts[[#This Row],[hp2017]])*t_Parts[[NetPPH]:[NetPPH]]</f>
        <v>4204200</v>
      </c>
      <c r="FY31" s="58">
        <f>(t_Parts[[#This Row],[ha2018]]-t_Parts[[#This Row],[hp2018]])*t_Parts[[NetPPH]:[NetPPH]]</f>
        <v>4204200</v>
      </c>
      <c r="FZ31" s="58">
        <f>(t_Parts[[#This Row],[ha2019]]-t_Parts[[#This Row],[hp2019]])*t_Parts[[NetPPH]:[NetPPH]]</f>
        <v>4204200</v>
      </c>
    </row>
    <row r="32" spans="1:182" s="14" customFormat="1" x14ac:dyDescent="0.25">
      <c r="A32" s="74" t="s">
        <v>506</v>
      </c>
      <c r="B32" s="74"/>
      <c r="C32" s="74">
        <v>21014</v>
      </c>
      <c r="D32" s="75">
        <v>1</v>
      </c>
      <c r="E32" s="73">
        <v>1800</v>
      </c>
      <c r="F32" s="76">
        <v>1</v>
      </c>
      <c r="G32" s="77">
        <v>1</v>
      </c>
      <c r="H32" s="16">
        <v>2015.01</v>
      </c>
      <c r="I32" s="16" t="s">
        <v>83</v>
      </c>
      <c r="J32" s="73">
        <v>10992</v>
      </c>
      <c r="K32" s="73">
        <v>10992</v>
      </c>
      <c r="L32" s="73">
        <v>10992</v>
      </c>
      <c r="M32" s="73">
        <v>10992</v>
      </c>
      <c r="N32" s="73">
        <v>10992</v>
      </c>
      <c r="O32" s="78">
        <v>44</v>
      </c>
      <c r="P32" s="78">
        <v>48</v>
      </c>
      <c r="Q32" s="79">
        <v>22.024999999999999</v>
      </c>
      <c r="R32" s="79"/>
      <c r="S32" s="78"/>
      <c r="T32" s="80">
        <v>15</v>
      </c>
      <c r="U32" s="80" t="s">
        <v>121</v>
      </c>
      <c r="V32" s="81" t="s">
        <v>507</v>
      </c>
      <c r="W32" s="82">
        <v>2.57</v>
      </c>
      <c r="X32" s="82" t="s">
        <v>501</v>
      </c>
      <c r="Y32" s="82"/>
      <c r="Z32" s="82"/>
      <c r="AA32" s="82"/>
      <c r="AB32" s="82"/>
      <c r="AC32" s="83" t="s">
        <v>667</v>
      </c>
      <c r="AD32" s="40" t="str">
        <f>VLOOKUP(t_Parts[[#This Row],[Press]],t_Presses[],Press!B$1,FALSE)</f>
        <v>Plainfield</v>
      </c>
      <c r="AE32" s="40" t="str">
        <f>VLOOKUP(t_Parts[[#This Row],[Press]],t_Presses[],Press!E$1,FALSE)</f>
        <v>300-599</v>
      </c>
      <c r="AF32" s="47">
        <f>VLOOKUP(t_Parts[[#This Row],[Plant]],t_Plants[],Plants!C$1,FALSE)</f>
        <v>0.55000000000000004</v>
      </c>
      <c r="AG32" s="47">
        <f>VLOOKUP(t_Parts[[#This Row],[Press]],t_Presses[],Press!F$1,FALSE)</f>
        <v>0</v>
      </c>
      <c r="AH32" s="84"/>
      <c r="AI32" s="47">
        <f>IF(ISBLANK(t_Parts[[#This Row],[PartOEE]])=FALSE,t_Parts[[#This Row],[PartOEE]], IF(t_Parts[[#This Row],[PressOEE]]&gt;0, t_Parts[[#This Row],[PressOEE]], t_Parts[[#This Row],[PlantOEE]] ))</f>
        <v>0.55000000000000004</v>
      </c>
      <c r="AJ32" s="70">
        <f>t_Parts[[#This Row],[SetupsPerMo]]*t_Parts[[#This Row],[SetupHrs]]</f>
        <v>1</v>
      </c>
      <c r="AK32" s="39">
        <f>(t_Parts[[#This Row],[PartsPerStroke]]*t_Parts[[#This Row],[StrokesPerHr]])*t_Parts[[#This Row],[UseOEE]]</f>
        <v>990.00000000000011</v>
      </c>
      <c r="AL3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845.53846153846155</v>
      </c>
      <c r="AM3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845.53846153846155</v>
      </c>
      <c r="AN3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1056.9230769230769</v>
      </c>
      <c r="AO3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845.53846153846155</v>
      </c>
      <c r="AP3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845.53846153846155</v>
      </c>
      <c r="AQ3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1056.9230769230769</v>
      </c>
      <c r="AR3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845.53846153846155</v>
      </c>
      <c r="AS3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845.53846153846155</v>
      </c>
      <c r="AT3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1056.9230769230769</v>
      </c>
      <c r="AU3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845.53846153846155</v>
      </c>
      <c r="AV3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845.53846153846155</v>
      </c>
      <c r="AW3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1056.9230769230769</v>
      </c>
      <c r="AX32" s="39">
        <f>SUM(t_Parts[[#This Row],[pv2015.01]:[pv2015.12]])</f>
        <v>10991.999999999998</v>
      </c>
      <c r="AY3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845.53846153846155</v>
      </c>
      <c r="AZ3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845.53846153846155</v>
      </c>
      <c r="BA3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1056.9230769230769</v>
      </c>
      <c r="BB3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845.53846153846155</v>
      </c>
      <c r="BC3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845.53846153846155</v>
      </c>
      <c r="BD3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1056.9230769230769</v>
      </c>
      <c r="BE3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845.53846153846155</v>
      </c>
      <c r="BF3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845.53846153846155</v>
      </c>
      <c r="BG3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1056.9230769230769</v>
      </c>
      <c r="BH3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845.53846153846155</v>
      </c>
      <c r="BI3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845.53846153846155</v>
      </c>
      <c r="BJ3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1056.9230769230769</v>
      </c>
      <c r="BK32" s="39">
        <f>SUM(t_Parts[[#This Row],[pv2016.01]:[pv2016.12]])</f>
        <v>10991.999999999998</v>
      </c>
      <c r="BL32" s="39">
        <f>t_Parts[[#This Row],[2017vol]]</f>
        <v>10992</v>
      </c>
      <c r="BM32" s="39">
        <f>t_Parts[[#This Row],[2018vol]]</f>
        <v>10992</v>
      </c>
      <c r="BN32" s="39">
        <f>t_Parts[[#This Row],[2019vol]]</f>
        <v>10992</v>
      </c>
      <c r="BO32" s="40">
        <f>VLOOKUP(t_Parts[[Plant]:[Plant]],t_Plants[],Plants!CN$1,FALSE)</f>
        <v>280</v>
      </c>
      <c r="BP32" s="14">
        <f>VLOOKUP(t_Parts[[Plant]:[Plant]],t_Plants[],Plants!CO$1,FALSE)</f>
        <v>280</v>
      </c>
      <c r="BQ32" s="14">
        <f>VLOOKUP(t_Parts[[Plant]:[Plant]],t_Plants[],Plants!CP$1,FALSE)</f>
        <v>350</v>
      </c>
      <c r="BR32" s="14">
        <f>VLOOKUP(t_Parts[[Plant]:[Plant]],t_Plants[],Plants!CQ$1,FALSE)</f>
        <v>280</v>
      </c>
      <c r="BS32" s="14">
        <f>VLOOKUP(t_Parts[[Plant]:[Plant]],t_Plants[],Plants!CR$1,FALSE)</f>
        <v>280</v>
      </c>
      <c r="BT32" s="14">
        <f>VLOOKUP(t_Parts[[Plant]:[Plant]],t_Plants[],Plants!CS$1,FALSE)</f>
        <v>350</v>
      </c>
      <c r="BU32" s="14">
        <f>VLOOKUP(t_Parts[[Plant]:[Plant]],t_Plants[],Plants!CT$1,FALSE)</f>
        <v>280</v>
      </c>
      <c r="BV32" s="14">
        <f>VLOOKUP(t_Parts[[Plant]:[Plant]],t_Plants[],Plants!CU$1,FALSE)</f>
        <v>280</v>
      </c>
      <c r="BW32" s="14">
        <f>VLOOKUP(t_Parts[[Plant]:[Plant]],t_Plants[],Plants!CV$1,FALSE)</f>
        <v>350</v>
      </c>
      <c r="BX32" s="14">
        <f>VLOOKUP(t_Parts[[Plant]:[Plant]],t_Plants[],Plants!CW$1,FALSE)</f>
        <v>280</v>
      </c>
      <c r="BY32" s="14">
        <f>VLOOKUP(t_Parts[[Plant]:[Plant]],t_Plants[],Plants!CX$1,FALSE)</f>
        <v>280</v>
      </c>
      <c r="BZ32" s="14">
        <f>VLOOKUP(t_Parts[[Plant]:[Plant]],t_Plants[],Plants!CY$1,FALSE)</f>
        <v>350</v>
      </c>
      <c r="CA32" s="40">
        <f>SUM(t_Parts[[#This Row],[ha2015.01]:[ha2015.12]])</f>
        <v>3640</v>
      </c>
      <c r="CB32" s="14">
        <f>VLOOKUP(t_Parts[[Plant]:[Plant]],t_Plants[],Plants!DA$1,FALSE)</f>
        <v>280</v>
      </c>
      <c r="CC32" s="14">
        <f>VLOOKUP(t_Parts[[Plant]:[Plant]],t_Plants[],Plants!DB$1,FALSE)</f>
        <v>280</v>
      </c>
      <c r="CD32" s="14">
        <f>VLOOKUP(t_Parts[[Plant]:[Plant]],t_Plants[],Plants!DC$1,FALSE)</f>
        <v>350</v>
      </c>
      <c r="CE32" s="14">
        <f>VLOOKUP(t_Parts[[Plant]:[Plant]],t_Plants[],Plants!DD$1,FALSE)</f>
        <v>280</v>
      </c>
      <c r="CF32" s="14">
        <f>VLOOKUP(t_Parts[[Plant]:[Plant]],t_Plants[],Plants!DE$1,FALSE)</f>
        <v>280</v>
      </c>
      <c r="CG32" s="14">
        <f>VLOOKUP(t_Parts[[Plant]:[Plant]],t_Plants[],Plants!DF$1,FALSE)</f>
        <v>350</v>
      </c>
      <c r="CH32" s="14">
        <f>VLOOKUP(t_Parts[[Plant]:[Plant]],t_Plants[],Plants!DG$1,FALSE)</f>
        <v>280</v>
      </c>
      <c r="CI32" s="14">
        <f>VLOOKUP(t_Parts[[Plant]:[Plant]],t_Plants[],Plants!DH$1,FALSE)</f>
        <v>280</v>
      </c>
      <c r="CJ32" s="14">
        <f>VLOOKUP(t_Parts[[Plant]:[Plant]],t_Plants[],Plants!DI$1,FALSE)</f>
        <v>350</v>
      </c>
      <c r="CK32" s="14">
        <f>VLOOKUP(t_Parts[[Plant]:[Plant]],t_Plants[],Plants!DJ$1,FALSE)</f>
        <v>280</v>
      </c>
      <c r="CL32" s="14">
        <f>VLOOKUP(t_Parts[[Plant]:[Plant]],t_Plants[],Plants!DK$1,FALSE)</f>
        <v>280</v>
      </c>
      <c r="CM32" s="14">
        <f>VLOOKUP(t_Parts[[Plant]:[Plant]],t_Plants[],Plants!DL$1,FALSE)</f>
        <v>350</v>
      </c>
      <c r="CN32" s="14">
        <f>VLOOKUP(t_Parts[[Plant]:[Plant]],t_Plants[],Plants!DM$1,FALSE)</f>
        <v>3640</v>
      </c>
      <c r="CO32" s="14">
        <f>VLOOKUP(t_Parts[[Plant]:[Plant]],t_Plants[],Plants!DN$1,FALSE)</f>
        <v>3640</v>
      </c>
      <c r="CP32" s="14">
        <f>VLOOKUP(t_Parts[[Plant]:[Plant]],t_Plants[],Plants!DO$1,FALSE)</f>
        <v>3640</v>
      </c>
      <c r="CQ32" s="14">
        <f>VLOOKUP(t_Parts[[Plant]:[Plant]],t_Plants[],Plants!DP$1,FALSE)</f>
        <v>3640</v>
      </c>
      <c r="CR32" s="39">
        <f>IF(AND(AL$3&gt;=VALUE(t_Parts[[SOP]:[SOP]]),AL$3&lt;=VALUE(t_Parts[[EOP]:[EOP]])), t_Parts[[SetupHrsPerMo]:[SetupHrsPerMo]]+(t_Parts[[#This Row],[pv2015.01]]/t_Parts[[NetPPH]:[NetPPH]]),0)</f>
        <v>1.8540792540792541</v>
      </c>
      <c r="CS32" s="39">
        <f>IF(AND(AM$3&gt;=VALUE(t_Parts[[SOP]:[SOP]]),AM$3&lt;=VALUE(t_Parts[[EOP]:[EOP]])), t_Parts[[SetupHrsPerMo]:[SetupHrsPerMo]]+(t_Parts[[#This Row],[pv2015.02]]/t_Parts[[NetPPH]:[NetPPH]]),0)</f>
        <v>1.8540792540792541</v>
      </c>
      <c r="CT32" s="39">
        <f>IF(AND(AN$3&gt;=VALUE(t_Parts[[SOP]:[SOP]]),AN$3&lt;=VALUE(t_Parts[[EOP]:[EOP]])), t_Parts[[SetupHrsPerMo]:[SetupHrsPerMo]]+(t_Parts[[#This Row],[pv2015.03]]/t_Parts[[NetPPH]:[NetPPH]]),0)</f>
        <v>2.0675990675990672</v>
      </c>
      <c r="CU32" s="39">
        <f>IF(AND(AO$3&gt;=VALUE(t_Parts[[SOP]:[SOP]]),AO$3&lt;=VALUE(t_Parts[[EOP]:[EOP]])), t_Parts[[SetupHrsPerMo]:[SetupHrsPerMo]]+(t_Parts[[#This Row],[pv2015.04]]/t_Parts[[NetPPH]:[NetPPH]]),0)</f>
        <v>1.8540792540792541</v>
      </c>
      <c r="CV32" s="39">
        <f>IF(AND(AP$3&gt;=VALUE(t_Parts[[SOP]:[SOP]]),AP$3&lt;=VALUE(t_Parts[[EOP]:[EOP]])), t_Parts[[SetupHrsPerMo]:[SetupHrsPerMo]]+(t_Parts[[#This Row],[pv2015.05]]/t_Parts[[NetPPH]:[NetPPH]]),0)</f>
        <v>1.8540792540792541</v>
      </c>
      <c r="CW32" s="39">
        <f>IF(AND(AQ$3&gt;=VALUE(t_Parts[[SOP]:[SOP]]),AQ$3&lt;=VALUE(t_Parts[[EOP]:[EOP]])), t_Parts[[SetupHrsPerMo]:[SetupHrsPerMo]]+(t_Parts[[#This Row],[pv2015.06]]/t_Parts[[NetPPH]:[NetPPH]]),0)</f>
        <v>2.0675990675990672</v>
      </c>
      <c r="CX32" s="39">
        <f>IF(AND(AR$3&gt;=VALUE(t_Parts[[SOP]:[SOP]]),AR$3&lt;=VALUE(t_Parts[[EOP]:[EOP]])), t_Parts[[SetupHrsPerMo]:[SetupHrsPerMo]]+(t_Parts[[#This Row],[pv2015.07]]/t_Parts[[NetPPH]:[NetPPH]]),0)</f>
        <v>1.8540792540792541</v>
      </c>
      <c r="CY32" s="39">
        <f>IF(AND(AS$3&gt;=VALUE(t_Parts[[SOP]:[SOP]]),AS$3&lt;=VALUE(t_Parts[[EOP]:[EOP]])), t_Parts[[SetupHrsPerMo]:[SetupHrsPerMo]]+(t_Parts[[#This Row],[pv2015.08]]/t_Parts[[NetPPH]:[NetPPH]]),0)</f>
        <v>1.8540792540792541</v>
      </c>
      <c r="CZ32" s="39">
        <f>IF(AND(AT$3&gt;=VALUE(t_Parts[[SOP]:[SOP]]),AT$3&lt;=VALUE(t_Parts[[EOP]:[EOP]])), t_Parts[[SetupHrsPerMo]:[SetupHrsPerMo]]+(t_Parts[[#This Row],[pv2015.09]]/t_Parts[[NetPPH]:[NetPPH]]),0)</f>
        <v>2.0675990675990672</v>
      </c>
      <c r="DA32" s="39">
        <f>IF(AND(AU$3&gt;=VALUE(t_Parts[[SOP]:[SOP]]),AU$3&lt;=VALUE(t_Parts[[EOP]:[EOP]])), t_Parts[[SetupHrsPerMo]:[SetupHrsPerMo]]+(t_Parts[[#This Row],[pv2015.10]]/t_Parts[[NetPPH]:[NetPPH]]),0)</f>
        <v>1.8540792540792541</v>
      </c>
      <c r="DB32" s="39">
        <f>IF(AND(AV$3&gt;=VALUE(t_Parts[[SOP]:[SOP]]),AV$3&lt;=VALUE(t_Parts[[EOP]:[EOP]])), t_Parts[[SetupHrsPerMo]:[SetupHrsPerMo]]+(t_Parts[[#This Row],[pv2015.11]]/t_Parts[[NetPPH]:[NetPPH]]),0)</f>
        <v>1.8540792540792541</v>
      </c>
      <c r="DC32" s="39">
        <f>IF(AND(AW$3&gt;=VALUE(t_Parts[[SOP]:[SOP]]),AW$3&lt;=VALUE(t_Parts[[EOP]:[EOP]])), t_Parts[[SetupHrsPerMo]:[SetupHrsPerMo]]+(t_Parts[[#This Row],[pv2015.12]]/t_Parts[[NetPPH]:[NetPPH]]),0)</f>
        <v>2.0675990675990672</v>
      </c>
      <c r="DD32" s="39">
        <f>SUM(t_Parts[[#This Row],[hp2015.01]:[hp2015.12]])</f>
        <v>23.103030303030302</v>
      </c>
      <c r="DE32" s="39">
        <f>IF(AND(AY$3&gt;=VALUE(t_Parts[[SOP]:[SOP]]),AY$3&lt;=VALUE(t_Parts[[EOP]:[EOP]])), t_Parts[[SetupHrsPerMo]:[SetupHrsPerMo]]+(t_Parts[[#This Row],[pv2016.01]]/t_Parts[[NetPPH]:[NetPPH]]),0)</f>
        <v>1.8540792540792541</v>
      </c>
      <c r="DF32" s="39">
        <f>IF(AND(AZ$3&gt;=VALUE(t_Parts[[SOP]:[SOP]]),AZ$3&lt;=VALUE(t_Parts[[EOP]:[EOP]])), t_Parts[[SetupHrsPerMo]:[SetupHrsPerMo]]+(t_Parts[[#This Row],[pv2016.02]]/t_Parts[[NetPPH]:[NetPPH]]),0)</f>
        <v>1.8540792540792541</v>
      </c>
      <c r="DG32" s="39">
        <f>IF(AND(BA$3&gt;=VALUE(t_Parts[[SOP]:[SOP]]),BA$3&lt;=VALUE(t_Parts[[EOP]:[EOP]])), t_Parts[[SetupHrsPerMo]:[SetupHrsPerMo]]+(t_Parts[[#This Row],[pv2016.03]]/t_Parts[[NetPPH]:[NetPPH]]),0)</f>
        <v>2.0675990675990672</v>
      </c>
      <c r="DH32" s="39">
        <f>IF(AND(BB$3&gt;=VALUE(t_Parts[[SOP]:[SOP]]),BB$3&lt;=VALUE(t_Parts[[EOP]:[EOP]])), t_Parts[[SetupHrsPerMo]:[SetupHrsPerMo]]+(t_Parts[[#This Row],[pv2016.04]]/t_Parts[[NetPPH]:[NetPPH]]),0)</f>
        <v>1.8540792540792541</v>
      </c>
      <c r="DI32" s="39">
        <f>IF(AND(BC$3&gt;=VALUE(t_Parts[[SOP]:[SOP]]),BC$3&lt;=VALUE(t_Parts[[EOP]:[EOP]])), t_Parts[[SetupHrsPerMo]:[SetupHrsPerMo]]+(t_Parts[[#This Row],[pv2016.05]]/t_Parts[[NetPPH]:[NetPPH]]),0)</f>
        <v>1.8540792540792541</v>
      </c>
      <c r="DJ32" s="39">
        <f>IF(AND(BD$3&gt;=VALUE(t_Parts[[SOP]:[SOP]]),BD$3&lt;=VALUE(t_Parts[[EOP]:[EOP]])), t_Parts[[SetupHrsPerMo]:[SetupHrsPerMo]]+(t_Parts[[#This Row],[pv2016.06]]/t_Parts[[NetPPH]:[NetPPH]]),0)</f>
        <v>2.0675990675990672</v>
      </c>
      <c r="DK32" s="39">
        <f>IF(AND(BE$3&gt;=VALUE(t_Parts[[SOP]:[SOP]]),BE$3&lt;=VALUE(t_Parts[[EOP]:[EOP]])), t_Parts[[SetupHrsPerMo]:[SetupHrsPerMo]]+(t_Parts[[#This Row],[pv2016.07]]/t_Parts[[NetPPH]:[NetPPH]]),0)</f>
        <v>1.8540792540792541</v>
      </c>
      <c r="DL32" s="39">
        <f>IF(AND(BF$3&gt;=VALUE(t_Parts[[SOP]:[SOP]]),BF$3&lt;=VALUE(t_Parts[[EOP]:[EOP]])), t_Parts[[SetupHrsPerMo]:[SetupHrsPerMo]]+(t_Parts[[#This Row],[pv2016.08]]/t_Parts[[NetPPH]:[NetPPH]]),0)</f>
        <v>1.8540792540792541</v>
      </c>
      <c r="DM32" s="39">
        <f>IF(AND(BG$3&gt;=VALUE(t_Parts[[SOP]:[SOP]]),BG$3&lt;=VALUE(t_Parts[[EOP]:[EOP]])), t_Parts[[SetupHrsPerMo]:[SetupHrsPerMo]]+(t_Parts[[#This Row],[pv2016.09]]/t_Parts[[NetPPH]:[NetPPH]]),0)</f>
        <v>2.0675990675990672</v>
      </c>
      <c r="DN32" s="39">
        <f>IF(AND(BH$3&gt;=VALUE(t_Parts[[SOP]:[SOP]]),BH$3&lt;=VALUE(t_Parts[[EOP]:[EOP]])), t_Parts[[SetupHrsPerMo]:[SetupHrsPerMo]]+(t_Parts[[#This Row],[pv2016.10]]/t_Parts[[NetPPH]:[NetPPH]]),0)</f>
        <v>1.8540792540792541</v>
      </c>
      <c r="DO32" s="39">
        <f>IF(AND(BI$3&gt;=VALUE(t_Parts[[SOP]:[SOP]]),BI$3&lt;=VALUE(t_Parts[[EOP]:[EOP]])), t_Parts[[SetupHrsPerMo]:[SetupHrsPerMo]]+(t_Parts[[#This Row],[pv2016.11]]/t_Parts[[NetPPH]:[NetPPH]]),0)</f>
        <v>1.8540792540792541</v>
      </c>
      <c r="DP32" s="39">
        <f>IF(AND(BJ$3&gt;=VALUE(t_Parts[[SOP]:[SOP]]),BJ$3&lt;=VALUE(t_Parts[[EOP]:[EOP]])), t_Parts[[SetupHrsPerMo]:[SetupHrsPerMo]]+(t_Parts[[#This Row],[pv2016.12]]/t_Parts[[NetPPH]:[NetPPH]]),0)</f>
        <v>2.0675990675990672</v>
      </c>
      <c r="DQ32" s="39">
        <f>SUM(t_Parts[[#This Row],[hp2016.01]:[hp2016.12]])</f>
        <v>23.103030303030302</v>
      </c>
      <c r="DR32" s="39">
        <f>IF(AND(BL$3&gt;=VALUE(t_Parts[[SOP]:[SOP]]),BL$3&lt;=VALUE(t_Parts[[EOP]:[EOP]])), 12*t_Parts[[SetupHrsPerMo]:[SetupHrsPerMo]]+(t_Parts[[#This Row],[pv2017]]/t_Parts[[NetPPH]:[NetPPH]]),0)</f>
        <v>23.103030303030302</v>
      </c>
      <c r="DS32" s="39">
        <f>IF(AND(BM$3&gt;=VALUE(t_Parts[[SOP]:[SOP]]),BM$3&lt;=VALUE(t_Parts[[EOP]:[EOP]])), 12*t_Parts[[SetupHrsPerMo]:[SetupHrsPerMo]]+(t_Parts[[#This Row],[pv2018]]/t_Parts[[NetPPH]:[NetPPH]]),0)</f>
        <v>23.103030303030302</v>
      </c>
      <c r="DT32" s="39">
        <f>IF(AND(BN$3&gt;=VALUE(t_Parts[[SOP]:[SOP]]),BN$3&lt;=VALUE(t_Parts[[EOP]:[EOP]])), 12*t_Parts[[SetupHrsPerMo]:[SetupHrsPerMo]]+(t_Parts[[#This Row],[pv2019]]/t_Parts[[NetPPH]:[NetPPH]]),0)</f>
        <v>23.103030303030302</v>
      </c>
      <c r="DU32" s="47">
        <f>t_Parts[[#This Row],[hp2015.01]]/t_Parts[[#This Row],[ha2015.01]]</f>
        <v>6.621711621711622E-3</v>
      </c>
      <c r="DV32" s="47">
        <f>t_Parts[[#This Row],[hp2015.02]]/t_Parts[[#This Row],[ha2015.02]]</f>
        <v>6.621711621711622E-3</v>
      </c>
      <c r="DW32" s="47">
        <f>t_Parts[[#This Row],[hp2015.03]]/t_Parts[[#This Row],[ha2015.03]]</f>
        <v>5.9074259074259061E-3</v>
      </c>
      <c r="DX32" s="47">
        <f>t_Parts[[#This Row],[hp2015.04]]/t_Parts[[#This Row],[ha2015.04]]</f>
        <v>6.621711621711622E-3</v>
      </c>
      <c r="DY32" s="47">
        <f>t_Parts[[#This Row],[hp2015.05]]/t_Parts[[#This Row],[ha2015.05]]</f>
        <v>6.621711621711622E-3</v>
      </c>
      <c r="DZ32" s="47">
        <f>t_Parts[[#This Row],[hp2015.06]]/t_Parts[[#This Row],[ha2015.06]]</f>
        <v>5.9074259074259061E-3</v>
      </c>
      <c r="EA32" s="47">
        <f>t_Parts[[#This Row],[hp2015.07]]/t_Parts[[#This Row],[ha2015.07]]</f>
        <v>6.621711621711622E-3</v>
      </c>
      <c r="EB32" s="47">
        <f>t_Parts[[#This Row],[hp2015.08]]/t_Parts[[#This Row],[ha2015.08]]</f>
        <v>6.621711621711622E-3</v>
      </c>
      <c r="EC32" s="47">
        <f>t_Parts[[#This Row],[hp2015.09]]/t_Parts[[#This Row],[ha2015.09]]</f>
        <v>5.9074259074259061E-3</v>
      </c>
      <c r="ED32" s="47">
        <f>t_Parts[[#This Row],[hp2015.10]]/t_Parts[[#This Row],[ha2015.10]]</f>
        <v>6.621711621711622E-3</v>
      </c>
      <c r="EE32" s="47">
        <f>t_Parts[[#This Row],[hp2015.11]]/t_Parts[[#This Row],[ha2015.11]]</f>
        <v>6.621711621711622E-3</v>
      </c>
      <c r="EF32" s="47">
        <f>t_Parts[[#This Row],[hp2015.12]]/t_Parts[[#This Row],[ha2015.12]]</f>
        <v>5.9074259074259061E-3</v>
      </c>
      <c r="EG32" s="47">
        <f>t_Parts[[#This Row],[hp2015.FY]]/t_Parts[[#This Row],[ha2015.FY]]</f>
        <v>6.3469863469863465E-3</v>
      </c>
      <c r="EH32" s="47">
        <f>t_Parts[[#This Row],[hp2016.01]]/t_Parts[[#This Row],[ha2016.01]]</f>
        <v>6.621711621711622E-3</v>
      </c>
      <c r="EI32" s="47">
        <f>t_Parts[[#This Row],[hp2016.02]]/t_Parts[[#This Row],[ha2016.02]]</f>
        <v>6.621711621711622E-3</v>
      </c>
      <c r="EJ32" s="47">
        <f>t_Parts[[#This Row],[hp2016.03]]/t_Parts[[#This Row],[ha2016.03]]</f>
        <v>5.9074259074259061E-3</v>
      </c>
      <c r="EK32" s="47">
        <f>t_Parts[[#This Row],[hp2016.04]]/t_Parts[[#This Row],[ha2016.04]]</f>
        <v>6.621711621711622E-3</v>
      </c>
      <c r="EL32" s="47">
        <f>t_Parts[[#This Row],[hp2016.05]]/t_Parts[[#This Row],[ha2016.05]]</f>
        <v>6.621711621711622E-3</v>
      </c>
      <c r="EM32" s="47">
        <f>t_Parts[[#This Row],[hp2016.06]]/t_Parts[[#This Row],[ha2016.06]]</f>
        <v>5.9074259074259061E-3</v>
      </c>
      <c r="EN32" s="47">
        <f>t_Parts[[#This Row],[hp2016.07]]/t_Parts[[#This Row],[ha2016.07]]</f>
        <v>6.621711621711622E-3</v>
      </c>
      <c r="EO32" s="47">
        <f>t_Parts[[#This Row],[hp2016.08]]/t_Parts[[#This Row],[ha2016.08]]</f>
        <v>6.621711621711622E-3</v>
      </c>
      <c r="EP32" s="47">
        <f>t_Parts[[#This Row],[hp2016.09]]/t_Parts[[#This Row],[ha2016.09]]</f>
        <v>5.9074259074259061E-3</v>
      </c>
      <c r="EQ32" s="47">
        <f>t_Parts[[#This Row],[hp2016.10]]/t_Parts[[#This Row],[ha2016.10]]</f>
        <v>6.621711621711622E-3</v>
      </c>
      <c r="ER32" s="47">
        <f>t_Parts[[#This Row],[hp2016.11]]/t_Parts[[#This Row],[ha2016.11]]</f>
        <v>6.621711621711622E-3</v>
      </c>
      <c r="ES32" s="47">
        <f>t_Parts[[#This Row],[hp2016.12]]/t_Parts[[#This Row],[ha2016.12]]</f>
        <v>5.9074259074259061E-3</v>
      </c>
      <c r="ET32" s="47">
        <f>t_Parts[[#This Row],[hp2016.FY]]/t_Parts[[#This Row],[ha2016.FY]]</f>
        <v>6.3469863469863465E-3</v>
      </c>
      <c r="EU32" s="47">
        <f>t_Parts[[#This Row],[hp2017]]/t_Parts[[#This Row],[ha2017]]</f>
        <v>6.3469863469863465E-3</v>
      </c>
      <c r="EV32" s="47">
        <f>t_Parts[[#This Row],[hp2018]]/t_Parts[[#This Row],[ha2018]]</f>
        <v>6.3469863469863465E-3</v>
      </c>
      <c r="EW32" s="47">
        <f>t_Parts[[#This Row],[hp2019]]/t_Parts[[#This Row],[hp2015.01]]</f>
        <v>12.460648730198642</v>
      </c>
      <c r="EX32" s="58">
        <f>(t_Parts[[#This Row],[ha2015.01]]-t_Parts[[#This Row],[hp2015.01]])*t_Parts[[NetPPH]:[NetPPH]]</f>
        <v>275364.46153846156</v>
      </c>
      <c r="EY32" s="58">
        <f>(t_Parts[[#This Row],[ha2015.02]]-t_Parts[[#This Row],[hp2015.02]])*t_Parts[[NetPPH]:[NetPPH]]</f>
        <v>275364.46153846156</v>
      </c>
      <c r="EZ32" s="58">
        <f>(t_Parts[[#This Row],[ha2015.03]]-t_Parts[[#This Row],[hp2015.03]])*t_Parts[[NetPPH]:[NetPPH]]</f>
        <v>344453.07692307694</v>
      </c>
      <c r="FA32" s="58">
        <f>(t_Parts[[#This Row],[ha2015.04]]-t_Parts[[#This Row],[hp2015.04]])*t_Parts[[NetPPH]:[NetPPH]]</f>
        <v>275364.46153846156</v>
      </c>
      <c r="FB32" s="58">
        <f>(t_Parts[[#This Row],[ha2015.05]]-t_Parts[[#This Row],[hp2015.05]])*t_Parts[[NetPPH]:[NetPPH]]</f>
        <v>275364.46153846156</v>
      </c>
      <c r="FC32" s="58">
        <f>(t_Parts[[#This Row],[ha2015.06]]-t_Parts[[#This Row],[hp2015.06]])*t_Parts[[NetPPH]:[NetPPH]]</f>
        <v>344453.07692307694</v>
      </c>
      <c r="FD32" s="58">
        <f>(t_Parts[[#This Row],[ha2015.07]]-t_Parts[[#This Row],[hp2015.07]])*t_Parts[[NetPPH]:[NetPPH]]</f>
        <v>275364.46153846156</v>
      </c>
      <c r="FE32" s="58">
        <f>(t_Parts[[#This Row],[ha2015.08]]-t_Parts[[#This Row],[hp2015.08]])*t_Parts[[NetPPH]:[NetPPH]]</f>
        <v>275364.46153846156</v>
      </c>
      <c r="FF32" s="58">
        <f>(t_Parts[[#This Row],[ha2015.09]]-t_Parts[[#This Row],[hp2015.09]])*t_Parts[[NetPPH]:[NetPPH]]</f>
        <v>344453.07692307694</v>
      </c>
      <c r="FG32" s="58">
        <f>(t_Parts[[#This Row],[ha2015.10]]-t_Parts[[#This Row],[hp2015.10]])*t_Parts[[NetPPH]:[NetPPH]]</f>
        <v>275364.46153846156</v>
      </c>
      <c r="FH32" s="58">
        <f>(t_Parts[[#This Row],[ha2015.11]]-t_Parts[[#This Row],[hp2015.11]])*t_Parts[[NetPPH]:[NetPPH]]</f>
        <v>275364.46153846156</v>
      </c>
      <c r="FI32" s="58">
        <f>(t_Parts[[#This Row],[ha2015.12]]-t_Parts[[#This Row],[hp2015.12]])*t_Parts[[NetPPH]:[NetPPH]]</f>
        <v>344453.07692307694</v>
      </c>
      <c r="FJ32" s="58">
        <f>(t_Parts[[#This Row],[ha2015.FY]]-t_Parts[[#This Row],[hp2015.FY]])*t_Parts[[NetPPH]:[NetPPH]]</f>
        <v>3580728.0000000005</v>
      </c>
      <c r="FK32" s="58">
        <f>(t_Parts[[#This Row],[ha2016.01]]-t_Parts[[#This Row],[hp2016.01]])*t_Parts[[NetPPH]:[NetPPH]]</f>
        <v>275364.46153846156</v>
      </c>
      <c r="FL32" s="58">
        <f>(t_Parts[[#This Row],[ha2016.02]]-t_Parts[[#This Row],[hp2016.02]])*t_Parts[[NetPPH]:[NetPPH]]</f>
        <v>275364.46153846156</v>
      </c>
      <c r="FM32" s="58">
        <f>(t_Parts[[#This Row],[ha2016.03]]-t_Parts[[#This Row],[hp2016.03]])*t_Parts[[NetPPH]:[NetPPH]]</f>
        <v>344453.07692307694</v>
      </c>
      <c r="FN32" s="58">
        <f>(t_Parts[[#This Row],[ha2016.04]]-t_Parts[[#This Row],[hp2016.04]])*t_Parts[[NetPPH]:[NetPPH]]</f>
        <v>275364.46153846156</v>
      </c>
      <c r="FO32" s="58">
        <f>(t_Parts[[#This Row],[ha2016.05]]-t_Parts[[#This Row],[hp2016.05]])*t_Parts[[NetPPH]:[NetPPH]]</f>
        <v>275364.46153846156</v>
      </c>
      <c r="FP32" s="58">
        <f>(t_Parts[[#This Row],[ha2016.06]]-t_Parts[[#This Row],[hp2016.06]])*t_Parts[[NetPPH]:[NetPPH]]</f>
        <v>344453.07692307694</v>
      </c>
      <c r="FQ32" s="58">
        <f>(t_Parts[[#This Row],[ha2016.07]]-t_Parts[[#This Row],[hp2016.07]])*t_Parts[[NetPPH]:[NetPPH]]</f>
        <v>275364.46153846156</v>
      </c>
      <c r="FR32" s="58">
        <f>(t_Parts[[#This Row],[ha2016.08]]-t_Parts[[#This Row],[hp2016.08]])*t_Parts[[NetPPH]:[NetPPH]]</f>
        <v>275364.46153846156</v>
      </c>
      <c r="FS32" s="58">
        <f>(t_Parts[[#This Row],[ha2016.09]]-t_Parts[[#This Row],[hp2016.09]])*t_Parts[[NetPPH]:[NetPPH]]</f>
        <v>344453.07692307694</v>
      </c>
      <c r="FT32" s="58">
        <f>(t_Parts[[#This Row],[ha2016.10]]-t_Parts[[#This Row],[hp2016.10]])*t_Parts[[NetPPH]:[NetPPH]]</f>
        <v>275364.46153846156</v>
      </c>
      <c r="FU32" s="58">
        <f>(t_Parts[[#This Row],[ha2016.11]]-t_Parts[[#This Row],[hp2016.11]])*t_Parts[[NetPPH]:[NetPPH]]</f>
        <v>275364.46153846156</v>
      </c>
      <c r="FV32" s="58">
        <f>(t_Parts[[#This Row],[ha2016.12]]-t_Parts[[#This Row],[hp2016.12]])*t_Parts[[NetPPH]:[NetPPH]]</f>
        <v>344453.07692307694</v>
      </c>
      <c r="FW32" s="58">
        <f>(t_Parts[[#This Row],[ha2016.FY]]-t_Parts[[#This Row],[hp2016.FY]])*t_Parts[[NetPPH]:[NetPPH]]</f>
        <v>3580728.0000000005</v>
      </c>
      <c r="FX32" s="58">
        <f>(t_Parts[[#This Row],[ha2017]]-t_Parts[[#This Row],[hp2017]])*t_Parts[[NetPPH]:[NetPPH]]</f>
        <v>3580728.0000000005</v>
      </c>
      <c r="FY32" s="58">
        <f>(t_Parts[[#This Row],[ha2018]]-t_Parts[[#This Row],[hp2018]])*t_Parts[[NetPPH]:[NetPPH]]</f>
        <v>3580728.0000000005</v>
      </c>
      <c r="FZ32" s="58">
        <f>(t_Parts[[#This Row],[ha2019]]-t_Parts[[#This Row],[hp2019]])*t_Parts[[NetPPH]:[NetPPH]]</f>
        <v>3580728.0000000005</v>
      </c>
    </row>
    <row r="33" spans="1:182" s="14" customFormat="1" x14ac:dyDescent="0.25">
      <c r="A33" s="74" t="s">
        <v>504</v>
      </c>
      <c r="B33" s="74"/>
      <c r="C33" s="74">
        <v>21014</v>
      </c>
      <c r="D33" s="75">
        <v>1</v>
      </c>
      <c r="E33" s="73">
        <v>1800</v>
      </c>
      <c r="F33" s="76">
        <v>1</v>
      </c>
      <c r="G33" s="77">
        <v>1</v>
      </c>
      <c r="H33" s="16">
        <v>2015.01</v>
      </c>
      <c r="I33" s="16" t="s">
        <v>83</v>
      </c>
      <c r="J33" s="73">
        <v>10992</v>
      </c>
      <c r="K33" s="73">
        <v>10992</v>
      </c>
      <c r="L33" s="73">
        <v>10992</v>
      </c>
      <c r="M33" s="73">
        <v>10992</v>
      </c>
      <c r="N33" s="73">
        <v>10992</v>
      </c>
      <c r="O33" s="78">
        <v>44</v>
      </c>
      <c r="P33" s="78">
        <v>48</v>
      </c>
      <c r="Q33" s="79">
        <v>22.06</v>
      </c>
      <c r="R33" s="79"/>
      <c r="S33" s="78"/>
      <c r="T33" s="80">
        <v>15</v>
      </c>
      <c r="U33" s="80" t="s">
        <v>121</v>
      </c>
      <c r="V33" s="81" t="s">
        <v>505</v>
      </c>
      <c r="W33" s="82">
        <v>2.62</v>
      </c>
      <c r="X33" s="82" t="s">
        <v>501</v>
      </c>
      <c r="Y33" s="82"/>
      <c r="Z33" s="82"/>
      <c r="AA33" s="82"/>
      <c r="AB33" s="82"/>
      <c r="AC33" s="83" t="s">
        <v>667</v>
      </c>
      <c r="AD33" s="40" t="str">
        <f>VLOOKUP(t_Parts[[#This Row],[Press]],t_Presses[],Press!B$1,FALSE)</f>
        <v>Plainfield</v>
      </c>
      <c r="AE33" s="40" t="str">
        <f>VLOOKUP(t_Parts[[#This Row],[Press]],t_Presses[],Press!E$1,FALSE)</f>
        <v>300-599</v>
      </c>
      <c r="AF33" s="47">
        <f>VLOOKUP(t_Parts[[#This Row],[Plant]],t_Plants[],Plants!C$1,FALSE)</f>
        <v>0.55000000000000004</v>
      </c>
      <c r="AG33" s="47">
        <f>VLOOKUP(t_Parts[[#This Row],[Press]],t_Presses[],Press!F$1,FALSE)</f>
        <v>0</v>
      </c>
      <c r="AH33" s="84"/>
      <c r="AI33" s="47">
        <f>IF(ISBLANK(t_Parts[[#This Row],[PartOEE]])=FALSE,t_Parts[[#This Row],[PartOEE]], IF(t_Parts[[#This Row],[PressOEE]]&gt;0, t_Parts[[#This Row],[PressOEE]], t_Parts[[#This Row],[PlantOEE]] ))</f>
        <v>0.55000000000000004</v>
      </c>
      <c r="AJ33" s="70">
        <f>t_Parts[[#This Row],[SetupsPerMo]]*t_Parts[[#This Row],[SetupHrs]]</f>
        <v>1</v>
      </c>
      <c r="AK33" s="39">
        <f>(t_Parts[[#This Row],[PartsPerStroke]]*t_Parts[[#This Row],[StrokesPerHr]])*t_Parts[[#This Row],[UseOEE]]</f>
        <v>990.00000000000011</v>
      </c>
      <c r="AL3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845.53846153846155</v>
      </c>
      <c r="AM3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845.53846153846155</v>
      </c>
      <c r="AN3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1056.9230769230769</v>
      </c>
      <c r="AO3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845.53846153846155</v>
      </c>
      <c r="AP3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845.53846153846155</v>
      </c>
      <c r="AQ3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1056.9230769230769</v>
      </c>
      <c r="AR3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845.53846153846155</v>
      </c>
      <c r="AS3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845.53846153846155</v>
      </c>
      <c r="AT3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1056.9230769230769</v>
      </c>
      <c r="AU3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845.53846153846155</v>
      </c>
      <c r="AV3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845.53846153846155</v>
      </c>
      <c r="AW3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1056.9230769230769</v>
      </c>
      <c r="AX33" s="39">
        <f>SUM(t_Parts[[#This Row],[pv2015.01]:[pv2015.12]])</f>
        <v>10991.999999999998</v>
      </c>
      <c r="AY3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845.53846153846155</v>
      </c>
      <c r="AZ3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845.53846153846155</v>
      </c>
      <c r="BA3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1056.9230769230769</v>
      </c>
      <c r="BB3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845.53846153846155</v>
      </c>
      <c r="BC3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845.53846153846155</v>
      </c>
      <c r="BD3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1056.9230769230769</v>
      </c>
      <c r="BE3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845.53846153846155</v>
      </c>
      <c r="BF3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845.53846153846155</v>
      </c>
      <c r="BG3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1056.9230769230769</v>
      </c>
      <c r="BH3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845.53846153846155</v>
      </c>
      <c r="BI3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845.53846153846155</v>
      </c>
      <c r="BJ3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1056.9230769230769</v>
      </c>
      <c r="BK33" s="39">
        <f>SUM(t_Parts[[#This Row],[pv2016.01]:[pv2016.12]])</f>
        <v>10991.999999999998</v>
      </c>
      <c r="BL33" s="39">
        <f>t_Parts[[#This Row],[2017vol]]</f>
        <v>10992</v>
      </c>
      <c r="BM33" s="39">
        <f>t_Parts[[#This Row],[2018vol]]</f>
        <v>10992</v>
      </c>
      <c r="BN33" s="39">
        <f>t_Parts[[#This Row],[2019vol]]</f>
        <v>10992</v>
      </c>
      <c r="BO33" s="40">
        <f>VLOOKUP(t_Parts[[Plant]:[Plant]],t_Plants[],Plants!CN$1,FALSE)</f>
        <v>280</v>
      </c>
      <c r="BP33" s="14">
        <f>VLOOKUP(t_Parts[[Plant]:[Plant]],t_Plants[],Plants!CO$1,FALSE)</f>
        <v>280</v>
      </c>
      <c r="BQ33" s="14">
        <f>VLOOKUP(t_Parts[[Plant]:[Plant]],t_Plants[],Plants!CP$1,FALSE)</f>
        <v>350</v>
      </c>
      <c r="BR33" s="14">
        <f>VLOOKUP(t_Parts[[Plant]:[Plant]],t_Plants[],Plants!CQ$1,FALSE)</f>
        <v>280</v>
      </c>
      <c r="BS33" s="14">
        <f>VLOOKUP(t_Parts[[Plant]:[Plant]],t_Plants[],Plants!CR$1,FALSE)</f>
        <v>280</v>
      </c>
      <c r="BT33" s="14">
        <f>VLOOKUP(t_Parts[[Plant]:[Plant]],t_Plants[],Plants!CS$1,FALSE)</f>
        <v>350</v>
      </c>
      <c r="BU33" s="14">
        <f>VLOOKUP(t_Parts[[Plant]:[Plant]],t_Plants[],Plants!CT$1,FALSE)</f>
        <v>280</v>
      </c>
      <c r="BV33" s="14">
        <f>VLOOKUP(t_Parts[[Plant]:[Plant]],t_Plants[],Plants!CU$1,FALSE)</f>
        <v>280</v>
      </c>
      <c r="BW33" s="14">
        <f>VLOOKUP(t_Parts[[Plant]:[Plant]],t_Plants[],Plants!CV$1,FALSE)</f>
        <v>350</v>
      </c>
      <c r="BX33" s="14">
        <f>VLOOKUP(t_Parts[[Plant]:[Plant]],t_Plants[],Plants!CW$1,FALSE)</f>
        <v>280</v>
      </c>
      <c r="BY33" s="14">
        <f>VLOOKUP(t_Parts[[Plant]:[Plant]],t_Plants[],Plants!CX$1,FALSE)</f>
        <v>280</v>
      </c>
      <c r="BZ33" s="14">
        <f>VLOOKUP(t_Parts[[Plant]:[Plant]],t_Plants[],Plants!CY$1,FALSE)</f>
        <v>350</v>
      </c>
      <c r="CA33" s="40">
        <f>SUM(t_Parts[[#This Row],[ha2015.01]:[ha2015.12]])</f>
        <v>3640</v>
      </c>
      <c r="CB33" s="14">
        <f>VLOOKUP(t_Parts[[Plant]:[Plant]],t_Plants[],Plants!DA$1,FALSE)</f>
        <v>280</v>
      </c>
      <c r="CC33" s="14">
        <f>VLOOKUP(t_Parts[[Plant]:[Plant]],t_Plants[],Plants!DB$1,FALSE)</f>
        <v>280</v>
      </c>
      <c r="CD33" s="14">
        <f>VLOOKUP(t_Parts[[Plant]:[Plant]],t_Plants[],Plants!DC$1,FALSE)</f>
        <v>350</v>
      </c>
      <c r="CE33" s="14">
        <f>VLOOKUP(t_Parts[[Plant]:[Plant]],t_Plants[],Plants!DD$1,FALSE)</f>
        <v>280</v>
      </c>
      <c r="CF33" s="14">
        <f>VLOOKUP(t_Parts[[Plant]:[Plant]],t_Plants[],Plants!DE$1,FALSE)</f>
        <v>280</v>
      </c>
      <c r="CG33" s="14">
        <f>VLOOKUP(t_Parts[[Plant]:[Plant]],t_Plants[],Plants!DF$1,FALSE)</f>
        <v>350</v>
      </c>
      <c r="CH33" s="14">
        <f>VLOOKUP(t_Parts[[Plant]:[Plant]],t_Plants[],Plants!DG$1,FALSE)</f>
        <v>280</v>
      </c>
      <c r="CI33" s="14">
        <f>VLOOKUP(t_Parts[[Plant]:[Plant]],t_Plants[],Plants!DH$1,FALSE)</f>
        <v>280</v>
      </c>
      <c r="CJ33" s="14">
        <f>VLOOKUP(t_Parts[[Plant]:[Plant]],t_Plants[],Plants!DI$1,FALSE)</f>
        <v>350</v>
      </c>
      <c r="CK33" s="14">
        <f>VLOOKUP(t_Parts[[Plant]:[Plant]],t_Plants[],Plants!DJ$1,FALSE)</f>
        <v>280</v>
      </c>
      <c r="CL33" s="14">
        <f>VLOOKUP(t_Parts[[Plant]:[Plant]],t_Plants[],Plants!DK$1,FALSE)</f>
        <v>280</v>
      </c>
      <c r="CM33" s="14">
        <f>VLOOKUP(t_Parts[[Plant]:[Plant]],t_Plants[],Plants!DL$1,FALSE)</f>
        <v>350</v>
      </c>
      <c r="CN33" s="14">
        <f>VLOOKUP(t_Parts[[Plant]:[Plant]],t_Plants[],Plants!DM$1,FALSE)</f>
        <v>3640</v>
      </c>
      <c r="CO33" s="14">
        <f>VLOOKUP(t_Parts[[Plant]:[Plant]],t_Plants[],Plants!DN$1,FALSE)</f>
        <v>3640</v>
      </c>
      <c r="CP33" s="14">
        <f>VLOOKUP(t_Parts[[Plant]:[Plant]],t_Plants[],Plants!DO$1,FALSE)</f>
        <v>3640</v>
      </c>
      <c r="CQ33" s="14">
        <f>VLOOKUP(t_Parts[[Plant]:[Plant]],t_Plants[],Plants!DP$1,FALSE)</f>
        <v>3640</v>
      </c>
      <c r="CR33" s="39">
        <f>IF(AND(AL$3&gt;=VALUE(t_Parts[[SOP]:[SOP]]),AL$3&lt;=VALUE(t_Parts[[EOP]:[EOP]])), t_Parts[[SetupHrsPerMo]:[SetupHrsPerMo]]+(t_Parts[[#This Row],[pv2015.01]]/t_Parts[[NetPPH]:[NetPPH]]),0)</f>
        <v>1.8540792540792541</v>
      </c>
      <c r="CS33" s="39">
        <f>IF(AND(AM$3&gt;=VALUE(t_Parts[[SOP]:[SOP]]),AM$3&lt;=VALUE(t_Parts[[EOP]:[EOP]])), t_Parts[[SetupHrsPerMo]:[SetupHrsPerMo]]+(t_Parts[[#This Row],[pv2015.02]]/t_Parts[[NetPPH]:[NetPPH]]),0)</f>
        <v>1.8540792540792541</v>
      </c>
      <c r="CT33" s="39">
        <f>IF(AND(AN$3&gt;=VALUE(t_Parts[[SOP]:[SOP]]),AN$3&lt;=VALUE(t_Parts[[EOP]:[EOP]])), t_Parts[[SetupHrsPerMo]:[SetupHrsPerMo]]+(t_Parts[[#This Row],[pv2015.03]]/t_Parts[[NetPPH]:[NetPPH]]),0)</f>
        <v>2.0675990675990672</v>
      </c>
      <c r="CU33" s="39">
        <f>IF(AND(AO$3&gt;=VALUE(t_Parts[[SOP]:[SOP]]),AO$3&lt;=VALUE(t_Parts[[EOP]:[EOP]])), t_Parts[[SetupHrsPerMo]:[SetupHrsPerMo]]+(t_Parts[[#This Row],[pv2015.04]]/t_Parts[[NetPPH]:[NetPPH]]),0)</f>
        <v>1.8540792540792541</v>
      </c>
      <c r="CV33" s="39">
        <f>IF(AND(AP$3&gt;=VALUE(t_Parts[[SOP]:[SOP]]),AP$3&lt;=VALUE(t_Parts[[EOP]:[EOP]])), t_Parts[[SetupHrsPerMo]:[SetupHrsPerMo]]+(t_Parts[[#This Row],[pv2015.05]]/t_Parts[[NetPPH]:[NetPPH]]),0)</f>
        <v>1.8540792540792541</v>
      </c>
      <c r="CW33" s="39">
        <f>IF(AND(AQ$3&gt;=VALUE(t_Parts[[SOP]:[SOP]]),AQ$3&lt;=VALUE(t_Parts[[EOP]:[EOP]])), t_Parts[[SetupHrsPerMo]:[SetupHrsPerMo]]+(t_Parts[[#This Row],[pv2015.06]]/t_Parts[[NetPPH]:[NetPPH]]),0)</f>
        <v>2.0675990675990672</v>
      </c>
      <c r="CX33" s="39">
        <f>IF(AND(AR$3&gt;=VALUE(t_Parts[[SOP]:[SOP]]),AR$3&lt;=VALUE(t_Parts[[EOP]:[EOP]])), t_Parts[[SetupHrsPerMo]:[SetupHrsPerMo]]+(t_Parts[[#This Row],[pv2015.07]]/t_Parts[[NetPPH]:[NetPPH]]),0)</f>
        <v>1.8540792540792541</v>
      </c>
      <c r="CY33" s="39">
        <f>IF(AND(AS$3&gt;=VALUE(t_Parts[[SOP]:[SOP]]),AS$3&lt;=VALUE(t_Parts[[EOP]:[EOP]])), t_Parts[[SetupHrsPerMo]:[SetupHrsPerMo]]+(t_Parts[[#This Row],[pv2015.08]]/t_Parts[[NetPPH]:[NetPPH]]),0)</f>
        <v>1.8540792540792541</v>
      </c>
      <c r="CZ33" s="39">
        <f>IF(AND(AT$3&gt;=VALUE(t_Parts[[SOP]:[SOP]]),AT$3&lt;=VALUE(t_Parts[[EOP]:[EOP]])), t_Parts[[SetupHrsPerMo]:[SetupHrsPerMo]]+(t_Parts[[#This Row],[pv2015.09]]/t_Parts[[NetPPH]:[NetPPH]]),0)</f>
        <v>2.0675990675990672</v>
      </c>
      <c r="DA33" s="39">
        <f>IF(AND(AU$3&gt;=VALUE(t_Parts[[SOP]:[SOP]]),AU$3&lt;=VALUE(t_Parts[[EOP]:[EOP]])), t_Parts[[SetupHrsPerMo]:[SetupHrsPerMo]]+(t_Parts[[#This Row],[pv2015.10]]/t_Parts[[NetPPH]:[NetPPH]]),0)</f>
        <v>1.8540792540792541</v>
      </c>
      <c r="DB33" s="39">
        <f>IF(AND(AV$3&gt;=VALUE(t_Parts[[SOP]:[SOP]]),AV$3&lt;=VALUE(t_Parts[[EOP]:[EOP]])), t_Parts[[SetupHrsPerMo]:[SetupHrsPerMo]]+(t_Parts[[#This Row],[pv2015.11]]/t_Parts[[NetPPH]:[NetPPH]]),0)</f>
        <v>1.8540792540792541</v>
      </c>
      <c r="DC33" s="39">
        <f>IF(AND(AW$3&gt;=VALUE(t_Parts[[SOP]:[SOP]]),AW$3&lt;=VALUE(t_Parts[[EOP]:[EOP]])), t_Parts[[SetupHrsPerMo]:[SetupHrsPerMo]]+(t_Parts[[#This Row],[pv2015.12]]/t_Parts[[NetPPH]:[NetPPH]]),0)</f>
        <v>2.0675990675990672</v>
      </c>
      <c r="DD33" s="39">
        <f>SUM(t_Parts[[#This Row],[hp2015.01]:[hp2015.12]])</f>
        <v>23.103030303030302</v>
      </c>
      <c r="DE33" s="39">
        <f>IF(AND(AY$3&gt;=VALUE(t_Parts[[SOP]:[SOP]]),AY$3&lt;=VALUE(t_Parts[[EOP]:[EOP]])), t_Parts[[SetupHrsPerMo]:[SetupHrsPerMo]]+(t_Parts[[#This Row],[pv2016.01]]/t_Parts[[NetPPH]:[NetPPH]]),0)</f>
        <v>1.8540792540792541</v>
      </c>
      <c r="DF33" s="39">
        <f>IF(AND(AZ$3&gt;=VALUE(t_Parts[[SOP]:[SOP]]),AZ$3&lt;=VALUE(t_Parts[[EOP]:[EOP]])), t_Parts[[SetupHrsPerMo]:[SetupHrsPerMo]]+(t_Parts[[#This Row],[pv2016.02]]/t_Parts[[NetPPH]:[NetPPH]]),0)</f>
        <v>1.8540792540792541</v>
      </c>
      <c r="DG33" s="39">
        <f>IF(AND(BA$3&gt;=VALUE(t_Parts[[SOP]:[SOP]]),BA$3&lt;=VALUE(t_Parts[[EOP]:[EOP]])), t_Parts[[SetupHrsPerMo]:[SetupHrsPerMo]]+(t_Parts[[#This Row],[pv2016.03]]/t_Parts[[NetPPH]:[NetPPH]]),0)</f>
        <v>2.0675990675990672</v>
      </c>
      <c r="DH33" s="39">
        <f>IF(AND(BB$3&gt;=VALUE(t_Parts[[SOP]:[SOP]]),BB$3&lt;=VALUE(t_Parts[[EOP]:[EOP]])), t_Parts[[SetupHrsPerMo]:[SetupHrsPerMo]]+(t_Parts[[#This Row],[pv2016.04]]/t_Parts[[NetPPH]:[NetPPH]]),0)</f>
        <v>1.8540792540792541</v>
      </c>
      <c r="DI33" s="39">
        <f>IF(AND(BC$3&gt;=VALUE(t_Parts[[SOP]:[SOP]]),BC$3&lt;=VALUE(t_Parts[[EOP]:[EOP]])), t_Parts[[SetupHrsPerMo]:[SetupHrsPerMo]]+(t_Parts[[#This Row],[pv2016.05]]/t_Parts[[NetPPH]:[NetPPH]]),0)</f>
        <v>1.8540792540792541</v>
      </c>
      <c r="DJ33" s="39">
        <f>IF(AND(BD$3&gt;=VALUE(t_Parts[[SOP]:[SOP]]),BD$3&lt;=VALUE(t_Parts[[EOP]:[EOP]])), t_Parts[[SetupHrsPerMo]:[SetupHrsPerMo]]+(t_Parts[[#This Row],[pv2016.06]]/t_Parts[[NetPPH]:[NetPPH]]),0)</f>
        <v>2.0675990675990672</v>
      </c>
      <c r="DK33" s="39">
        <f>IF(AND(BE$3&gt;=VALUE(t_Parts[[SOP]:[SOP]]),BE$3&lt;=VALUE(t_Parts[[EOP]:[EOP]])), t_Parts[[SetupHrsPerMo]:[SetupHrsPerMo]]+(t_Parts[[#This Row],[pv2016.07]]/t_Parts[[NetPPH]:[NetPPH]]),0)</f>
        <v>1.8540792540792541</v>
      </c>
      <c r="DL33" s="39">
        <f>IF(AND(BF$3&gt;=VALUE(t_Parts[[SOP]:[SOP]]),BF$3&lt;=VALUE(t_Parts[[EOP]:[EOP]])), t_Parts[[SetupHrsPerMo]:[SetupHrsPerMo]]+(t_Parts[[#This Row],[pv2016.08]]/t_Parts[[NetPPH]:[NetPPH]]),0)</f>
        <v>1.8540792540792541</v>
      </c>
      <c r="DM33" s="39">
        <f>IF(AND(BG$3&gt;=VALUE(t_Parts[[SOP]:[SOP]]),BG$3&lt;=VALUE(t_Parts[[EOP]:[EOP]])), t_Parts[[SetupHrsPerMo]:[SetupHrsPerMo]]+(t_Parts[[#This Row],[pv2016.09]]/t_Parts[[NetPPH]:[NetPPH]]),0)</f>
        <v>2.0675990675990672</v>
      </c>
      <c r="DN33" s="39">
        <f>IF(AND(BH$3&gt;=VALUE(t_Parts[[SOP]:[SOP]]),BH$3&lt;=VALUE(t_Parts[[EOP]:[EOP]])), t_Parts[[SetupHrsPerMo]:[SetupHrsPerMo]]+(t_Parts[[#This Row],[pv2016.10]]/t_Parts[[NetPPH]:[NetPPH]]),0)</f>
        <v>1.8540792540792541</v>
      </c>
      <c r="DO33" s="39">
        <f>IF(AND(BI$3&gt;=VALUE(t_Parts[[SOP]:[SOP]]),BI$3&lt;=VALUE(t_Parts[[EOP]:[EOP]])), t_Parts[[SetupHrsPerMo]:[SetupHrsPerMo]]+(t_Parts[[#This Row],[pv2016.11]]/t_Parts[[NetPPH]:[NetPPH]]),0)</f>
        <v>1.8540792540792541</v>
      </c>
      <c r="DP33" s="39">
        <f>IF(AND(BJ$3&gt;=VALUE(t_Parts[[SOP]:[SOP]]),BJ$3&lt;=VALUE(t_Parts[[EOP]:[EOP]])), t_Parts[[SetupHrsPerMo]:[SetupHrsPerMo]]+(t_Parts[[#This Row],[pv2016.12]]/t_Parts[[NetPPH]:[NetPPH]]),0)</f>
        <v>2.0675990675990672</v>
      </c>
      <c r="DQ33" s="39">
        <f>SUM(t_Parts[[#This Row],[hp2016.01]:[hp2016.12]])</f>
        <v>23.103030303030302</v>
      </c>
      <c r="DR33" s="39">
        <f>IF(AND(BL$3&gt;=VALUE(t_Parts[[SOP]:[SOP]]),BL$3&lt;=VALUE(t_Parts[[EOP]:[EOP]])), 12*t_Parts[[SetupHrsPerMo]:[SetupHrsPerMo]]+(t_Parts[[#This Row],[pv2017]]/t_Parts[[NetPPH]:[NetPPH]]),0)</f>
        <v>23.103030303030302</v>
      </c>
      <c r="DS33" s="39">
        <f>IF(AND(BM$3&gt;=VALUE(t_Parts[[SOP]:[SOP]]),BM$3&lt;=VALUE(t_Parts[[EOP]:[EOP]])), 12*t_Parts[[SetupHrsPerMo]:[SetupHrsPerMo]]+(t_Parts[[#This Row],[pv2018]]/t_Parts[[NetPPH]:[NetPPH]]),0)</f>
        <v>23.103030303030302</v>
      </c>
      <c r="DT33" s="39">
        <f>IF(AND(BN$3&gt;=VALUE(t_Parts[[SOP]:[SOP]]),BN$3&lt;=VALUE(t_Parts[[EOP]:[EOP]])), 12*t_Parts[[SetupHrsPerMo]:[SetupHrsPerMo]]+(t_Parts[[#This Row],[pv2019]]/t_Parts[[NetPPH]:[NetPPH]]),0)</f>
        <v>23.103030303030302</v>
      </c>
      <c r="DU33" s="47">
        <f>t_Parts[[#This Row],[hp2015.01]]/t_Parts[[#This Row],[ha2015.01]]</f>
        <v>6.621711621711622E-3</v>
      </c>
      <c r="DV33" s="47">
        <f>t_Parts[[#This Row],[hp2015.02]]/t_Parts[[#This Row],[ha2015.02]]</f>
        <v>6.621711621711622E-3</v>
      </c>
      <c r="DW33" s="47">
        <f>t_Parts[[#This Row],[hp2015.03]]/t_Parts[[#This Row],[ha2015.03]]</f>
        <v>5.9074259074259061E-3</v>
      </c>
      <c r="DX33" s="47">
        <f>t_Parts[[#This Row],[hp2015.04]]/t_Parts[[#This Row],[ha2015.04]]</f>
        <v>6.621711621711622E-3</v>
      </c>
      <c r="DY33" s="47">
        <f>t_Parts[[#This Row],[hp2015.05]]/t_Parts[[#This Row],[ha2015.05]]</f>
        <v>6.621711621711622E-3</v>
      </c>
      <c r="DZ33" s="47">
        <f>t_Parts[[#This Row],[hp2015.06]]/t_Parts[[#This Row],[ha2015.06]]</f>
        <v>5.9074259074259061E-3</v>
      </c>
      <c r="EA33" s="47">
        <f>t_Parts[[#This Row],[hp2015.07]]/t_Parts[[#This Row],[ha2015.07]]</f>
        <v>6.621711621711622E-3</v>
      </c>
      <c r="EB33" s="47">
        <f>t_Parts[[#This Row],[hp2015.08]]/t_Parts[[#This Row],[ha2015.08]]</f>
        <v>6.621711621711622E-3</v>
      </c>
      <c r="EC33" s="47">
        <f>t_Parts[[#This Row],[hp2015.09]]/t_Parts[[#This Row],[ha2015.09]]</f>
        <v>5.9074259074259061E-3</v>
      </c>
      <c r="ED33" s="47">
        <f>t_Parts[[#This Row],[hp2015.10]]/t_Parts[[#This Row],[ha2015.10]]</f>
        <v>6.621711621711622E-3</v>
      </c>
      <c r="EE33" s="47">
        <f>t_Parts[[#This Row],[hp2015.11]]/t_Parts[[#This Row],[ha2015.11]]</f>
        <v>6.621711621711622E-3</v>
      </c>
      <c r="EF33" s="47">
        <f>t_Parts[[#This Row],[hp2015.12]]/t_Parts[[#This Row],[ha2015.12]]</f>
        <v>5.9074259074259061E-3</v>
      </c>
      <c r="EG33" s="47">
        <f>t_Parts[[#This Row],[hp2015.FY]]/t_Parts[[#This Row],[ha2015.FY]]</f>
        <v>6.3469863469863465E-3</v>
      </c>
      <c r="EH33" s="47">
        <f>t_Parts[[#This Row],[hp2016.01]]/t_Parts[[#This Row],[ha2016.01]]</f>
        <v>6.621711621711622E-3</v>
      </c>
      <c r="EI33" s="47">
        <f>t_Parts[[#This Row],[hp2016.02]]/t_Parts[[#This Row],[ha2016.02]]</f>
        <v>6.621711621711622E-3</v>
      </c>
      <c r="EJ33" s="47">
        <f>t_Parts[[#This Row],[hp2016.03]]/t_Parts[[#This Row],[ha2016.03]]</f>
        <v>5.9074259074259061E-3</v>
      </c>
      <c r="EK33" s="47">
        <f>t_Parts[[#This Row],[hp2016.04]]/t_Parts[[#This Row],[ha2016.04]]</f>
        <v>6.621711621711622E-3</v>
      </c>
      <c r="EL33" s="47">
        <f>t_Parts[[#This Row],[hp2016.05]]/t_Parts[[#This Row],[ha2016.05]]</f>
        <v>6.621711621711622E-3</v>
      </c>
      <c r="EM33" s="47">
        <f>t_Parts[[#This Row],[hp2016.06]]/t_Parts[[#This Row],[ha2016.06]]</f>
        <v>5.9074259074259061E-3</v>
      </c>
      <c r="EN33" s="47">
        <f>t_Parts[[#This Row],[hp2016.07]]/t_Parts[[#This Row],[ha2016.07]]</f>
        <v>6.621711621711622E-3</v>
      </c>
      <c r="EO33" s="47">
        <f>t_Parts[[#This Row],[hp2016.08]]/t_Parts[[#This Row],[ha2016.08]]</f>
        <v>6.621711621711622E-3</v>
      </c>
      <c r="EP33" s="47">
        <f>t_Parts[[#This Row],[hp2016.09]]/t_Parts[[#This Row],[ha2016.09]]</f>
        <v>5.9074259074259061E-3</v>
      </c>
      <c r="EQ33" s="47">
        <f>t_Parts[[#This Row],[hp2016.10]]/t_Parts[[#This Row],[ha2016.10]]</f>
        <v>6.621711621711622E-3</v>
      </c>
      <c r="ER33" s="47">
        <f>t_Parts[[#This Row],[hp2016.11]]/t_Parts[[#This Row],[ha2016.11]]</f>
        <v>6.621711621711622E-3</v>
      </c>
      <c r="ES33" s="47">
        <f>t_Parts[[#This Row],[hp2016.12]]/t_Parts[[#This Row],[ha2016.12]]</f>
        <v>5.9074259074259061E-3</v>
      </c>
      <c r="ET33" s="47">
        <f>t_Parts[[#This Row],[hp2016.FY]]/t_Parts[[#This Row],[ha2016.FY]]</f>
        <v>6.3469863469863465E-3</v>
      </c>
      <c r="EU33" s="47">
        <f>t_Parts[[#This Row],[hp2017]]/t_Parts[[#This Row],[ha2017]]</f>
        <v>6.3469863469863465E-3</v>
      </c>
      <c r="EV33" s="47">
        <f>t_Parts[[#This Row],[hp2018]]/t_Parts[[#This Row],[ha2018]]</f>
        <v>6.3469863469863465E-3</v>
      </c>
      <c r="EW33" s="47">
        <f>t_Parts[[#This Row],[hp2019]]/t_Parts[[#This Row],[hp2015.01]]</f>
        <v>12.460648730198642</v>
      </c>
      <c r="EX33" s="58">
        <f>(t_Parts[[#This Row],[ha2015.01]]-t_Parts[[#This Row],[hp2015.01]])*t_Parts[[NetPPH]:[NetPPH]]</f>
        <v>275364.46153846156</v>
      </c>
      <c r="EY33" s="58">
        <f>(t_Parts[[#This Row],[ha2015.02]]-t_Parts[[#This Row],[hp2015.02]])*t_Parts[[NetPPH]:[NetPPH]]</f>
        <v>275364.46153846156</v>
      </c>
      <c r="EZ33" s="58">
        <f>(t_Parts[[#This Row],[ha2015.03]]-t_Parts[[#This Row],[hp2015.03]])*t_Parts[[NetPPH]:[NetPPH]]</f>
        <v>344453.07692307694</v>
      </c>
      <c r="FA33" s="58">
        <f>(t_Parts[[#This Row],[ha2015.04]]-t_Parts[[#This Row],[hp2015.04]])*t_Parts[[NetPPH]:[NetPPH]]</f>
        <v>275364.46153846156</v>
      </c>
      <c r="FB33" s="58">
        <f>(t_Parts[[#This Row],[ha2015.05]]-t_Parts[[#This Row],[hp2015.05]])*t_Parts[[NetPPH]:[NetPPH]]</f>
        <v>275364.46153846156</v>
      </c>
      <c r="FC33" s="58">
        <f>(t_Parts[[#This Row],[ha2015.06]]-t_Parts[[#This Row],[hp2015.06]])*t_Parts[[NetPPH]:[NetPPH]]</f>
        <v>344453.07692307694</v>
      </c>
      <c r="FD33" s="58">
        <f>(t_Parts[[#This Row],[ha2015.07]]-t_Parts[[#This Row],[hp2015.07]])*t_Parts[[NetPPH]:[NetPPH]]</f>
        <v>275364.46153846156</v>
      </c>
      <c r="FE33" s="58">
        <f>(t_Parts[[#This Row],[ha2015.08]]-t_Parts[[#This Row],[hp2015.08]])*t_Parts[[NetPPH]:[NetPPH]]</f>
        <v>275364.46153846156</v>
      </c>
      <c r="FF33" s="58">
        <f>(t_Parts[[#This Row],[ha2015.09]]-t_Parts[[#This Row],[hp2015.09]])*t_Parts[[NetPPH]:[NetPPH]]</f>
        <v>344453.07692307694</v>
      </c>
      <c r="FG33" s="58">
        <f>(t_Parts[[#This Row],[ha2015.10]]-t_Parts[[#This Row],[hp2015.10]])*t_Parts[[NetPPH]:[NetPPH]]</f>
        <v>275364.46153846156</v>
      </c>
      <c r="FH33" s="58">
        <f>(t_Parts[[#This Row],[ha2015.11]]-t_Parts[[#This Row],[hp2015.11]])*t_Parts[[NetPPH]:[NetPPH]]</f>
        <v>275364.46153846156</v>
      </c>
      <c r="FI33" s="58">
        <f>(t_Parts[[#This Row],[ha2015.12]]-t_Parts[[#This Row],[hp2015.12]])*t_Parts[[NetPPH]:[NetPPH]]</f>
        <v>344453.07692307694</v>
      </c>
      <c r="FJ33" s="58">
        <f>(t_Parts[[#This Row],[ha2015.FY]]-t_Parts[[#This Row],[hp2015.FY]])*t_Parts[[NetPPH]:[NetPPH]]</f>
        <v>3580728.0000000005</v>
      </c>
      <c r="FK33" s="58">
        <f>(t_Parts[[#This Row],[ha2016.01]]-t_Parts[[#This Row],[hp2016.01]])*t_Parts[[NetPPH]:[NetPPH]]</f>
        <v>275364.46153846156</v>
      </c>
      <c r="FL33" s="58">
        <f>(t_Parts[[#This Row],[ha2016.02]]-t_Parts[[#This Row],[hp2016.02]])*t_Parts[[NetPPH]:[NetPPH]]</f>
        <v>275364.46153846156</v>
      </c>
      <c r="FM33" s="58">
        <f>(t_Parts[[#This Row],[ha2016.03]]-t_Parts[[#This Row],[hp2016.03]])*t_Parts[[NetPPH]:[NetPPH]]</f>
        <v>344453.07692307694</v>
      </c>
      <c r="FN33" s="58">
        <f>(t_Parts[[#This Row],[ha2016.04]]-t_Parts[[#This Row],[hp2016.04]])*t_Parts[[NetPPH]:[NetPPH]]</f>
        <v>275364.46153846156</v>
      </c>
      <c r="FO33" s="58">
        <f>(t_Parts[[#This Row],[ha2016.05]]-t_Parts[[#This Row],[hp2016.05]])*t_Parts[[NetPPH]:[NetPPH]]</f>
        <v>275364.46153846156</v>
      </c>
      <c r="FP33" s="58">
        <f>(t_Parts[[#This Row],[ha2016.06]]-t_Parts[[#This Row],[hp2016.06]])*t_Parts[[NetPPH]:[NetPPH]]</f>
        <v>344453.07692307694</v>
      </c>
      <c r="FQ33" s="58">
        <f>(t_Parts[[#This Row],[ha2016.07]]-t_Parts[[#This Row],[hp2016.07]])*t_Parts[[NetPPH]:[NetPPH]]</f>
        <v>275364.46153846156</v>
      </c>
      <c r="FR33" s="58">
        <f>(t_Parts[[#This Row],[ha2016.08]]-t_Parts[[#This Row],[hp2016.08]])*t_Parts[[NetPPH]:[NetPPH]]</f>
        <v>275364.46153846156</v>
      </c>
      <c r="FS33" s="58">
        <f>(t_Parts[[#This Row],[ha2016.09]]-t_Parts[[#This Row],[hp2016.09]])*t_Parts[[NetPPH]:[NetPPH]]</f>
        <v>344453.07692307694</v>
      </c>
      <c r="FT33" s="58">
        <f>(t_Parts[[#This Row],[ha2016.10]]-t_Parts[[#This Row],[hp2016.10]])*t_Parts[[NetPPH]:[NetPPH]]</f>
        <v>275364.46153846156</v>
      </c>
      <c r="FU33" s="58">
        <f>(t_Parts[[#This Row],[ha2016.11]]-t_Parts[[#This Row],[hp2016.11]])*t_Parts[[NetPPH]:[NetPPH]]</f>
        <v>275364.46153846156</v>
      </c>
      <c r="FV33" s="58">
        <f>(t_Parts[[#This Row],[ha2016.12]]-t_Parts[[#This Row],[hp2016.12]])*t_Parts[[NetPPH]:[NetPPH]]</f>
        <v>344453.07692307694</v>
      </c>
      <c r="FW33" s="58">
        <f>(t_Parts[[#This Row],[ha2016.FY]]-t_Parts[[#This Row],[hp2016.FY]])*t_Parts[[NetPPH]:[NetPPH]]</f>
        <v>3580728.0000000005</v>
      </c>
      <c r="FX33" s="58">
        <f>(t_Parts[[#This Row],[ha2017]]-t_Parts[[#This Row],[hp2017]])*t_Parts[[NetPPH]:[NetPPH]]</f>
        <v>3580728.0000000005</v>
      </c>
      <c r="FY33" s="58">
        <f>(t_Parts[[#This Row],[ha2018]]-t_Parts[[#This Row],[hp2018]])*t_Parts[[NetPPH]:[NetPPH]]</f>
        <v>3580728.0000000005</v>
      </c>
      <c r="FZ33" s="58">
        <f>(t_Parts[[#This Row],[ha2019]]-t_Parts[[#This Row],[hp2019]])*t_Parts[[NetPPH]:[NetPPH]]</f>
        <v>3580728.0000000005</v>
      </c>
    </row>
    <row r="34" spans="1:182" s="14" customFormat="1" x14ac:dyDescent="0.25">
      <c r="A34" s="74" t="s">
        <v>648</v>
      </c>
      <c r="B34" s="74"/>
      <c r="C34" s="74">
        <v>21001</v>
      </c>
      <c r="D34" s="75">
        <v>1</v>
      </c>
      <c r="E34" s="73">
        <v>1800</v>
      </c>
      <c r="F34" s="76">
        <v>1</v>
      </c>
      <c r="G34" s="77">
        <v>4</v>
      </c>
      <c r="H34" s="16">
        <v>2015.01</v>
      </c>
      <c r="I34" s="16" t="s">
        <v>332</v>
      </c>
      <c r="J34" s="73">
        <v>290003</v>
      </c>
      <c r="K34" s="73">
        <v>290003</v>
      </c>
      <c r="L34" s="73">
        <v>290003</v>
      </c>
      <c r="M34" s="73">
        <v>290003</v>
      </c>
      <c r="N34" s="73">
        <v>290003</v>
      </c>
      <c r="O34" s="78">
        <v>40</v>
      </c>
      <c r="P34" s="78">
        <v>96</v>
      </c>
      <c r="Q34" s="79">
        <v>23.92</v>
      </c>
      <c r="R34" s="79"/>
      <c r="S34" s="78">
        <v>326</v>
      </c>
      <c r="T34" s="80">
        <v>14.5</v>
      </c>
      <c r="U34" s="80" t="s">
        <v>121</v>
      </c>
      <c r="V34" s="81" t="s">
        <v>649</v>
      </c>
      <c r="W34" s="82">
        <v>2.1800000000000002</v>
      </c>
      <c r="X34" s="82" t="s">
        <v>501</v>
      </c>
      <c r="Y34" s="82"/>
      <c r="Z34" s="82"/>
      <c r="AA34" s="82"/>
      <c r="AB34" s="82"/>
      <c r="AC34" s="83" t="s">
        <v>667</v>
      </c>
      <c r="AD34" s="40" t="str">
        <f>VLOOKUP(t_Parts[[#This Row],[Press]],t_Presses[],Press!B$1,FALSE)</f>
        <v>Plainfield</v>
      </c>
      <c r="AE34" s="40" t="str">
        <f>VLOOKUP(t_Parts[[#This Row],[Press]],t_Presses[],Press!E$1,FALSE)</f>
        <v>300-599</v>
      </c>
      <c r="AF34" s="47">
        <f>VLOOKUP(t_Parts[[#This Row],[Plant]],t_Plants[],Plants!C$1,FALSE)</f>
        <v>0.55000000000000004</v>
      </c>
      <c r="AG34" s="47">
        <f>VLOOKUP(t_Parts[[#This Row],[Press]],t_Presses[],Press!F$1,FALSE)</f>
        <v>0</v>
      </c>
      <c r="AH34" s="84"/>
      <c r="AI34" s="47">
        <f>IF(ISBLANK(t_Parts[[#This Row],[PartOEE]])=FALSE,t_Parts[[#This Row],[PartOEE]], IF(t_Parts[[#This Row],[PressOEE]]&gt;0, t_Parts[[#This Row],[PressOEE]], t_Parts[[#This Row],[PlantOEE]] ))</f>
        <v>0.55000000000000004</v>
      </c>
      <c r="AJ34" s="70">
        <f>t_Parts[[#This Row],[SetupsPerMo]]*t_Parts[[#This Row],[SetupHrs]]</f>
        <v>4</v>
      </c>
      <c r="AK34" s="39">
        <f>(t_Parts[[#This Row],[PartsPerStroke]]*t_Parts[[#This Row],[StrokesPerHr]])*t_Parts[[#This Row],[UseOEE]]</f>
        <v>990.00000000000011</v>
      </c>
      <c r="AL3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22307.923076923078</v>
      </c>
      <c r="AM3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22307.923076923078</v>
      </c>
      <c r="AN3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27884.903846153848</v>
      </c>
      <c r="AO3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22307.923076923078</v>
      </c>
      <c r="AP3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22307.923076923078</v>
      </c>
      <c r="AQ3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27884.903846153848</v>
      </c>
      <c r="AR3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22307.923076923078</v>
      </c>
      <c r="AS3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22307.923076923078</v>
      </c>
      <c r="AT3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27884.903846153848</v>
      </c>
      <c r="AU3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22307.923076923078</v>
      </c>
      <c r="AV3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22307.923076923078</v>
      </c>
      <c r="AW3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27884.903846153848</v>
      </c>
      <c r="AX34" s="39">
        <f>SUM(t_Parts[[#This Row],[pv2015.01]:[pv2015.12]])</f>
        <v>290003</v>
      </c>
      <c r="AY3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22307.923076923078</v>
      </c>
      <c r="AZ3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22307.923076923078</v>
      </c>
      <c r="BA3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27884.903846153848</v>
      </c>
      <c r="BB3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22307.923076923078</v>
      </c>
      <c r="BC3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22307.923076923078</v>
      </c>
      <c r="BD3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27884.903846153848</v>
      </c>
      <c r="BE3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22307.923076923078</v>
      </c>
      <c r="BF3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22307.923076923078</v>
      </c>
      <c r="BG3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27884.903846153848</v>
      </c>
      <c r="BH3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22307.923076923078</v>
      </c>
      <c r="BI3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22307.923076923078</v>
      </c>
      <c r="BJ3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27884.903846153848</v>
      </c>
      <c r="BK34" s="39">
        <f>SUM(t_Parts[[#This Row],[pv2016.01]:[pv2016.12]])</f>
        <v>290003</v>
      </c>
      <c r="BL34" s="39">
        <f>t_Parts[[#This Row],[2017vol]]</f>
        <v>290003</v>
      </c>
      <c r="BM34" s="39">
        <f>t_Parts[[#This Row],[2018vol]]</f>
        <v>290003</v>
      </c>
      <c r="BN34" s="39">
        <f>t_Parts[[#This Row],[2019vol]]</f>
        <v>290003</v>
      </c>
      <c r="BO34" s="40">
        <f>VLOOKUP(t_Parts[[Plant]:[Plant]],t_Plants[],Plants!CN$1,FALSE)</f>
        <v>280</v>
      </c>
      <c r="BP34" s="14">
        <f>VLOOKUP(t_Parts[[Plant]:[Plant]],t_Plants[],Plants!CO$1,FALSE)</f>
        <v>280</v>
      </c>
      <c r="BQ34" s="14">
        <f>VLOOKUP(t_Parts[[Plant]:[Plant]],t_Plants[],Plants!CP$1,FALSE)</f>
        <v>350</v>
      </c>
      <c r="BR34" s="14">
        <f>VLOOKUP(t_Parts[[Plant]:[Plant]],t_Plants[],Plants!CQ$1,FALSE)</f>
        <v>280</v>
      </c>
      <c r="BS34" s="14">
        <f>VLOOKUP(t_Parts[[Plant]:[Plant]],t_Plants[],Plants!CR$1,FALSE)</f>
        <v>280</v>
      </c>
      <c r="BT34" s="14">
        <f>VLOOKUP(t_Parts[[Plant]:[Plant]],t_Plants[],Plants!CS$1,FALSE)</f>
        <v>350</v>
      </c>
      <c r="BU34" s="14">
        <f>VLOOKUP(t_Parts[[Plant]:[Plant]],t_Plants[],Plants!CT$1,FALSE)</f>
        <v>280</v>
      </c>
      <c r="BV34" s="14">
        <f>VLOOKUP(t_Parts[[Plant]:[Plant]],t_Plants[],Plants!CU$1,FALSE)</f>
        <v>280</v>
      </c>
      <c r="BW34" s="14">
        <f>VLOOKUP(t_Parts[[Plant]:[Plant]],t_Plants[],Plants!CV$1,FALSE)</f>
        <v>350</v>
      </c>
      <c r="BX34" s="14">
        <f>VLOOKUP(t_Parts[[Plant]:[Plant]],t_Plants[],Plants!CW$1,FALSE)</f>
        <v>280</v>
      </c>
      <c r="BY34" s="14">
        <f>VLOOKUP(t_Parts[[Plant]:[Plant]],t_Plants[],Plants!CX$1,FALSE)</f>
        <v>280</v>
      </c>
      <c r="BZ34" s="14">
        <f>VLOOKUP(t_Parts[[Plant]:[Plant]],t_Plants[],Plants!CY$1,FALSE)</f>
        <v>350</v>
      </c>
      <c r="CA34" s="40">
        <f>SUM(t_Parts[[#This Row],[ha2015.01]:[ha2015.12]])</f>
        <v>3640</v>
      </c>
      <c r="CB34" s="14">
        <f>VLOOKUP(t_Parts[[Plant]:[Plant]],t_Plants[],Plants!DA$1,FALSE)</f>
        <v>280</v>
      </c>
      <c r="CC34" s="14">
        <f>VLOOKUP(t_Parts[[Plant]:[Plant]],t_Plants[],Plants!DB$1,FALSE)</f>
        <v>280</v>
      </c>
      <c r="CD34" s="14">
        <f>VLOOKUP(t_Parts[[Plant]:[Plant]],t_Plants[],Plants!DC$1,FALSE)</f>
        <v>350</v>
      </c>
      <c r="CE34" s="14">
        <f>VLOOKUP(t_Parts[[Plant]:[Plant]],t_Plants[],Plants!DD$1,FALSE)</f>
        <v>280</v>
      </c>
      <c r="CF34" s="14">
        <f>VLOOKUP(t_Parts[[Plant]:[Plant]],t_Plants[],Plants!DE$1,FALSE)</f>
        <v>280</v>
      </c>
      <c r="CG34" s="14">
        <f>VLOOKUP(t_Parts[[Plant]:[Plant]],t_Plants[],Plants!DF$1,FALSE)</f>
        <v>350</v>
      </c>
      <c r="CH34" s="14">
        <f>VLOOKUP(t_Parts[[Plant]:[Plant]],t_Plants[],Plants!DG$1,FALSE)</f>
        <v>280</v>
      </c>
      <c r="CI34" s="14">
        <f>VLOOKUP(t_Parts[[Plant]:[Plant]],t_Plants[],Plants!DH$1,FALSE)</f>
        <v>280</v>
      </c>
      <c r="CJ34" s="14">
        <f>VLOOKUP(t_Parts[[Plant]:[Plant]],t_Plants[],Plants!DI$1,FALSE)</f>
        <v>350</v>
      </c>
      <c r="CK34" s="14">
        <f>VLOOKUP(t_Parts[[Plant]:[Plant]],t_Plants[],Plants!DJ$1,FALSE)</f>
        <v>280</v>
      </c>
      <c r="CL34" s="14">
        <f>VLOOKUP(t_Parts[[Plant]:[Plant]],t_Plants[],Plants!DK$1,FALSE)</f>
        <v>280</v>
      </c>
      <c r="CM34" s="14">
        <f>VLOOKUP(t_Parts[[Plant]:[Plant]],t_Plants[],Plants!DL$1,FALSE)</f>
        <v>350</v>
      </c>
      <c r="CN34" s="14">
        <f>VLOOKUP(t_Parts[[Plant]:[Plant]],t_Plants[],Plants!DM$1,FALSE)</f>
        <v>3640</v>
      </c>
      <c r="CO34" s="14">
        <f>VLOOKUP(t_Parts[[Plant]:[Plant]],t_Plants[],Plants!DN$1,FALSE)</f>
        <v>3640</v>
      </c>
      <c r="CP34" s="14">
        <f>VLOOKUP(t_Parts[[Plant]:[Plant]],t_Plants[],Plants!DO$1,FALSE)</f>
        <v>3640</v>
      </c>
      <c r="CQ34" s="14">
        <f>VLOOKUP(t_Parts[[Plant]:[Plant]],t_Plants[],Plants!DP$1,FALSE)</f>
        <v>3640</v>
      </c>
      <c r="CR34" s="39">
        <f>IF(AND(AL$3&gt;=VALUE(t_Parts[[SOP]:[SOP]]),AL$3&lt;=VALUE(t_Parts[[EOP]:[EOP]])), t_Parts[[SetupHrsPerMo]:[SetupHrsPerMo]]+(t_Parts[[#This Row],[pv2015.01]]/t_Parts[[NetPPH]:[NetPPH]]),0)</f>
        <v>26.533255633255632</v>
      </c>
      <c r="CS34" s="39">
        <f>IF(AND(AM$3&gt;=VALUE(t_Parts[[SOP]:[SOP]]),AM$3&lt;=VALUE(t_Parts[[EOP]:[EOP]])), t_Parts[[SetupHrsPerMo]:[SetupHrsPerMo]]+(t_Parts[[#This Row],[pv2015.02]]/t_Parts[[NetPPH]:[NetPPH]]),0)</f>
        <v>26.533255633255632</v>
      </c>
      <c r="CT34" s="39">
        <f>IF(AND(AN$3&gt;=VALUE(t_Parts[[SOP]:[SOP]]),AN$3&lt;=VALUE(t_Parts[[EOP]:[EOP]])), t_Parts[[SetupHrsPerMo]:[SetupHrsPerMo]]+(t_Parts[[#This Row],[pv2015.03]]/t_Parts[[NetPPH]:[NetPPH]]),0)</f>
        <v>32.166569541569544</v>
      </c>
      <c r="CU34" s="39">
        <f>IF(AND(AO$3&gt;=VALUE(t_Parts[[SOP]:[SOP]]),AO$3&lt;=VALUE(t_Parts[[EOP]:[EOP]])), t_Parts[[SetupHrsPerMo]:[SetupHrsPerMo]]+(t_Parts[[#This Row],[pv2015.04]]/t_Parts[[NetPPH]:[NetPPH]]),0)</f>
        <v>26.533255633255632</v>
      </c>
      <c r="CV34" s="39">
        <f>IF(AND(AP$3&gt;=VALUE(t_Parts[[SOP]:[SOP]]),AP$3&lt;=VALUE(t_Parts[[EOP]:[EOP]])), t_Parts[[SetupHrsPerMo]:[SetupHrsPerMo]]+(t_Parts[[#This Row],[pv2015.05]]/t_Parts[[NetPPH]:[NetPPH]]),0)</f>
        <v>26.533255633255632</v>
      </c>
      <c r="CW34" s="39">
        <f>IF(AND(AQ$3&gt;=VALUE(t_Parts[[SOP]:[SOP]]),AQ$3&lt;=VALUE(t_Parts[[EOP]:[EOP]])), t_Parts[[SetupHrsPerMo]:[SetupHrsPerMo]]+(t_Parts[[#This Row],[pv2015.06]]/t_Parts[[NetPPH]:[NetPPH]]),0)</f>
        <v>32.166569541569544</v>
      </c>
      <c r="CX34" s="39">
        <f>IF(AND(AR$3&gt;=VALUE(t_Parts[[SOP]:[SOP]]),AR$3&lt;=VALUE(t_Parts[[EOP]:[EOP]])), t_Parts[[SetupHrsPerMo]:[SetupHrsPerMo]]+(t_Parts[[#This Row],[pv2015.07]]/t_Parts[[NetPPH]:[NetPPH]]),0)</f>
        <v>26.533255633255632</v>
      </c>
      <c r="CY34" s="39">
        <f>IF(AND(AS$3&gt;=VALUE(t_Parts[[SOP]:[SOP]]),AS$3&lt;=VALUE(t_Parts[[EOP]:[EOP]])), t_Parts[[SetupHrsPerMo]:[SetupHrsPerMo]]+(t_Parts[[#This Row],[pv2015.08]]/t_Parts[[NetPPH]:[NetPPH]]),0)</f>
        <v>26.533255633255632</v>
      </c>
      <c r="CZ34" s="39">
        <f>IF(AND(AT$3&gt;=VALUE(t_Parts[[SOP]:[SOP]]),AT$3&lt;=VALUE(t_Parts[[EOP]:[EOP]])), t_Parts[[SetupHrsPerMo]:[SetupHrsPerMo]]+(t_Parts[[#This Row],[pv2015.09]]/t_Parts[[NetPPH]:[NetPPH]]),0)</f>
        <v>32.166569541569544</v>
      </c>
      <c r="DA34" s="39">
        <f>IF(AND(AU$3&gt;=VALUE(t_Parts[[SOP]:[SOP]]),AU$3&lt;=VALUE(t_Parts[[EOP]:[EOP]])), t_Parts[[SetupHrsPerMo]:[SetupHrsPerMo]]+(t_Parts[[#This Row],[pv2015.10]]/t_Parts[[NetPPH]:[NetPPH]]),0)</f>
        <v>26.533255633255632</v>
      </c>
      <c r="DB34" s="39">
        <f>IF(AND(AV$3&gt;=VALUE(t_Parts[[SOP]:[SOP]]),AV$3&lt;=VALUE(t_Parts[[EOP]:[EOP]])), t_Parts[[SetupHrsPerMo]:[SetupHrsPerMo]]+(t_Parts[[#This Row],[pv2015.11]]/t_Parts[[NetPPH]:[NetPPH]]),0)</f>
        <v>26.533255633255632</v>
      </c>
      <c r="DC34" s="39">
        <f>IF(AND(AW$3&gt;=VALUE(t_Parts[[SOP]:[SOP]]),AW$3&lt;=VALUE(t_Parts[[EOP]:[EOP]])), t_Parts[[SetupHrsPerMo]:[SetupHrsPerMo]]+(t_Parts[[#This Row],[pv2015.12]]/t_Parts[[NetPPH]:[NetPPH]]),0)</f>
        <v>32.166569541569544</v>
      </c>
      <c r="DD34" s="39">
        <f>SUM(t_Parts[[#This Row],[hp2015.01]:[hp2015.12]])</f>
        <v>340.93232323232326</v>
      </c>
      <c r="DE34" s="39">
        <f>IF(AND(AY$3&gt;=VALUE(t_Parts[[SOP]:[SOP]]),AY$3&lt;=VALUE(t_Parts[[EOP]:[EOP]])), t_Parts[[SetupHrsPerMo]:[SetupHrsPerMo]]+(t_Parts[[#This Row],[pv2016.01]]/t_Parts[[NetPPH]:[NetPPH]]),0)</f>
        <v>26.533255633255632</v>
      </c>
      <c r="DF34" s="39">
        <f>IF(AND(AZ$3&gt;=VALUE(t_Parts[[SOP]:[SOP]]),AZ$3&lt;=VALUE(t_Parts[[EOP]:[EOP]])), t_Parts[[SetupHrsPerMo]:[SetupHrsPerMo]]+(t_Parts[[#This Row],[pv2016.02]]/t_Parts[[NetPPH]:[NetPPH]]),0)</f>
        <v>26.533255633255632</v>
      </c>
      <c r="DG34" s="39">
        <f>IF(AND(BA$3&gt;=VALUE(t_Parts[[SOP]:[SOP]]),BA$3&lt;=VALUE(t_Parts[[EOP]:[EOP]])), t_Parts[[SetupHrsPerMo]:[SetupHrsPerMo]]+(t_Parts[[#This Row],[pv2016.03]]/t_Parts[[NetPPH]:[NetPPH]]),0)</f>
        <v>32.166569541569544</v>
      </c>
      <c r="DH34" s="39">
        <f>IF(AND(BB$3&gt;=VALUE(t_Parts[[SOP]:[SOP]]),BB$3&lt;=VALUE(t_Parts[[EOP]:[EOP]])), t_Parts[[SetupHrsPerMo]:[SetupHrsPerMo]]+(t_Parts[[#This Row],[pv2016.04]]/t_Parts[[NetPPH]:[NetPPH]]),0)</f>
        <v>26.533255633255632</v>
      </c>
      <c r="DI34" s="39">
        <f>IF(AND(BC$3&gt;=VALUE(t_Parts[[SOP]:[SOP]]),BC$3&lt;=VALUE(t_Parts[[EOP]:[EOP]])), t_Parts[[SetupHrsPerMo]:[SetupHrsPerMo]]+(t_Parts[[#This Row],[pv2016.05]]/t_Parts[[NetPPH]:[NetPPH]]),0)</f>
        <v>26.533255633255632</v>
      </c>
      <c r="DJ34" s="39">
        <f>IF(AND(BD$3&gt;=VALUE(t_Parts[[SOP]:[SOP]]),BD$3&lt;=VALUE(t_Parts[[EOP]:[EOP]])), t_Parts[[SetupHrsPerMo]:[SetupHrsPerMo]]+(t_Parts[[#This Row],[pv2016.06]]/t_Parts[[NetPPH]:[NetPPH]]),0)</f>
        <v>32.166569541569544</v>
      </c>
      <c r="DK34" s="39">
        <f>IF(AND(BE$3&gt;=VALUE(t_Parts[[SOP]:[SOP]]),BE$3&lt;=VALUE(t_Parts[[EOP]:[EOP]])), t_Parts[[SetupHrsPerMo]:[SetupHrsPerMo]]+(t_Parts[[#This Row],[pv2016.07]]/t_Parts[[NetPPH]:[NetPPH]]),0)</f>
        <v>26.533255633255632</v>
      </c>
      <c r="DL34" s="39">
        <f>IF(AND(BF$3&gt;=VALUE(t_Parts[[SOP]:[SOP]]),BF$3&lt;=VALUE(t_Parts[[EOP]:[EOP]])), t_Parts[[SetupHrsPerMo]:[SetupHrsPerMo]]+(t_Parts[[#This Row],[pv2016.08]]/t_Parts[[NetPPH]:[NetPPH]]),0)</f>
        <v>26.533255633255632</v>
      </c>
      <c r="DM34" s="39">
        <f>IF(AND(BG$3&gt;=VALUE(t_Parts[[SOP]:[SOP]]),BG$3&lt;=VALUE(t_Parts[[EOP]:[EOP]])), t_Parts[[SetupHrsPerMo]:[SetupHrsPerMo]]+(t_Parts[[#This Row],[pv2016.09]]/t_Parts[[NetPPH]:[NetPPH]]),0)</f>
        <v>32.166569541569544</v>
      </c>
      <c r="DN34" s="39">
        <f>IF(AND(BH$3&gt;=VALUE(t_Parts[[SOP]:[SOP]]),BH$3&lt;=VALUE(t_Parts[[EOP]:[EOP]])), t_Parts[[SetupHrsPerMo]:[SetupHrsPerMo]]+(t_Parts[[#This Row],[pv2016.10]]/t_Parts[[NetPPH]:[NetPPH]]),0)</f>
        <v>26.533255633255632</v>
      </c>
      <c r="DO34" s="39">
        <f>IF(AND(BI$3&gt;=VALUE(t_Parts[[SOP]:[SOP]]),BI$3&lt;=VALUE(t_Parts[[EOP]:[EOP]])), t_Parts[[SetupHrsPerMo]:[SetupHrsPerMo]]+(t_Parts[[#This Row],[pv2016.11]]/t_Parts[[NetPPH]:[NetPPH]]),0)</f>
        <v>26.533255633255632</v>
      </c>
      <c r="DP34" s="39">
        <f>IF(AND(BJ$3&gt;=VALUE(t_Parts[[SOP]:[SOP]]),BJ$3&lt;=VALUE(t_Parts[[EOP]:[EOP]])), t_Parts[[SetupHrsPerMo]:[SetupHrsPerMo]]+(t_Parts[[#This Row],[pv2016.12]]/t_Parts[[NetPPH]:[NetPPH]]),0)</f>
        <v>32.166569541569544</v>
      </c>
      <c r="DQ34" s="39">
        <f>SUM(t_Parts[[#This Row],[hp2016.01]:[hp2016.12]])</f>
        <v>340.93232323232326</v>
      </c>
      <c r="DR34" s="39">
        <f>IF(AND(BL$3&gt;=VALUE(t_Parts[[SOP]:[SOP]]),BL$3&lt;=VALUE(t_Parts[[EOP]:[EOP]])), 12*t_Parts[[SetupHrsPerMo]:[SetupHrsPerMo]]+(t_Parts[[#This Row],[pv2017]]/t_Parts[[NetPPH]:[NetPPH]]),0)</f>
        <v>0</v>
      </c>
      <c r="DS34" s="39">
        <f>IF(AND(BM$3&gt;=VALUE(t_Parts[[SOP]:[SOP]]),BM$3&lt;=VALUE(t_Parts[[EOP]:[EOP]])), 12*t_Parts[[SetupHrsPerMo]:[SetupHrsPerMo]]+(t_Parts[[#This Row],[pv2018]]/t_Parts[[NetPPH]:[NetPPH]]),0)</f>
        <v>0</v>
      </c>
      <c r="DT34" s="39">
        <f>IF(AND(BN$3&gt;=VALUE(t_Parts[[SOP]:[SOP]]),BN$3&lt;=VALUE(t_Parts[[EOP]:[EOP]])), 12*t_Parts[[SetupHrsPerMo]:[SetupHrsPerMo]]+(t_Parts[[#This Row],[pv2019]]/t_Parts[[NetPPH]:[NetPPH]]),0)</f>
        <v>0</v>
      </c>
      <c r="DU34" s="47">
        <f>t_Parts[[#This Row],[hp2015.01]]/t_Parts[[#This Row],[ha2015.01]]</f>
        <v>9.4761627261627249E-2</v>
      </c>
      <c r="DV34" s="47">
        <f>t_Parts[[#This Row],[hp2015.02]]/t_Parts[[#This Row],[ha2015.02]]</f>
        <v>9.4761627261627249E-2</v>
      </c>
      <c r="DW34" s="47">
        <f>t_Parts[[#This Row],[hp2015.03]]/t_Parts[[#This Row],[ha2015.03]]</f>
        <v>9.1904484404484413E-2</v>
      </c>
      <c r="DX34" s="47">
        <f>t_Parts[[#This Row],[hp2015.04]]/t_Parts[[#This Row],[ha2015.04]]</f>
        <v>9.4761627261627249E-2</v>
      </c>
      <c r="DY34" s="47">
        <f>t_Parts[[#This Row],[hp2015.05]]/t_Parts[[#This Row],[ha2015.05]]</f>
        <v>9.4761627261627249E-2</v>
      </c>
      <c r="DZ34" s="47">
        <f>t_Parts[[#This Row],[hp2015.06]]/t_Parts[[#This Row],[ha2015.06]]</f>
        <v>9.1904484404484413E-2</v>
      </c>
      <c r="EA34" s="47">
        <f>t_Parts[[#This Row],[hp2015.07]]/t_Parts[[#This Row],[ha2015.07]]</f>
        <v>9.4761627261627249E-2</v>
      </c>
      <c r="EB34" s="47">
        <f>t_Parts[[#This Row],[hp2015.08]]/t_Parts[[#This Row],[ha2015.08]]</f>
        <v>9.4761627261627249E-2</v>
      </c>
      <c r="EC34" s="47">
        <f>t_Parts[[#This Row],[hp2015.09]]/t_Parts[[#This Row],[ha2015.09]]</f>
        <v>9.1904484404484413E-2</v>
      </c>
      <c r="ED34" s="47">
        <f>t_Parts[[#This Row],[hp2015.10]]/t_Parts[[#This Row],[ha2015.10]]</f>
        <v>9.4761627261627249E-2</v>
      </c>
      <c r="EE34" s="47">
        <f>t_Parts[[#This Row],[hp2015.11]]/t_Parts[[#This Row],[ha2015.11]]</f>
        <v>9.4761627261627249E-2</v>
      </c>
      <c r="EF34" s="47">
        <f>t_Parts[[#This Row],[hp2015.12]]/t_Parts[[#This Row],[ha2015.12]]</f>
        <v>9.1904484404484413E-2</v>
      </c>
      <c r="EG34" s="47">
        <f>t_Parts[[#This Row],[hp2015.FY]]/t_Parts[[#This Row],[ha2015.FY]]</f>
        <v>9.3662726162726168E-2</v>
      </c>
      <c r="EH34" s="47">
        <f>t_Parts[[#This Row],[hp2016.01]]/t_Parts[[#This Row],[ha2016.01]]</f>
        <v>9.4761627261627249E-2</v>
      </c>
      <c r="EI34" s="47">
        <f>t_Parts[[#This Row],[hp2016.02]]/t_Parts[[#This Row],[ha2016.02]]</f>
        <v>9.4761627261627249E-2</v>
      </c>
      <c r="EJ34" s="47">
        <f>t_Parts[[#This Row],[hp2016.03]]/t_Parts[[#This Row],[ha2016.03]]</f>
        <v>9.1904484404484413E-2</v>
      </c>
      <c r="EK34" s="47">
        <f>t_Parts[[#This Row],[hp2016.04]]/t_Parts[[#This Row],[ha2016.04]]</f>
        <v>9.4761627261627249E-2</v>
      </c>
      <c r="EL34" s="47">
        <f>t_Parts[[#This Row],[hp2016.05]]/t_Parts[[#This Row],[ha2016.05]]</f>
        <v>9.4761627261627249E-2</v>
      </c>
      <c r="EM34" s="47">
        <f>t_Parts[[#This Row],[hp2016.06]]/t_Parts[[#This Row],[ha2016.06]]</f>
        <v>9.1904484404484413E-2</v>
      </c>
      <c r="EN34" s="47">
        <f>t_Parts[[#This Row],[hp2016.07]]/t_Parts[[#This Row],[ha2016.07]]</f>
        <v>9.4761627261627249E-2</v>
      </c>
      <c r="EO34" s="47">
        <f>t_Parts[[#This Row],[hp2016.08]]/t_Parts[[#This Row],[ha2016.08]]</f>
        <v>9.4761627261627249E-2</v>
      </c>
      <c r="EP34" s="47">
        <f>t_Parts[[#This Row],[hp2016.09]]/t_Parts[[#This Row],[ha2016.09]]</f>
        <v>9.1904484404484413E-2</v>
      </c>
      <c r="EQ34" s="47">
        <f>t_Parts[[#This Row],[hp2016.10]]/t_Parts[[#This Row],[ha2016.10]]</f>
        <v>9.4761627261627249E-2</v>
      </c>
      <c r="ER34" s="47">
        <f>t_Parts[[#This Row],[hp2016.11]]/t_Parts[[#This Row],[ha2016.11]]</f>
        <v>9.4761627261627249E-2</v>
      </c>
      <c r="ES34" s="47">
        <f>t_Parts[[#This Row],[hp2016.12]]/t_Parts[[#This Row],[ha2016.12]]</f>
        <v>9.1904484404484413E-2</v>
      </c>
      <c r="ET34" s="47">
        <f>t_Parts[[#This Row],[hp2016.FY]]/t_Parts[[#This Row],[ha2016.FY]]</f>
        <v>9.3662726162726168E-2</v>
      </c>
      <c r="EU34" s="47">
        <f>t_Parts[[#This Row],[hp2017]]/t_Parts[[#This Row],[ha2017]]</f>
        <v>0</v>
      </c>
      <c r="EV34" s="47">
        <f>t_Parts[[#This Row],[hp2018]]/t_Parts[[#This Row],[ha2018]]</f>
        <v>0</v>
      </c>
      <c r="EW34" s="47">
        <f>t_Parts[[#This Row],[hp2019]]/t_Parts[[#This Row],[hp2015.01]]</f>
        <v>0</v>
      </c>
      <c r="EX34" s="58">
        <f>(t_Parts[[#This Row],[ha2015.01]]-t_Parts[[#This Row],[hp2015.01]])*t_Parts[[NetPPH]:[NetPPH]]</f>
        <v>250932.07692307694</v>
      </c>
      <c r="EY34" s="58">
        <f>(t_Parts[[#This Row],[ha2015.02]]-t_Parts[[#This Row],[hp2015.02]])*t_Parts[[NetPPH]:[NetPPH]]</f>
        <v>250932.07692307694</v>
      </c>
      <c r="EZ34" s="58">
        <f>(t_Parts[[#This Row],[ha2015.03]]-t_Parts[[#This Row],[hp2015.03]])*t_Parts[[NetPPH]:[NetPPH]]</f>
        <v>314655.09615384624</v>
      </c>
      <c r="FA34" s="58">
        <f>(t_Parts[[#This Row],[ha2015.04]]-t_Parts[[#This Row],[hp2015.04]])*t_Parts[[NetPPH]:[NetPPH]]</f>
        <v>250932.07692307694</v>
      </c>
      <c r="FB34" s="58">
        <f>(t_Parts[[#This Row],[ha2015.05]]-t_Parts[[#This Row],[hp2015.05]])*t_Parts[[NetPPH]:[NetPPH]]</f>
        <v>250932.07692307694</v>
      </c>
      <c r="FC34" s="58">
        <f>(t_Parts[[#This Row],[ha2015.06]]-t_Parts[[#This Row],[hp2015.06]])*t_Parts[[NetPPH]:[NetPPH]]</f>
        <v>314655.09615384624</v>
      </c>
      <c r="FD34" s="58">
        <f>(t_Parts[[#This Row],[ha2015.07]]-t_Parts[[#This Row],[hp2015.07]])*t_Parts[[NetPPH]:[NetPPH]]</f>
        <v>250932.07692307694</v>
      </c>
      <c r="FE34" s="58">
        <f>(t_Parts[[#This Row],[ha2015.08]]-t_Parts[[#This Row],[hp2015.08]])*t_Parts[[NetPPH]:[NetPPH]]</f>
        <v>250932.07692307694</v>
      </c>
      <c r="FF34" s="58">
        <f>(t_Parts[[#This Row],[ha2015.09]]-t_Parts[[#This Row],[hp2015.09]])*t_Parts[[NetPPH]:[NetPPH]]</f>
        <v>314655.09615384624</v>
      </c>
      <c r="FG34" s="58">
        <f>(t_Parts[[#This Row],[ha2015.10]]-t_Parts[[#This Row],[hp2015.10]])*t_Parts[[NetPPH]:[NetPPH]]</f>
        <v>250932.07692307694</v>
      </c>
      <c r="FH34" s="58">
        <f>(t_Parts[[#This Row],[ha2015.11]]-t_Parts[[#This Row],[hp2015.11]])*t_Parts[[NetPPH]:[NetPPH]]</f>
        <v>250932.07692307694</v>
      </c>
      <c r="FI34" s="58">
        <f>(t_Parts[[#This Row],[ha2015.12]]-t_Parts[[#This Row],[hp2015.12]])*t_Parts[[NetPPH]:[NetPPH]]</f>
        <v>314655.09615384624</v>
      </c>
      <c r="FJ34" s="58">
        <f>(t_Parts[[#This Row],[ha2015.FY]]-t_Parts[[#This Row],[hp2015.FY]])*t_Parts[[NetPPH]:[NetPPH]]</f>
        <v>3266077.0000000005</v>
      </c>
      <c r="FK34" s="58">
        <f>(t_Parts[[#This Row],[ha2016.01]]-t_Parts[[#This Row],[hp2016.01]])*t_Parts[[NetPPH]:[NetPPH]]</f>
        <v>250932.07692307694</v>
      </c>
      <c r="FL34" s="58">
        <f>(t_Parts[[#This Row],[ha2016.02]]-t_Parts[[#This Row],[hp2016.02]])*t_Parts[[NetPPH]:[NetPPH]]</f>
        <v>250932.07692307694</v>
      </c>
      <c r="FM34" s="58">
        <f>(t_Parts[[#This Row],[ha2016.03]]-t_Parts[[#This Row],[hp2016.03]])*t_Parts[[NetPPH]:[NetPPH]]</f>
        <v>314655.09615384624</v>
      </c>
      <c r="FN34" s="58">
        <f>(t_Parts[[#This Row],[ha2016.04]]-t_Parts[[#This Row],[hp2016.04]])*t_Parts[[NetPPH]:[NetPPH]]</f>
        <v>250932.07692307694</v>
      </c>
      <c r="FO34" s="58">
        <f>(t_Parts[[#This Row],[ha2016.05]]-t_Parts[[#This Row],[hp2016.05]])*t_Parts[[NetPPH]:[NetPPH]]</f>
        <v>250932.07692307694</v>
      </c>
      <c r="FP34" s="58">
        <f>(t_Parts[[#This Row],[ha2016.06]]-t_Parts[[#This Row],[hp2016.06]])*t_Parts[[NetPPH]:[NetPPH]]</f>
        <v>314655.09615384624</v>
      </c>
      <c r="FQ34" s="58">
        <f>(t_Parts[[#This Row],[ha2016.07]]-t_Parts[[#This Row],[hp2016.07]])*t_Parts[[NetPPH]:[NetPPH]]</f>
        <v>250932.07692307694</v>
      </c>
      <c r="FR34" s="58">
        <f>(t_Parts[[#This Row],[ha2016.08]]-t_Parts[[#This Row],[hp2016.08]])*t_Parts[[NetPPH]:[NetPPH]]</f>
        <v>250932.07692307694</v>
      </c>
      <c r="FS34" s="58">
        <f>(t_Parts[[#This Row],[ha2016.09]]-t_Parts[[#This Row],[hp2016.09]])*t_Parts[[NetPPH]:[NetPPH]]</f>
        <v>314655.09615384624</v>
      </c>
      <c r="FT34" s="58">
        <f>(t_Parts[[#This Row],[ha2016.10]]-t_Parts[[#This Row],[hp2016.10]])*t_Parts[[NetPPH]:[NetPPH]]</f>
        <v>250932.07692307694</v>
      </c>
      <c r="FU34" s="58">
        <f>(t_Parts[[#This Row],[ha2016.11]]-t_Parts[[#This Row],[hp2016.11]])*t_Parts[[NetPPH]:[NetPPH]]</f>
        <v>250932.07692307694</v>
      </c>
      <c r="FV34" s="58">
        <f>(t_Parts[[#This Row],[ha2016.12]]-t_Parts[[#This Row],[hp2016.12]])*t_Parts[[NetPPH]:[NetPPH]]</f>
        <v>314655.09615384624</v>
      </c>
      <c r="FW34" s="58">
        <f>(t_Parts[[#This Row],[ha2016.FY]]-t_Parts[[#This Row],[hp2016.FY]])*t_Parts[[NetPPH]:[NetPPH]]</f>
        <v>3266077.0000000005</v>
      </c>
      <c r="FX34" s="58">
        <f>(t_Parts[[#This Row],[ha2017]]-t_Parts[[#This Row],[hp2017]])*t_Parts[[NetPPH]:[NetPPH]]</f>
        <v>3603600.0000000005</v>
      </c>
      <c r="FY34" s="58">
        <f>(t_Parts[[#This Row],[ha2018]]-t_Parts[[#This Row],[hp2018]])*t_Parts[[NetPPH]:[NetPPH]]</f>
        <v>3603600.0000000005</v>
      </c>
      <c r="FZ34" s="58">
        <f>(t_Parts[[#This Row],[ha2019]]-t_Parts[[#This Row],[hp2019]])*t_Parts[[NetPPH]:[NetPPH]]</f>
        <v>3603600.0000000005</v>
      </c>
    </row>
    <row r="35" spans="1:182" s="14" customFormat="1" x14ac:dyDescent="0.25">
      <c r="A35" s="74" t="s">
        <v>522</v>
      </c>
      <c r="B35" s="74"/>
      <c r="C35" s="74">
        <v>21013</v>
      </c>
      <c r="D35" s="75">
        <v>1</v>
      </c>
      <c r="E35" s="73">
        <v>2400</v>
      </c>
      <c r="F35" s="76">
        <v>1</v>
      </c>
      <c r="G35" s="77">
        <v>2</v>
      </c>
      <c r="H35" s="16">
        <v>2015.01</v>
      </c>
      <c r="I35" s="16" t="s">
        <v>332</v>
      </c>
      <c r="J35" s="73">
        <v>18800</v>
      </c>
      <c r="K35" s="73">
        <v>18800</v>
      </c>
      <c r="L35" s="73">
        <v>18800</v>
      </c>
      <c r="M35" s="73">
        <v>18800</v>
      </c>
      <c r="N35" s="73">
        <v>18800</v>
      </c>
      <c r="O35" s="78">
        <v>24</v>
      </c>
      <c r="P35" s="78">
        <v>50</v>
      </c>
      <c r="Q35" s="79">
        <v>20.9</v>
      </c>
      <c r="R35" s="79"/>
      <c r="S35" s="78">
        <v>105</v>
      </c>
      <c r="T35" s="80">
        <v>13</v>
      </c>
      <c r="U35" s="80" t="s">
        <v>121</v>
      </c>
      <c r="V35" s="81" t="s">
        <v>523</v>
      </c>
      <c r="W35" s="82">
        <v>0.42</v>
      </c>
      <c r="X35" s="82" t="s">
        <v>501</v>
      </c>
      <c r="Y35" s="82" t="s">
        <v>524</v>
      </c>
      <c r="Z35" s="82"/>
      <c r="AA35" s="82"/>
      <c r="AB35" s="82"/>
      <c r="AC35" s="83" t="s">
        <v>110</v>
      </c>
      <c r="AD35" s="40" t="str">
        <f>VLOOKUP(t_Parts[[#This Row],[Press]],t_Presses[],Press!B$1,FALSE)</f>
        <v>Plainfield</v>
      </c>
      <c r="AE35" s="40" t="str">
        <f>VLOOKUP(t_Parts[[#This Row],[Press]],t_Presses[],Press!E$1,FALSE)</f>
        <v>0-299</v>
      </c>
      <c r="AF35" s="47">
        <f>VLOOKUP(t_Parts[[#This Row],[Plant]],t_Plants[],Plants!C$1,FALSE)</f>
        <v>0.55000000000000004</v>
      </c>
      <c r="AG35" s="47">
        <f>VLOOKUP(t_Parts[[#This Row],[Press]],t_Presses[],Press!F$1,FALSE)</f>
        <v>0</v>
      </c>
      <c r="AH35" s="84"/>
      <c r="AI35" s="47">
        <f>IF(ISBLANK(t_Parts[[#This Row],[PartOEE]])=FALSE,t_Parts[[#This Row],[PartOEE]], IF(t_Parts[[#This Row],[PressOEE]]&gt;0, t_Parts[[#This Row],[PressOEE]], t_Parts[[#This Row],[PlantOEE]] ))</f>
        <v>0.55000000000000004</v>
      </c>
      <c r="AJ35" s="70">
        <f>t_Parts[[#This Row],[SetupsPerMo]]*t_Parts[[#This Row],[SetupHrs]]</f>
        <v>2</v>
      </c>
      <c r="AK35" s="39">
        <f>(t_Parts[[#This Row],[PartsPerStroke]]*t_Parts[[#This Row],[StrokesPerHr]])*t_Parts[[#This Row],[UseOEE]]</f>
        <v>1320</v>
      </c>
      <c r="AL3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1446.1538461538462</v>
      </c>
      <c r="AM3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1446.1538461538462</v>
      </c>
      <c r="AN3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1807.6923076923076</v>
      </c>
      <c r="AO3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1446.1538461538462</v>
      </c>
      <c r="AP3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1446.1538461538462</v>
      </c>
      <c r="AQ3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1807.6923076923076</v>
      </c>
      <c r="AR3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1446.1538461538462</v>
      </c>
      <c r="AS3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1446.1538461538462</v>
      </c>
      <c r="AT3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1807.6923076923076</v>
      </c>
      <c r="AU3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1446.1538461538462</v>
      </c>
      <c r="AV3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1446.1538461538462</v>
      </c>
      <c r="AW3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1807.6923076923076</v>
      </c>
      <c r="AX35" s="39">
        <f>SUM(t_Parts[[#This Row],[pv2015.01]:[pv2015.12]])</f>
        <v>18800</v>
      </c>
      <c r="AY3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1446.1538461538462</v>
      </c>
      <c r="AZ3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1446.1538461538462</v>
      </c>
      <c r="BA3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1807.6923076923076</v>
      </c>
      <c r="BB3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1446.1538461538462</v>
      </c>
      <c r="BC3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1446.1538461538462</v>
      </c>
      <c r="BD3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1807.6923076923076</v>
      </c>
      <c r="BE3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1446.1538461538462</v>
      </c>
      <c r="BF3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1446.1538461538462</v>
      </c>
      <c r="BG3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1807.6923076923076</v>
      </c>
      <c r="BH3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1446.1538461538462</v>
      </c>
      <c r="BI3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1446.1538461538462</v>
      </c>
      <c r="BJ3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1807.6923076923076</v>
      </c>
      <c r="BK35" s="39">
        <f>SUM(t_Parts[[#This Row],[pv2016.01]:[pv2016.12]])</f>
        <v>18800</v>
      </c>
      <c r="BL35" s="39">
        <f>t_Parts[[#This Row],[2017vol]]</f>
        <v>18800</v>
      </c>
      <c r="BM35" s="39">
        <f>t_Parts[[#This Row],[2018vol]]</f>
        <v>18800</v>
      </c>
      <c r="BN35" s="39">
        <f>t_Parts[[#This Row],[2019vol]]</f>
        <v>18800</v>
      </c>
      <c r="BO35" s="40">
        <f>VLOOKUP(t_Parts[[Plant]:[Plant]],t_Plants[],Plants!CN$1,FALSE)</f>
        <v>280</v>
      </c>
      <c r="BP35" s="14">
        <f>VLOOKUP(t_Parts[[Plant]:[Plant]],t_Plants[],Plants!CO$1,FALSE)</f>
        <v>280</v>
      </c>
      <c r="BQ35" s="14">
        <f>VLOOKUP(t_Parts[[Plant]:[Plant]],t_Plants[],Plants!CP$1,FALSE)</f>
        <v>350</v>
      </c>
      <c r="BR35" s="14">
        <f>VLOOKUP(t_Parts[[Plant]:[Plant]],t_Plants[],Plants!CQ$1,FALSE)</f>
        <v>280</v>
      </c>
      <c r="BS35" s="14">
        <f>VLOOKUP(t_Parts[[Plant]:[Plant]],t_Plants[],Plants!CR$1,FALSE)</f>
        <v>280</v>
      </c>
      <c r="BT35" s="14">
        <f>VLOOKUP(t_Parts[[Plant]:[Plant]],t_Plants[],Plants!CS$1,FALSE)</f>
        <v>350</v>
      </c>
      <c r="BU35" s="14">
        <f>VLOOKUP(t_Parts[[Plant]:[Plant]],t_Plants[],Plants!CT$1,FALSE)</f>
        <v>280</v>
      </c>
      <c r="BV35" s="14">
        <f>VLOOKUP(t_Parts[[Plant]:[Plant]],t_Plants[],Plants!CU$1,FALSE)</f>
        <v>280</v>
      </c>
      <c r="BW35" s="14">
        <f>VLOOKUP(t_Parts[[Plant]:[Plant]],t_Plants[],Plants!CV$1,FALSE)</f>
        <v>350</v>
      </c>
      <c r="BX35" s="14">
        <f>VLOOKUP(t_Parts[[Plant]:[Plant]],t_Plants[],Plants!CW$1,FALSE)</f>
        <v>280</v>
      </c>
      <c r="BY35" s="14">
        <f>VLOOKUP(t_Parts[[Plant]:[Plant]],t_Plants[],Plants!CX$1,FALSE)</f>
        <v>280</v>
      </c>
      <c r="BZ35" s="14">
        <f>VLOOKUP(t_Parts[[Plant]:[Plant]],t_Plants[],Plants!CY$1,FALSE)</f>
        <v>350</v>
      </c>
      <c r="CA35" s="40">
        <f>SUM(t_Parts[[#This Row],[ha2015.01]:[ha2015.12]])</f>
        <v>3640</v>
      </c>
      <c r="CB35" s="14">
        <f>VLOOKUP(t_Parts[[Plant]:[Plant]],t_Plants[],Plants!DA$1,FALSE)</f>
        <v>280</v>
      </c>
      <c r="CC35" s="14">
        <f>VLOOKUP(t_Parts[[Plant]:[Plant]],t_Plants[],Plants!DB$1,FALSE)</f>
        <v>280</v>
      </c>
      <c r="CD35" s="14">
        <f>VLOOKUP(t_Parts[[Plant]:[Plant]],t_Plants[],Plants!DC$1,FALSE)</f>
        <v>350</v>
      </c>
      <c r="CE35" s="14">
        <f>VLOOKUP(t_Parts[[Plant]:[Plant]],t_Plants[],Plants!DD$1,FALSE)</f>
        <v>280</v>
      </c>
      <c r="CF35" s="14">
        <f>VLOOKUP(t_Parts[[Plant]:[Plant]],t_Plants[],Plants!DE$1,FALSE)</f>
        <v>280</v>
      </c>
      <c r="CG35" s="14">
        <f>VLOOKUP(t_Parts[[Plant]:[Plant]],t_Plants[],Plants!DF$1,FALSE)</f>
        <v>350</v>
      </c>
      <c r="CH35" s="14">
        <f>VLOOKUP(t_Parts[[Plant]:[Plant]],t_Plants[],Plants!DG$1,FALSE)</f>
        <v>280</v>
      </c>
      <c r="CI35" s="14">
        <f>VLOOKUP(t_Parts[[Plant]:[Plant]],t_Plants[],Plants!DH$1,FALSE)</f>
        <v>280</v>
      </c>
      <c r="CJ35" s="14">
        <f>VLOOKUP(t_Parts[[Plant]:[Plant]],t_Plants[],Plants!DI$1,FALSE)</f>
        <v>350</v>
      </c>
      <c r="CK35" s="14">
        <f>VLOOKUP(t_Parts[[Plant]:[Plant]],t_Plants[],Plants!DJ$1,FALSE)</f>
        <v>280</v>
      </c>
      <c r="CL35" s="14">
        <f>VLOOKUP(t_Parts[[Plant]:[Plant]],t_Plants[],Plants!DK$1,FALSE)</f>
        <v>280</v>
      </c>
      <c r="CM35" s="14">
        <f>VLOOKUP(t_Parts[[Plant]:[Plant]],t_Plants[],Plants!DL$1,FALSE)</f>
        <v>350</v>
      </c>
      <c r="CN35" s="14">
        <f>VLOOKUP(t_Parts[[Plant]:[Plant]],t_Plants[],Plants!DM$1,FALSE)</f>
        <v>3640</v>
      </c>
      <c r="CO35" s="14">
        <f>VLOOKUP(t_Parts[[Plant]:[Plant]],t_Plants[],Plants!DN$1,FALSE)</f>
        <v>3640</v>
      </c>
      <c r="CP35" s="14">
        <f>VLOOKUP(t_Parts[[Plant]:[Plant]],t_Plants[],Plants!DO$1,FALSE)</f>
        <v>3640</v>
      </c>
      <c r="CQ35" s="14">
        <f>VLOOKUP(t_Parts[[Plant]:[Plant]],t_Plants[],Plants!DP$1,FALSE)</f>
        <v>3640</v>
      </c>
      <c r="CR35" s="39">
        <f>IF(AND(AL$3&gt;=VALUE(t_Parts[[SOP]:[SOP]]),AL$3&lt;=VALUE(t_Parts[[EOP]:[EOP]])), t_Parts[[SetupHrsPerMo]:[SetupHrsPerMo]]+(t_Parts[[#This Row],[pv2015.01]]/t_Parts[[NetPPH]:[NetPPH]]),0)</f>
        <v>3.0955710955710956</v>
      </c>
      <c r="CS35" s="39">
        <f>IF(AND(AM$3&gt;=VALUE(t_Parts[[SOP]:[SOP]]),AM$3&lt;=VALUE(t_Parts[[EOP]:[EOP]])), t_Parts[[SetupHrsPerMo]:[SetupHrsPerMo]]+(t_Parts[[#This Row],[pv2015.02]]/t_Parts[[NetPPH]:[NetPPH]]),0)</f>
        <v>3.0955710955710956</v>
      </c>
      <c r="CT35" s="39">
        <f>IF(AND(AN$3&gt;=VALUE(t_Parts[[SOP]:[SOP]]),AN$3&lt;=VALUE(t_Parts[[EOP]:[EOP]])), t_Parts[[SetupHrsPerMo]:[SetupHrsPerMo]]+(t_Parts[[#This Row],[pv2015.03]]/t_Parts[[NetPPH]:[NetPPH]]),0)</f>
        <v>3.3694638694638694</v>
      </c>
      <c r="CU35" s="39">
        <f>IF(AND(AO$3&gt;=VALUE(t_Parts[[SOP]:[SOP]]),AO$3&lt;=VALUE(t_Parts[[EOP]:[EOP]])), t_Parts[[SetupHrsPerMo]:[SetupHrsPerMo]]+(t_Parts[[#This Row],[pv2015.04]]/t_Parts[[NetPPH]:[NetPPH]]),0)</f>
        <v>3.0955710955710956</v>
      </c>
      <c r="CV35" s="39">
        <f>IF(AND(AP$3&gt;=VALUE(t_Parts[[SOP]:[SOP]]),AP$3&lt;=VALUE(t_Parts[[EOP]:[EOP]])), t_Parts[[SetupHrsPerMo]:[SetupHrsPerMo]]+(t_Parts[[#This Row],[pv2015.05]]/t_Parts[[NetPPH]:[NetPPH]]),0)</f>
        <v>3.0955710955710956</v>
      </c>
      <c r="CW35" s="39">
        <f>IF(AND(AQ$3&gt;=VALUE(t_Parts[[SOP]:[SOP]]),AQ$3&lt;=VALUE(t_Parts[[EOP]:[EOP]])), t_Parts[[SetupHrsPerMo]:[SetupHrsPerMo]]+(t_Parts[[#This Row],[pv2015.06]]/t_Parts[[NetPPH]:[NetPPH]]),0)</f>
        <v>3.3694638694638694</v>
      </c>
      <c r="CX35" s="39">
        <f>IF(AND(AR$3&gt;=VALUE(t_Parts[[SOP]:[SOP]]),AR$3&lt;=VALUE(t_Parts[[EOP]:[EOP]])), t_Parts[[SetupHrsPerMo]:[SetupHrsPerMo]]+(t_Parts[[#This Row],[pv2015.07]]/t_Parts[[NetPPH]:[NetPPH]]),0)</f>
        <v>3.0955710955710956</v>
      </c>
      <c r="CY35" s="39">
        <f>IF(AND(AS$3&gt;=VALUE(t_Parts[[SOP]:[SOP]]),AS$3&lt;=VALUE(t_Parts[[EOP]:[EOP]])), t_Parts[[SetupHrsPerMo]:[SetupHrsPerMo]]+(t_Parts[[#This Row],[pv2015.08]]/t_Parts[[NetPPH]:[NetPPH]]),0)</f>
        <v>3.0955710955710956</v>
      </c>
      <c r="CZ35" s="39">
        <f>IF(AND(AT$3&gt;=VALUE(t_Parts[[SOP]:[SOP]]),AT$3&lt;=VALUE(t_Parts[[EOP]:[EOP]])), t_Parts[[SetupHrsPerMo]:[SetupHrsPerMo]]+(t_Parts[[#This Row],[pv2015.09]]/t_Parts[[NetPPH]:[NetPPH]]),0)</f>
        <v>3.3694638694638694</v>
      </c>
      <c r="DA35" s="39">
        <f>IF(AND(AU$3&gt;=VALUE(t_Parts[[SOP]:[SOP]]),AU$3&lt;=VALUE(t_Parts[[EOP]:[EOP]])), t_Parts[[SetupHrsPerMo]:[SetupHrsPerMo]]+(t_Parts[[#This Row],[pv2015.10]]/t_Parts[[NetPPH]:[NetPPH]]),0)</f>
        <v>3.0955710955710956</v>
      </c>
      <c r="DB35" s="39">
        <f>IF(AND(AV$3&gt;=VALUE(t_Parts[[SOP]:[SOP]]),AV$3&lt;=VALUE(t_Parts[[EOP]:[EOP]])), t_Parts[[SetupHrsPerMo]:[SetupHrsPerMo]]+(t_Parts[[#This Row],[pv2015.11]]/t_Parts[[NetPPH]:[NetPPH]]),0)</f>
        <v>3.0955710955710956</v>
      </c>
      <c r="DC35" s="39">
        <f>IF(AND(AW$3&gt;=VALUE(t_Parts[[SOP]:[SOP]]),AW$3&lt;=VALUE(t_Parts[[EOP]:[EOP]])), t_Parts[[SetupHrsPerMo]:[SetupHrsPerMo]]+(t_Parts[[#This Row],[pv2015.12]]/t_Parts[[NetPPH]:[NetPPH]]),0)</f>
        <v>3.3694638694638694</v>
      </c>
      <c r="DD35" s="39">
        <f>SUM(t_Parts[[#This Row],[hp2015.01]:[hp2015.12]])</f>
        <v>38.242424242424242</v>
      </c>
      <c r="DE35" s="39">
        <f>IF(AND(AY$3&gt;=VALUE(t_Parts[[SOP]:[SOP]]),AY$3&lt;=VALUE(t_Parts[[EOP]:[EOP]])), t_Parts[[SetupHrsPerMo]:[SetupHrsPerMo]]+(t_Parts[[#This Row],[pv2016.01]]/t_Parts[[NetPPH]:[NetPPH]]),0)</f>
        <v>3.0955710955710956</v>
      </c>
      <c r="DF35" s="39">
        <f>IF(AND(AZ$3&gt;=VALUE(t_Parts[[SOP]:[SOP]]),AZ$3&lt;=VALUE(t_Parts[[EOP]:[EOP]])), t_Parts[[SetupHrsPerMo]:[SetupHrsPerMo]]+(t_Parts[[#This Row],[pv2016.02]]/t_Parts[[NetPPH]:[NetPPH]]),0)</f>
        <v>3.0955710955710956</v>
      </c>
      <c r="DG35" s="39">
        <f>IF(AND(BA$3&gt;=VALUE(t_Parts[[SOP]:[SOP]]),BA$3&lt;=VALUE(t_Parts[[EOP]:[EOP]])), t_Parts[[SetupHrsPerMo]:[SetupHrsPerMo]]+(t_Parts[[#This Row],[pv2016.03]]/t_Parts[[NetPPH]:[NetPPH]]),0)</f>
        <v>3.3694638694638694</v>
      </c>
      <c r="DH35" s="39">
        <f>IF(AND(BB$3&gt;=VALUE(t_Parts[[SOP]:[SOP]]),BB$3&lt;=VALUE(t_Parts[[EOP]:[EOP]])), t_Parts[[SetupHrsPerMo]:[SetupHrsPerMo]]+(t_Parts[[#This Row],[pv2016.04]]/t_Parts[[NetPPH]:[NetPPH]]),0)</f>
        <v>3.0955710955710956</v>
      </c>
      <c r="DI35" s="39">
        <f>IF(AND(BC$3&gt;=VALUE(t_Parts[[SOP]:[SOP]]),BC$3&lt;=VALUE(t_Parts[[EOP]:[EOP]])), t_Parts[[SetupHrsPerMo]:[SetupHrsPerMo]]+(t_Parts[[#This Row],[pv2016.05]]/t_Parts[[NetPPH]:[NetPPH]]),0)</f>
        <v>3.0955710955710956</v>
      </c>
      <c r="DJ35" s="39">
        <f>IF(AND(BD$3&gt;=VALUE(t_Parts[[SOP]:[SOP]]),BD$3&lt;=VALUE(t_Parts[[EOP]:[EOP]])), t_Parts[[SetupHrsPerMo]:[SetupHrsPerMo]]+(t_Parts[[#This Row],[pv2016.06]]/t_Parts[[NetPPH]:[NetPPH]]),0)</f>
        <v>3.3694638694638694</v>
      </c>
      <c r="DK35" s="39">
        <f>IF(AND(BE$3&gt;=VALUE(t_Parts[[SOP]:[SOP]]),BE$3&lt;=VALUE(t_Parts[[EOP]:[EOP]])), t_Parts[[SetupHrsPerMo]:[SetupHrsPerMo]]+(t_Parts[[#This Row],[pv2016.07]]/t_Parts[[NetPPH]:[NetPPH]]),0)</f>
        <v>3.0955710955710956</v>
      </c>
      <c r="DL35" s="39">
        <f>IF(AND(BF$3&gt;=VALUE(t_Parts[[SOP]:[SOP]]),BF$3&lt;=VALUE(t_Parts[[EOP]:[EOP]])), t_Parts[[SetupHrsPerMo]:[SetupHrsPerMo]]+(t_Parts[[#This Row],[pv2016.08]]/t_Parts[[NetPPH]:[NetPPH]]),0)</f>
        <v>3.0955710955710956</v>
      </c>
      <c r="DM35" s="39">
        <f>IF(AND(BG$3&gt;=VALUE(t_Parts[[SOP]:[SOP]]),BG$3&lt;=VALUE(t_Parts[[EOP]:[EOP]])), t_Parts[[SetupHrsPerMo]:[SetupHrsPerMo]]+(t_Parts[[#This Row],[pv2016.09]]/t_Parts[[NetPPH]:[NetPPH]]),0)</f>
        <v>3.3694638694638694</v>
      </c>
      <c r="DN35" s="39">
        <f>IF(AND(BH$3&gt;=VALUE(t_Parts[[SOP]:[SOP]]),BH$3&lt;=VALUE(t_Parts[[EOP]:[EOP]])), t_Parts[[SetupHrsPerMo]:[SetupHrsPerMo]]+(t_Parts[[#This Row],[pv2016.10]]/t_Parts[[NetPPH]:[NetPPH]]),0)</f>
        <v>3.0955710955710956</v>
      </c>
      <c r="DO35" s="39">
        <f>IF(AND(BI$3&gt;=VALUE(t_Parts[[SOP]:[SOP]]),BI$3&lt;=VALUE(t_Parts[[EOP]:[EOP]])), t_Parts[[SetupHrsPerMo]:[SetupHrsPerMo]]+(t_Parts[[#This Row],[pv2016.11]]/t_Parts[[NetPPH]:[NetPPH]]),0)</f>
        <v>3.0955710955710956</v>
      </c>
      <c r="DP35" s="39">
        <f>IF(AND(BJ$3&gt;=VALUE(t_Parts[[SOP]:[SOP]]),BJ$3&lt;=VALUE(t_Parts[[EOP]:[EOP]])), t_Parts[[SetupHrsPerMo]:[SetupHrsPerMo]]+(t_Parts[[#This Row],[pv2016.12]]/t_Parts[[NetPPH]:[NetPPH]]),0)</f>
        <v>3.3694638694638694</v>
      </c>
      <c r="DQ35" s="39">
        <f>SUM(t_Parts[[#This Row],[hp2016.01]:[hp2016.12]])</f>
        <v>38.242424242424242</v>
      </c>
      <c r="DR35" s="39">
        <f>IF(AND(BL$3&gt;=VALUE(t_Parts[[SOP]:[SOP]]),BL$3&lt;=VALUE(t_Parts[[EOP]:[EOP]])), 12*t_Parts[[SetupHrsPerMo]:[SetupHrsPerMo]]+(t_Parts[[#This Row],[pv2017]]/t_Parts[[NetPPH]:[NetPPH]]),0)</f>
        <v>0</v>
      </c>
      <c r="DS35" s="39">
        <f>IF(AND(BM$3&gt;=VALUE(t_Parts[[SOP]:[SOP]]),BM$3&lt;=VALUE(t_Parts[[EOP]:[EOP]])), 12*t_Parts[[SetupHrsPerMo]:[SetupHrsPerMo]]+(t_Parts[[#This Row],[pv2018]]/t_Parts[[NetPPH]:[NetPPH]]),0)</f>
        <v>0</v>
      </c>
      <c r="DT35" s="39">
        <f>IF(AND(BN$3&gt;=VALUE(t_Parts[[SOP]:[SOP]]),BN$3&lt;=VALUE(t_Parts[[EOP]:[EOP]])), 12*t_Parts[[SetupHrsPerMo]:[SetupHrsPerMo]]+(t_Parts[[#This Row],[pv2019]]/t_Parts[[NetPPH]:[NetPPH]]),0)</f>
        <v>0</v>
      </c>
      <c r="DU35" s="47">
        <f>t_Parts[[#This Row],[hp2015.01]]/t_Parts[[#This Row],[ha2015.01]]</f>
        <v>1.1055611055611056E-2</v>
      </c>
      <c r="DV35" s="47">
        <f>t_Parts[[#This Row],[hp2015.02]]/t_Parts[[#This Row],[ha2015.02]]</f>
        <v>1.1055611055611056E-2</v>
      </c>
      <c r="DW35" s="47">
        <f>t_Parts[[#This Row],[hp2015.03]]/t_Parts[[#This Row],[ha2015.03]]</f>
        <v>9.6270396270396272E-3</v>
      </c>
      <c r="DX35" s="47">
        <f>t_Parts[[#This Row],[hp2015.04]]/t_Parts[[#This Row],[ha2015.04]]</f>
        <v>1.1055611055611056E-2</v>
      </c>
      <c r="DY35" s="47">
        <f>t_Parts[[#This Row],[hp2015.05]]/t_Parts[[#This Row],[ha2015.05]]</f>
        <v>1.1055611055611056E-2</v>
      </c>
      <c r="DZ35" s="47">
        <f>t_Parts[[#This Row],[hp2015.06]]/t_Parts[[#This Row],[ha2015.06]]</f>
        <v>9.6270396270396272E-3</v>
      </c>
      <c r="EA35" s="47">
        <f>t_Parts[[#This Row],[hp2015.07]]/t_Parts[[#This Row],[ha2015.07]]</f>
        <v>1.1055611055611056E-2</v>
      </c>
      <c r="EB35" s="47">
        <f>t_Parts[[#This Row],[hp2015.08]]/t_Parts[[#This Row],[ha2015.08]]</f>
        <v>1.1055611055611056E-2</v>
      </c>
      <c r="EC35" s="47">
        <f>t_Parts[[#This Row],[hp2015.09]]/t_Parts[[#This Row],[ha2015.09]]</f>
        <v>9.6270396270396272E-3</v>
      </c>
      <c r="ED35" s="47">
        <f>t_Parts[[#This Row],[hp2015.10]]/t_Parts[[#This Row],[ha2015.10]]</f>
        <v>1.1055611055611056E-2</v>
      </c>
      <c r="EE35" s="47">
        <f>t_Parts[[#This Row],[hp2015.11]]/t_Parts[[#This Row],[ha2015.11]]</f>
        <v>1.1055611055611056E-2</v>
      </c>
      <c r="EF35" s="47">
        <f>t_Parts[[#This Row],[hp2015.12]]/t_Parts[[#This Row],[ha2015.12]]</f>
        <v>9.6270396270396272E-3</v>
      </c>
      <c r="EG35" s="47">
        <f>t_Parts[[#This Row],[hp2015.FY]]/t_Parts[[#This Row],[ha2015.FY]]</f>
        <v>1.0506160506160506E-2</v>
      </c>
      <c r="EH35" s="47">
        <f>t_Parts[[#This Row],[hp2016.01]]/t_Parts[[#This Row],[ha2016.01]]</f>
        <v>1.1055611055611056E-2</v>
      </c>
      <c r="EI35" s="47">
        <f>t_Parts[[#This Row],[hp2016.02]]/t_Parts[[#This Row],[ha2016.02]]</f>
        <v>1.1055611055611056E-2</v>
      </c>
      <c r="EJ35" s="47">
        <f>t_Parts[[#This Row],[hp2016.03]]/t_Parts[[#This Row],[ha2016.03]]</f>
        <v>9.6270396270396272E-3</v>
      </c>
      <c r="EK35" s="47">
        <f>t_Parts[[#This Row],[hp2016.04]]/t_Parts[[#This Row],[ha2016.04]]</f>
        <v>1.1055611055611056E-2</v>
      </c>
      <c r="EL35" s="47">
        <f>t_Parts[[#This Row],[hp2016.05]]/t_Parts[[#This Row],[ha2016.05]]</f>
        <v>1.1055611055611056E-2</v>
      </c>
      <c r="EM35" s="47">
        <f>t_Parts[[#This Row],[hp2016.06]]/t_Parts[[#This Row],[ha2016.06]]</f>
        <v>9.6270396270396272E-3</v>
      </c>
      <c r="EN35" s="47">
        <f>t_Parts[[#This Row],[hp2016.07]]/t_Parts[[#This Row],[ha2016.07]]</f>
        <v>1.1055611055611056E-2</v>
      </c>
      <c r="EO35" s="47">
        <f>t_Parts[[#This Row],[hp2016.08]]/t_Parts[[#This Row],[ha2016.08]]</f>
        <v>1.1055611055611056E-2</v>
      </c>
      <c r="EP35" s="47">
        <f>t_Parts[[#This Row],[hp2016.09]]/t_Parts[[#This Row],[ha2016.09]]</f>
        <v>9.6270396270396272E-3</v>
      </c>
      <c r="EQ35" s="47">
        <f>t_Parts[[#This Row],[hp2016.10]]/t_Parts[[#This Row],[ha2016.10]]</f>
        <v>1.1055611055611056E-2</v>
      </c>
      <c r="ER35" s="47">
        <f>t_Parts[[#This Row],[hp2016.11]]/t_Parts[[#This Row],[ha2016.11]]</f>
        <v>1.1055611055611056E-2</v>
      </c>
      <c r="ES35" s="47">
        <f>t_Parts[[#This Row],[hp2016.12]]/t_Parts[[#This Row],[ha2016.12]]</f>
        <v>9.6270396270396272E-3</v>
      </c>
      <c r="ET35" s="47">
        <f>t_Parts[[#This Row],[hp2016.FY]]/t_Parts[[#This Row],[ha2016.FY]]</f>
        <v>1.0506160506160506E-2</v>
      </c>
      <c r="EU35" s="47">
        <f>t_Parts[[#This Row],[hp2017]]/t_Parts[[#This Row],[ha2017]]</f>
        <v>0</v>
      </c>
      <c r="EV35" s="47">
        <f>t_Parts[[#This Row],[hp2018]]/t_Parts[[#This Row],[ha2018]]</f>
        <v>0</v>
      </c>
      <c r="EW35" s="47">
        <f>t_Parts[[#This Row],[hp2019]]/t_Parts[[#This Row],[hp2015.01]]</f>
        <v>0</v>
      </c>
      <c r="EX35" s="58">
        <f>(t_Parts[[#This Row],[ha2015.01]]-t_Parts[[#This Row],[hp2015.01]])*t_Parts[[NetPPH]:[NetPPH]]</f>
        <v>365513.84615384619</v>
      </c>
      <c r="EY35" s="58">
        <f>(t_Parts[[#This Row],[ha2015.02]]-t_Parts[[#This Row],[hp2015.02]])*t_Parts[[NetPPH]:[NetPPH]]</f>
        <v>365513.84615384619</v>
      </c>
      <c r="EZ35" s="58">
        <f>(t_Parts[[#This Row],[ha2015.03]]-t_Parts[[#This Row],[hp2015.03]])*t_Parts[[NetPPH]:[NetPPH]]</f>
        <v>457552.30769230769</v>
      </c>
      <c r="FA35" s="58">
        <f>(t_Parts[[#This Row],[ha2015.04]]-t_Parts[[#This Row],[hp2015.04]])*t_Parts[[NetPPH]:[NetPPH]]</f>
        <v>365513.84615384619</v>
      </c>
      <c r="FB35" s="58">
        <f>(t_Parts[[#This Row],[ha2015.05]]-t_Parts[[#This Row],[hp2015.05]])*t_Parts[[NetPPH]:[NetPPH]]</f>
        <v>365513.84615384619</v>
      </c>
      <c r="FC35" s="58">
        <f>(t_Parts[[#This Row],[ha2015.06]]-t_Parts[[#This Row],[hp2015.06]])*t_Parts[[NetPPH]:[NetPPH]]</f>
        <v>457552.30769230769</v>
      </c>
      <c r="FD35" s="58">
        <f>(t_Parts[[#This Row],[ha2015.07]]-t_Parts[[#This Row],[hp2015.07]])*t_Parts[[NetPPH]:[NetPPH]]</f>
        <v>365513.84615384619</v>
      </c>
      <c r="FE35" s="58">
        <f>(t_Parts[[#This Row],[ha2015.08]]-t_Parts[[#This Row],[hp2015.08]])*t_Parts[[NetPPH]:[NetPPH]]</f>
        <v>365513.84615384619</v>
      </c>
      <c r="FF35" s="58">
        <f>(t_Parts[[#This Row],[ha2015.09]]-t_Parts[[#This Row],[hp2015.09]])*t_Parts[[NetPPH]:[NetPPH]]</f>
        <v>457552.30769230769</v>
      </c>
      <c r="FG35" s="58">
        <f>(t_Parts[[#This Row],[ha2015.10]]-t_Parts[[#This Row],[hp2015.10]])*t_Parts[[NetPPH]:[NetPPH]]</f>
        <v>365513.84615384619</v>
      </c>
      <c r="FH35" s="58">
        <f>(t_Parts[[#This Row],[ha2015.11]]-t_Parts[[#This Row],[hp2015.11]])*t_Parts[[NetPPH]:[NetPPH]]</f>
        <v>365513.84615384619</v>
      </c>
      <c r="FI35" s="58">
        <f>(t_Parts[[#This Row],[ha2015.12]]-t_Parts[[#This Row],[hp2015.12]])*t_Parts[[NetPPH]:[NetPPH]]</f>
        <v>457552.30769230769</v>
      </c>
      <c r="FJ35" s="58">
        <f>(t_Parts[[#This Row],[ha2015.FY]]-t_Parts[[#This Row],[hp2015.FY]])*t_Parts[[NetPPH]:[NetPPH]]</f>
        <v>4754320</v>
      </c>
      <c r="FK35" s="58">
        <f>(t_Parts[[#This Row],[ha2016.01]]-t_Parts[[#This Row],[hp2016.01]])*t_Parts[[NetPPH]:[NetPPH]]</f>
        <v>365513.84615384619</v>
      </c>
      <c r="FL35" s="58">
        <f>(t_Parts[[#This Row],[ha2016.02]]-t_Parts[[#This Row],[hp2016.02]])*t_Parts[[NetPPH]:[NetPPH]]</f>
        <v>365513.84615384619</v>
      </c>
      <c r="FM35" s="58">
        <f>(t_Parts[[#This Row],[ha2016.03]]-t_Parts[[#This Row],[hp2016.03]])*t_Parts[[NetPPH]:[NetPPH]]</f>
        <v>457552.30769230769</v>
      </c>
      <c r="FN35" s="58">
        <f>(t_Parts[[#This Row],[ha2016.04]]-t_Parts[[#This Row],[hp2016.04]])*t_Parts[[NetPPH]:[NetPPH]]</f>
        <v>365513.84615384619</v>
      </c>
      <c r="FO35" s="58">
        <f>(t_Parts[[#This Row],[ha2016.05]]-t_Parts[[#This Row],[hp2016.05]])*t_Parts[[NetPPH]:[NetPPH]]</f>
        <v>365513.84615384619</v>
      </c>
      <c r="FP35" s="58">
        <f>(t_Parts[[#This Row],[ha2016.06]]-t_Parts[[#This Row],[hp2016.06]])*t_Parts[[NetPPH]:[NetPPH]]</f>
        <v>457552.30769230769</v>
      </c>
      <c r="FQ35" s="58">
        <f>(t_Parts[[#This Row],[ha2016.07]]-t_Parts[[#This Row],[hp2016.07]])*t_Parts[[NetPPH]:[NetPPH]]</f>
        <v>365513.84615384619</v>
      </c>
      <c r="FR35" s="58">
        <f>(t_Parts[[#This Row],[ha2016.08]]-t_Parts[[#This Row],[hp2016.08]])*t_Parts[[NetPPH]:[NetPPH]]</f>
        <v>365513.84615384619</v>
      </c>
      <c r="FS35" s="58">
        <f>(t_Parts[[#This Row],[ha2016.09]]-t_Parts[[#This Row],[hp2016.09]])*t_Parts[[NetPPH]:[NetPPH]]</f>
        <v>457552.30769230769</v>
      </c>
      <c r="FT35" s="58">
        <f>(t_Parts[[#This Row],[ha2016.10]]-t_Parts[[#This Row],[hp2016.10]])*t_Parts[[NetPPH]:[NetPPH]]</f>
        <v>365513.84615384619</v>
      </c>
      <c r="FU35" s="58">
        <f>(t_Parts[[#This Row],[ha2016.11]]-t_Parts[[#This Row],[hp2016.11]])*t_Parts[[NetPPH]:[NetPPH]]</f>
        <v>365513.84615384619</v>
      </c>
      <c r="FV35" s="58">
        <f>(t_Parts[[#This Row],[ha2016.12]]-t_Parts[[#This Row],[hp2016.12]])*t_Parts[[NetPPH]:[NetPPH]]</f>
        <v>457552.30769230769</v>
      </c>
      <c r="FW35" s="58">
        <f>(t_Parts[[#This Row],[ha2016.FY]]-t_Parts[[#This Row],[hp2016.FY]])*t_Parts[[NetPPH]:[NetPPH]]</f>
        <v>4754320</v>
      </c>
      <c r="FX35" s="58">
        <f>(t_Parts[[#This Row],[ha2017]]-t_Parts[[#This Row],[hp2017]])*t_Parts[[NetPPH]:[NetPPH]]</f>
        <v>4804800</v>
      </c>
      <c r="FY35" s="58">
        <f>(t_Parts[[#This Row],[ha2018]]-t_Parts[[#This Row],[hp2018]])*t_Parts[[NetPPH]:[NetPPH]]</f>
        <v>4804800</v>
      </c>
      <c r="FZ35" s="58">
        <f>(t_Parts[[#This Row],[ha2019]]-t_Parts[[#This Row],[hp2019]])*t_Parts[[NetPPH]:[NetPPH]]</f>
        <v>4804800</v>
      </c>
    </row>
    <row r="36" spans="1:182" s="14" customFormat="1" x14ac:dyDescent="0.25">
      <c r="A36" s="74" t="s">
        <v>525</v>
      </c>
      <c r="B36" s="74"/>
      <c r="C36" s="74">
        <v>21001</v>
      </c>
      <c r="D36" s="75">
        <v>1</v>
      </c>
      <c r="E36" s="73">
        <v>2100</v>
      </c>
      <c r="F36" s="76">
        <v>1</v>
      </c>
      <c r="G36" s="77">
        <v>2</v>
      </c>
      <c r="H36" s="16">
        <v>2015.01</v>
      </c>
      <c r="I36" s="16" t="s">
        <v>332</v>
      </c>
      <c r="J36" s="73">
        <v>19285</v>
      </c>
      <c r="K36" s="73">
        <v>19285</v>
      </c>
      <c r="L36" s="73">
        <v>19285</v>
      </c>
      <c r="M36" s="73">
        <v>19285</v>
      </c>
      <c r="N36" s="73">
        <v>19285</v>
      </c>
      <c r="O36" s="78">
        <v>28</v>
      </c>
      <c r="P36" s="78">
        <v>76</v>
      </c>
      <c r="Q36" s="79">
        <v>22.47</v>
      </c>
      <c r="R36" s="79"/>
      <c r="S36" s="78">
        <v>208</v>
      </c>
      <c r="T36" s="80">
        <v>14</v>
      </c>
      <c r="U36" s="80" t="s">
        <v>121</v>
      </c>
      <c r="V36" s="81" t="s">
        <v>526</v>
      </c>
      <c r="W36" s="82">
        <v>1.38</v>
      </c>
      <c r="X36" s="82" t="s">
        <v>501</v>
      </c>
      <c r="Y36" s="82" t="s">
        <v>524</v>
      </c>
      <c r="Z36" s="82"/>
      <c r="AA36" s="82"/>
      <c r="AB36" s="82"/>
      <c r="AC36" s="83" t="s">
        <v>110</v>
      </c>
      <c r="AD36" s="40" t="str">
        <f>VLOOKUP(t_Parts[[#This Row],[Press]],t_Presses[],Press!B$1,FALSE)</f>
        <v>Plainfield</v>
      </c>
      <c r="AE36" s="40" t="str">
        <f>VLOOKUP(t_Parts[[#This Row],[Press]],t_Presses[],Press!E$1,FALSE)</f>
        <v>300-599</v>
      </c>
      <c r="AF36" s="47">
        <f>VLOOKUP(t_Parts[[#This Row],[Plant]],t_Plants[],Plants!C$1,FALSE)</f>
        <v>0.55000000000000004</v>
      </c>
      <c r="AG36" s="47">
        <f>VLOOKUP(t_Parts[[#This Row],[Press]],t_Presses[],Press!F$1,FALSE)</f>
        <v>0</v>
      </c>
      <c r="AH36" s="84"/>
      <c r="AI36" s="47">
        <f>IF(ISBLANK(t_Parts[[#This Row],[PartOEE]])=FALSE,t_Parts[[#This Row],[PartOEE]], IF(t_Parts[[#This Row],[PressOEE]]&gt;0, t_Parts[[#This Row],[PressOEE]], t_Parts[[#This Row],[PlantOEE]] ))</f>
        <v>0.55000000000000004</v>
      </c>
      <c r="AJ36" s="70">
        <f>t_Parts[[#This Row],[SetupsPerMo]]*t_Parts[[#This Row],[SetupHrs]]</f>
        <v>2</v>
      </c>
      <c r="AK36" s="39">
        <f>(t_Parts[[#This Row],[PartsPerStroke]]*t_Parts[[#This Row],[StrokesPerHr]])*t_Parts[[#This Row],[UseOEE]]</f>
        <v>1155</v>
      </c>
      <c r="AL3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1483.4615384615386</v>
      </c>
      <c r="AM3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1483.4615384615386</v>
      </c>
      <c r="AN3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1854.3269230769231</v>
      </c>
      <c r="AO3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1483.4615384615386</v>
      </c>
      <c r="AP3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1483.4615384615386</v>
      </c>
      <c r="AQ3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1854.3269230769231</v>
      </c>
      <c r="AR3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1483.4615384615386</v>
      </c>
      <c r="AS3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1483.4615384615386</v>
      </c>
      <c r="AT3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1854.3269230769231</v>
      </c>
      <c r="AU3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1483.4615384615386</v>
      </c>
      <c r="AV3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1483.4615384615386</v>
      </c>
      <c r="AW3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1854.3269230769231</v>
      </c>
      <c r="AX36" s="39">
        <f>SUM(t_Parts[[#This Row],[pv2015.01]:[pv2015.12]])</f>
        <v>19285.000000000004</v>
      </c>
      <c r="AY3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1483.4615384615386</v>
      </c>
      <c r="AZ3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1483.4615384615386</v>
      </c>
      <c r="BA3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1854.3269230769231</v>
      </c>
      <c r="BB3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1483.4615384615386</v>
      </c>
      <c r="BC3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1483.4615384615386</v>
      </c>
      <c r="BD3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1854.3269230769231</v>
      </c>
      <c r="BE3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1483.4615384615386</v>
      </c>
      <c r="BF3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1483.4615384615386</v>
      </c>
      <c r="BG3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1854.3269230769231</v>
      </c>
      <c r="BH3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1483.4615384615386</v>
      </c>
      <c r="BI3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1483.4615384615386</v>
      </c>
      <c r="BJ3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1854.3269230769231</v>
      </c>
      <c r="BK36" s="39">
        <f>SUM(t_Parts[[#This Row],[pv2016.01]:[pv2016.12]])</f>
        <v>19285.000000000004</v>
      </c>
      <c r="BL36" s="39">
        <f>t_Parts[[#This Row],[2017vol]]</f>
        <v>19285</v>
      </c>
      <c r="BM36" s="39">
        <f>t_Parts[[#This Row],[2018vol]]</f>
        <v>19285</v>
      </c>
      <c r="BN36" s="39">
        <f>t_Parts[[#This Row],[2019vol]]</f>
        <v>19285</v>
      </c>
      <c r="BO36" s="40">
        <f>VLOOKUP(t_Parts[[Plant]:[Plant]],t_Plants[],Plants!CN$1,FALSE)</f>
        <v>280</v>
      </c>
      <c r="BP36" s="14">
        <f>VLOOKUP(t_Parts[[Plant]:[Plant]],t_Plants[],Plants!CO$1,FALSE)</f>
        <v>280</v>
      </c>
      <c r="BQ36" s="14">
        <f>VLOOKUP(t_Parts[[Plant]:[Plant]],t_Plants[],Plants!CP$1,FALSE)</f>
        <v>350</v>
      </c>
      <c r="BR36" s="14">
        <f>VLOOKUP(t_Parts[[Plant]:[Plant]],t_Plants[],Plants!CQ$1,FALSE)</f>
        <v>280</v>
      </c>
      <c r="BS36" s="14">
        <f>VLOOKUP(t_Parts[[Plant]:[Plant]],t_Plants[],Plants!CR$1,FALSE)</f>
        <v>280</v>
      </c>
      <c r="BT36" s="14">
        <f>VLOOKUP(t_Parts[[Plant]:[Plant]],t_Plants[],Plants!CS$1,FALSE)</f>
        <v>350</v>
      </c>
      <c r="BU36" s="14">
        <f>VLOOKUP(t_Parts[[Plant]:[Plant]],t_Plants[],Plants!CT$1,FALSE)</f>
        <v>280</v>
      </c>
      <c r="BV36" s="14">
        <f>VLOOKUP(t_Parts[[Plant]:[Plant]],t_Plants[],Plants!CU$1,FALSE)</f>
        <v>280</v>
      </c>
      <c r="BW36" s="14">
        <f>VLOOKUP(t_Parts[[Plant]:[Plant]],t_Plants[],Plants!CV$1,FALSE)</f>
        <v>350</v>
      </c>
      <c r="BX36" s="14">
        <f>VLOOKUP(t_Parts[[Plant]:[Plant]],t_Plants[],Plants!CW$1,FALSE)</f>
        <v>280</v>
      </c>
      <c r="BY36" s="14">
        <f>VLOOKUP(t_Parts[[Plant]:[Plant]],t_Plants[],Plants!CX$1,FALSE)</f>
        <v>280</v>
      </c>
      <c r="BZ36" s="14">
        <f>VLOOKUP(t_Parts[[Plant]:[Plant]],t_Plants[],Plants!CY$1,FALSE)</f>
        <v>350</v>
      </c>
      <c r="CA36" s="40">
        <f>SUM(t_Parts[[#This Row],[ha2015.01]:[ha2015.12]])</f>
        <v>3640</v>
      </c>
      <c r="CB36" s="14">
        <f>VLOOKUP(t_Parts[[Plant]:[Plant]],t_Plants[],Plants!DA$1,FALSE)</f>
        <v>280</v>
      </c>
      <c r="CC36" s="14">
        <f>VLOOKUP(t_Parts[[Plant]:[Plant]],t_Plants[],Plants!DB$1,FALSE)</f>
        <v>280</v>
      </c>
      <c r="CD36" s="14">
        <f>VLOOKUP(t_Parts[[Plant]:[Plant]],t_Plants[],Plants!DC$1,FALSE)</f>
        <v>350</v>
      </c>
      <c r="CE36" s="14">
        <f>VLOOKUP(t_Parts[[Plant]:[Plant]],t_Plants[],Plants!DD$1,FALSE)</f>
        <v>280</v>
      </c>
      <c r="CF36" s="14">
        <f>VLOOKUP(t_Parts[[Plant]:[Plant]],t_Plants[],Plants!DE$1,FALSE)</f>
        <v>280</v>
      </c>
      <c r="CG36" s="14">
        <f>VLOOKUP(t_Parts[[Plant]:[Plant]],t_Plants[],Plants!DF$1,FALSE)</f>
        <v>350</v>
      </c>
      <c r="CH36" s="14">
        <f>VLOOKUP(t_Parts[[Plant]:[Plant]],t_Plants[],Plants!DG$1,FALSE)</f>
        <v>280</v>
      </c>
      <c r="CI36" s="14">
        <f>VLOOKUP(t_Parts[[Plant]:[Plant]],t_Plants[],Plants!DH$1,FALSE)</f>
        <v>280</v>
      </c>
      <c r="CJ36" s="14">
        <f>VLOOKUP(t_Parts[[Plant]:[Plant]],t_Plants[],Plants!DI$1,FALSE)</f>
        <v>350</v>
      </c>
      <c r="CK36" s="14">
        <f>VLOOKUP(t_Parts[[Plant]:[Plant]],t_Plants[],Plants!DJ$1,FALSE)</f>
        <v>280</v>
      </c>
      <c r="CL36" s="14">
        <f>VLOOKUP(t_Parts[[Plant]:[Plant]],t_Plants[],Plants!DK$1,FALSE)</f>
        <v>280</v>
      </c>
      <c r="CM36" s="14">
        <f>VLOOKUP(t_Parts[[Plant]:[Plant]],t_Plants[],Plants!DL$1,FALSE)</f>
        <v>350</v>
      </c>
      <c r="CN36" s="14">
        <f>VLOOKUP(t_Parts[[Plant]:[Plant]],t_Plants[],Plants!DM$1,FALSE)</f>
        <v>3640</v>
      </c>
      <c r="CO36" s="14">
        <f>VLOOKUP(t_Parts[[Plant]:[Plant]],t_Plants[],Plants!DN$1,FALSE)</f>
        <v>3640</v>
      </c>
      <c r="CP36" s="14">
        <f>VLOOKUP(t_Parts[[Plant]:[Plant]],t_Plants[],Plants!DO$1,FALSE)</f>
        <v>3640</v>
      </c>
      <c r="CQ36" s="14">
        <f>VLOOKUP(t_Parts[[Plant]:[Plant]],t_Plants[],Plants!DP$1,FALSE)</f>
        <v>3640</v>
      </c>
      <c r="CR36" s="39">
        <f>IF(AND(AL$3&gt;=VALUE(t_Parts[[SOP]:[SOP]]),AL$3&lt;=VALUE(t_Parts[[EOP]:[EOP]])), t_Parts[[SetupHrsPerMo]:[SetupHrsPerMo]]+(t_Parts[[#This Row],[pv2015.01]]/t_Parts[[NetPPH]:[NetPPH]]),0)</f>
        <v>3.2843822843822847</v>
      </c>
      <c r="CS36" s="39">
        <f>IF(AND(AM$3&gt;=VALUE(t_Parts[[SOP]:[SOP]]),AM$3&lt;=VALUE(t_Parts[[EOP]:[EOP]])), t_Parts[[SetupHrsPerMo]:[SetupHrsPerMo]]+(t_Parts[[#This Row],[pv2015.02]]/t_Parts[[NetPPH]:[NetPPH]]),0)</f>
        <v>3.2843822843822847</v>
      </c>
      <c r="CT36" s="39">
        <f>IF(AND(AN$3&gt;=VALUE(t_Parts[[SOP]:[SOP]]),AN$3&lt;=VALUE(t_Parts[[EOP]:[EOP]])), t_Parts[[SetupHrsPerMo]:[SetupHrsPerMo]]+(t_Parts[[#This Row],[pv2015.03]]/t_Parts[[NetPPH]:[NetPPH]]),0)</f>
        <v>3.6054778554778553</v>
      </c>
      <c r="CU36" s="39">
        <f>IF(AND(AO$3&gt;=VALUE(t_Parts[[SOP]:[SOP]]),AO$3&lt;=VALUE(t_Parts[[EOP]:[EOP]])), t_Parts[[SetupHrsPerMo]:[SetupHrsPerMo]]+(t_Parts[[#This Row],[pv2015.04]]/t_Parts[[NetPPH]:[NetPPH]]),0)</f>
        <v>3.2843822843822847</v>
      </c>
      <c r="CV36" s="39">
        <f>IF(AND(AP$3&gt;=VALUE(t_Parts[[SOP]:[SOP]]),AP$3&lt;=VALUE(t_Parts[[EOP]:[EOP]])), t_Parts[[SetupHrsPerMo]:[SetupHrsPerMo]]+(t_Parts[[#This Row],[pv2015.05]]/t_Parts[[NetPPH]:[NetPPH]]),0)</f>
        <v>3.2843822843822847</v>
      </c>
      <c r="CW36" s="39">
        <f>IF(AND(AQ$3&gt;=VALUE(t_Parts[[SOP]:[SOP]]),AQ$3&lt;=VALUE(t_Parts[[EOP]:[EOP]])), t_Parts[[SetupHrsPerMo]:[SetupHrsPerMo]]+(t_Parts[[#This Row],[pv2015.06]]/t_Parts[[NetPPH]:[NetPPH]]),0)</f>
        <v>3.6054778554778553</v>
      </c>
      <c r="CX36" s="39">
        <f>IF(AND(AR$3&gt;=VALUE(t_Parts[[SOP]:[SOP]]),AR$3&lt;=VALUE(t_Parts[[EOP]:[EOP]])), t_Parts[[SetupHrsPerMo]:[SetupHrsPerMo]]+(t_Parts[[#This Row],[pv2015.07]]/t_Parts[[NetPPH]:[NetPPH]]),0)</f>
        <v>3.2843822843822847</v>
      </c>
      <c r="CY36" s="39">
        <f>IF(AND(AS$3&gt;=VALUE(t_Parts[[SOP]:[SOP]]),AS$3&lt;=VALUE(t_Parts[[EOP]:[EOP]])), t_Parts[[SetupHrsPerMo]:[SetupHrsPerMo]]+(t_Parts[[#This Row],[pv2015.08]]/t_Parts[[NetPPH]:[NetPPH]]),0)</f>
        <v>3.2843822843822847</v>
      </c>
      <c r="CZ36" s="39">
        <f>IF(AND(AT$3&gt;=VALUE(t_Parts[[SOP]:[SOP]]),AT$3&lt;=VALUE(t_Parts[[EOP]:[EOP]])), t_Parts[[SetupHrsPerMo]:[SetupHrsPerMo]]+(t_Parts[[#This Row],[pv2015.09]]/t_Parts[[NetPPH]:[NetPPH]]),0)</f>
        <v>3.6054778554778553</v>
      </c>
      <c r="DA36" s="39">
        <f>IF(AND(AU$3&gt;=VALUE(t_Parts[[SOP]:[SOP]]),AU$3&lt;=VALUE(t_Parts[[EOP]:[EOP]])), t_Parts[[SetupHrsPerMo]:[SetupHrsPerMo]]+(t_Parts[[#This Row],[pv2015.10]]/t_Parts[[NetPPH]:[NetPPH]]),0)</f>
        <v>3.2843822843822847</v>
      </c>
      <c r="DB36" s="39">
        <f>IF(AND(AV$3&gt;=VALUE(t_Parts[[SOP]:[SOP]]),AV$3&lt;=VALUE(t_Parts[[EOP]:[EOP]])), t_Parts[[SetupHrsPerMo]:[SetupHrsPerMo]]+(t_Parts[[#This Row],[pv2015.11]]/t_Parts[[NetPPH]:[NetPPH]]),0)</f>
        <v>3.2843822843822847</v>
      </c>
      <c r="DC36" s="39">
        <f>IF(AND(AW$3&gt;=VALUE(t_Parts[[SOP]:[SOP]]),AW$3&lt;=VALUE(t_Parts[[EOP]:[EOP]])), t_Parts[[SetupHrsPerMo]:[SetupHrsPerMo]]+(t_Parts[[#This Row],[pv2015.12]]/t_Parts[[NetPPH]:[NetPPH]]),0)</f>
        <v>3.6054778554778553</v>
      </c>
      <c r="DD36" s="39">
        <f>SUM(t_Parts[[#This Row],[hp2015.01]:[hp2015.12]])</f>
        <v>40.696969696969703</v>
      </c>
      <c r="DE36" s="39">
        <f>IF(AND(AY$3&gt;=VALUE(t_Parts[[SOP]:[SOP]]),AY$3&lt;=VALUE(t_Parts[[EOP]:[EOP]])), t_Parts[[SetupHrsPerMo]:[SetupHrsPerMo]]+(t_Parts[[#This Row],[pv2016.01]]/t_Parts[[NetPPH]:[NetPPH]]),0)</f>
        <v>3.2843822843822847</v>
      </c>
      <c r="DF36" s="39">
        <f>IF(AND(AZ$3&gt;=VALUE(t_Parts[[SOP]:[SOP]]),AZ$3&lt;=VALUE(t_Parts[[EOP]:[EOP]])), t_Parts[[SetupHrsPerMo]:[SetupHrsPerMo]]+(t_Parts[[#This Row],[pv2016.02]]/t_Parts[[NetPPH]:[NetPPH]]),0)</f>
        <v>3.2843822843822847</v>
      </c>
      <c r="DG36" s="39">
        <f>IF(AND(BA$3&gt;=VALUE(t_Parts[[SOP]:[SOP]]),BA$3&lt;=VALUE(t_Parts[[EOP]:[EOP]])), t_Parts[[SetupHrsPerMo]:[SetupHrsPerMo]]+(t_Parts[[#This Row],[pv2016.03]]/t_Parts[[NetPPH]:[NetPPH]]),0)</f>
        <v>3.6054778554778553</v>
      </c>
      <c r="DH36" s="39">
        <f>IF(AND(BB$3&gt;=VALUE(t_Parts[[SOP]:[SOP]]),BB$3&lt;=VALUE(t_Parts[[EOP]:[EOP]])), t_Parts[[SetupHrsPerMo]:[SetupHrsPerMo]]+(t_Parts[[#This Row],[pv2016.04]]/t_Parts[[NetPPH]:[NetPPH]]),0)</f>
        <v>3.2843822843822847</v>
      </c>
      <c r="DI36" s="39">
        <f>IF(AND(BC$3&gt;=VALUE(t_Parts[[SOP]:[SOP]]),BC$3&lt;=VALUE(t_Parts[[EOP]:[EOP]])), t_Parts[[SetupHrsPerMo]:[SetupHrsPerMo]]+(t_Parts[[#This Row],[pv2016.05]]/t_Parts[[NetPPH]:[NetPPH]]),0)</f>
        <v>3.2843822843822847</v>
      </c>
      <c r="DJ36" s="39">
        <f>IF(AND(BD$3&gt;=VALUE(t_Parts[[SOP]:[SOP]]),BD$3&lt;=VALUE(t_Parts[[EOP]:[EOP]])), t_Parts[[SetupHrsPerMo]:[SetupHrsPerMo]]+(t_Parts[[#This Row],[pv2016.06]]/t_Parts[[NetPPH]:[NetPPH]]),0)</f>
        <v>3.6054778554778553</v>
      </c>
      <c r="DK36" s="39">
        <f>IF(AND(BE$3&gt;=VALUE(t_Parts[[SOP]:[SOP]]),BE$3&lt;=VALUE(t_Parts[[EOP]:[EOP]])), t_Parts[[SetupHrsPerMo]:[SetupHrsPerMo]]+(t_Parts[[#This Row],[pv2016.07]]/t_Parts[[NetPPH]:[NetPPH]]),0)</f>
        <v>3.2843822843822847</v>
      </c>
      <c r="DL36" s="39">
        <f>IF(AND(BF$3&gt;=VALUE(t_Parts[[SOP]:[SOP]]),BF$3&lt;=VALUE(t_Parts[[EOP]:[EOP]])), t_Parts[[SetupHrsPerMo]:[SetupHrsPerMo]]+(t_Parts[[#This Row],[pv2016.08]]/t_Parts[[NetPPH]:[NetPPH]]),0)</f>
        <v>3.2843822843822847</v>
      </c>
      <c r="DM36" s="39">
        <f>IF(AND(BG$3&gt;=VALUE(t_Parts[[SOP]:[SOP]]),BG$3&lt;=VALUE(t_Parts[[EOP]:[EOP]])), t_Parts[[SetupHrsPerMo]:[SetupHrsPerMo]]+(t_Parts[[#This Row],[pv2016.09]]/t_Parts[[NetPPH]:[NetPPH]]),0)</f>
        <v>3.6054778554778553</v>
      </c>
      <c r="DN36" s="39">
        <f>IF(AND(BH$3&gt;=VALUE(t_Parts[[SOP]:[SOP]]),BH$3&lt;=VALUE(t_Parts[[EOP]:[EOP]])), t_Parts[[SetupHrsPerMo]:[SetupHrsPerMo]]+(t_Parts[[#This Row],[pv2016.10]]/t_Parts[[NetPPH]:[NetPPH]]),0)</f>
        <v>3.2843822843822847</v>
      </c>
      <c r="DO36" s="39">
        <f>IF(AND(BI$3&gt;=VALUE(t_Parts[[SOP]:[SOP]]),BI$3&lt;=VALUE(t_Parts[[EOP]:[EOP]])), t_Parts[[SetupHrsPerMo]:[SetupHrsPerMo]]+(t_Parts[[#This Row],[pv2016.11]]/t_Parts[[NetPPH]:[NetPPH]]),0)</f>
        <v>3.2843822843822847</v>
      </c>
      <c r="DP36" s="39">
        <f>IF(AND(BJ$3&gt;=VALUE(t_Parts[[SOP]:[SOP]]),BJ$3&lt;=VALUE(t_Parts[[EOP]:[EOP]])), t_Parts[[SetupHrsPerMo]:[SetupHrsPerMo]]+(t_Parts[[#This Row],[pv2016.12]]/t_Parts[[NetPPH]:[NetPPH]]),0)</f>
        <v>3.6054778554778553</v>
      </c>
      <c r="DQ36" s="39">
        <f>SUM(t_Parts[[#This Row],[hp2016.01]:[hp2016.12]])</f>
        <v>40.696969696969703</v>
      </c>
      <c r="DR36" s="39">
        <f>IF(AND(BL$3&gt;=VALUE(t_Parts[[SOP]:[SOP]]),BL$3&lt;=VALUE(t_Parts[[EOP]:[EOP]])), 12*t_Parts[[SetupHrsPerMo]:[SetupHrsPerMo]]+(t_Parts[[#This Row],[pv2017]]/t_Parts[[NetPPH]:[NetPPH]]),0)</f>
        <v>0</v>
      </c>
      <c r="DS36" s="39">
        <f>IF(AND(BM$3&gt;=VALUE(t_Parts[[SOP]:[SOP]]),BM$3&lt;=VALUE(t_Parts[[EOP]:[EOP]])), 12*t_Parts[[SetupHrsPerMo]:[SetupHrsPerMo]]+(t_Parts[[#This Row],[pv2018]]/t_Parts[[NetPPH]:[NetPPH]]),0)</f>
        <v>0</v>
      </c>
      <c r="DT36" s="39">
        <f>IF(AND(BN$3&gt;=VALUE(t_Parts[[SOP]:[SOP]]),BN$3&lt;=VALUE(t_Parts[[EOP]:[EOP]])), 12*t_Parts[[SetupHrsPerMo]:[SetupHrsPerMo]]+(t_Parts[[#This Row],[pv2019]]/t_Parts[[NetPPH]:[NetPPH]]),0)</f>
        <v>0</v>
      </c>
      <c r="DU36" s="47">
        <f>t_Parts[[#This Row],[hp2015.01]]/t_Parts[[#This Row],[ha2015.01]]</f>
        <v>1.1729936729936731E-2</v>
      </c>
      <c r="DV36" s="47">
        <f>t_Parts[[#This Row],[hp2015.02]]/t_Parts[[#This Row],[ha2015.02]]</f>
        <v>1.1729936729936731E-2</v>
      </c>
      <c r="DW36" s="47">
        <f>t_Parts[[#This Row],[hp2015.03]]/t_Parts[[#This Row],[ha2015.03]]</f>
        <v>1.0301365301365301E-2</v>
      </c>
      <c r="DX36" s="47">
        <f>t_Parts[[#This Row],[hp2015.04]]/t_Parts[[#This Row],[ha2015.04]]</f>
        <v>1.1729936729936731E-2</v>
      </c>
      <c r="DY36" s="47">
        <f>t_Parts[[#This Row],[hp2015.05]]/t_Parts[[#This Row],[ha2015.05]]</f>
        <v>1.1729936729936731E-2</v>
      </c>
      <c r="DZ36" s="47">
        <f>t_Parts[[#This Row],[hp2015.06]]/t_Parts[[#This Row],[ha2015.06]]</f>
        <v>1.0301365301365301E-2</v>
      </c>
      <c r="EA36" s="47">
        <f>t_Parts[[#This Row],[hp2015.07]]/t_Parts[[#This Row],[ha2015.07]]</f>
        <v>1.1729936729936731E-2</v>
      </c>
      <c r="EB36" s="47">
        <f>t_Parts[[#This Row],[hp2015.08]]/t_Parts[[#This Row],[ha2015.08]]</f>
        <v>1.1729936729936731E-2</v>
      </c>
      <c r="EC36" s="47">
        <f>t_Parts[[#This Row],[hp2015.09]]/t_Parts[[#This Row],[ha2015.09]]</f>
        <v>1.0301365301365301E-2</v>
      </c>
      <c r="ED36" s="47">
        <f>t_Parts[[#This Row],[hp2015.10]]/t_Parts[[#This Row],[ha2015.10]]</f>
        <v>1.1729936729936731E-2</v>
      </c>
      <c r="EE36" s="47">
        <f>t_Parts[[#This Row],[hp2015.11]]/t_Parts[[#This Row],[ha2015.11]]</f>
        <v>1.1729936729936731E-2</v>
      </c>
      <c r="EF36" s="47">
        <f>t_Parts[[#This Row],[hp2015.12]]/t_Parts[[#This Row],[ha2015.12]]</f>
        <v>1.0301365301365301E-2</v>
      </c>
      <c r="EG36" s="47">
        <f>t_Parts[[#This Row],[hp2015.FY]]/t_Parts[[#This Row],[ha2015.FY]]</f>
        <v>1.1180486180486181E-2</v>
      </c>
      <c r="EH36" s="47">
        <f>t_Parts[[#This Row],[hp2016.01]]/t_Parts[[#This Row],[ha2016.01]]</f>
        <v>1.1729936729936731E-2</v>
      </c>
      <c r="EI36" s="47">
        <f>t_Parts[[#This Row],[hp2016.02]]/t_Parts[[#This Row],[ha2016.02]]</f>
        <v>1.1729936729936731E-2</v>
      </c>
      <c r="EJ36" s="47">
        <f>t_Parts[[#This Row],[hp2016.03]]/t_Parts[[#This Row],[ha2016.03]]</f>
        <v>1.0301365301365301E-2</v>
      </c>
      <c r="EK36" s="47">
        <f>t_Parts[[#This Row],[hp2016.04]]/t_Parts[[#This Row],[ha2016.04]]</f>
        <v>1.1729936729936731E-2</v>
      </c>
      <c r="EL36" s="47">
        <f>t_Parts[[#This Row],[hp2016.05]]/t_Parts[[#This Row],[ha2016.05]]</f>
        <v>1.1729936729936731E-2</v>
      </c>
      <c r="EM36" s="47">
        <f>t_Parts[[#This Row],[hp2016.06]]/t_Parts[[#This Row],[ha2016.06]]</f>
        <v>1.0301365301365301E-2</v>
      </c>
      <c r="EN36" s="47">
        <f>t_Parts[[#This Row],[hp2016.07]]/t_Parts[[#This Row],[ha2016.07]]</f>
        <v>1.1729936729936731E-2</v>
      </c>
      <c r="EO36" s="47">
        <f>t_Parts[[#This Row],[hp2016.08]]/t_Parts[[#This Row],[ha2016.08]]</f>
        <v>1.1729936729936731E-2</v>
      </c>
      <c r="EP36" s="47">
        <f>t_Parts[[#This Row],[hp2016.09]]/t_Parts[[#This Row],[ha2016.09]]</f>
        <v>1.0301365301365301E-2</v>
      </c>
      <c r="EQ36" s="47">
        <f>t_Parts[[#This Row],[hp2016.10]]/t_Parts[[#This Row],[ha2016.10]]</f>
        <v>1.1729936729936731E-2</v>
      </c>
      <c r="ER36" s="47">
        <f>t_Parts[[#This Row],[hp2016.11]]/t_Parts[[#This Row],[ha2016.11]]</f>
        <v>1.1729936729936731E-2</v>
      </c>
      <c r="ES36" s="47">
        <f>t_Parts[[#This Row],[hp2016.12]]/t_Parts[[#This Row],[ha2016.12]]</f>
        <v>1.0301365301365301E-2</v>
      </c>
      <c r="ET36" s="47">
        <f>t_Parts[[#This Row],[hp2016.FY]]/t_Parts[[#This Row],[ha2016.FY]]</f>
        <v>1.1180486180486181E-2</v>
      </c>
      <c r="EU36" s="47">
        <f>t_Parts[[#This Row],[hp2017]]/t_Parts[[#This Row],[ha2017]]</f>
        <v>0</v>
      </c>
      <c r="EV36" s="47">
        <f>t_Parts[[#This Row],[hp2018]]/t_Parts[[#This Row],[ha2018]]</f>
        <v>0</v>
      </c>
      <c r="EW36" s="47">
        <f>t_Parts[[#This Row],[hp2019]]/t_Parts[[#This Row],[hp2015.01]]</f>
        <v>0</v>
      </c>
      <c r="EX36" s="58">
        <f>(t_Parts[[#This Row],[ha2015.01]]-t_Parts[[#This Row],[hp2015.01]])*t_Parts[[NetPPH]:[NetPPH]]</f>
        <v>319606.5384615385</v>
      </c>
      <c r="EY36" s="58">
        <f>(t_Parts[[#This Row],[ha2015.02]]-t_Parts[[#This Row],[hp2015.02]])*t_Parts[[NetPPH]:[NetPPH]]</f>
        <v>319606.5384615385</v>
      </c>
      <c r="EZ36" s="58">
        <f>(t_Parts[[#This Row],[ha2015.03]]-t_Parts[[#This Row],[hp2015.03]])*t_Parts[[NetPPH]:[NetPPH]]</f>
        <v>400085.67307692312</v>
      </c>
      <c r="FA36" s="58">
        <f>(t_Parts[[#This Row],[ha2015.04]]-t_Parts[[#This Row],[hp2015.04]])*t_Parts[[NetPPH]:[NetPPH]]</f>
        <v>319606.5384615385</v>
      </c>
      <c r="FB36" s="58">
        <f>(t_Parts[[#This Row],[ha2015.05]]-t_Parts[[#This Row],[hp2015.05]])*t_Parts[[NetPPH]:[NetPPH]]</f>
        <v>319606.5384615385</v>
      </c>
      <c r="FC36" s="58">
        <f>(t_Parts[[#This Row],[ha2015.06]]-t_Parts[[#This Row],[hp2015.06]])*t_Parts[[NetPPH]:[NetPPH]]</f>
        <v>400085.67307692312</v>
      </c>
      <c r="FD36" s="58">
        <f>(t_Parts[[#This Row],[ha2015.07]]-t_Parts[[#This Row],[hp2015.07]])*t_Parts[[NetPPH]:[NetPPH]]</f>
        <v>319606.5384615385</v>
      </c>
      <c r="FE36" s="58">
        <f>(t_Parts[[#This Row],[ha2015.08]]-t_Parts[[#This Row],[hp2015.08]])*t_Parts[[NetPPH]:[NetPPH]]</f>
        <v>319606.5384615385</v>
      </c>
      <c r="FF36" s="58">
        <f>(t_Parts[[#This Row],[ha2015.09]]-t_Parts[[#This Row],[hp2015.09]])*t_Parts[[NetPPH]:[NetPPH]]</f>
        <v>400085.67307692312</v>
      </c>
      <c r="FG36" s="58">
        <f>(t_Parts[[#This Row],[ha2015.10]]-t_Parts[[#This Row],[hp2015.10]])*t_Parts[[NetPPH]:[NetPPH]]</f>
        <v>319606.5384615385</v>
      </c>
      <c r="FH36" s="58">
        <f>(t_Parts[[#This Row],[ha2015.11]]-t_Parts[[#This Row],[hp2015.11]])*t_Parts[[NetPPH]:[NetPPH]]</f>
        <v>319606.5384615385</v>
      </c>
      <c r="FI36" s="58">
        <f>(t_Parts[[#This Row],[ha2015.12]]-t_Parts[[#This Row],[hp2015.12]])*t_Parts[[NetPPH]:[NetPPH]]</f>
        <v>400085.67307692312</v>
      </c>
      <c r="FJ36" s="58">
        <f>(t_Parts[[#This Row],[ha2015.FY]]-t_Parts[[#This Row],[hp2015.FY]])*t_Parts[[NetPPH]:[NetPPH]]</f>
        <v>4157195</v>
      </c>
      <c r="FK36" s="58">
        <f>(t_Parts[[#This Row],[ha2016.01]]-t_Parts[[#This Row],[hp2016.01]])*t_Parts[[NetPPH]:[NetPPH]]</f>
        <v>319606.5384615385</v>
      </c>
      <c r="FL36" s="58">
        <f>(t_Parts[[#This Row],[ha2016.02]]-t_Parts[[#This Row],[hp2016.02]])*t_Parts[[NetPPH]:[NetPPH]]</f>
        <v>319606.5384615385</v>
      </c>
      <c r="FM36" s="58">
        <f>(t_Parts[[#This Row],[ha2016.03]]-t_Parts[[#This Row],[hp2016.03]])*t_Parts[[NetPPH]:[NetPPH]]</f>
        <v>400085.67307692312</v>
      </c>
      <c r="FN36" s="58">
        <f>(t_Parts[[#This Row],[ha2016.04]]-t_Parts[[#This Row],[hp2016.04]])*t_Parts[[NetPPH]:[NetPPH]]</f>
        <v>319606.5384615385</v>
      </c>
      <c r="FO36" s="58">
        <f>(t_Parts[[#This Row],[ha2016.05]]-t_Parts[[#This Row],[hp2016.05]])*t_Parts[[NetPPH]:[NetPPH]]</f>
        <v>319606.5384615385</v>
      </c>
      <c r="FP36" s="58">
        <f>(t_Parts[[#This Row],[ha2016.06]]-t_Parts[[#This Row],[hp2016.06]])*t_Parts[[NetPPH]:[NetPPH]]</f>
        <v>400085.67307692312</v>
      </c>
      <c r="FQ36" s="58">
        <f>(t_Parts[[#This Row],[ha2016.07]]-t_Parts[[#This Row],[hp2016.07]])*t_Parts[[NetPPH]:[NetPPH]]</f>
        <v>319606.5384615385</v>
      </c>
      <c r="FR36" s="58">
        <f>(t_Parts[[#This Row],[ha2016.08]]-t_Parts[[#This Row],[hp2016.08]])*t_Parts[[NetPPH]:[NetPPH]]</f>
        <v>319606.5384615385</v>
      </c>
      <c r="FS36" s="58">
        <f>(t_Parts[[#This Row],[ha2016.09]]-t_Parts[[#This Row],[hp2016.09]])*t_Parts[[NetPPH]:[NetPPH]]</f>
        <v>400085.67307692312</v>
      </c>
      <c r="FT36" s="58">
        <f>(t_Parts[[#This Row],[ha2016.10]]-t_Parts[[#This Row],[hp2016.10]])*t_Parts[[NetPPH]:[NetPPH]]</f>
        <v>319606.5384615385</v>
      </c>
      <c r="FU36" s="58">
        <f>(t_Parts[[#This Row],[ha2016.11]]-t_Parts[[#This Row],[hp2016.11]])*t_Parts[[NetPPH]:[NetPPH]]</f>
        <v>319606.5384615385</v>
      </c>
      <c r="FV36" s="58">
        <f>(t_Parts[[#This Row],[ha2016.12]]-t_Parts[[#This Row],[hp2016.12]])*t_Parts[[NetPPH]:[NetPPH]]</f>
        <v>400085.67307692312</v>
      </c>
      <c r="FW36" s="58">
        <f>(t_Parts[[#This Row],[ha2016.FY]]-t_Parts[[#This Row],[hp2016.FY]])*t_Parts[[NetPPH]:[NetPPH]]</f>
        <v>4157195</v>
      </c>
      <c r="FX36" s="58">
        <f>(t_Parts[[#This Row],[ha2017]]-t_Parts[[#This Row],[hp2017]])*t_Parts[[NetPPH]:[NetPPH]]</f>
        <v>4204200</v>
      </c>
      <c r="FY36" s="58">
        <f>(t_Parts[[#This Row],[ha2018]]-t_Parts[[#This Row],[hp2018]])*t_Parts[[NetPPH]:[NetPPH]]</f>
        <v>4204200</v>
      </c>
      <c r="FZ36" s="58">
        <f>(t_Parts[[#This Row],[ha2019]]-t_Parts[[#This Row],[hp2019]])*t_Parts[[NetPPH]:[NetPPH]]</f>
        <v>4204200</v>
      </c>
    </row>
    <row r="37" spans="1:182" s="14" customFormat="1" x14ac:dyDescent="0.25">
      <c r="A37" s="74" t="s">
        <v>527</v>
      </c>
      <c r="B37" s="74"/>
      <c r="C37" s="74">
        <v>21001</v>
      </c>
      <c r="D37" s="75">
        <v>1</v>
      </c>
      <c r="E37" s="73">
        <v>2100</v>
      </c>
      <c r="F37" s="76">
        <v>1</v>
      </c>
      <c r="G37" s="77">
        <v>2</v>
      </c>
      <c r="H37" s="16">
        <v>2015.01</v>
      </c>
      <c r="I37" s="16" t="s">
        <v>332</v>
      </c>
      <c r="J37" s="73">
        <v>19796</v>
      </c>
      <c r="K37" s="73">
        <v>19796</v>
      </c>
      <c r="L37" s="73">
        <v>19796</v>
      </c>
      <c r="M37" s="73">
        <v>19796</v>
      </c>
      <c r="N37" s="73">
        <v>19796</v>
      </c>
      <c r="O37" s="78">
        <v>28</v>
      </c>
      <c r="P37" s="78">
        <v>81</v>
      </c>
      <c r="Q37" s="79">
        <v>22.414999999999999</v>
      </c>
      <c r="R37" s="79"/>
      <c r="S37" s="78">
        <v>284</v>
      </c>
      <c r="T37" s="80">
        <v>13.5</v>
      </c>
      <c r="U37" s="80" t="s">
        <v>121</v>
      </c>
      <c r="V37" s="81" t="s">
        <v>528</v>
      </c>
      <c r="W37" s="82">
        <v>1.52</v>
      </c>
      <c r="X37" s="82" t="s">
        <v>501</v>
      </c>
      <c r="Y37" s="82" t="s">
        <v>529</v>
      </c>
      <c r="Z37" s="82"/>
      <c r="AA37" s="82"/>
      <c r="AB37" s="82"/>
      <c r="AC37" s="83" t="s">
        <v>110</v>
      </c>
      <c r="AD37" s="40" t="str">
        <f>VLOOKUP(t_Parts[[#This Row],[Press]],t_Presses[],Press!B$1,FALSE)</f>
        <v>Plainfield</v>
      </c>
      <c r="AE37" s="40" t="str">
        <f>VLOOKUP(t_Parts[[#This Row],[Press]],t_Presses[],Press!E$1,FALSE)</f>
        <v>300-599</v>
      </c>
      <c r="AF37" s="47">
        <f>VLOOKUP(t_Parts[[#This Row],[Plant]],t_Plants[],Plants!C$1,FALSE)</f>
        <v>0.55000000000000004</v>
      </c>
      <c r="AG37" s="47">
        <f>VLOOKUP(t_Parts[[#This Row],[Press]],t_Presses[],Press!F$1,FALSE)</f>
        <v>0</v>
      </c>
      <c r="AH37" s="84"/>
      <c r="AI37" s="47">
        <f>IF(ISBLANK(t_Parts[[#This Row],[PartOEE]])=FALSE,t_Parts[[#This Row],[PartOEE]], IF(t_Parts[[#This Row],[PressOEE]]&gt;0, t_Parts[[#This Row],[PressOEE]], t_Parts[[#This Row],[PlantOEE]] ))</f>
        <v>0.55000000000000004</v>
      </c>
      <c r="AJ37" s="70">
        <f>t_Parts[[#This Row],[SetupsPerMo]]*t_Parts[[#This Row],[SetupHrs]]</f>
        <v>2</v>
      </c>
      <c r="AK37" s="39">
        <f>(t_Parts[[#This Row],[PartsPerStroke]]*t_Parts[[#This Row],[StrokesPerHr]])*t_Parts[[#This Row],[UseOEE]]</f>
        <v>1155</v>
      </c>
      <c r="AL3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1522.7692307692309</v>
      </c>
      <c r="AM3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1522.7692307692309</v>
      </c>
      <c r="AN3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1903.4615384615386</v>
      </c>
      <c r="AO3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1522.7692307692309</v>
      </c>
      <c r="AP3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1522.7692307692309</v>
      </c>
      <c r="AQ3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1903.4615384615386</v>
      </c>
      <c r="AR3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1522.7692307692309</v>
      </c>
      <c r="AS3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1522.7692307692309</v>
      </c>
      <c r="AT3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1903.4615384615386</v>
      </c>
      <c r="AU3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1522.7692307692309</v>
      </c>
      <c r="AV3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1522.7692307692309</v>
      </c>
      <c r="AW3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1903.4615384615386</v>
      </c>
      <c r="AX37" s="39">
        <f>SUM(t_Parts[[#This Row],[pv2015.01]:[pv2015.12]])</f>
        <v>19796</v>
      </c>
      <c r="AY3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1522.7692307692309</v>
      </c>
      <c r="AZ3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1522.7692307692309</v>
      </c>
      <c r="BA3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1903.4615384615386</v>
      </c>
      <c r="BB3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1522.7692307692309</v>
      </c>
      <c r="BC3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1522.7692307692309</v>
      </c>
      <c r="BD3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1903.4615384615386</v>
      </c>
      <c r="BE3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1522.7692307692309</v>
      </c>
      <c r="BF3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1522.7692307692309</v>
      </c>
      <c r="BG3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1903.4615384615386</v>
      </c>
      <c r="BH3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1522.7692307692309</v>
      </c>
      <c r="BI3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1522.7692307692309</v>
      </c>
      <c r="BJ3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1903.4615384615386</v>
      </c>
      <c r="BK37" s="39">
        <f>SUM(t_Parts[[#This Row],[pv2016.01]:[pv2016.12]])</f>
        <v>19796</v>
      </c>
      <c r="BL37" s="39">
        <f>t_Parts[[#This Row],[2017vol]]</f>
        <v>19796</v>
      </c>
      <c r="BM37" s="39">
        <f>t_Parts[[#This Row],[2018vol]]</f>
        <v>19796</v>
      </c>
      <c r="BN37" s="39">
        <f>t_Parts[[#This Row],[2019vol]]</f>
        <v>19796</v>
      </c>
      <c r="BO37" s="40">
        <f>VLOOKUP(t_Parts[[Plant]:[Plant]],t_Plants[],Plants!CN$1,FALSE)</f>
        <v>280</v>
      </c>
      <c r="BP37" s="14">
        <f>VLOOKUP(t_Parts[[Plant]:[Plant]],t_Plants[],Plants!CO$1,FALSE)</f>
        <v>280</v>
      </c>
      <c r="BQ37" s="14">
        <f>VLOOKUP(t_Parts[[Plant]:[Plant]],t_Plants[],Plants!CP$1,FALSE)</f>
        <v>350</v>
      </c>
      <c r="BR37" s="14">
        <f>VLOOKUP(t_Parts[[Plant]:[Plant]],t_Plants[],Plants!CQ$1,FALSE)</f>
        <v>280</v>
      </c>
      <c r="BS37" s="14">
        <f>VLOOKUP(t_Parts[[Plant]:[Plant]],t_Plants[],Plants!CR$1,FALSE)</f>
        <v>280</v>
      </c>
      <c r="BT37" s="14">
        <f>VLOOKUP(t_Parts[[Plant]:[Plant]],t_Plants[],Plants!CS$1,FALSE)</f>
        <v>350</v>
      </c>
      <c r="BU37" s="14">
        <f>VLOOKUP(t_Parts[[Plant]:[Plant]],t_Plants[],Plants!CT$1,FALSE)</f>
        <v>280</v>
      </c>
      <c r="BV37" s="14">
        <f>VLOOKUP(t_Parts[[Plant]:[Plant]],t_Plants[],Plants!CU$1,FALSE)</f>
        <v>280</v>
      </c>
      <c r="BW37" s="14">
        <f>VLOOKUP(t_Parts[[Plant]:[Plant]],t_Plants[],Plants!CV$1,FALSE)</f>
        <v>350</v>
      </c>
      <c r="BX37" s="14">
        <f>VLOOKUP(t_Parts[[Plant]:[Plant]],t_Plants[],Plants!CW$1,FALSE)</f>
        <v>280</v>
      </c>
      <c r="BY37" s="14">
        <f>VLOOKUP(t_Parts[[Plant]:[Plant]],t_Plants[],Plants!CX$1,FALSE)</f>
        <v>280</v>
      </c>
      <c r="BZ37" s="14">
        <f>VLOOKUP(t_Parts[[Plant]:[Plant]],t_Plants[],Plants!CY$1,FALSE)</f>
        <v>350</v>
      </c>
      <c r="CA37" s="40">
        <f>SUM(t_Parts[[#This Row],[ha2015.01]:[ha2015.12]])</f>
        <v>3640</v>
      </c>
      <c r="CB37" s="14">
        <f>VLOOKUP(t_Parts[[Plant]:[Plant]],t_Plants[],Plants!DA$1,FALSE)</f>
        <v>280</v>
      </c>
      <c r="CC37" s="14">
        <f>VLOOKUP(t_Parts[[Plant]:[Plant]],t_Plants[],Plants!DB$1,FALSE)</f>
        <v>280</v>
      </c>
      <c r="CD37" s="14">
        <f>VLOOKUP(t_Parts[[Plant]:[Plant]],t_Plants[],Plants!DC$1,FALSE)</f>
        <v>350</v>
      </c>
      <c r="CE37" s="14">
        <f>VLOOKUP(t_Parts[[Plant]:[Plant]],t_Plants[],Plants!DD$1,FALSE)</f>
        <v>280</v>
      </c>
      <c r="CF37" s="14">
        <f>VLOOKUP(t_Parts[[Plant]:[Plant]],t_Plants[],Plants!DE$1,FALSE)</f>
        <v>280</v>
      </c>
      <c r="CG37" s="14">
        <f>VLOOKUP(t_Parts[[Plant]:[Plant]],t_Plants[],Plants!DF$1,FALSE)</f>
        <v>350</v>
      </c>
      <c r="CH37" s="14">
        <f>VLOOKUP(t_Parts[[Plant]:[Plant]],t_Plants[],Plants!DG$1,FALSE)</f>
        <v>280</v>
      </c>
      <c r="CI37" s="14">
        <f>VLOOKUP(t_Parts[[Plant]:[Plant]],t_Plants[],Plants!DH$1,FALSE)</f>
        <v>280</v>
      </c>
      <c r="CJ37" s="14">
        <f>VLOOKUP(t_Parts[[Plant]:[Plant]],t_Plants[],Plants!DI$1,FALSE)</f>
        <v>350</v>
      </c>
      <c r="CK37" s="14">
        <f>VLOOKUP(t_Parts[[Plant]:[Plant]],t_Plants[],Plants!DJ$1,FALSE)</f>
        <v>280</v>
      </c>
      <c r="CL37" s="14">
        <f>VLOOKUP(t_Parts[[Plant]:[Plant]],t_Plants[],Plants!DK$1,FALSE)</f>
        <v>280</v>
      </c>
      <c r="CM37" s="14">
        <f>VLOOKUP(t_Parts[[Plant]:[Plant]],t_Plants[],Plants!DL$1,FALSE)</f>
        <v>350</v>
      </c>
      <c r="CN37" s="14">
        <f>VLOOKUP(t_Parts[[Plant]:[Plant]],t_Plants[],Plants!DM$1,FALSE)</f>
        <v>3640</v>
      </c>
      <c r="CO37" s="14">
        <f>VLOOKUP(t_Parts[[Plant]:[Plant]],t_Plants[],Plants!DN$1,FALSE)</f>
        <v>3640</v>
      </c>
      <c r="CP37" s="14">
        <f>VLOOKUP(t_Parts[[Plant]:[Plant]],t_Plants[],Plants!DO$1,FALSE)</f>
        <v>3640</v>
      </c>
      <c r="CQ37" s="14">
        <f>VLOOKUP(t_Parts[[Plant]:[Plant]],t_Plants[],Plants!DP$1,FALSE)</f>
        <v>3640</v>
      </c>
      <c r="CR37" s="39">
        <f>IF(AND(AL$3&gt;=VALUE(t_Parts[[SOP]:[SOP]]),AL$3&lt;=VALUE(t_Parts[[EOP]:[EOP]])), t_Parts[[SetupHrsPerMo]:[SetupHrsPerMo]]+(t_Parts[[#This Row],[pv2015.01]]/t_Parts[[NetPPH]:[NetPPH]]),0)</f>
        <v>3.3184149184149185</v>
      </c>
      <c r="CS37" s="39">
        <f>IF(AND(AM$3&gt;=VALUE(t_Parts[[SOP]:[SOP]]),AM$3&lt;=VALUE(t_Parts[[EOP]:[EOP]])), t_Parts[[SetupHrsPerMo]:[SetupHrsPerMo]]+(t_Parts[[#This Row],[pv2015.02]]/t_Parts[[NetPPH]:[NetPPH]]),0)</f>
        <v>3.3184149184149185</v>
      </c>
      <c r="CT37" s="39">
        <f>IF(AND(AN$3&gt;=VALUE(t_Parts[[SOP]:[SOP]]),AN$3&lt;=VALUE(t_Parts[[EOP]:[EOP]])), t_Parts[[SetupHrsPerMo]:[SetupHrsPerMo]]+(t_Parts[[#This Row],[pv2015.03]]/t_Parts[[NetPPH]:[NetPPH]]),0)</f>
        <v>3.6480186480186481</v>
      </c>
      <c r="CU37" s="39">
        <f>IF(AND(AO$3&gt;=VALUE(t_Parts[[SOP]:[SOP]]),AO$3&lt;=VALUE(t_Parts[[EOP]:[EOP]])), t_Parts[[SetupHrsPerMo]:[SetupHrsPerMo]]+(t_Parts[[#This Row],[pv2015.04]]/t_Parts[[NetPPH]:[NetPPH]]),0)</f>
        <v>3.3184149184149185</v>
      </c>
      <c r="CV37" s="39">
        <f>IF(AND(AP$3&gt;=VALUE(t_Parts[[SOP]:[SOP]]),AP$3&lt;=VALUE(t_Parts[[EOP]:[EOP]])), t_Parts[[SetupHrsPerMo]:[SetupHrsPerMo]]+(t_Parts[[#This Row],[pv2015.05]]/t_Parts[[NetPPH]:[NetPPH]]),0)</f>
        <v>3.3184149184149185</v>
      </c>
      <c r="CW37" s="39">
        <f>IF(AND(AQ$3&gt;=VALUE(t_Parts[[SOP]:[SOP]]),AQ$3&lt;=VALUE(t_Parts[[EOP]:[EOP]])), t_Parts[[SetupHrsPerMo]:[SetupHrsPerMo]]+(t_Parts[[#This Row],[pv2015.06]]/t_Parts[[NetPPH]:[NetPPH]]),0)</f>
        <v>3.6480186480186481</v>
      </c>
      <c r="CX37" s="39">
        <f>IF(AND(AR$3&gt;=VALUE(t_Parts[[SOP]:[SOP]]),AR$3&lt;=VALUE(t_Parts[[EOP]:[EOP]])), t_Parts[[SetupHrsPerMo]:[SetupHrsPerMo]]+(t_Parts[[#This Row],[pv2015.07]]/t_Parts[[NetPPH]:[NetPPH]]),0)</f>
        <v>3.3184149184149185</v>
      </c>
      <c r="CY37" s="39">
        <f>IF(AND(AS$3&gt;=VALUE(t_Parts[[SOP]:[SOP]]),AS$3&lt;=VALUE(t_Parts[[EOP]:[EOP]])), t_Parts[[SetupHrsPerMo]:[SetupHrsPerMo]]+(t_Parts[[#This Row],[pv2015.08]]/t_Parts[[NetPPH]:[NetPPH]]),0)</f>
        <v>3.3184149184149185</v>
      </c>
      <c r="CZ37" s="39">
        <f>IF(AND(AT$3&gt;=VALUE(t_Parts[[SOP]:[SOP]]),AT$3&lt;=VALUE(t_Parts[[EOP]:[EOP]])), t_Parts[[SetupHrsPerMo]:[SetupHrsPerMo]]+(t_Parts[[#This Row],[pv2015.09]]/t_Parts[[NetPPH]:[NetPPH]]),0)</f>
        <v>3.6480186480186481</v>
      </c>
      <c r="DA37" s="39">
        <f>IF(AND(AU$3&gt;=VALUE(t_Parts[[SOP]:[SOP]]),AU$3&lt;=VALUE(t_Parts[[EOP]:[EOP]])), t_Parts[[SetupHrsPerMo]:[SetupHrsPerMo]]+(t_Parts[[#This Row],[pv2015.10]]/t_Parts[[NetPPH]:[NetPPH]]),0)</f>
        <v>3.3184149184149185</v>
      </c>
      <c r="DB37" s="39">
        <f>IF(AND(AV$3&gt;=VALUE(t_Parts[[SOP]:[SOP]]),AV$3&lt;=VALUE(t_Parts[[EOP]:[EOP]])), t_Parts[[SetupHrsPerMo]:[SetupHrsPerMo]]+(t_Parts[[#This Row],[pv2015.11]]/t_Parts[[NetPPH]:[NetPPH]]),0)</f>
        <v>3.3184149184149185</v>
      </c>
      <c r="DC37" s="39">
        <f>IF(AND(AW$3&gt;=VALUE(t_Parts[[SOP]:[SOP]]),AW$3&lt;=VALUE(t_Parts[[EOP]:[EOP]])), t_Parts[[SetupHrsPerMo]:[SetupHrsPerMo]]+(t_Parts[[#This Row],[pv2015.12]]/t_Parts[[NetPPH]:[NetPPH]]),0)</f>
        <v>3.6480186480186481</v>
      </c>
      <c r="DD37" s="39">
        <f>SUM(t_Parts[[#This Row],[hp2015.01]:[hp2015.12]])</f>
        <v>41.139393939393941</v>
      </c>
      <c r="DE37" s="39">
        <f>IF(AND(AY$3&gt;=VALUE(t_Parts[[SOP]:[SOP]]),AY$3&lt;=VALUE(t_Parts[[EOP]:[EOP]])), t_Parts[[SetupHrsPerMo]:[SetupHrsPerMo]]+(t_Parts[[#This Row],[pv2016.01]]/t_Parts[[NetPPH]:[NetPPH]]),0)</f>
        <v>3.3184149184149185</v>
      </c>
      <c r="DF37" s="39">
        <f>IF(AND(AZ$3&gt;=VALUE(t_Parts[[SOP]:[SOP]]),AZ$3&lt;=VALUE(t_Parts[[EOP]:[EOP]])), t_Parts[[SetupHrsPerMo]:[SetupHrsPerMo]]+(t_Parts[[#This Row],[pv2016.02]]/t_Parts[[NetPPH]:[NetPPH]]),0)</f>
        <v>3.3184149184149185</v>
      </c>
      <c r="DG37" s="39">
        <f>IF(AND(BA$3&gt;=VALUE(t_Parts[[SOP]:[SOP]]),BA$3&lt;=VALUE(t_Parts[[EOP]:[EOP]])), t_Parts[[SetupHrsPerMo]:[SetupHrsPerMo]]+(t_Parts[[#This Row],[pv2016.03]]/t_Parts[[NetPPH]:[NetPPH]]),0)</f>
        <v>3.6480186480186481</v>
      </c>
      <c r="DH37" s="39">
        <f>IF(AND(BB$3&gt;=VALUE(t_Parts[[SOP]:[SOP]]),BB$3&lt;=VALUE(t_Parts[[EOP]:[EOP]])), t_Parts[[SetupHrsPerMo]:[SetupHrsPerMo]]+(t_Parts[[#This Row],[pv2016.04]]/t_Parts[[NetPPH]:[NetPPH]]),0)</f>
        <v>3.3184149184149185</v>
      </c>
      <c r="DI37" s="39">
        <f>IF(AND(BC$3&gt;=VALUE(t_Parts[[SOP]:[SOP]]),BC$3&lt;=VALUE(t_Parts[[EOP]:[EOP]])), t_Parts[[SetupHrsPerMo]:[SetupHrsPerMo]]+(t_Parts[[#This Row],[pv2016.05]]/t_Parts[[NetPPH]:[NetPPH]]),0)</f>
        <v>3.3184149184149185</v>
      </c>
      <c r="DJ37" s="39">
        <f>IF(AND(BD$3&gt;=VALUE(t_Parts[[SOP]:[SOP]]),BD$3&lt;=VALUE(t_Parts[[EOP]:[EOP]])), t_Parts[[SetupHrsPerMo]:[SetupHrsPerMo]]+(t_Parts[[#This Row],[pv2016.06]]/t_Parts[[NetPPH]:[NetPPH]]),0)</f>
        <v>3.6480186480186481</v>
      </c>
      <c r="DK37" s="39">
        <f>IF(AND(BE$3&gt;=VALUE(t_Parts[[SOP]:[SOP]]),BE$3&lt;=VALUE(t_Parts[[EOP]:[EOP]])), t_Parts[[SetupHrsPerMo]:[SetupHrsPerMo]]+(t_Parts[[#This Row],[pv2016.07]]/t_Parts[[NetPPH]:[NetPPH]]),0)</f>
        <v>3.3184149184149185</v>
      </c>
      <c r="DL37" s="39">
        <f>IF(AND(BF$3&gt;=VALUE(t_Parts[[SOP]:[SOP]]),BF$3&lt;=VALUE(t_Parts[[EOP]:[EOP]])), t_Parts[[SetupHrsPerMo]:[SetupHrsPerMo]]+(t_Parts[[#This Row],[pv2016.08]]/t_Parts[[NetPPH]:[NetPPH]]),0)</f>
        <v>3.3184149184149185</v>
      </c>
      <c r="DM37" s="39">
        <f>IF(AND(BG$3&gt;=VALUE(t_Parts[[SOP]:[SOP]]),BG$3&lt;=VALUE(t_Parts[[EOP]:[EOP]])), t_Parts[[SetupHrsPerMo]:[SetupHrsPerMo]]+(t_Parts[[#This Row],[pv2016.09]]/t_Parts[[NetPPH]:[NetPPH]]),0)</f>
        <v>3.6480186480186481</v>
      </c>
      <c r="DN37" s="39">
        <f>IF(AND(BH$3&gt;=VALUE(t_Parts[[SOP]:[SOP]]),BH$3&lt;=VALUE(t_Parts[[EOP]:[EOP]])), t_Parts[[SetupHrsPerMo]:[SetupHrsPerMo]]+(t_Parts[[#This Row],[pv2016.10]]/t_Parts[[NetPPH]:[NetPPH]]),0)</f>
        <v>3.3184149184149185</v>
      </c>
      <c r="DO37" s="39">
        <f>IF(AND(BI$3&gt;=VALUE(t_Parts[[SOP]:[SOP]]),BI$3&lt;=VALUE(t_Parts[[EOP]:[EOP]])), t_Parts[[SetupHrsPerMo]:[SetupHrsPerMo]]+(t_Parts[[#This Row],[pv2016.11]]/t_Parts[[NetPPH]:[NetPPH]]),0)</f>
        <v>3.3184149184149185</v>
      </c>
      <c r="DP37" s="39">
        <f>IF(AND(BJ$3&gt;=VALUE(t_Parts[[SOP]:[SOP]]),BJ$3&lt;=VALUE(t_Parts[[EOP]:[EOP]])), t_Parts[[SetupHrsPerMo]:[SetupHrsPerMo]]+(t_Parts[[#This Row],[pv2016.12]]/t_Parts[[NetPPH]:[NetPPH]]),0)</f>
        <v>3.6480186480186481</v>
      </c>
      <c r="DQ37" s="39">
        <f>SUM(t_Parts[[#This Row],[hp2016.01]:[hp2016.12]])</f>
        <v>41.139393939393941</v>
      </c>
      <c r="DR37" s="39">
        <f>IF(AND(BL$3&gt;=VALUE(t_Parts[[SOP]:[SOP]]),BL$3&lt;=VALUE(t_Parts[[EOP]:[EOP]])), 12*t_Parts[[SetupHrsPerMo]:[SetupHrsPerMo]]+(t_Parts[[#This Row],[pv2017]]/t_Parts[[NetPPH]:[NetPPH]]),0)</f>
        <v>0</v>
      </c>
      <c r="DS37" s="39">
        <f>IF(AND(BM$3&gt;=VALUE(t_Parts[[SOP]:[SOP]]),BM$3&lt;=VALUE(t_Parts[[EOP]:[EOP]])), 12*t_Parts[[SetupHrsPerMo]:[SetupHrsPerMo]]+(t_Parts[[#This Row],[pv2018]]/t_Parts[[NetPPH]:[NetPPH]]),0)</f>
        <v>0</v>
      </c>
      <c r="DT37" s="39">
        <f>IF(AND(BN$3&gt;=VALUE(t_Parts[[SOP]:[SOP]]),BN$3&lt;=VALUE(t_Parts[[EOP]:[EOP]])), 12*t_Parts[[SetupHrsPerMo]:[SetupHrsPerMo]]+(t_Parts[[#This Row],[pv2019]]/t_Parts[[NetPPH]:[NetPPH]]),0)</f>
        <v>0</v>
      </c>
      <c r="DU37" s="47">
        <f>t_Parts[[#This Row],[hp2015.01]]/t_Parts[[#This Row],[ha2015.01]]</f>
        <v>1.1851481851481853E-2</v>
      </c>
      <c r="DV37" s="47">
        <f>t_Parts[[#This Row],[hp2015.02]]/t_Parts[[#This Row],[ha2015.02]]</f>
        <v>1.1851481851481853E-2</v>
      </c>
      <c r="DW37" s="47">
        <f>t_Parts[[#This Row],[hp2015.03]]/t_Parts[[#This Row],[ha2015.03]]</f>
        <v>1.0422910422910422E-2</v>
      </c>
      <c r="DX37" s="47">
        <f>t_Parts[[#This Row],[hp2015.04]]/t_Parts[[#This Row],[ha2015.04]]</f>
        <v>1.1851481851481853E-2</v>
      </c>
      <c r="DY37" s="47">
        <f>t_Parts[[#This Row],[hp2015.05]]/t_Parts[[#This Row],[ha2015.05]]</f>
        <v>1.1851481851481853E-2</v>
      </c>
      <c r="DZ37" s="47">
        <f>t_Parts[[#This Row],[hp2015.06]]/t_Parts[[#This Row],[ha2015.06]]</f>
        <v>1.0422910422910422E-2</v>
      </c>
      <c r="EA37" s="47">
        <f>t_Parts[[#This Row],[hp2015.07]]/t_Parts[[#This Row],[ha2015.07]]</f>
        <v>1.1851481851481853E-2</v>
      </c>
      <c r="EB37" s="47">
        <f>t_Parts[[#This Row],[hp2015.08]]/t_Parts[[#This Row],[ha2015.08]]</f>
        <v>1.1851481851481853E-2</v>
      </c>
      <c r="EC37" s="47">
        <f>t_Parts[[#This Row],[hp2015.09]]/t_Parts[[#This Row],[ha2015.09]]</f>
        <v>1.0422910422910422E-2</v>
      </c>
      <c r="ED37" s="47">
        <f>t_Parts[[#This Row],[hp2015.10]]/t_Parts[[#This Row],[ha2015.10]]</f>
        <v>1.1851481851481853E-2</v>
      </c>
      <c r="EE37" s="47">
        <f>t_Parts[[#This Row],[hp2015.11]]/t_Parts[[#This Row],[ha2015.11]]</f>
        <v>1.1851481851481853E-2</v>
      </c>
      <c r="EF37" s="47">
        <f>t_Parts[[#This Row],[hp2015.12]]/t_Parts[[#This Row],[ha2015.12]]</f>
        <v>1.0422910422910422E-2</v>
      </c>
      <c r="EG37" s="47">
        <f>t_Parts[[#This Row],[hp2015.FY]]/t_Parts[[#This Row],[ha2015.FY]]</f>
        <v>1.1302031302031302E-2</v>
      </c>
      <c r="EH37" s="47">
        <f>t_Parts[[#This Row],[hp2016.01]]/t_Parts[[#This Row],[ha2016.01]]</f>
        <v>1.1851481851481853E-2</v>
      </c>
      <c r="EI37" s="47">
        <f>t_Parts[[#This Row],[hp2016.02]]/t_Parts[[#This Row],[ha2016.02]]</f>
        <v>1.1851481851481853E-2</v>
      </c>
      <c r="EJ37" s="47">
        <f>t_Parts[[#This Row],[hp2016.03]]/t_Parts[[#This Row],[ha2016.03]]</f>
        <v>1.0422910422910422E-2</v>
      </c>
      <c r="EK37" s="47">
        <f>t_Parts[[#This Row],[hp2016.04]]/t_Parts[[#This Row],[ha2016.04]]</f>
        <v>1.1851481851481853E-2</v>
      </c>
      <c r="EL37" s="47">
        <f>t_Parts[[#This Row],[hp2016.05]]/t_Parts[[#This Row],[ha2016.05]]</f>
        <v>1.1851481851481853E-2</v>
      </c>
      <c r="EM37" s="47">
        <f>t_Parts[[#This Row],[hp2016.06]]/t_Parts[[#This Row],[ha2016.06]]</f>
        <v>1.0422910422910422E-2</v>
      </c>
      <c r="EN37" s="47">
        <f>t_Parts[[#This Row],[hp2016.07]]/t_Parts[[#This Row],[ha2016.07]]</f>
        <v>1.1851481851481853E-2</v>
      </c>
      <c r="EO37" s="47">
        <f>t_Parts[[#This Row],[hp2016.08]]/t_Parts[[#This Row],[ha2016.08]]</f>
        <v>1.1851481851481853E-2</v>
      </c>
      <c r="EP37" s="47">
        <f>t_Parts[[#This Row],[hp2016.09]]/t_Parts[[#This Row],[ha2016.09]]</f>
        <v>1.0422910422910422E-2</v>
      </c>
      <c r="EQ37" s="47">
        <f>t_Parts[[#This Row],[hp2016.10]]/t_Parts[[#This Row],[ha2016.10]]</f>
        <v>1.1851481851481853E-2</v>
      </c>
      <c r="ER37" s="47">
        <f>t_Parts[[#This Row],[hp2016.11]]/t_Parts[[#This Row],[ha2016.11]]</f>
        <v>1.1851481851481853E-2</v>
      </c>
      <c r="ES37" s="47">
        <f>t_Parts[[#This Row],[hp2016.12]]/t_Parts[[#This Row],[ha2016.12]]</f>
        <v>1.0422910422910422E-2</v>
      </c>
      <c r="ET37" s="47">
        <f>t_Parts[[#This Row],[hp2016.FY]]/t_Parts[[#This Row],[ha2016.FY]]</f>
        <v>1.1302031302031302E-2</v>
      </c>
      <c r="EU37" s="47">
        <f>t_Parts[[#This Row],[hp2017]]/t_Parts[[#This Row],[ha2017]]</f>
        <v>0</v>
      </c>
      <c r="EV37" s="47">
        <f>t_Parts[[#This Row],[hp2018]]/t_Parts[[#This Row],[ha2018]]</f>
        <v>0</v>
      </c>
      <c r="EW37" s="47">
        <f>t_Parts[[#This Row],[hp2019]]/t_Parts[[#This Row],[hp2015.01]]</f>
        <v>0</v>
      </c>
      <c r="EX37" s="58">
        <f>(t_Parts[[#This Row],[ha2015.01]]-t_Parts[[#This Row],[hp2015.01]])*t_Parts[[NetPPH]:[NetPPH]]</f>
        <v>319567.23076923075</v>
      </c>
      <c r="EY37" s="58">
        <f>(t_Parts[[#This Row],[ha2015.02]]-t_Parts[[#This Row],[hp2015.02]])*t_Parts[[NetPPH]:[NetPPH]]</f>
        <v>319567.23076923075</v>
      </c>
      <c r="EZ37" s="58">
        <f>(t_Parts[[#This Row],[ha2015.03]]-t_Parts[[#This Row],[hp2015.03]])*t_Parts[[NetPPH]:[NetPPH]]</f>
        <v>400036.53846153844</v>
      </c>
      <c r="FA37" s="58">
        <f>(t_Parts[[#This Row],[ha2015.04]]-t_Parts[[#This Row],[hp2015.04]])*t_Parts[[NetPPH]:[NetPPH]]</f>
        <v>319567.23076923075</v>
      </c>
      <c r="FB37" s="58">
        <f>(t_Parts[[#This Row],[ha2015.05]]-t_Parts[[#This Row],[hp2015.05]])*t_Parts[[NetPPH]:[NetPPH]]</f>
        <v>319567.23076923075</v>
      </c>
      <c r="FC37" s="58">
        <f>(t_Parts[[#This Row],[ha2015.06]]-t_Parts[[#This Row],[hp2015.06]])*t_Parts[[NetPPH]:[NetPPH]]</f>
        <v>400036.53846153844</v>
      </c>
      <c r="FD37" s="58">
        <f>(t_Parts[[#This Row],[ha2015.07]]-t_Parts[[#This Row],[hp2015.07]])*t_Parts[[NetPPH]:[NetPPH]]</f>
        <v>319567.23076923075</v>
      </c>
      <c r="FE37" s="58">
        <f>(t_Parts[[#This Row],[ha2015.08]]-t_Parts[[#This Row],[hp2015.08]])*t_Parts[[NetPPH]:[NetPPH]]</f>
        <v>319567.23076923075</v>
      </c>
      <c r="FF37" s="58">
        <f>(t_Parts[[#This Row],[ha2015.09]]-t_Parts[[#This Row],[hp2015.09]])*t_Parts[[NetPPH]:[NetPPH]]</f>
        <v>400036.53846153844</v>
      </c>
      <c r="FG37" s="58">
        <f>(t_Parts[[#This Row],[ha2015.10]]-t_Parts[[#This Row],[hp2015.10]])*t_Parts[[NetPPH]:[NetPPH]]</f>
        <v>319567.23076923075</v>
      </c>
      <c r="FH37" s="58">
        <f>(t_Parts[[#This Row],[ha2015.11]]-t_Parts[[#This Row],[hp2015.11]])*t_Parts[[NetPPH]:[NetPPH]]</f>
        <v>319567.23076923075</v>
      </c>
      <c r="FI37" s="58">
        <f>(t_Parts[[#This Row],[ha2015.12]]-t_Parts[[#This Row],[hp2015.12]])*t_Parts[[NetPPH]:[NetPPH]]</f>
        <v>400036.53846153844</v>
      </c>
      <c r="FJ37" s="58">
        <f>(t_Parts[[#This Row],[ha2015.FY]]-t_Parts[[#This Row],[hp2015.FY]])*t_Parts[[NetPPH]:[NetPPH]]</f>
        <v>4156684</v>
      </c>
      <c r="FK37" s="58">
        <f>(t_Parts[[#This Row],[ha2016.01]]-t_Parts[[#This Row],[hp2016.01]])*t_Parts[[NetPPH]:[NetPPH]]</f>
        <v>319567.23076923075</v>
      </c>
      <c r="FL37" s="58">
        <f>(t_Parts[[#This Row],[ha2016.02]]-t_Parts[[#This Row],[hp2016.02]])*t_Parts[[NetPPH]:[NetPPH]]</f>
        <v>319567.23076923075</v>
      </c>
      <c r="FM37" s="58">
        <f>(t_Parts[[#This Row],[ha2016.03]]-t_Parts[[#This Row],[hp2016.03]])*t_Parts[[NetPPH]:[NetPPH]]</f>
        <v>400036.53846153844</v>
      </c>
      <c r="FN37" s="58">
        <f>(t_Parts[[#This Row],[ha2016.04]]-t_Parts[[#This Row],[hp2016.04]])*t_Parts[[NetPPH]:[NetPPH]]</f>
        <v>319567.23076923075</v>
      </c>
      <c r="FO37" s="58">
        <f>(t_Parts[[#This Row],[ha2016.05]]-t_Parts[[#This Row],[hp2016.05]])*t_Parts[[NetPPH]:[NetPPH]]</f>
        <v>319567.23076923075</v>
      </c>
      <c r="FP37" s="58">
        <f>(t_Parts[[#This Row],[ha2016.06]]-t_Parts[[#This Row],[hp2016.06]])*t_Parts[[NetPPH]:[NetPPH]]</f>
        <v>400036.53846153844</v>
      </c>
      <c r="FQ37" s="58">
        <f>(t_Parts[[#This Row],[ha2016.07]]-t_Parts[[#This Row],[hp2016.07]])*t_Parts[[NetPPH]:[NetPPH]]</f>
        <v>319567.23076923075</v>
      </c>
      <c r="FR37" s="58">
        <f>(t_Parts[[#This Row],[ha2016.08]]-t_Parts[[#This Row],[hp2016.08]])*t_Parts[[NetPPH]:[NetPPH]]</f>
        <v>319567.23076923075</v>
      </c>
      <c r="FS37" s="58">
        <f>(t_Parts[[#This Row],[ha2016.09]]-t_Parts[[#This Row],[hp2016.09]])*t_Parts[[NetPPH]:[NetPPH]]</f>
        <v>400036.53846153844</v>
      </c>
      <c r="FT37" s="58">
        <f>(t_Parts[[#This Row],[ha2016.10]]-t_Parts[[#This Row],[hp2016.10]])*t_Parts[[NetPPH]:[NetPPH]]</f>
        <v>319567.23076923075</v>
      </c>
      <c r="FU37" s="58">
        <f>(t_Parts[[#This Row],[ha2016.11]]-t_Parts[[#This Row],[hp2016.11]])*t_Parts[[NetPPH]:[NetPPH]]</f>
        <v>319567.23076923075</v>
      </c>
      <c r="FV37" s="58">
        <f>(t_Parts[[#This Row],[ha2016.12]]-t_Parts[[#This Row],[hp2016.12]])*t_Parts[[NetPPH]:[NetPPH]]</f>
        <v>400036.53846153844</v>
      </c>
      <c r="FW37" s="58">
        <f>(t_Parts[[#This Row],[ha2016.FY]]-t_Parts[[#This Row],[hp2016.FY]])*t_Parts[[NetPPH]:[NetPPH]]</f>
        <v>4156684</v>
      </c>
      <c r="FX37" s="58">
        <f>(t_Parts[[#This Row],[ha2017]]-t_Parts[[#This Row],[hp2017]])*t_Parts[[NetPPH]:[NetPPH]]</f>
        <v>4204200</v>
      </c>
      <c r="FY37" s="58">
        <f>(t_Parts[[#This Row],[ha2018]]-t_Parts[[#This Row],[hp2018]])*t_Parts[[NetPPH]:[NetPPH]]</f>
        <v>4204200</v>
      </c>
      <c r="FZ37" s="58">
        <f>(t_Parts[[#This Row],[ha2019]]-t_Parts[[#This Row],[hp2019]])*t_Parts[[NetPPH]:[NetPPH]]</f>
        <v>4204200</v>
      </c>
    </row>
    <row r="38" spans="1:182" s="14" customFormat="1" x14ac:dyDescent="0.25">
      <c r="A38" s="74" t="s">
        <v>557</v>
      </c>
      <c r="B38" s="74"/>
      <c r="C38" s="74">
        <v>21002</v>
      </c>
      <c r="D38" s="75">
        <v>1</v>
      </c>
      <c r="E38" s="73">
        <v>1800</v>
      </c>
      <c r="F38" s="76">
        <v>1</v>
      </c>
      <c r="G38" s="77">
        <v>2</v>
      </c>
      <c r="H38" s="16">
        <v>2015.01</v>
      </c>
      <c r="I38" s="16" t="s">
        <v>332</v>
      </c>
      <c r="J38" s="73">
        <v>37868</v>
      </c>
      <c r="K38" s="73">
        <v>37868</v>
      </c>
      <c r="L38" s="73">
        <v>37868</v>
      </c>
      <c r="M38" s="73">
        <v>37868</v>
      </c>
      <c r="N38" s="73">
        <v>37868</v>
      </c>
      <c r="O38" s="78">
        <v>38</v>
      </c>
      <c r="P38" s="78">
        <v>79</v>
      </c>
      <c r="Q38" s="79">
        <v>22.42</v>
      </c>
      <c r="R38" s="79"/>
      <c r="S38" s="78">
        <v>548</v>
      </c>
      <c r="T38" s="80">
        <v>13</v>
      </c>
      <c r="U38" s="80" t="s">
        <v>121</v>
      </c>
      <c r="V38" s="81" t="s">
        <v>558</v>
      </c>
      <c r="W38" s="82">
        <v>2.34</v>
      </c>
      <c r="X38" s="82" t="s">
        <v>501</v>
      </c>
      <c r="Y38" s="82" t="s">
        <v>524</v>
      </c>
      <c r="Z38" s="82"/>
      <c r="AA38" s="82"/>
      <c r="AB38" s="82"/>
      <c r="AC38" s="83" t="s">
        <v>110</v>
      </c>
      <c r="AD38" s="40" t="str">
        <f>VLOOKUP(t_Parts[[#This Row],[Press]],t_Presses[],Press!B$1,FALSE)</f>
        <v>Plainfield</v>
      </c>
      <c r="AE38" s="40" t="str">
        <f>VLOOKUP(t_Parts[[#This Row],[Press]],t_Presses[],Press!E$1,FALSE)</f>
        <v>600-899</v>
      </c>
      <c r="AF38" s="47">
        <f>VLOOKUP(t_Parts[[#This Row],[Plant]],t_Plants[],Plants!C$1,FALSE)</f>
        <v>0.55000000000000004</v>
      </c>
      <c r="AG38" s="47">
        <f>VLOOKUP(t_Parts[[#This Row],[Press]],t_Presses[],Press!F$1,FALSE)</f>
        <v>0</v>
      </c>
      <c r="AH38" s="84"/>
      <c r="AI38" s="47">
        <f>IF(ISBLANK(t_Parts[[#This Row],[PartOEE]])=FALSE,t_Parts[[#This Row],[PartOEE]], IF(t_Parts[[#This Row],[PressOEE]]&gt;0, t_Parts[[#This Row],[PressOEE]], t_Parts[[#This Row],[PlantOEE]] ))</f>
        <v>0.55000000000000004</v>
      </c>
      <c r="AJ38" s="70">
        <f>t_Parts[[#This Row],[SetupsPerMo]]*t_Parts[[#This Row],[SetupHrs]]</f>
        <v>2</v>
      </c>
      <c r="AK38" s="39">
        <f>(t_Parts[[#This Row],[PartsPerStroke]]*t_Parts[[#This Row],[StrokesPerHr]])*t_Parts[[#This Row],[UseOEE]]</f>
        <v>990.00000000000011</v>
      </c>
      <c r="AL3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2912.9230769230771</v>
      </c>
      <c r="AM3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2912.9230769230771</v>
      </c>
      <c r="AN3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3641.1538461538462</v>
      </c>
      <c r="AO3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2912.9230769230771</v>
      </c>
      <c r="AP3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2912.9230769230771</v>
      </c>
      <c r="AQ3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3641.1538461538462</v>
      </c>
      <c r="AR3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2912.9230769230771</v>
      </c>
      <c r="AS3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2912.9230769230771</v>
      </c>
      <c r="AT3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3641.1538461538462</v>
      </c>
      <c r="AU3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2912.9230769230771</v>
      </c>
      <c r="AV3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2912.9230769230771</v>
      </c>
      <c r="AW3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3641.1538461538462</v>
      </c>
      <c r="AX38" s="39">
        <f>SUM(t_Parts[[#This Row],[pv2015.01]:[pv2015.12]])</f>
        <v>37868.000000000007</v>
      </c>
      <c r="AY3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2912.9230769230771</v>
      </c>
      <c r="AZ3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2912.9230769230771</v>
      </c>
      <c r="BA3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3641.1538461538462</v>
      </c>
      <c r="BB3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2912.9230769230771</v>
      </c>
      <c r="BC3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2912.9230769230771</v>
      </c>
      <c r="BD3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3641.1538461538462</v>
      </c>
      <c r="BE3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2912.9230769230771</v>
      </c>
      <c r="BF3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2912.9230769230771</v>
      </c>
      <c r="BG3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3641.1538461538462</v>
      </c>
      <c r="BH3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2912.9230769230771</v>
      </c>
      <c r="BI3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2912.9230769230771</v>
      </c>
      <c r="BJ3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3641.1538461538462</v>
      </c>
      <c r="BK38" s="39">
        <f>SUM(t_Parts[[#This Row],[pv2016.01]:[pv2016.12]])</f>
        <v>37868.000000000007</v>
      </c>
      <c r="BL38" s="39">
        <f>t_Parts[[#This Row],[2017vol]]</f>
        <v>37868</v>
      </c>
      <c r="BM38" s="39">
        <f>t_Parts[[#This Row],[2018vol]]</f>
        <v>37868</v>
      </c>
      <c r="BN38" s="39">
        <f>t_Parts[[#This Row],[2019vol]]</f>
        <v>37868</v>
      </c>
      <c r="BO38" s="40">
        <f>VLOOKUP(t_Parts[[Plant]:[Plant]],t_Plants[],Plants!CN$1,FALSE)</f>
        <v>280</v>
      </c>
      <c r="BP38" s="14">
        <f>VLOOKUP(t_Parts[[Plant]:[Plant]],t_Plants[],Plants!CO$1,FALSE)</f>
        <v>280</v>
      </c>
      <c r="BQ38" s="14">
        <f>VLOOKUP(t_Parts[[Plant]:[Plant]],t_Plants[],Plants!CP$1,FALSE)</f>
        <v>350</v>
      </c>
      <c r="BR38" s="14">
        <f>VLOOKUP(t_Parts[[Plant]:[Plant]],t_Plants[],Plants!CQ$1,FALSE)</f>
        <v>280</v>
      </c>
      <c r="BS38" s="14">
        <f>VLOOKUP(t_Parts[[Plant]:[Plant]],t_Plants[],Plants!CR$1,FALSE)</f>
        <v>280</v>
      </c>
      <c r="BT38" s="14">
        <f>VLOOKUP(t_Parts[[Plant]:[Plant]],t_Plants[],Plants!CS$1,FALSE)</f>
        <v>350</v>
      </c>
      <c r="BU38" s="14">
        <f>VLOOKUP(t_Parts[[Plant]:[Plant]],t_Plants[],Plants!CT$1,FALSE)</f>
        <v>280</v>
      </c>
      <c r="BV38" s="14">
        <f>VLOOKUP(t_Parts[[Plant]:[Plant]],t_Plants[],Plants!CU$1,FALSE)</f>
        <v>280</v>
      </c>
      <c r="BW38" s="14">
        <f>VLOOKUP(t_Parts[[Plant]:[Plant]],t_Plants[],Plants!CV$1,FALSE)</f>
        <v>350</v>
      </c>
      <c r="BX38" s="14">
        <f>VLOOKUP(t_Parts[[Plant]:[Plant]],t_Plants[],Plants!CW$1,FALSE)</f>
        <v>280</v>
      </c>
      <c r="BY38" s="14">
        <f>VLOOKUP(t_Parts[[Plant]:[Plant]],t_Plants[],Plants!CX$1,FALSE)</f>
        <v>280</v>
      </c>
      <c r="BZ38" s="14">
        <f>VLOOKUP(t_Parts[[Plant]:[Plant]],t_Plants[],Plants!CY$1,FALSE)</f>
        <v>350</v>
      </c>
      <c r="CA38" s="40">
        <f>SUM(t_Parts[[#This Row],[ha2015.01]:[ha2015.12]])</f>
        <v>3640</v>
      </c>
      <c r="CB38" s="14">
        <f>VLOOKUP(t_Parts[[Plant]:[Plant]],t_Plants[],Plants!DA$1,FALSE)</f>
        <v>280</v>
      </c>
      <c r="CC38" s="14">
        <f>VLOOKUP(t_Parts[[Plant]:[Plant]],t_Plants[],Plants!DB$1,FALSE)</f>
        <v>280</v>
      </c>
      <c r="CD38" s="14">
        <f>VLOOKUP(t_Parts[[Plant]:[Plant]],t_Plants[],Plants!DC$1,FALSE)</f>
        <v>350</v>
      </c>
      <c r="CE38" s="14">
        <f>VLOOKUP(t_Parts[[Plant]:[Plant]],t_Plants[],Plants!DD$1,FALSE)</f>
        <v>280</v>
      </c>
      <c r="CF38" s="14">
        <f>VLOOKUP(t_Parts[[Plant]:[Plant]],t_Plants[],Plants!DE$1,FALSE)</f>
        <v>280</v>
      </c>
      <c r="CG38" s="14">
        <f>VLOOKUP(t_Parts[[Plant]:[Plant]],t_Plants[],Plants!DF$1,FALSE)</f>
        <v>350</v>
      </c>
      <c r="CH38" s="14">
        <f>VLOOKUP(t_Parts[[Plant]:[Plant]],t_Plants[],Plants!DG$1,FALSE)</f>
        <v>280</v>
      </c>
      <c r="CI38" s="14">
        <f>VLOOKUP(t_Parts[[Plant]:[Plant]],t_Plants[],Plants!DH$1,FALSE)</f>
        <v>280</v>
      </c>
      <c r="CJ38" s="14">
        <f>VLOOKUP(t_Parts[[Plant]:[Plant]],t_Plants[],Plants!DI$1,FALSE)</f>
        <v>350</v>
      </c>
      <c r="CK38" s="14">
        <f>VLOOKUP(t_Parts[[Plant]:[Plant]],t_Plants[],Plants!DJ$1,FALSE)</f>
        <v>280</v>
      </c>
      <c r="CL38" s="14">
        <f>VLOOKUP(t_Parts[[Plant]:[Plant]],t_Plants[],Plants!DK$1,FALSE)</f>
        <v>280</v>
      </c>
      <c r="CM38" s="14">
        <f>VLOOKUP(t_Parts[[Plant]:[Plant]],t_Plants[],Plants!DL$1,FALSE)</f>
        <v>350</v>
      </c>
      <c r="CN38" s="14">
        <f>VLOOKUP(t_Parts[[Plant]:[Plant]],t_Plants[],Plants!DM$1,FALSE)</f>
        <v>3640</v>
      </c>
      <c r="CO38" s="14">
        <f>VLOOKUP(t_Parts[[Plant]:[Plant]],t_Plants[],Plants!DN$1,FALSE)</f>
        <v>3640</v>
      </c>
      <c r="CP38" s="14">
        <f>VLOOKUP(t_Parts[[Plant]:[Plant]],t_Plants[],Plants!DO$1,FALSE)</f>
        <v>3640</v>
      </c>
      <c r="CQ38" s="14">
        <f>VLOOKUP(t_Parts[[Plant]:[Plant]],t_Plants[],Plants!DP$1,FALSE)</f>
        <v>3640</v>
      </c>
      <c r="CR38" s="39">
        <f>IF(AND(AL$3&gt;=VALUE(t_Parts[[SOP]:[SOP]]),AL$3&lt;=VALUE(t_Parts[[EOP]:[EOP]])), t_Parts[[SetupHrsPerMo]:[SetupHrsPerMo]]+(t_Parts[[#This Row],[pv2015.01]]/t_Parts[[NetPPH]:[NetPPH]]),0)</f>
        <v>4.9423465423465416</v>
      </c>
      <c r="CS38" s="39">
        <f>IF(AND(AM$3&gt;=VALUE(t_Parts[[SOP]:[SOP]]),AM$3&lt;=VALUE(t_Parts[[EOP]:[EOP]])), t_Parts[[SetupHrsPerMo]:[SetupHrsPerMo]]+(t_Parts[[#This Row],[pv2015.02]]/t_Parts[[NetPPH]:[NetPPH]]),0)</f>
        <v>4.9423465423465416</v>
      </c>
      <c r="CT38" s="39">
        <f>IF(AND(AN$3&gt;=VALUE(t_Parts[[SOP]:[SOP]]),AN$3&lt;=VALUE(t_Parts[[EOP]:[EOP]])), t_Parts[[SetupHrsPerMo]:[SetupHrsPerMo]]+(t_Parts[[#This Row],[pv2015.03]]/t_Parts[[NetPPH]:[NetPPH]]),0)</f>
        <v>5.677933177933177</v>
      </c>
      <c r="CU38" s="39">
        <f>IF(AND(AO$3&gt;=VALUE(t_Parts[[SOP]:[SOP]]),AO$3&lt;=VALUE(t_Parts[[EOP]:[EOP]])), t_Parts[[SetupHrsPerMo]:[SetupHrsPerMo]]+(t_Parts[[#This Row],[pv2015.04]]/t_Parts[[NetPPH]:[NetPPH]]),0)</f>
        <v>4.9423465423465416</v>
      </c>
      <c r="CV38" s="39">
        <f>IF(AND(AP$3&gt;=VALUE(t_Parts[[SOP]:[SOP]]),AP$3&lt;=VALUE(t_Parts[[EOP]:[EOP]])), t_Parts[[SetupHrsPerMo]:[SetupHrsPerMo]]+(t_Parts[[#This Row],[pv2015.05]]/t_Parts[[NetPPH]:[NetPPH]]),0)</f>
        <v>4.9423465423465416</v>
      </c>
      <c r="CW38" s="39">
        <f>IF(AND(AQ$3&gt;=VALUE(t_Parts[[SOP]:[SOP]]),AQ$3&lt;=VALUE(t_Parts[[EOP]:[EOP]])), t_Parts[[SetupHrsPerMo]:[SetupHrsPerMo]]+(t_Parts[[#This Row],[pv2015.06]]/t_Parts[[NetPPH]:[NetPPH]]),0)</f>
        <v>5.677933177933177</v>
      </c>
      <c r="CX38" s="39">
        <f>IF(AND(AR$3&gt;=VALUE(t_Parts[[SOP]:[SOP]]),AR$3&lt;=VALUE(t_Parts[[EOP]:[EOP]])), t_Parts[[SetupHrsPerMo]:[SetupHrsPerMo]]+(t_Parts[[#This Row],[pv2015.07]]/t_Parts[[NetPPH]:[NetPPH]]),0)</f>
        <v>4.9423465423465416</v>
      </c>
      <c r="CY38" s="39">
        <f>IF(AND(AS$3&gt;=VALUE(t_Parts[[SOP]:[SOP]]),AS$3&lt;=VALUE(t_Parts[[EOP]:[EOP]])), t_Parts[[SetupHrsPerMo]:[SetupHrsPerMo]]+(t_Parts[[#This Row],[pv2015.08]]/t_Parts[[NetPPH]:[NetPPH]]),0)</f>
        <v>4.9423465423465416</v>
      </c>
      <c r="CZ38" s="39">
        <f>IF(AND(AT$3&gt;=VALUE(t_Parts[[SOP]:[SOP]]),AT$3&lt;=VALUE(t_Parts[[EOP]:[EOP]])), t_Parts[[SetupHrsPerMo]:[SetupHrsPerMo]]+(t_Parts[[#This Row],[pv2015.09]]/t_Parts[[NetPPH]:[NetPPH]]),0)</f>
        <v>5.677933177933177</v>
      </c>
      <c r="DA38" s="39">
        <f>IF(AND(AU$3&gt;=VALUE(t_Parts[[SOP]:[SOP]]),AU$3&lt;=VALUE(t_Parts[[EOP]:[EOP]])), t_Parts[[SetupHrsPerMo]:[SetupHrsPerMo]]+(t_Parts[[#This Row],[pv2015.10]]/t_Parts[[NetPPH]:[NetPPH]]),0)</f>
        <v>4.9423465423465416</v>
      </c>
      <c r="DB38" s="39">
        <f>IF(AND(AV$3&gt;=VALUE(t_Parts[[SOP]:[SOP]]),AV$3&lt;=VALUE(t_Parts[[EOP]:[EOP]])), t_Parts[[SetupHrsPerMo]:[SetupHrsPerMo]]+(t_Parts[[#This Row],[pv2015.11]]/t_Parts[[NetPPH]:[NetPPH]]),0)</f>
        <v>4.9423465423465416</v>
      </c>
      <c r="DC38" s="39">
        <f>IF(AND(AW$3&gt;=VALUE(t_Parts[[SOP]:[SOP]]),AW$3&lt;=VALUE(t_Parts[[EOP]:[EOP]])), t_Parts[[SetupHrsPerMo]:[SetupHrsPerMo]]+(t_Parts[[#This Row],[pv2015.12]]/t_Parts[[NetPPH]:[NetPPH]]),0)</f>
        <v>5.677933177933177</v>
      </c>
      <c r="DD38" s="39">
        <f>SUM(t_Parts[[#This Row],[hp2015.01]:[hp2015.12]])</f>
        <v>62.250505050505041</v>
      </c>
      <c r="DE38" s="39">
        <f>IF(AND(AY$3&gt;=VALUE(t_Parts[[SOP]:[SOP]]),AY$3&lt;=VALUE(t_Parts[[EOP]:[EOP]])), t_Parts[[SetupHrsPerMo]:[SetupHrsPerMo]]+(t_Parts[[#This Row],[pv2016.01]]/t_Parts[[NetPPH]:[NetPPH]]),0)</f>
        <v>4.9423465423465416</v>
      </c>
      <c r="DF38" s="39">
        <f>IF(AND(AZ$3&gt;=VALUE(t_Parts[[SOP]:[SOP]]),AZ$3&lt;=VALUE(t_Parts[[EOP]:[EOP]])), t_Parts[[SetupHrsPerMo]:[SetupHrsPerMo]]+(t_Parts[[#This Row],[pv2016.02]]/t_Parts[[NetPPH]:[NetPPH]]),0)</f>
        <v>4.9423465423465416</v>
      </c>
      <c r="DG38" s="39">
        <f>IF(AND(BA$3&gt;=VALUE(t_Parts[[SOP]:[SOP]]),BA$3&lt;=VALUE(t_Parts[[EOP]:[EOP]])), t_Parts[[SetupHrsPerMo]:[SetupHrsPerMo]]+(t_Parts[[#This Row],[pv2016.03]]/t_Parts[[NetPPH]:[NetPPH]]),0)</f>
        <v>5.677933177933177</v>
      </c>
      <c r="DH38" s="39">
        <f>IF(AND(BB$3&gt;=VALUE(t_Parts[[SOP]:[SOP]]),BB$3&lt;=VALUE(t_Parts[[EOP]:[EOP]])), t_Parts[[SetupHrsPerMo]:[SetupHrsPerMo]]+(t_Parts[[#This Row],[pv2016.04]]/t_Parts[[NetPPH]:[NetPPH]]),0)</f>
        <v>4.9423465423465416</v>
      </c>
      <c r="DI38" s="39">
        <f>IF(AND(BC$3&gt;=VALUE(t_Parts[[SOP]:[SOP]]),BC$3&lt;=VALUE(t_Parts[[EOP]:[EOP]])), t_Parts[[SetupHrsPerMo]:[SetupHrsPerMo]]+(t_Parts[[#This Row],[pv2016.05]]/t_Parts[[NetPPH]:[NetPPH]]),0)</f>
        <v>4.9423465423465416</v>
      </c>
      <c r="DJ38" s="39">
        <f>IF(AND(BD$3&gt;=VALUE(t_Parts[[SOP]:[SOP]]),BD$3&lt;=VALUE(t_Parts[[EOP]:[EOP]])), t_Parts[[SetupHrsPerMo]:[SetupHrsPerMo]]+(t_Parts[[#This Row],[pv2016.06]]/t_Parts[[NetPPH]:[NetPPH]]),0)</f>
        <v>5.677933177933177</v>
      </c>
      <c r="DK38" s="39">
        <f>IF(AND(BE$3&gt;=VALUE(t_Parts[[SOP]:[SOP]]),BE$3&lt;=VALUE(t_Parts[[EOP]:[EOP]])), t_Parts[[SetupHrsPerMo]:[SetupHrsPerMo]]+(t_Parts[[#This Row],[pv2016.07]]/t_Parts[[NetPPH]:[NetPPH]]),0)</f>
        <v>4.9423465423465416</v>
      </c>
      <c r="DL38" s="39">
        <f>IF(AND(BF$3&gt;=VALUE(t_Parts[[SOP]:[SOP]]),BF$3&lt;=VALUE(t_Parts[[EOP]:[EOP]])), t_Parts[[SetupHrsPerMo]:[SetupHrsPerMo]]+(t_Parts[[#This Row],[pv2016.08]]/t_Parts[[NetPPH]:[NetPPH]]),0)</f>
        <v>4.9423465423465416</v>
      </c>
      <c r="DM38" s="39">
        <f>IF(AND(BG$3&gt;=VALUE(t_Parts[[SOP]:[SOP]]),BG$3&lt;=VALUE(t_Parts[[EOP]:[EOP]])), t_Parts[[SetupHrsPerMo]:[SetupHrsPerMo]]+(t_Parts[[#This Row],[pv2016.09]]/t_Parts[[NetPPH]:[NetPPH]]),0)</f>
        <v>5.677933177933177</v>
      </c>
      <c r="DN38" s="39">
        <f>IF(AND(BH$3&gt;=VALUE(t_Parts[[SOP]:[SOP]]),BH$3&lt;=VALUE(t_Parts[[EOP]:[EOP]])), t_Parts[[SetupHrsPerMo]:[SetupHrsPerMo]]+(t_Parts[[#This Row],[pv2016.10]]/t_Parts[[NetPPH]:[NetPPH]]),0)</f>
        <v>4.9423465423465416</v>
      </c>
      <c r="DO38" s="39">
        <f>IF(AND(BI$3&gt;=VALUE(t_Parts[[SOP]:[SOP]]),BI$3&lt;=VALUE(t_Parts[[EOP]:[EOP]])), t_Parts[[SetupHrsPerMo]:[SetupHrsPerMo]]+(t_Parts[[#This Row],[pv2016.11]]/t_Parts[[NetPPH]:[NetPPH]]),0)</f>
        <v>4.9423465423465416</v>
      </c>
      <c r="DP38" s="39">
        <f>IF(AND(BJ$3&gt;=VALUE(t_Parts[[SOP]:[SOP]]),BJ$3&lt;=VALUE(t_Parts[[EOP]:[EOP]])), t_Parts[[SetupHrsPerMo]:[SetupHrsPerMo]]+(t_Parts[[#This Row],[pv2016.12]]/t_Parts[[NetPPH]:[NetPPH]]),0)</f>
        <v>5.677933177933177</v>
      </c>
      <c r="DQ38" s="39">
        <f>SUM(t_Parts[[#This Row],[hp2016.01]:[hp2016.12]])</f>
        <v>62.250505050505041</v>
      </c>
      <c r="DR38" s="39">
        <f>IF(AND(BL$3&gt;=VALUE(t_Parts[[SOP]:[SOP]]),BL$3&lt;=VALUE(t_Parts[[EOP]:[EOP]])), 12*t_Parts[[SetupHrsPerMo]:[SetupHrsPerMo]]+(t_Parts[[#This Row],[pv2017]]/t_Parts[[NetPPH]:[NetPPH]]),0)</f>
        <v>0</v>
      </c>
      <c r="DS38" s="39">
        <f>IF(AND(BM$3&gt;=VALUE(t_Parts[[SOP]:[SOP]]),BM$3&lt;=VALUE(t_Parts[[EOP]:[EOP]])), 12*t_Parts[[SetupHrsPerMo]:[SetupHrsPerMo]]+(t_Parts[[#This Row],[pv2018]]/t_Parts[[NetPPH]:[NetPPH]]),0)</f>
        <v>0</v>
      </c>
      <c r="DT38" s="39">
        <f>IF(AND(BN$3&gt;=VALUE(t_Parts[[SOP]:[SOP]]),BN$3&lt;=VALUE(t_Parts[[EOP]:[EOP]])), 12*t_Parts[[SetupHrsPerMo]:[SetupHrsPerMo]]+(t_Parts[[#This Row],[pv2019]]/t_Parts[[NetPPH]:[NetPPH]]),0)</f>
        <v>0</v>
      </c>
      <c r="DU38" s="47">
        <f>t_Parts[[#This Row],[hp2015.01]]/t_Parts[[#This Row],[ha2015.01]]</f>
        <v>1.7651237651237647E-2</v>
      </c>
      <c r="DV38" s="47">
        <f>t_Parts[[#This Row],[hp2015.02]]/t_Parts[[#This Row],[ha2015.02]]</f>
        <v>1.7651237651237647E-2</v>
      </c>
      <c r="DW38" s="47">
        <f>t_Parts[[#This Row],[hp2015.03]]/t_Parts[[#This Row],[ha2015.03]]</f>
        <v>1.6222666222666219E-2</v>
      </c>
      <c r="DX38" s="47">
        <f>t_Parts[[#This Row],[hp2015.04]]/t_Parts[[#This Row],[ha2015.04]]</f>
        <v>1.7651237651237647E-2</v>
      </c>
      <c r="DY38" s="47">
        <f>t_Parts[[#This Row],[hp2015.05]]/t_Parts[[#This Row],[ha2015.05]]</f>
        <v>1.7651237651237647E-2</v>
      </c>
      <c r="DZ38" s="47">
        <f>t_Parts[[#This Row],[hp2015.06]]/t_Parts[[#This Row],[ha2015.06]]</f>
        <v>1.6222666222666219E-2</v>
      </c>
      <c r="EA38" s="47">
        <f>t_Parts[[#This Row],[hp2015.07]]/t_Parts[[#This Row],[ha2015.07]]</f>
        <v>1.7651237651237647E-2</v>
      </c>
      <c r="EB38" s="47">
        <f>t_Parts[[#This Row],[hp2015.08]]/t_Parts[[#This Row],[ha2015.08]]</f>
        <v>1.7651237651237647E-2</v>
      </c>
      <c r="EC38" s="47">
        <f>t_Parts[[#This Row],[hp2015.09]]/t_Parts[[#This Row],[ha2015.09]]</f>
        <v>1.6222666222666219E-2</v>
      </c>
      <c r="ED38" s="47">
        <f>t_Parts[[#This Row],[hp2015.10]]/t_Parts[[#This Row],[ha2015.10]]</f>
        <v>1.7651237651237647E-2</v>
      </c>
      <c r="EE38" s="47">
        <f>t_Parts[[#This Row],[hp2015.11]]/t_Parts[[#This Row],[ha2015.11]]</f>
        <v>1.7651237651237647E-2</v>
      </c>
      <c r="EF38" s="47">
        <f>t_Parts[[#This Row],[hp2015.12]]/t_Parts[[#This Row],[ha2015.12]]</f>
        <v>1.6222666222666219E-2</v>
      </c>
      <c r="EG38" s="47">
        <f>t_Parts[[#This Row],[hp2015.FY]]/t_Parts[[#This Row],[ha2015.FY]]</f>
        <v>1.71017871017871E-2</v>
      </c>
      <c r="EH38" s="47">
        <f>t_Parts[[#This Row],[hp2016.01]]/t_Parts[[#This Row],[ha2016.01]]</f>
        <v>1.7651237651237647E-2</v>
      </c>
      <c r="EI38" s="47">
        <f>t_Parts[[#This Row],[hp2016.02]]/t_Parts[[#This Row],[ha2016.02]]</f>
        <v>1.7651237651237647E-2</v>
      </c>
      <c r="EJ38" s="47">
        <f>t_Parts[[#This Row],[hp2016.03]]/t_Parts[[#This Row],[ha2016.03]]</f>
        <v>1.6222666222666219E-2</v>
      </c>
      <c r="EK38" s="47">
        <f>t_Parts[[#This Row],[hp2016.04]]/t_Parts[[#This Row],[ha2016.04]]</f>
        <v>1.7651237651237647E-2</v>
      </c>
      <c r="EL38" s="47">
        <f>t_Parts[[#This Row],[hp2016.05]]/t_Parts[[#This Row],[ha2016.05]]</f>
        <v>1.7651237651237647E-2</v>
      </c>
      <c r="EM38" s="47">
        <f>t_Parts[[#This Row],[hp2016.06]]/t_Parts[[#This Row],[ha2016.06]]</f>
        <v>1.6222666222666219E-2</v>
      </c>
      <c r="EN38" s="47">
        <f>t_Parts[[#This Row],[hp2016.07]]/t_Parts[[#This Row],[ha2016.07]]</f>
        <v>1.7651237651237647E-2</v>
      </c>
      <c r="EO38" s="47">
        <f>t_Parts[[#This Row],[hp2016.08]]/t_Parts[[#This Row],[ha2016.08]]</f>
        <v>1.7651237651237647E-2</v>
      </c>
      <c r="EP38" s="47">
        <f>t_Parts[[#This Row],[hp2016.09]]/t_Parts[[#This Row],[ha2016.09]]</f>
        <v>1.6222666222666219E-2</v>
      </c>
      <c r="EQ38" s="47">
        <f>t_Parts[[#This Row],[hp2016.10]]/t_Parts[[#This Row],[ha2016.10]]</f>
        <v>1.7651237651237647E-2</v>
      </c>
      <c r="ER38" s="47">
        <f>t_Parts[[#This Row],[hp2016.11]]/t_Parts[[#This Row],[ha2016.11]]</f>
        <v>1.7651237651237647E-2</v>
      </c>
      <c r="ES38" s="47">
        <f>t_Parts[[#This Row],[hp2016.12]]/t_Parts[[#This Row],[ha2016.12]]</f>
        <v>1.6222666222666219E-2</v>
      </c>
      <c r="ET38" s="47">
        <f>t_Parts[[#This Row],[hp2016.FY]]/t_Parts[[#This Row],[ha2016.FY]]</f>
        <v>1.71017871017871E-2</v>
      </c>
      <c r="EU38" s="47">
        <f>t_Parts[[#This Row],[hp2017]]/t_Parts[[#This Row],[ha2017]]</f>
        <v>0</v>
      </c>
      <c r="EV38" s="47">
        <f>t_Parts[[#This Row],[hp2018]]/t_Parts[[#This Row],[ha2018]]</f>
        <v>0</v>
      </c>
      <c r="EW38" s="47">
        <f>t_Parts[[#This Row],[hp2019]]/t_Parts[[#This Row],[hp2015.01]]</f>
        <v>0</v>
      </c>
      <c r="EX38" s="58">
        <f>(t_Parts[[#This Row],[ha2015.01]]-t_Parts[[#This Row],[hp2015.01]])*t_Parts[[NetPPH]:[NetPPH]]</f>
        <v>272307.07692307699</v>
      </c>
      <c r="EY38" s="58">
        <f>(t_Parts[[#This Row],[ha2015.02]]-t_Parts[[#This Row],[hp2015.02]])*t_Parts[[NetPPH]:[NetPPH]]</f>
        <v>272307.07692307699</v>
      </c>
      <c r="EZ38" s="58">
        <f>(t_Parts[[#This Row],[ha2015.03]]-t_Parts[[#This Row],[hp2015.03]])*t_Parts[[NetPPH]:[NetPPH]]</f>
        <v>340878.84615384619</v>
      </c>
      <c r="FA38" s="58">
        <f>(t_Parts[[#This Row],[ha2015.04]]-t_Parts[[#This Row],[hp2015.04]])*t_Parts[[NetPPH]:[NetPPH]]</f>
        <v>272307.07692307699</v>
      </c>
      <c r="FB38" s="58">
        <f>(t_Parts[[#This Row],[ha2015.05]]-t_Parts[[#This Row],[hp2015.05]])*t_Parts[[NetPPH]:[NetPPH]]</f>
        <v>272307.07692307699</v>
      </c>
      <c r="FC38" s="58">
        <f>(t_Parts[[#This Row],[ha2015.06]]-t_Parts[[#This Row],[hp2015.06]])*t_Parts[[NetPPH]:[NetPPH]]</f>
        <v>340878.84615384619</v>
      </c>
      <c r="FD38" s="58">
        <f>(t_Parts[[#This Row],[ha2015.07]]-t_Parts[[#This Row],[hp2015.07]])*t_Parts[[NetPPH]:[NetPPH]]</f>
        <v>272307.07692307699</v>
      </c>
      <c r="FE38" s="58">
        <f>(t_Parts[[#This Row],[ha2015.08]]-t_Parts[[#This Row],[hp2015.08]])*t_Parts[[NetPPH]:[NetPPH]]</f>
        <v>272307.07692307699</v>
      </c>
      <c r="FF38" s="58">
        <f>(t_Parts[[#This Row],[ha2015.09]]-t_Parts[[#This Row],[hp2015.09]])*t_Parts[[NetPPH]:[NetPPH]]</f>
        <v>340878.84615384619</v>
      </c>
      <c r="FG38" s="58">
        <f>(t_Parts[[#This Row],[ha2015.10]]-t_Parts[[#This Row],[hp2015.10]])*t_Parts[[NetPPH]:[NetPPH]]</f>
        <v>272307.07692307699</v>
      </c>
      <c r="FH38" s="58">
        <f>(t_Parts[[#This Row],[ha2015.11]]-t_Parts[[#This Row],[hp2015.11]])*t_Parts[[NetPPH]:[NetPPH]]</f>
        <v>272307.07692307699</v>
      </c>
      <c r="FI38" s="58">
        <f>(t_Parts[[#This Row],[ha2015.12]]-t_Parts[[#This Row],[hp2015.12]])*t_Parts[[NetPPH]:[NetPPH]]</f>
        <v>340878.84615384619</v>
      </c>
      <c r="FJ38" s="58">
        <f>(t_Parts[[#This Row],[ha2015.FY]]-t_Parts[[#This Row],[hp2015.FY]])*t_Parts[[NetPPH]:[NetPPH]]</f>
        <v>3541972.0000000005</v>
      </c>
      <c r="FK38" s="58">
        <f>(t_Parts[[#This Row],[ha2016.01]]-t_Parts[[#This Row],[hp2016.01]])*t_Parts[[NetPPH]:[NetPPH]]</f>
        <v>272307.07692307699</v>
      </c>
      <c r="FL38" s="58">
        <f>(t_Parts[[#This Row],[ha2016.02]]-t_Parts[[#This Row],[hp2016.02]])*t_Parts[[NetPPH]:[NetPPH]]</f>
        <v>272307.07692307699</v>
      </c>
      <c r="FM38" s="58">
        <f>(t_Parts[[#This Row],[ha2016.03]]-t_Parts[[#This Row],[hp2016.03]])*t_Parts[[NetPPH]:[NetPPH]]</f>
        <v>340878.84615384619</v>
      </c>
      <c r="FN38" s="58">
        <f>(t_Parts[[#This Row],[ha2016.04]]-t_Parts[[#This Row],[hp2016.04]])*t_Parts[[NetPPH]:[NetPPH]]</f>
        <v>272307.07692307699</v>
      </c>
      <c r="FO38" s="58">
        <f>(t_Parts[[#This Row],[ha2016.05]]-t_Parts[[#This Row],[hp2016.05]])*t_Parts[[NetPPH]:[NetPPH]]</f>
        <v>272307.07692307699</v>
      </c>
      <c r="FP38" s="58">
        <f>(t_Parts[[#This Row],[ha2016.06]]-t_Parts[[#This Row],[hp2016.06]])*t_Parts[[NetPPH]:[NetPPH]]</f>
        <v>340878.84615384619</v>
      </c>
      <c r="FQ38" s="58">
        <f>(t_Parts[[#This Row],[ha2016.07]]-t_Parts[[#This Row],[hp2016.07]])*t_Parts[[NetPPH]:[NetPPH]]</f>
        <v>272307.07692307699</v>
      </c>
      <c r="FR38" s="58">
        <f>(t_Parts[[#This Row],[ha2016.08]]-t_Parts[[#This Row],[hp2016.08]])*t_Parts[[NetPPH]:[NetPPH]]</f>
        <v>272307.07692307699</v>
      </c>
      <c r="FS38" s="58">
        <f>(t_Parts[[#This Row],[ha2016.09]]-t_Parts[[#This Row],[hp2016.09]])*t_Parts[[NetPPH]:[NetPPH]]</f>
        <v>340878.84615384619</v>
      </c>
      <c r="FT38" s="58">
        <f>(t_Parts[[#This Row],[ha2016.10]]-t_Parts[[#This Row],[hp2016.10]])*t_Parts[[NetPPH]:[NetPPH]]</f>
        <v>272307.07692307699</v>
      </c>
      <c r="FU38" s="58">
        <f>(t_Parts[[#This Row],[ha2016.11]]-t_Parts[[#This Row],[hp2016.11]])*t_Parts[[NetPPH]:[NetPPH]]</f>
        <v>272307.07692307699</v>
      </c>
      <c r="FV38" s="58">
        <f>(t_Parts[[#This Row],[ha2016.12]]-t_Parts[[#This Row],[hp2016.12]])*t_Parts[[NetPPH]:[NetPPH]]</f>
        <v>340878.84615384619</v>
      </c>
      <c r="FW38" s="58">
        <f>(t_Parts[[#This Row],[ha2016.FY]]-t_Parts[[#This Row],[hp2016.FY]])*t_Parts[[NetPPH]:[NetPPH]]</f>
        <v>3541972.0000000005</v>
      </c>
      <c r="FX38" s="58">
        <f>(t_Parts[[#This Row],[ha2017]]-t_Parts[[#This Row],[hp2017]])*t_Parts[[NetPPH]:[NetPPH]]</f>
        <v>3603600.0000000005</v>
      </c>
      <c r="FY38" s="58">
        <f>(t_Parts[[#This Row],[ha2018]]-t_Parts[[#This Row],[hp2018]])*t_Parts[[NetPPH]:[NetPPH]]</f>
        <v>3603600.0000000005</v>
      </c>
      <c r="FZ38" s="58">
        <f>(t_Parts[[#This Row],[ha2019]]-t_Parts[[#This Row],[hp2019]])*t_Parts[[NetPPH]:[NetPPH]]</f>
        <v>3603600.0000000005</v>
      </c>
    </row>
    <row r="39" spans="1:182" s="14" customFormat="1" x14ac:dyDescent="0.25">
      <c r="A39" s="74" t="s">
        <v>537</v>
      </c>
      <c r="B39" s="74"/>
      <c r="C39" s="74">
        <v>21013</v>
      </c>
      <c r="D39" s="75">
        <v>1</v>
      </c>
      <c r="E39" s="73">
        <v>2400</v>
      </c>
      <c r="F39" s="76">
        <v>1</v>
      </c>
      <c r="G39" s="77">
        <v>2</v>
      </c>
      <c r="H39" s="16">
        <v>2015.01</v>
      </c>
      <c r="I39" s="16" t="s">
        <v>92</v>
      </c>
      <c r="J39" s="73">
        <v>23828</v>
      </c>
      <c r="K39" s="73">
        <v>23828</v>
      </c>
      <c r="L39" s="73">
        <v>23828</v>
      </c>
      <c r="M39" s="73">
        <v>23828</v>
      </c>
      <c r="N39" s="73">
        <v>23828</v>
      </c>
      <c r="O39" s="78">
        <v>38</v>
      </c>
      <c r="P39" s="78">
        <v>48</v>
      </c>
      <c r="Q39" s="79">
        <v>21.03</v>
      </c>
      <c r="R39" s="79"/>
      <c r="S39" s="78">
        <v>108</v>
      </c>
      <c r="T39" s="80">
        <v>13.5</v>
      </c>
      <c r="U39" s="80" t="s">
        <v>121</v>
      </c>
      <c r="V39" s="81" t="s">
        <v>538</v>
      </c>
      <c r="W39" s="82">
        <v>1.19</v>
      </c>
      <c r="X39" s="82" t="s">
        <v>501</v>
      </c>
      <c r="Y39" s="82" t="s">
        <v>539</v>
      </c>
      <c r="Z39" s="82"/>
      <c r="AA39" s="82"/>
      <c r="AB39" s="82"/>
      <c r="AC39" s="83" t="s">
        <v>111</v>
      </c>
      <c r="AD39" s="40" t="str">
        <f>VLOOKUP(t_Parts[[#This Row],[Press]],t_Presses[],Press!B$1,FALSE)</f>
        <v>Plainfield</v>
      </c>
      <c r="AE39" s="40" t="str">
        <f>VLOOKUP(t_Parts[[#This Row],[Press]],t_Presses[],Press!E$1,FALSE)</f>
        <v>0-299</v>
      </c>
      <c r="AF39" s="47">
        <f>VLOOKUP(t_Parts[[#This Row],[Plant]],t_Plants[],Plants!C$1,FALSE)</f>
        <v>0.55000000000000004</v>
      </c>
      <c r="AG39" s="47">
        <f>VLOOKUP(t_Parts[[#This Row],[Press]],t_Presses[],Press!F$1,FALSE)</f>
        <v>0</v>
      </c>
      <c r="AH39" s="84"/>
      <c r="AI39" s="47">
        <f>IF(ISBLANK(t_Parts[[#This Row],[PartOEE]])=FALSE,t_Parts[[#This Row],[PartOEE]], IF(t_Parts[[#This Row],[PressOEE]]&gt;0, t_Parts[[#This Row],[PressOEE]], t_Parts[[#This Row],[PlantOEE]] ))</f>
        <v>0.55000000000000004</v>
      </c>
      <c r="AJ39" s="70">
        <f>t_Parts[[#This Row],[SetupsPerMo]]*t_Parts[[#This Row],[SetupHrs]]</f>
        <v>2</v>
      </c>
      <c r="AK39" s="39">
        <f>(t_Parts[[#This Row],[PartsPerStroke]]*t_Parts[[#This Row],[StrokesPerHr]])*t_Parts[[#This Row],[UseOEE]]</f>
        <v>1320</v>
      </c>
      <c r="AL3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1832.9230769230771</v>
      </c>
      <c r="AM3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1832.9230769230771</v>
      </c>
      <c r="AN3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2291.1538461538462</v>
      </c>
      <c r="AO3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1832.9230769230771</v>
      </c>
      <c r="AP3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1832.9230769230771</v>
      </c>
      <c r="AQ3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2291.1538461538462</v>
      </c>
      <c r="AR3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1832.9230769230771</v>
      </c>
      <c r="AS3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1832.9230769230771</v>
      </c>
      <c r="AT3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2291.1538461538462</v>
      </c>
      <c r="AU3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1832.9230769230771</v>
      </c>
      <c r="AV3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1832.9230769230771</v>
      </c>
      <c r="AW3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2291.1538461538462</v>
      </c>
      <c r="AX39" s="39">
        <f>SUM(t_Parts[[#This Row],[pv2015.01]:[pv2015.12]])</f>
        <v>23828.000000000007</v>
      </c>
      <c r="AY3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3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3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3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3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3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3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3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3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3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3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3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39" s="39">
        <f>SUM(t_Parts[[#This Row],[pv2016.01]:[pv2016.12]])</f>
        <v>0</v>
      </c>
      <c r="BL39" s="39">
        <f>t_Parts[[#This Row],[2017vol]]</f>
        <v>23828</v>
      </c>
      <c r="BM39" s="39">
        <f>t_Parts[[#This Row],[2018vol]]</f>
        <v>23828</v>
      </c>
      <c r="BN39" s="39">
        <f>t_Parts[[#This Row],[2019vol]]</f>
        <v>23828</v>
      </c>
      <c r="BO39" s="40">
        <f>VLOOKUP(t_Parts[[Plant]:[Plant]],t_Plants[],Plants!CN$1,FALSE)</f>
        <v>280</v>
      </c>
      <c r="BP39" s="14">
        <f>VLOOKUP(t_Parts[[Plant]:[Plant]],t_Plants[],Plants!CO$1,FALSE)</f>
        <v>280</v>
      </c>
      <c r="BQ39" s="14">
        <f>VLOOKUP(t_Parts[[Plant]:[Plant]],t_Plants[],Plants!CP$1,FALSE)</f>
        <v>350</v>
      </c>
      <c r="BR39" s="14">
        <f>VLOOKUP(t_Parts[[Plant]:[Plant]],t_Plants[],Plants!CQ$1,FALSE)</f>
        <v>280</v>
      </c>
      <c r="BS39" s="14">
        <f>VLOOKUP(t_Parts[[Plant]:[Plant]],t_Plants[],Plants!CR$1,FALSE)</f>
        <v>280</v>
      </c>
      <c r="BT39" s="14">
        <f>VLOOKUP(t_Parts[[Plant]:[Plant]],t_Plants[],Plants!CS$1,FALSE)</f>
        <v>350</v>
      </c>
      <c r="BU39" s="14">
        <f>VLOOKUP(t_Parts[[Plant]:[Plant]],t_Plants[],Plants!CT$1,FALSE)</f>
        <v>280</v>
      </c>
      <c r="BV39" s="14">
        <f>VLOOKUP(t_Parts[[Plant]:[Plant]],t_Plants[],Plants!CU$1,FALSE)</f>
        <v>280</v>
      </c>
      <c r="BW39" s="14">
        <f>VLOOKUP(t_Parts[[Plant]:[Plant]],t_Plants[],Plants!CV$1,FALSE)</f>
        <v>350</v>
      </c>
      <c r="BX39" s="14">
        <f>VLOOKUP(t_Parts[[Plant]:[Plant]],t_Plants[],Plants!CW$1,FALSE)</f>
        <v>280</v>
      </c>
      <c r="BY39" s="14">
        <f>VLOOKUP(t_Parts[[Plant]:[Plant]],t_Plants[],Plants!CX$1,FALSE)</f>
        <v>280</v>
      </c>
      <c r="BZ39" s="14">
        <f>VLOOKUP(t_Parts[[Plant]:[Plant]],t_Plants[],Plants!CY$1,FALSE)</f>
        <v>350</v>
      </c>
      <c r="CA39" s="40">
        <f>SUM(t_Parts[[#This Row],[ha2015.01]:[ha2015.12]])</f>
        <v>3640</v>
      </c>
      <c r="CB39" s="14">
        <f>VLOOKUP(t_Parts[[Plant]:[Plant]],t_Plants[],Plants!DA$1,FALSE)</f>
        <v>280</v>
      </c>
      <c r="CC39" s="14">
        <f>VLOOKUP(t_Parts[[Plant]:[Plant]],t_Plants[],Plants!DB$1,FALSE)</f>
        <v>280</v>
      </c>
      <c r="CD39" s="14">
        <f>VLOOKUP(t_Parts[[Plant]:[Plant]],t_Plants[],Plants!DC$1,FALSE)</f>
        <v>350</v>
      </c>
      <c r="CE39" s="14">
        <f>VLOOKUP(t_Parts[[Plant]:[Plant]],t_Plants[],Plants!DD$1,FALSE)</f>
        <v>280</v>
      </c>
      <c r="CF39" s="14">
        <f>VLOOKUP(t_Parts[[Plant]:[Plant]],t_Plants[],Plants!DE$1,FALSE)</f>
        <v>280</v>
      </c>
      <c r="CG39" s="14">
        <f>VLOOKUP(t_Parts[[Plant]:[Plant]],t_Plants[],Plants!DF$1,FALSE)</f>
        <v>350</v>
      </c>
      <c r="CH39" s="14">
        <f>VLOOKUP(t_Parts[[Plant]:[Plant]],t_Plants[],Plants!DG$1,FALSE)</f>
        <v>280</v>
      </c>
      <c r="CI39" s="14">
        <f>VLOOKUP(t_Parts[[Plant]:[Plant]],t_Plants[],Plants!DH$1,FALSE)</f>
        <v>280</v>
      </c>
      <c r="CJ39" s="14">
        <f>VLOOKUP(t_Parts[[Plant]:[Plant]],t_Plants[],Plants!DI$1,FALSE)</f>
        <v>350</v>
      </c>
      <c r="CK39" s="14">
        <f>VLOOKUP(t_Parts[[Plant]:[Plant]],t_Plants[],Plants!DJ$1,FALSE)</f>
        <v>280</v>
      </c>
      <c r="CL39" s="14">
        <f>VLOOKUP(t_Parts[[Plant]:[Plant]],t_Plants[],Plants!DK$1,FALSE)</f>
        <v>280</v>
      </c>
      <c r="CM39" s="14">
        <f>VLOOKUP(t_Parts[[Plant]:[Plant]],t_Plants[],Plants!DL$1,FALSE)</f>
        <v>350</v>
      </c>
      <c r="CN39" s="14">
        <f>VLOOKUP(t_Parts[[Plant]:[Plant]],t_Plants[],Plants!DM$1,FALSE)</f>
        <v>3640</v>
      </c>
      <c r="CO39" s="14">
        <f>VLOOKUP(t_Parts[[Plant]:[Plant]],t_Plants[],Plants!DN$1,FALSE)</f>
        <v>3640</v>
      </c>
      <c r="CP39" s="14">
        <f>VLOOKUP(t_Parts[[Plant]:[Plant]],t_Plants[],Plants!DO$1,FALSE)</f>
        <v>3640</v>
      </c>
      <c r="CQ39" s="14">
        <f>VLOOKUP(t_Parts[[Plant]:[Plant]],t_Plants[],Plants!DP$1,FALSE)</f>
        <v>3640</v>
      </c>
      <c r="CR39" s="39">
        <f>IF(AND(AL$3&gt;=VALUE(t_Parts[[SOP]:[SOP]]),AL$3&lt;=VALUE(t_Parts[[EOP]:[EOP]])), t_Parts[[SetupHrsPerMo]:[SetupHrsPerMo]]+(t_Parts[[#This Row],[pv2015.01]]/t_Parts[[NetPPH]:[NetPPH]]),0)</f>
        <v>3.3885780885780887</v>
      </c>
      <c r="CS39" s="39">
        <f>IF(AND(AM$3&gt;=VALUE(t_Parts[[SOP]:[SOP]]),AM$3&lt;=VALUE(t_Parts[[EOP]:[EOP]])), t_Parts[[SetupHrsPerMo]:[SetupHrsPerMo]]+(t_Parts[[#This Row],[pv2015.02]]/t_Parts[[NetPPH]:[NetPPH]]),0)</f>
        <v>3.3885780885780887</v>
      </c>
      <c r="CT39" s="39">
        <f>IF(AND(AN$3&gt;=VALUE(t_Parts[[SOP]:[SOP]]),AN$3&lt;=VALUE(t_Parts[[EOP]:[EOP]])), t_Parts[[SetupHrsPerMo]:[SetupHrsPerMo]]+(t_Parts[[#This Row],[pv2015.03]]/t_Parts[[NetPPH]:[NetPPH]]),0)</f>
        <v>3.7357226107226107</v>
      </c>
      <c r="CU39" s="39">
        <f>IF(AND(AO$3&gt;=VALUE(t_Parts[[SOP]:[SOP]]),AO$3&lt;=VALUE(t_Parts[[EOP]:[EOP]])), t_Parts[[SetupHrsPerMo]:[SetupHrsPerMo]]+(t_Parts[[#This Row],[pv2015.04]]/t_Parts[[NetPPH]:[NetPPH]]),0)</f>
        <v>3.3885780885780887</v>
      </c>
      <c r="CV39" s="39">
        <f>IF(AND(AP$3&gt;=VALUE(t_Parts[[SOP]:[SOP]]),AP$3&lt;=VALUE(t_Parts[[EOP]:[EOP]])), t_Parts[[SetupHrsPerMo]:[SetupHrsPerMo]]+(t_Parts[[#This Row],[pv2015.05]]/t_Parts[[NetPPH]:[NetPPH]]),0)</f>
        <v>3.3885780885780887</v>
      </c>
      <c r="CW39" s="39">
        <f>IF(AND(AQ$3&gt;=VALUE(t_Parts[[SOP]:[SOP]]),AQ$3&lt;=VALUE(t_Parts[[EOP]:[EOP]])), t_Parts[[SetupHrsPerMo]:[SetupHrsPerMo]]+(t_Parts[[#This Row],[pv2015.06]]/t_Parts[[NetPPH]:[NetPPH]]),0)</f>
        <v>3.7357226107226107</v>
      </c>
      <c r="CX39" s="39">
        <f>IF(AND(AR$3&gt;=VALUE(t_Parts[[SOP]:[SOP]]),AR$3&lt;=VALUE(t_Parts[[EOP]:[EOP]])), t_Parts[[SetupHrsPerMo]:[SetupHrsPerMo]]+(t_Parts[[#This Row],[pv2015.07]]/t_Parts[[NetPPH]:[NetPPH]]),0)</f>
        <v>3.3885780885780887</v>
      </c>
      <c r="CY39" s="39">
        <f>IF(AND(AS$3&gt;=VALUE(t_Parts[[SOP]:[SOP]]),AS$3&lt;=VALUE(t_Parts[[EOP]:[EOP]])), t_Parts[[SetupHrsPerMo]:[SetupHrsPerMo]]+(t_Parts[[#This Row],[pv2015.08]]/t_Parts[[NetPPH]:[NetPPH]]),0)</f>
        <v>3.3885780885780887</v>
      </c>
      <c r="CZ39" s="39">
        <f>IF(AND(AT$3&gt;=VALUE(t_Parts[[SOP]:[SOP]]),AT$3&lt;=VALUE(t_Parts[[EOP]:[EOP]])), t_Parts[[SetupHrsPerMo]:[SetupHrsPerMo]]+(t_Parts[[#This Row],[pv2015.09]]/t_Parts[[NetPPH]:[NetPPH]]),0)</f>
        <v>3.7357226107226107</v>
      </c>
      <c r="DA39" s="39">
        <f>IF(AND(AU$3&gt;=VALUE(t_Parts[[SOP]:[SOP]]),AU$3&lt;=VALUE(t_Parts[[EOP]:[EOP]])), t_Parts[[SetupHrsPerMo]:[SetupHrsPerMo]]+(t_Parts[[#This Row],[pv2015.10]]/t_Parts[[NetPPH]:[NetPPH]]),0)</f>
        <v>3.3885780885780887</v>
      </c>
      <c r="DB39" s="39">
        <f>IF(AND(AV$3&gt;=VALUE(t_Parts[[SOP]:[SOP]]),AV$3&lt;=VALUE(t_Parts[[EOP]:[EOP]])), t_Parts[[SetupHrsPerMo]:[SetupHrsPerMo]]+(t_Parts[[#This Row],[pv2015.11]]/t_Parts[[NetPPH]:[NetPPH]]),0)</f>
        <v>3.3885780885780887</v>
      </c>
      <c r="DC39" s="39">
        <f>IF(AND(AW$3&gt;=VALUE(t_Parts[[SOP]:[SOP]]),AW$3&lt;=VALUE(t_Parts[[EOP]:[EOP]])), t_Parts[[SetupHrsPerMo]:[SetupHrsPerMo]]+(t_Parts[[#This Row],[pv2015.12]]/t_Parts[[NetPPH]:[NetPPH]]),0)</f>
        <v>3.7357226107226107</v>
      </c>
      <c r="DD39" s="39">
        <f>SUM(t_Parts[[#This Row],[hp2015.01]:[hp2015.12]])</f>
        <v>42.051515151515154</v>
      </c>
      <c r="DE39" s="39">
        <f>IF(AND(AY$3&gt;=VALUE(t_Parts[[SOP]:[SOP]]),AY$3&lt;=VALUE(t_Parts[[EOP]:[EOP]])), t_Parts[[SetupHrsPerMo]:[SetupHrsPerMo]]+(t_Parts[[#This Row],[pv2016.01]]/t_Parts[[NetPPH]:[NetPPH]]),0)</f>
        <v>0</v>
      </c>
      <c r="DF39" s="39">
        <f>IF(AND(AZ$3&gt;=VALUE(t_Parts[[SOP]:[SOP]]),AZ$3&lt;=VALUE(t_Parts[[EOP]:[EOP]])), t_Parts[[SetupHrsPerMo]:[SetupHrsPerMo]]+(t_Parts[[#This Row],[pv2016.02]]/t_Parts[[NetPPH]:[NetPPH]]),0)</f>
        <v>0</v>
      </c>
      <c r="DG39" s="39">
        <f>IF(AND(BA$3&gt;=VALUE(t_Parts[[SOP]:[SOP]]),BA$3&lt;=VALUE(t_Parts[[EOP]:[EOP]])), t_Parts[[SetupHrsPerMo]:[SetupHrsPerMo]]+(t_Parts[[#This Row],[pv2016.03]]/t_Parts[[NetPPH]:[NetPPH]]),0)</f>
        <v>0</v>
      </c>
      <c r="DH39" s="39">
        <f>IF(AND(BB$3&gt;=VALUE(t_Parts[[SOP]:[SOP]]),BB$3&lt;=VALUE(t_Parts[[EOP]:[EOP]])), t_Parts[[SetupHrsPerMo]:[SetupHrsPerMo]]+(t_Parts[[#This Row],[pv2016.04]]/t_Parts[[NetPPH]:[NetPPH]]),0)</f>
        <v>0</v>
      </c>
      <c r="DI39" s="39">
        <f>IF(AND(BC$3&gt;=VALUE(t_Parts[[SOP]:[SOP]]),BC$3&lt;=VALUE(t_Parts[[EOP]:[EOP]])), t_Parts[[SetupHrsPerMo]:[SetupHrsPerMo]]+(t_Parts[[#This Row],[pv2016.05]]/t_Parts[[NetPPH]:[NetPPH]]),0)</f>
        <v>0</v>
      </c>
      <c r="DJ39" s="39">
        <f>IF(AND(BD$3&gt;=VALUE(t_Parts[[SOP]:[SOP]]),BD$3&lt;=VALUE(t_Parts[[EOP]:[EOP]])), t_Parts[[SetupHrsPerMo]:[SetupHrsPerMo]]+(t_Parts[[#This Row],[pv2016.06]]/t_Parts[[NetPPH]:[NetPPH]]),0)</f>
        <v>0</v>
      </c>
      <c r="DK39" s="39">
        <f>IF(AND(BE$3&gt;=VALUE(t_Parts[[SOP]:[SOP]]),BE$3&lt;=VALUE(t_Parts[[EOP]:[EOP]])), t_Parts[[SetupHrsPerMo]:[SetupHrsPerMo]]+(t_Parts[[#This Row],[pv2016.07]]/t_Parts[[NetPPH]:[NetPPH]]),0)</f>
        <v>0</v>
      </c>
      <c r="DL39" s="39">
        <f>IF(AND(BF$3&gt;=VALUE(t_Parts[[SOP]:[SOP]]),BF$3&lt;=VALUE(t_Parts[[EOP]:[EOP]])), t_Parts[[SetupHrsPerMo]:[SetupHrsPerMo]]+(t_Parts[[#This Row],[pv2016.08]]/t_Parts[[NetPPH]:[NetPPH]]),0)</f>
        <v>0</v>
      </c>
      <c r="DM39" s="39">
        <f>IF(AND(BG$3&gt;=VALUE(t_Parts[[SOP]:[SOP]]),BG$3&lt;=VALUE(t_Parts[[EOP]:[EOP]])), t_Parts[[SetupHrsPerMo]:[SetupHrsPerMo]]+(t_Parts[[#This Row],[pv2016.09]]/t_Parts[[NetPPH]:[NetPPH]]),0)</f>
        <v>0</v>
      </c>
      <c r="DN39" s="39">
        <f>IF(AND(BH$3&gt;=VALUE(t_Parts[[SOP]:[SOP]]),BH$3&lt;=VALUE(t_Parts[[EOP]:[EOP]])), t_Parts[[SetupHrsPerMo]:[SetupHrsPerMo]]+(t_Parts[[#This Row],[pv2016.10]]/t_Parts[[NetPPH]:[NetPPH]]),0)</f>
        <v>0</v>
      </c>
      <c r="DO39" s="39">
        <f>IF(AND(BI$3&gt;=VALUE(t_Parts[[SOP]:[SOP]]),BI$3&lt;=VALUE(t_Parts[[EOP]:[EOP]])), t_Parts[[SetupHrsPerMo]:[SetupHrsPerMo]]+(t_Parts[[#This Row],[pv2016.11]]/t_Parts[[NetPPH]:[NetPPH]]),0)</f>
        <v>0</v>
      </c>
      <c r="DP39" s="39">
        <f>IF(AND(BJ$3&gt;=VALUE(t_Parts[[SOP]:[SOP]]),BJ$3&lt;=VALUE(t_Parts[[EOP]:[EOP]])), t_Parts[[SetupHrsPerMo]:[SetupHrsPerMo]]+(t_Parts[[#This Row],[pv2016.12]]/t_Parts[[NetPPH]:[NetPPH]]),0)</f>
        <v>0</v>
      </c>
      <c r="DQ39" s="39">
        <f>SUM(t_Parts[[#This Row],[hp2016.01]:[hp2016.12]])</f>
        <v>0</v>
      </c>
      <c r="DR39" s="39">
        <f>IF(AND(BL$3&gt;=VALUE(t_Parts[[SOP]:[SOP]]),BL$3&lt;=VALUE(t_Parts[[EOP]:[EOP]])), 12*t_Parts[[SetupHrsPerMo]:[SetupHrsPerMo]]+(t_Parts[[#This Row],[pv2017]]/t_Parts[[NetPPH]:[NetPPH]]),0)</f>
        <v>0</v>
      </c>
      <c r="DS39" s="39">
        <f>IF(AND(BM$3&gt;=VALUE(t_Parts[[SOP]:[SOP]]),BM$3&lt;=VALUE(t_Parts[[EOP]:[EOP]])), 12*t_Parts[[SetupHrsPerMo]:[SetupHrsPerMo]]+(t_Parts[[#This Row],[pv2018]]/t_Parts[[NetPPH]:[NetPPH]]),0)</f>
        <v>0</v>
      </c>
      <c r="DT39" s="39">
        <f>IF(AND(BN$3&gt;=VALUE(t_Parts[[SOP]:[SOP]]),BN$3&lt;=VALUE(t_Parts[[EOP]:[EOP]])), 12*t_Parts[[SetupHrsPerMo]:[SetupHrsPerMo]]+(t_Parts[[#This Row],[pv2019]]/t_Parts[[NetPPH]:[NetPPH]]),0)</f>
        <v>0</v>
      </c>
      <c r="DU39" s="47">
        <f>t_Parts[[#This Row],[hp2015.01]]/t_Parts[[#This Row],[ha2015.01]]</f>
        <v>1.2102064602064602E-2</v>
      </c>
      <c r="DV39" s="47">
        <f>t_Parts[[#This Row],[hp2015.02]]/t_Parts[[#This Row],[ha2015.02]]</f>
        <v>1.2102064602064602E-2</v>
      </c>
      <c r="DW39" s="47">
        <f>t_Parts[[#This Row],[hp2015.03]]/t_Parts[[#This Row],[ha2015.03]]</f>
        <v>1.0673493173493174E-2</v>
      </c>
      <c r="DX39" s="47">
        <f>t_Parts[[#This Row],[hp2015.04]]/t_Parts[[#This Row],[ha2015.04]]</f>
        <v>1.2102064602064602E-2</v>
      </c>
      <c r="DY39" s="47">
        <f>t_Parts[[#This Row],[hp2015.05]]/t_Parts[[#This Row],[ha2015.05]]</f>
        <v>1.2102064602064602E-2</v>
      </c>
      <c r="DZ39" s="47">
        <f>t_Parts[[#This Row],[hp2015.06]]/t_Parts[[#This Row],[ha2015.06]]</f>
        <v>1.0673493173493174E-2</v>
      </c>
      <c r="EA39" s="47">
        <f>t_Parts[[#This Row],[hp2015.07]]/t_Parts[[#This Row],[ha2015.07]]</f>
        <v>1.2102064602064602E-2</v>
      </c>
      <c r="EB39" s="47">
        <f>t_Parts[[#This Row],[hp2015.08]]/t_Parts[[#This Row],[ha2015.08]]</f>
        <v>1.2102064602064602E-2</v>
      </c>
      <c r="EC39" s="47">
        <f>t_Parts[[#This Row],[hp2015.09]]/t_Parts[[#This Row],[ha2015.09]]</f>
        <v>1.0673493173493174E-2</v>
      </c>
      <c r="ED39" s="47">
        <f>t_Parts[[#This Row],[hp2015.10]]/t_Parts[[#This Row],[ha2015.10]]</f>
        <v>1.2102064602064602E-2</v>
      </c>
      <c r="EE39" s="47">
        <f>t_Parts[[#This Row],[hp2015.11]]/t_Parts[[#This Row],[ha2015.11]]</f>
        <v>1.2102064602064602E-2</v>
      </c>
      <c r="EF39" s="47">
        <f>t_Parts[[#This Row],[hp2015.12]]/t_Parts[[#This Row],[ha2015.12]]</f>
        <v>1.0673493173493174E-2</v>
      </c>
      <c r="EG39" s="47">
        <f>t_Parts[[#This Row],[hp2015.FY]]/t_Parts[[#This Row],[ha2015.FY]]</f>
        <v>1.1552614052614053E-2</v>
      </c>
      <c r="EH39" s="47">
        <f>t_Parts[[#This Row],[hp2016.01]]/t_Parts[[#This Row],[ha2016.01]]</f>
        <v>0</v>
      </c>
      <c r="EI39" s="47">
        <f>t_Parts[[#This Row],[hp2016.02]]/t_Parts[[#This Row],[ha2016.02]]</f>
        <v>0</v>
      </c>
      <c r="EJ39" s="47">
        <f>t_Parts[[#This Row],[hp2016.03]]/t_Parts[[#This Row],[ha2016.03]]</f>
        <v>0</v>
      </c>
      <c r="EK39" s="47">
        <f>t_Parts[[#This Row],[hp2016.04]]/t_Parts[[#This Row],[ha2016.04]]</f>
        <v>0</v>
      </c>
      <c r="EL39" s="47">
        <f>t_Parts[[#This Row],[hp2016.05]]/t_Parts[[#This Row],[ha2016.05]]</f>
        <v>0</v>
      </c>
      <c r="EM39" s="47">
        <f>t_Parts[[#This Row],[hp2016.06]]/t_Parts[[#This Row],[ha2016.06]]</f>
        <v>0</v>
      </c>
      <c r="EN39" s="47">
        <f>t_Parts[[#This Row],[hp2016.07]]/t_Parts[[#This Row],[ha2016.07]]</f>
        <v>0</v>
      </c>
      <c r="EO39" s="47">
        <f>t_Parts[[#This Row],[hp2016.08]]/t_Parts[[#This Row],[ha2016.08]]</f>
        <v>0</v>
      </c>
      <c r="EP39" s="47">
        <f>t_Parts[[#This Row],[hp2016.09]]/t_Parts[[#This Row],[ha2016.09]]</f>
        <v>0</v>
      </c>
      <c r="EQ39" s="47">
        <f>t_Parts[[#This Row],[hp2016.10]]/t_Parts[[#This Row],[ha2016.10]]</f>
        <v>0</v>
      </c>
      <c r="ER39" s="47">
        <f>t_Parts[[#This Row],[hp2016.11]]/t_Parts[[#This Row],[ha2016.11]]</f>
        <v>0</v>
      </c>
      <c r="ES39" s="47">
        <f>t_Parts[[#This Row],[hp2016.12]]/t_Parts[[#This Row],[ha2016.12]]</f>
        <v>0</v>
      </c>
      <c r="ET39" s="47">
        <f>t_Parts[[#This Row],[hp2016.FY]]/t_Parts[[#This Row],[ha2016.FY]]</f>
        <v>0</v>
      </c>
      <c r="EU39" s="47">
        <f>t_Parts[[#This Row],[hp2017]]/t_Parts[[#This Row],[ha2017]]</f>
        <v>0</v>
      </c>
      <c r="EV39" s="47">
        <f>t_Parts[[#This Row],[hp2018]]/t_Parts[[#This Row],[ha2018]]</f>
        <v>0</v>
      </c>
      <c r="EW39" s="47">
        <f>t_Parts[[#This Row],[hp2019]]/t_Parts[[#This Row],[hp2015.01]]</f>
        <v>0</v>
      </c>
      <c r="EX39" s="58">
        <f>(t_Parts[[#This Row],[ha2015.01]]-t_Parts[[#This Row],[hp2015.01]])*t_Parts[[NetPPH]:[NetPPH]]</f>
        <v>365127.07692307694</v>
      </c>
      <c r="EY39" s="58">
        <f>(t_Parts[[#This Row],[ha2015.02]]-t_Parts[[#This Row],[hp2015.02]])*t_Parts[[NetPPH]:[NetPPH]]</f>
        <v>365127.07692307694</v>
      </c>
      <c r="EZ39" s="58">
        <f>(t_Parts[[#This Row],[ha2015.03]]-t_Parts[[#This Row],[hp2015.03]])*t_Parts[[NetPPH]:[NetPPH]]</f>
        <v>457068.84615384613</v>
      </c>
      <c r="FA39" s="58">
        <f>(t_Parts[[#This Row],[ha2015.04]]-t_Parts[[#This Row],[hp2015.04]])*t_Parts[[NetPPH]:[NetPPH]]</f>
        <v>365127.07692307694</v>
      </c>
      <c r="FB39" s="58">
        <f>(t_Parts[[#This Row],[ha2015.05]]-t_Parts[[#This Row],[hp2015.05]])*t_Parts[[NetPPH]:[NetPPH]]</f>
        <v>365127.07692307694</v>
      </c>
      <c r="FC39" s="58">
        <f>(t_Parts[[#This Row],[ha2015.06]]-t_Parts[[#This Row],[hp2015.06]])*t_Parts[[NetPPH]:[NetPPH]]</f>
        <v>457068.84615384613</v>
      </c>
      <c r="FD39" s="58">
        <f>(t_Parts[[#This Row],[ha2015.07]]-t_Parts[[#This Row],[hp2015.07]])*t_Parts[[NetPPH]:[NetPPH]]</f>
        <v>365127.07692307694</v>
      </c>
      <c r="FE39" s="58">
        <f>(t_Parts[[#This Row],[ha2015.08]]-t_Parts[[#This Row],[hp2015.08]])*t_Parts[[NetPPH]:[NetPPH]]</f>
        <v>365127.07692307694</v>
      </c>
      <c r="FF39" s="58">
        <f>(t_Parts[[#This Row],[ha2015.09]]-t_Parts[[#This Row],[hp2015.09]])*t_Parts[[NetPPH]:[NetPPH]]</f>
        <v>457068.84615384613</v>
      </c>
      <c r="FG39" s="58">
        <f>(t_Parts[[#This Row],[ha2015.10]]-t_Parts[[#This Row],[hp2015.10]])*t_Parts[[NetPPH]:[NetPPH]]</f>
        <v>365127.07692307694</v>
      </c>
      <c r="FH39" s="58">
        <f>(t_Parts[[#This Row],[ha2015.11]]-t_Parts[[#This Row],[hp2015.11]])*t_Parts[[NetPPH]:[NetPPH]]</f>
        <v>365127.07692307694</v>
      </c>
      <c r="FI39" s="58">
        <f>(t_Parts[[#This Row],[ha2015.12]]-t_Parts[[#This Row],[hp2015.12]])*t_Parts[[NetPPH]:[NetPPH]]</f>
        <v>457068.84615384613</v>
      </c>
      <c r="FJ39" s="58">
        <f>(t_Parts[[#This Row],[ha2015.FY]]-t_Parts[[#This Row],[hp2015.FY]])*t_Parts[[NetPPH]:[NetPPH]]</f>
        <v>4749292</v>
      </c>
      <c r="FK39" s="58">
        <f>(t_Parts[[#This Row],[ha2016.01]]-t_Parts[[#This Row],[hp2016.01]])*t_Parts[[NetPPH]:[NetPPH]]</f>
        <v>369600</v>
      </c>
      <c r="FL39" s="58">
        <f>(t_Parts[[#This Row],[ha2016.02]]-t_Parts[[#This Row],[hp2016.02]])*t_Parts[[NetPPH]:[NetPPH]]</f>
        <v>369600</v>
      </c>
      <c r="FM39" s="58">
        <f>(t_Parts[[#This Row],[ha2016.03]]-t_Parts[[#This Row],[hp2016.03]])*t_Parts[[NetPPH]:[NetPPH]]</f>
        <v>462000</v>
      </c>
      <c r="FN39" s="58">
        <f>(t_Parts[[#This Row],[ha2016.04]]-t_Parts[[#This Row],[hp2016.04]])*t_Parts[[NetPPH]:[NetPPH]]</f>
        <v>369600</v>
      </c>
      <c r="FO39" s="58">
        <f>(t_Parts[[#This Row],[ha2016.05]]-t_Parts[[#This Row],[hp2016.05]])*t_Parts[[NetPPH]:[NetPPH]]</f>
        <v>369600</v>
      </c>
      <c r="FP39" s="58">
        <f>(t_Parts[[#This Row],[ha2016.06]]-t_Parts[[#This Row],[hp2016.06]])*t_Parts[[NetPPH]:[NetPPH]]</f>
        <v>462000</v>
      </c>
      <c r="FQ39" s="58">
        <f>(t_Parts[[#This Row],[ha2016.07]]-t_Parts[[#This Row],[hp2016.07]])*t_Parts[[NetPPH]:[NetPPH]]</f>
        <v>369600</v>
      </c>
      <c r="FR39" s="58">
        <f>(t_Parts[[#This Row],[ha2016.08]]-t_Parts[[#This Row],[hp2016.08]])*t_Parts[[NetPPH]:[NetPPH]]</f>
        <v>369600</v>
      </c>
      <c r="FS39" s="58">
        <f>(t_Parts[[#This Row],[ha2016.09]]-t_Parts[[#This Row],[hp2016.09]])*t_Parts[[NetPPH]:[NetPPH]]</f>
        <v>462000</v>
      </c>
      <c r="FT39" s="58">
        <f>(t_Parts[[#This Row],[ha2016.10]]-t_Parts[[#This Row],[hp2016.10]])*t_Parts[[NetPPH]:[NetPPH]]</f>
        <v>369600</v>
      </c>
      <c r="FU39" s="58">
        <f>(t_Parts[[#This Row],[ha2016.11]]-t_Parts[[#This Row],[hp2016.11]])*t_Parts[[NetPPH]:[NetPPH]]</f>
        <v>369600</v>
      </c>
      <c r="FV39" s="58">
        <f>(t_Parts[[#This Row],[ha2016.12]]-t_Parts[[#This Row],[hp2016.12]])*t_Parts[[NetPPH]:[NetPPH]]</f>
        <v>462000</v>
      </c>
      <c r="FW39" s="58">
        <f>(t_Parts[[#This Row],[ha2016.FY]]-t_Parts[[#This Row],[hp2016.FY]])*t_Parts[[NetPPH]:[NetPPH]]</f>
        <v>4804800</v>
      </c>
      <c r="FX39" s="58">
        <f>(t_Parts[[#This Row],[ha2017]]-t_Parts[[#This Row],[hp2017]])*t_Parts[[NetPPH]:[NetPPH]]</f>
        <v>4804800</v>
      </c>
      <c r="FY39" s="58">
        <f>(t_Parts[[#This Row],[ha2018]]-t_Parts[[#This Row],[hp2018]])*t_Parts[[NetPPH]:[NetPPH]]</f>
        <v>4804800</v>
      </c>
      <c r="FZ39" s="58">
        <f>(t_Parts[[#This Row],[ha2019]]-t_Parts[[#This Row],[hp2019]])*t_Parts[[NetPPH]:[NetPPH]]</f>
        <v>4804800</v>
      </c>
    </row>
    <row r="40" spans="1:182" s="14" customFormat="1" x14ac:dyDescent="0.25">
      <c r="A40" s="74" t="s">
        <v>517</v>
      </c>
      <c r="B40" s="74"/>
      <c r="C40" s="74">
        <v>21012</v>
      </c>
      <c r="D40" s="75">
        <v>1</v>
      </c>
      <c r="E40" s="73">
        <v>720</v>
      </c>
      <c r="F40" s="76">
        <v>1</v>
      </c>
      <c r="G40" s="77">
        <v>2</v>
      </c>
      <c r="H40" s="16">
        <v>2015.01</v>
      </c>
      <c r="I40" s="16" t="s">
        <v>81</v>
      </c>
      <c r="J40" s="73">
        <v>12960</v>
      </c>
      <c r="K40" s="73">
        <v>12960</v>
      </c>
      <c r="L40" s="73">
        <v>12960</v>
      </c>
      <c r="M40" s="73">
        <v>12960</v>
      </c>
      <c r="N40" s="73">
        <v>12960</v>
      </c>
      <c r="O40" s="78">
        <v>55</v>
      </c>
      <c r="P40" s="78">
        <v>64</v>
      </c>
      <c r="Q40" s="79">
        <v>28.75</v>
      </c>
      <c r="R40" s="79"/>
      <c r="S40" s="78"/>
      <c r="T40" s="80">
        <v>21</v>
      </c>
      <c r="U40" s="80" t="s">
        <v>121</v>
      </c>
      <c r="V40" s="81"/>
      <c r="W40" s="82">
        <v>1.19</v>
      </c>
      <c r="X40" s="82" t="s">
        <v>501</v>
      </c>
      <c r="Y40" s="82"/>
      <c r="Z40" s="82"/>
      <c r="AA40" s="82"/>
      <c r="AB40" s="82"/>
      <c r="AC40" s="83" t="s">
        <v>667</v>
      </c>
      <c r="AD40" s="40" t="str">
        <f>VLOOKUP(t_Parts[[#This Row],[Press]],t_Presses[],Press!B$1,FALSE)</f>
        <v>Plainfield</v>
      </c>
      <c r="AE40" s="40" t="str">
        <f>VLOOKUP(t_Parts[[#This Row],[Press]],t_Presses[],Press!E$1,FALSE)</f>
        <v>600-899</v>
      </c>
      <c r="AF40" s="47">
        <f>VLOOKUP(t_Parts[[#This Row],[Plant]],t_Plants[],Plants!C$1,FALSE)</f>
        <v>0.55000000000000004</v>
      </c>
      <c r="AG40" s="47">
        <f>VLOOKUP(t_Parts[[#This Row],[Press]],t_Presses[],Press!F$1,FALSE)</f>
        <v>0</v>
      </c>
      <c r="AH40" s="84"/>
      <c r="AI40" s="47">
        <f>IF(ISBLANK(t_Parts[[#This Row],[PartOEE]])=FALSE,t_Parts[[#This Row],[PartOEE]], IF(t_Parts[[#This Row],[PressOEE]]&gt;0, t_Parts[[#This Row],[PressOEE]], t_Parts[[#This Row],[PlantOEE]] ))</f>
        <v>0.55000000000000004</v>
      </c>
      <c r="AJ40" s="70">
        <f>t_Parts[[#This Row],[SetupsPerMo]]*t_Parts[[#This Row],[SetupHrs]]</f>
        <v>2</v>
      </c>
      <c r="AK40" s="39">
        <f>(t_Parts[[#This Row],[PartsPerStroke]]*t_Parts[[#This Row],[StrokesPerHr]])*t_Parts[[#This Row],[UseOEE]]</f>
        <v>396.00000000000006</v>
      </c>
      <c r="AL4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4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4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4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4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4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4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4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4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4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4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4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40" s="39">
        <f>SUM(t_Parts[[#This Row],[pv2015.01]:[pv2015.12]])</f>
        <v>12959.999999999998</v>
      </c>
      <c r="AY4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4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4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4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4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4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4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4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4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4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4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4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40" s="39">
        <f>SUM(t_Parts[[#This Row],[pv2016.01]:[pv2016.12]])</f>
        <v>12959.999999999998</v>
      </c>
      <c r="BL40" s="39">
        <f>t_Parts[[#This Row],[2017vol]]</f>
        <v>12960</v>
      </c>
      <c r="BM40" s="39">
        <f>t_Parts[[#This Row],[2018vol]]</f>
        <v>12960</v>
      </c>
      <c r="BN40" s="39">
        <f>t_Parts[[#This Row],[2019vol]]</f>
        <v>12960</v>
      </c>
      <c r="BO40" s="40">
        <f>VLOOKUP(t_Parts[[Plant]:[Plant]],t_Plants[],Plants!CN$1,FALSE)</f>
        <v>280</v>
      </c>
      <c r="BP40" s="14">
        <f>VLOOKUP(t_Parts[[Plant]:[Plant]],t_Plants[],Plants!CO$1,FALSE)</f>
        <v>280</v>
      </c>
      <c r="BQ40" s="14">
        <f>VLOOKUP(t_Parts[[Plant]:[Plant]],t_Plants[],Plants!CP$1,FALSE)</f>
        <v>350</v>
      </c>
      <c r="BR40" s="14">
        <f>VLOOKUP(t_Parts[[Plant]:[Plant]],t_Plants[],Plants!CQ$1,FALSE)</f>
        <v>280</v>
      </c>
      <c r="BS40" s="14">
        <f>VLOOKUP(t_Parts[[Plant]:[Plant]],t_Plants[],Plants!CR$1,FALSE)</f>
        <v>280</v>
      </c>
      <c r="BT40" s="14">
        <f>VLOOKUP(t_Parts[[Plant]:[Plant]],t_Plants[],Plants!CS$1,FALSE)</f>
        <v>350</v>
      </c>
      <c r="BU40" s="14">
        <f>VLOOKUP(t_Parts[[Plant]:[Plant]],t_Plants[],Plants!CT$1,FALSE)</f>
        <v>280</v>
      </c>
      <c r="BV40" s="14">
        <f>VLOOKUP(t_Parts[[Plant]:[Plant]],t_Plants[],Plants!CU$1,FALSE)</f>
        <v>280</v>
      </c>
      <c r="BW40" s="14">
        <f>VLOOKUP(t_Parts[[Plant]:[Plant]],t_Plants[],Plants!CV$1,FALSE)</f>
        <v>350</v>
      </c>
      <c r="BX40" s="14">
        <f>VLOOKUP(t_Parts[[Plant]:[Plant]],t_Plants[],Plants!CW$1,FALSE)</f>
        <v>280</v>
      </c>
      <c r="BY40" s="14">
        <f>VLOOKUP(t_Parts[[Plant]:[Plant]],t_Plants[],Plants!CX$1,FALSE)</f>
        <v>280</v>
      </c>
      <c r="BZ40" s="14">
        <f>VLOOKUP(t_Parts[[Plant]:[Plant]],t_Plants[],Plants!CY$1,FALSE)</f>
        <v>350</v>
      </c>
      <c r="CA40" s="40">
        <f>SUM(t_Parts[[#This Row],[ha2015.01]:[ha2015.12]])</f>
        <v>3640</v>
      </c>
      <c r="CB40" s="14">
        <f>VLOOKUP(t_Parts[[Plant]:[Plant]],t_Plants[],Plants!DA$1,FALSE)</f>
        <v>280</v>
      </c>
      <c r="CC40" s="14">
        <f>VLOOKUP(t_Parts[[Plant]:[Plant]],t_Plants[],Plants!DB$1,FALSE)</f>
        <v>280</v>
      </c>
      <c r="CD40" s="14">
        <f>VLOOKUP(t_Parts[[Plant]:[Plant]],t_Plants[],Plants!DC$1,FALSE)</f>
        <v>350</v>
      </c>
      <c r="CE40" s="14">
        <f>VLOOKUP(t_Parts[[Plant]:[Plant]],t_Plants[],Plants!DD$1,FALSE)</f>
        <v>280</v>
      </c>
      <c r="CF40" s="14">
        <f>VLOOKUP(t_Parts[[Plant]:[Plant]],t_Plants[],Plants!DE$1,FALSE)</f>
        <v>280</v>
      </c>
      <c r="CG40" s="14">
        <f>VLOOKUP(t_Parts[[Plant]:[Plant]],t_Plants[],Plants!DF$1,FALSE)</f>
        <v>350</v>
      </c>
      <c r="CH40" s="14">
        <f>VLOOKUP(t_Parts[[Plant]:[Plant]],t_Plants[],Plants!DG$1,FALSE)</f>
        <v>280</v>
      </c>
      <c r="CI40" s="14">
        <f>VLOOKUP(t_Parts[[Plant]:[Plant]],t_Plants[],Plants!DH$1,FALSE)</f>
        <v>280</v>
      </c>
      <c r="CJ40" s="14">
        <f>VLOOKUP(t_Parts[[Plant]:[Plant]],t_Plants[],Plants!DI$1,FALSE)</f>
        <v>350</v>
      </c>
      <c r="CK40" s="14">
        <f>VLOOKUP(t_Parts[[Plant]:[Plant]],t_Plants[],Plants!DJ$1,FALSE)</f>
        <v>280</v>
      </c>
      <c r="CL40" s="14">
        <f>VLOOKUP(t_Parts[[Plant]:[Plant]],t_Plants[],Plants!DK$1,FALSE)</f>
        <v>280</v>
      </c>
      <c r="CM40" s="14">
        <f>VLOOKUP(t_Parts[[Plant]:[Plant]],t_Plants[],Plants!DL$1,FALSE)</f>
        <v>350</v>
      </c>
      <c r="CN40" s="14">
        <f>VLOOKUP(t_Parts[[Plant]:[Plant]],t_Plants[],Plants!DM$1,FALSE)</f>
        <v>3640</v>
      </c>
      <c r="CO40" s="14">
        <f>VLOOKUP(t_Parts[[Plant]:[Plant]],t_Plants[],Plants!DN$1,FALSE)</f>
        <v>3640</v>
      </c>
      <c r="CP40" s="14">
        <f>VLOOKUP(t_Parts[[Plant]:[Plant]],t_Plants[],Plants!DO$1,FALSE)</f>
        <v>3640</v>
      </c>
      <c r="CQ40" s="14">
        <f>VLOOKUP(t_Parts[[Plant]:[Plant]],t_Plants[],Plants!DP$1,FALSE)</f>
        <v>3640</v>
      </c>
      <c r="CR40" s="39">
        <f>IF(AND(AL$3&gt;=VALUE(t_Parts[[SOP]:[SOP]]),AL$3&lt;=VALUE(t_Parts[[EOP]:[EOP]])), t_Parts[[SetupHrsPerMo]:[SetupHrsPerMo]]+(t_Parts[[#This Row],[pv2015.01]]/t_Parts[[NetPPH]:[NetPPH]]),0)</f>
        <v>4.5174825174825166</v>
      </c>
      <c r="CS40" s="39">
        <f>IF(AND(AM$3&gt;=VALUE(t_Parts[[SOP]:[SOP]]),AM$3&lt;=VALUE(t_Parts[[EOP]:[EOP]])), t_Parts[[SetupHrsPerMo]:[SetupHrsPerMo]]+(t_Parts[[#This Row],[pv2015.02]]/t_Parts[[NetPPH]:[NetPPH]]),0)</f>
        <v>4.5174825174825166</v>
      </c>
      <c r="CT40" s="39">
        <f>IF(AND(AN$3&gt;=VALUE(t_Parts[[SOP]:[SOP]]),AN$3&lt;=VALUE(t_Parts[[EOP]:[EOP]])), t_Parts[[SetupHrsPerMo]:[SetupHrsPerMo]]+(t_Parts[[#This Row],[pv2015.03]]/t_Parts[[NetPPH]:[NetPPH]]),0)</f>
        <v>5.1468531468531467</v>
      </c>
      <c r="CU40" s="39">
        <f>IF(AND(AO$3&gt;=VALUE(t_Parts[[SOP]:[SOP]]),AO$3&lt;=VALUE(t_Parts[[EOP]:[EOP]])), t_Parts[[SetupHrsPerMo]:[SetupHrsPerMo]]+(t_Parts[[#This Row],[pv2015.04]]/t_Parts[[NetPPH]:[NetPPH]]),0)</f>
        <v>4.5174825174825166</v>
      </c>
      <c r="CV40" s="39">
        <f>IF(AND(AP$3&gt;=VALUE(t_Parts[[SOP]:[SOP]]),AP$3&lt;=VALUE(t_Parts[[EOP]:[EOP]])), t_Parts[[SetupHrsPerMo]:[SetupHrsPerMo]]+(t_Parts[[#This Row],[pv2015.05]]/t_Parts[[NetPPH]:[NetPPH]]),0)</f>
        <v>4.5174825174825166</v>
      </c>
      <c r="CW40" s="39">
        <f>IF(AND(AQ$3&gt;=VALUE(t_Parts[[SOP]:[SOP]]),AQ$3&lt;=VALUE(t_Parts[[EOP]:[EOP]])), t_Parts[[SetupHrsPerMo]:[SetupHrsPerMo]]+(t_Parts[[#This Row],[pv2015.06]]/t_Parts[[NetPPH]:[NetPPH]]),0)</f>
        <v>5.1468531468531467</v>
      </c>
      <c r="CX40" s="39">
        <f>IF(AND(AR$3&gt;=VALUE(t_Parts[[SOP]:[SOP]]),AR$3&lt;=VALUE(t_Parts[[EOP]:[EOP]])), t_Parts[[SetupHrsPerMo]:[SetupHrsPerMo]]+(t_Parts[[#This Row],[pv2015.07]]/t_Parts[[NetPPH]:[NetPPH]]),0)</f>
        <v>4.5174825174825166</v>
      </c>
      <c r="CY40" s="39">
        <f>IF(AND(AS$3&gt;=VALUE(t_Parts[[SOP]:[SOP]]),AS$3&lt;=VALUE(t_Parts[[EOP]:[EOP]])), t_Parts[[SetupHrsPerMo]:[SetupHrsPerMo]]+(t_Parts[[#This Row],[pv2015.08]]/t_Parts[[NetPPH]:[NetPPH]]),0)</f>
        <v>4.5174825174825166</v>
      </c>
      <c r="CZ40" s="39">
        <f>IF(AND(AT$3&gt;=VALUE(t_Parts[[SOP]:[SOP]]),AT$3&lt;=VALUE(t_Parts[[EOP]:[EOP]])), t_Parts[[SetupHrsPerMo]:[SetupHrsPerMo]]+(t_Parts[[#This Row],[pv2015.09]]/t_Parts[[NetPPH]:[NetPPH]]),0)</f>
        <v>5.1468531468531467</v>
      </c>
      <c r="DA40" s="39">
        <f>IF(AND(AU$3&gt;=VALUE(t_Parts[[SOP]:[SOP]]),AU$3&lt;=VALUE(t_Parts[[EOP]:[EOP]])), t_Parts[[SetupHrsPerMo]:[SetupHrsPerMo]]+(t_Parts[[#This Row],[pv2015.10]]/t_Parts[[NetPPH]:[NetPPH]]),0)</f>
        <v>4.5174825174825166</v>
      </c>
      <c r="DB40" s="39">
        <f>IF(AND(AV$3&gt;=VALUE(t_Parts[[SOP]:[SOP]]),AV$3&lt;=VALUE(t_Parts[[EOP]:[EOP]])), t_Parts[[SetupHrsPerMo]:[SetupHrsPerMo]]+(t_Parts[[#This Row],[pv2015.11]]/t_Parts[[NetPPH]:[NetPPH]]),0)</f>
        <v>4.5174825174825166</v>
      </c>
      <c r="DC40" s="39">
        <f>IF(AND(AW$3&gt;=VALUE(t_Parts[[SOP]:[SOP]]),AW$3&lt;=VALUE(t_Parts[[EOP]:[EOP]])), t_Parts[[SetupHrsPerMo]:[SetupHrsPerMo]]+(t_Parts[[#This Row],[pv2015.12]]/t_Parts[[NetPPH]:[NetPPH]]),0)</f>
        <v>5.1468531468531467</v>
      </c>
      <c r="DD40" s="39">
        <f>SUM(t_Parts[[#This Row],[hp2015.01]:[hp2015.12]])</f>
        <v>56.727272727272734</v>
      </c>
      <c r="DE40" s="39">
        <f>IF(AND(AY$3&gt;=VALUE(t_Parts[[SOP]:[SOP]]),AY$3&lt;=VALUE(t_Parts[[EOP]:[EOP]])), t_Parts[[SetupHrsPerMo]:[SetupHrsPerMo]]+(t_Parts[[#This Row],[pv2016.01]]/t_Parts[[NetPPH]:[NetPPH]]),0)</f>
        <v>4.5174825174825166</v>
      </c>
      <c r="DF40" s="39">
        <f>IF(AND(AZ$3&gt;=VALUE(t_Parts[[SOP]:[SOP]]),AZ$3&lt;=VALUE(t_Parts[[EOP]:[EOP]])), t_Parts[[SetupHrsPerMo]:[SetupHrsPerMo]]+(t_Parts[[#This Row],[pv2016.02]]/t_Parts[[NetPPH]:[NetPPH]]),0)</f>
        <v>4.5174825174825166</v>
      </c>
      <c r="DG40" s="39">
        <f>IF(AND(BA$3&gt;=VALUE(t_Parts[[SOP]:[SOP]]),BA$3&lt;=VALUE(t_Parts[[EOP]:[EOP]])), t_Parts[[SetupHrsPerMo]:[SetupHrsPerMo]]+(t_Parts[[#This Row],[pv2016.03]]/t_Parts[[NetPPH]:[NetPPH]]),0)</f>
        <v>5.1468531468531467</v>
      </c>
      <c r="DH40" s="39">
        <f>IF(AND(BB$3&gt;=VALUE(t_Parts[[SOP]:[SOP]]),BB$3&lt;=VALUE(t_Parts[[EOP]:[EOP]])), t_Parts[[SetupHrsPerMo]:[SetupHrsPerMo]]+(t_Parts[[#This Row],[pv2016.04]]/t_Parts[[NetPPH]:[NetPPH]]),0)</f>
        <v>4.5174825174825166</v>
      </c>
      <c r="DI40" s="39">
        <f>IF(AND(BC$3&gt;=VALUE(t_Parts[[SOP]:[SOP]]),BC$3&lt;=VALUE(t_Parts[[EOP]:[EOP]])), t_Parts[[SetupHrsPerMo]:[SetupHrsPerMo]]+(t_Parts[[#This Row],[pv2016.05]]/t_Parts[[NetPPH]:[NetPPH]]),0)</f>
        <v>4.5174825174825166</v>
      </c>
      <c r="DJ40" s="39">
        <f>IF(AND(BD$3&gt;=VALUE(t_Parts[[SOP]:[SOP]]),BD$3&lt;=VALUE(t_Parts[[EOP]:[EOP]])), t_Parts[[SetupHrsPerMo]:[SetupHrsPerMo]]+(t_Parts[[#This Row],[pv2016.06]]/t_Parts[[NetPPH]:[NetPPH]]),0)</f>
        <v>5.1468531468531467</v>
      </c>
      <c r="DK40" s="39">
        <f>IF(AND(BE$3&gt;=VALUE(t_Parts[[SOP]:[SOP]]),BE$3&lt;=VALUE(t_Parts[[EOP]:[EOP]])), t_Parts[[SetupHrsPerMo]:[SetupHrsPerMo]]+(t_Parts[[#This Row],[pv2016.07]]/t_Parts[[NetPPH]:[NetPPH]]),0)</f>
        <v>4.5174825174825166</v>
      </c>
      <c r="DL40" s="39">
        <f>IF(AND(BF$3&gt;=VALUE(t_Parts[[SOP]:[SOP]]),BF$3&lt;=VALUE(t_Parts[[EOP]:[EOP]])), t_Parts[[SetupHrsPerMo]:[SetupHrsPerMo]]+(t_Parts[[#This Row],[pv2016.08]]/t_Parts[[NetPPH]:[NetPPH]]),0)</f>
        <v>4.5174825174825166</v>
      </c>
      <c r="DM40" s="39">
        <f>IF(AND(BG$3&gt;=VALUE(t_Parts[[SOP]:[SOP]]),BG$3&lt;=VALUE(t_Parts[[EOP]:[EOP]])), t_Parts[[SetupHrsPerMo]:[SetupHrsPerMo]]+(t_Parts[[#This Row],[pv2016.09]]/t_Parts[[NetPPH]:[NetPPH]]),0)</f>
        <v>5.1468531468531467</v>
      </c>
      <c r="DN40" s="39">
        <f>IF(AND(BH$3&gt;=VALUE(t_Parts[[SOP]:[SOP]]),BH$3&lt;=VALUE(t_Parts[[EOP]:[EOP]])), t_Parts[[SetupHrsPerMo]:[SetupHrsPerMo]]+(t_Parts[[#This Row],[pv2016.10]]/t_Parts[[NetPPH]:[NetPPH]]),0)</f>
        <v>4.5174825174825166</v>
      </c>
      <c r="DO40" s="39">
        <f>IF(AND(BI$3&gt;=VALUE(t_Parts[[SOP]:[SOP]]),BI$3&lt;=VALUE(t_Parts[[EOP]:[EOP]])), t_Parts[[SetupHrsPerMo]:[SetupHrsPerMo]]+(t_Parts[[#This Row],[pv2016.11]]/t_Parts[[NetPPH]:[NetPPH]]),0)</f>
        <v>4.5174825174825166</v>
      </c>
      <c r="DP40" s="39">
        <f>IF(AND(BJ$3&gt;=VALUE(t_Parts[[SOP]:[SOP]]),BJ$3&lt;=VALUE(t_Parts[[EOP]:[EOP]])), t_Parts[[SetupHrsPerMo]:[SetupHrsPerMo]]+(t_Parts[[#This Row],[pv2016.12]]/t_Parts[[NetPPH]:[NetPPH]]),0)</f>
        <v>5.1468531468531467</v>
      </c>
      <c r="DQ40" s="39">
        <f>SUM(t_Parts[[#This Row],[hp2016.01]:[hp2016.12]])</f>
        <v>56.727272727272734</v>
      </c>
      <c r="DR40" s="39">
        <f>IF(AND(BL$3&gt;=VALUE(t_Parts[[SOP]:[SOP]]),BL$3&lt;=VALUE(t_Parts[[EOP]:[EOP]])), 12*t_Parts[[SetupHrsPerMo]:[SetupHrsPerMo]]+(t_Parts[[#This Row],[pv2017]]/t_Parts[[NetPPH]:[NetPPH]]),0)</f>
        <v>56.72727272727272</v>
      </c>
      <c r="DS40" s="39">
        <f>IF(AND(BM$3&gt;=VALUE(t_Parts[[SOP]:[SOP]]),BM$3&lt;=VALUE(t_Parts[[EOP]:[EOP]])), 12*t_Parts[[SetupHrsPerMo]:[SetupHrsPerMo]]+(t_Parts[[#This Row],[pv2018]]/t_Parts[[NetPPH]:[NetPPH]]),0)</f>
        <v>0</v>
      </c>
      <c r="DT40" s="39">
        <f>IF(AND(BN$3&gt;=VALUE(t_Parts[[SOP]:[SOP]]),BN$3&lt;=VALUE(t_Parts[[EOP]:[EOP]])), 12*t_Parts[[SetupHrsPerMo]:[SetupHrsPerMo]]+(t_Parts[[#This Row],[pv2019]]/t_Parts[[NetPPH]:[NetPPH]]),0)</f>
        <v>0</v>
      </c>
      <c r="DU40" s="47">
        <f>t_Parts[[#This Row],[hp2015.01]]/t_Parts[[#This Row],[ha2015.01]]</f>
        <v>1.613386613386613E-2</v>
      </c>
      <c r="DV40" s="47">
        <f>t_Parts[[#This Row],[hp2015.02]]/t_Parts[[#This Row],[ha2015.02]]</f>
        <v>1.613386613386613E-2</v>
      </c>
      <c r="DW40" s="47">
        <f>t_Parts[[#This Row],[hp2015.03]]/t_Parts[[#This Row],[ha2015.03]]</f>
        <v>1.4705294705294705E-2</v>
      </c>
      <c r="DX40" s="47">
        <f>t_Parts[[#This Row],[hp2015.04]]/t_Parts[[#This Row],[ha2015.04]]</f>
        <v>1.613386613386613E-2</v>
      </c>
      <c r="DY40" s="47">
        <f>t_Parts[[#This Row],[hp2015.05]]/t_Parts[[#This Row],[ha2015.05]]</f>
        <v>1.613386613386613E-2</v>
      </c>
      <c r="DZ40" s="47">
        <f>t_Parts[[#This Row],[hp2015.06]]/t_Parts[[#This Row],[ha2015.06]]</f>
        <v>1.4705294705294705E-2</v>
      </c>
      <c r="EA40" s="47">
        <f>t_Parts[[#This Row],[hp2015.07]]/t_Parts[[#This Row],[ha2015.07]]</f>
        <v>1.613386613386613E-2</v>
      </c>
      <c r="EB40" s="47">
        <f>t_Parts[[#This Row],[hp2015.08]]/t_Parts[[#This Row],[ha2015.08]]</f>
        <v>1.613386613386613E-2</v>
      </c>
      <c r="EC40" s="47">
        <f>t_Parts[[#This Row],[hp2015.09]]/t_Parts[[#This Row],[ha2015.09]]</f>
        <v>1.4705294705294705E-2</v>
      </c>
      <c r="ED40" s="47">
        <f>t_Parts[[#This Row],[hp2015.10]]/t_Parts[[#This Row],[ha2015.10]]</f>
        <v>1.613386613386613E-2</v>
      </c>
      <c r="EE40" s="47">
        <f>t_Parts[[#This Row],[hp2015.11]]/t_Parts[[#This Row],[ha2015.11]]</f>
        <v>1.613386613386613E-2</v>
      </c>
      <c r="EF40" s="47">
        <f>t_Parts[[#This Row],[hp2015.12]]/t_Parts[[#This Row],[ha2015.12]]</f>
        <v>1.4705294705294705E-2</v>
      </c>
      <c r="EG40" s="47">
        <f>t_Parts[[#This Row],[hp2015.FY]]/t_Parts[[#This Row],[ha2015.FY]]</f>
        <v>1.5584415584415586E-2</v>
      </c>
      <c r="EH40" s="47">
        <f>t_Parts[[#This Row],[hp2016.01]]/t_Parts[[#This Row],[ha2016.01]]</f>
        <v>1.613386613386613E-2</v>
      </c>
      <c r="EI40" s="47">
        <f>t_Parts[[#This Row],[hp2016.02]]/t_Parts[[#This Row],[ha2016.02]]</f>
        <v>1.613386613386613E-2</v>
      </c>
      <c r="EJ40" s="47">
        <f>t_Parts[[#This Row],[hp2016.03]]/t_Parts[[#This Row],[ha2016.03]]</f>
        <v>1.4705294705294705E-2</v>
      </c>
      <c r="EK40" s="47">
        <f>t_Parts[[#This Row],[hp2016.04]]/t_Parts[[#This Row],[ha2016.04]]</f>
        <v>1.613386613386613E-2</v>
      </c>
      <c r="EL40" s="47">
        <f>t_Parts[[#This Row],[hp2016.05]]/t_Parts[[#This Row],[ha2016.05]]</f>
        <v>1.613386613386613E-2</v>
      </c>
      <c r="EM40" s="47">
        <f>t_Parts[[#This Row],[hp2016.06]]/t_Parts[[#This Row],[ha2016.06]]</f>
        <v>1.4705294705294705E-2</v>
      </c>
      <c r="EN40" s="47">
        <f>t_Parts[[#This Row],[hp2016.07]]/t_Parts[[#This Row],[ha2016.07]]</f>
        <v>1.613386613386613E-2</v>
      </c>
      <c r="EO40" s="47">
        <f>t_Parts[[#This Row],[hp2016.08]]/t_Parts[[#This Row],[ha2016.08]]</f>
        <v>1.613386613386613E-2</v>
      </c>
      <c r="EP40" s="47">
        <f>t_Parts[[#This Row],[hp2016.09]]/t_Parts[[#This Row],[ha2016.09]]</f>
        <v>1.4705294705294705E-2</v>
      </c>
      <c r="EQ40" s="47">
        <f>t_Parts[[#This Row],[hp2016.10]]/t_Parts[[#This Row],[ha2016.10]]</f>
        <v>1.613386613386613E-2</v>
      </c>
      <c r="ER40" s="47">
        <f>t_Parts[[#This Row],[hp2016.11]]/t_Parts[[#This Row],[ha2016.11]]</f>
        <v>1.613386613386613E-2</v>
      </c>
      <c r="ES40" s="47">
        <f>t_Parts[[#This Row],[hp2016.12]]/t_Parts[[#This Row],[ha2016.12]]</f>
        <v>1.4705294705294705E-2</v>
      </c>
      <c r="ET40" s="47">
        <f>t_Parts[[#This Row],[hp2016.FY]]/t_Parts[[#This Row],[ha2016.FY]]</f>
        <v>1.5584415584415586E-2</v>
      </c>
      <c r="EU40" s="47">
        <f>t_Parts[[#This Row],[hp2017]]/t_Parts[[#This Row],[ha2017]]</f>
        <v>1.5584415584415583E-2</v>
      </c>
      <c r="EV40" s="47">
        <f>t_Parts[[#This Row],[hp2018]]/t_Parts[[#This Row],[ha2018]]</f>
        <v>0</v>
      </c>
      <c r="EW40" s="47">
        <f>t_Parts[[#This Row],[hp2019]]/t_Parts[[#This Row],[hp2015.01]]</f>
        <v>0</v>
      </c>
      <c r="EX40" s="58">
        <f>(t_Parts[[#This Row],[ha2015.01]]-t_Parts[[#This Row],[hp2015.01]])*t_Parts[[NetPPH]:[NetPPH]]</f>
        <v>109091.07692307694</v>
      </c>
      <c r="EY40" s="58">
        <f>(t_Parts[[#This Row],[ha2015.02]]-t_Parts[[#This Row],[hp2015.02]])*t_Parts[[NetPPH]:[NetPPH]]</f>
        <v>109091.07692307694</v>
      </c>
      <c r="EZ40" s="58">
        <f>(t_Parts[[#This Row],[ha2015.03]]-t_Parts[[#This Row],[hp2015.03]])*t_Parts[[NetPPH]:[NetPPH]]</f>
        <v>136561.84615384619</v>
      </c>
      <c r="FA40" s="58">
        <f>(t_Parts[[#This Row],[ha2015.04]]-t_Parts[[#This Row],[hp2015.04]])*t_Parts[[NetPPH]:[NetPPH]]</f>
        <v>109091.07692307694</v>
      </c>
      <c r="FB40" s="58">
        <f>(t_Parts[[#This Row],[ha2015.05]]-t_Parts[[#This Row],[hp2015.05]])*t_Parts[[NetPPH]:[NetPPH]]</f>
        <v>109091.07692307694</v>
      </c>
      <c r="FC40" s="58">
        <f>(t_Parts[[#This Row],[ha2015.06]]-t_Parts[[#This Row],[hp2015.06]])*t_Parts[[NetPPH]:[NetPPH]]</f>
        <v>136561.84615384619</v>
      </c>
      <c r="FD40" s="58">
        <f>(t_Parts[[#This Row],[ha2015.07]]-t_Parts[[#This Row],[hp2015.07]])*t_Parts[[NetPPH]:[NetPPH]]</f>
        <v>109091.07692307694</v>
      </c>
      <c r="FE40" s="58">
        <f>(t_Parts[[#This Row],[ha2015.08]]-t_Parts[[#This Row],[hp2015.08]])*t_Parts[[NetPPH]:[NetPPH]]</f>
        <v>109091.07692307694</v>
      </c>
      <c r="FF40" s="58">
        <f>(t_Parts[[#This Row],[ha2015.09]]-t_Parts[[#This Row],[hp2015.09]])*t_Parts[[NetPPH]:[NetPPH]]</f>
        <v>136561.84615384619</v>
      </c>
      <c r="FG40" s="58">
        <f>(t_Parts[[#This Row],[ha2015.10]]-t_Parts[[#This Row],[hp2015.10]])*t_Parts[[NetPPH]:[NetPPH]]</f>
        <v>109091.07692307694</v>
      </c>
      <c r="FH40" s="58">
        <f>(t_Parts[[#This Row],[ha2015.11]]-t_Parts[[#This Row],[hp2015.11]])*t_Parts[[NetPPH]:[NetPPH]]</f>
        <v>109091.07692307694</v>
      </c>
      <c r="FI40" s="58">
        <f>(t_Parts[[#This Row],[ha2015.12]]-t_Parts[[#This Row],[hp2015.12]])*t_Parts[[NetPPH]:[NetPPH]]</f>
        <v>136561.84615384619</v>
      </c>
      <c r="FJ40" s="58">
        <f>(t_Parts[[#This Row],[ha2015.FY]]-t_Parts[[#This Row],[hp2015.FY]])*t_Parts[[NetPPH]:[NetPPH]]</f>
        <v>1418976.0000000002</v>
      </c>
      <c r="FK40" s="58">
        <f>(t_Parts[[#This Row],[ha2016.01]]-t_Parts[[#This Row],[hp2016.01]])*t_Parts[[NetPPH]:[NetPPH]]</f>
        <v>109091.07692307694</v>
      </c>
      <c r="FL40" s="58">
        <f>(t_Parts[[#This Row],[ha2016.02]]-t_Parts[[#This Row],[hp2016.02]])*t_Parts[[NetPPH]:[NetPPH]]</f>
        <v>109091.07692307694</v>
      </c>
      <c r="FM40" s="58">
        <f>(t_Parts[[#This Row],[ha2016.03]]-t_Parts[[#This Row],[hp2016.03]])*t_Parts[[NetPPH]:[NetPPH]]</f>
        <v>136561.84615384619</v>
      </c>
      <c r="FN40" s="58">
        <f>(t_Parts[[#This Row],[ha2016.04]]-t_Parts[[#This Row],[hp2016.04]])*t_Parts[[NetPPH]:[NetPPH]]</f>
        <v>109091.07692307694</v>
      </c>
      <c r="FO40" s="58">
        <f>(t_Parts[[#This Row],[ha2016.05]]-t_Parts[[#This Row],[hp2016.05]])*t_Parts[[NetPPH]:[NetPPH]]</f>
        <v>109091.07692307694</v>
      </c>
      <c r="FP40" s="58">
        <f>(t_Parts[[#This Row],[ha2016.06]]-t_Parts[[#This Row],[hp2016.06]])*t_Parts[[NetPPH]:[NetPPH]]</f>
        <v>136561.84615384619</v>
      </c>
      <c r="FQ40" s="58">
        <f>(t_Parts[[#This Row],[ha2016.07]]-t_Parts[[#This Row],[hp2016.07]])*t_Parts[[NetPPH]:[NetPPH]]</f>
        <v>109091.07692307694</v>
      </c>
      <c r="FR40" s="58">
        <f>(t_Parts[[#This Row],[ha2016.08]]-t_Parts[[#This Row],[hp2016.08]])*t_Parts[[NetPPH]:[NetPPH]]</f>
        <v>109091.07692307694</v>
      </c>
      <c r="FS40" s="58">
        <f>(t_Parts[[#This Row],[ha2016.09]]-t_Parts[[#This Row],[hp2016.09]])*t_Parts[[NetPPH]:[NetPPH]]</f>
        <v>136561.84615384619</v>
      </c>
      <c r="FT40" s="58">
        <f>(t_Parts[[#This Row],[ha2016.10]]-t_Parts[[#This Row],[hp2016.10]])*t_Parts[[NetPPH]:[NetPPH]]</f>
        <v>109091.07692307694</v>
      </c>
      <c r="FU40" s="58">
        <f>(t_Parts[[#This Row],[ha2016.11]]-t_Parts[[#This Row],[hp2016.11]])*t_Parts[[NetPPH]:[NetPPH]]</f>
        <v>109091.07692307694</v>
      </c>
      <c r="FV40" s="58">
        <f>(t_Parts[[#This Row],[ha2016.12]]-t_Parts[[#This Row],[hp2016.12]])*t_Parts[[NetPPH]:[NetPPH]]</f>
        <v>136561.84615384619</v>
      </c>
      <c r="FW40" s="58">
        <f>(t_Parts[[#This Row],[ha2016.FY]]-t_Parts[[#This Row],[hp2016.FY]])*t_Parts[[NetPPH]:[NetPPH]]</f>
        <v>1418976.0000000002</v>
      </c>
      <c r="FX40" s="58">
        <f>(t_Parts[[#This Row],[ha2017]]-t_Parts[[#This Row],[hp2017]])*t_Parts[[NetPPH]:[NetPPH]]</f>
        <v>1418976.0000000002</v>
      </c>
      <c r="FY40" s="58">
        <f>(t_Parts[[#This Row],[ha2018]]-t_Parts[[#This Row],[hp2018]])*t_Parts[[NetPPH]:[NetPPH]]</f>
        <v>1441440.0000000002</v>
      </c>
      <c r="FZ40" s="58">
        <f>(t_Parts[[#This Row],[ha2019]]-t_Parts[[#This Row],[hp2019]])*t_Parts[[NetPPH]:[NetPPH]]</f>
        <v>1441440.0000000002</v>
      </c>
    </row>
    <row r="41" spans="1:182" s="14" customFormat="1" x14ac:dyDescent="0.25">
      <c r="A41" s="74" t="s">
        <v>515</v>
      </c>
      <c r="B41" s="74"/>
      <c r="C41" s="74">
        <v>21012</v>
      </c>
      <c r="D41" s="75">
        <v>1</v>
      </c>
      <c r="E41" s="73">
        <v>720</v>
      </c>
      <c r="F41" s="76">
        <v>1</v>
      </c>
      <c r="G41" s="77">
        <v>2</v>
      </c>
      <c r="H41" s="16">
        <v>2015.01</v>
      </c>
      <c r="I41" s="16" t="s">
        <v>81</v>
      </c>
      <c r="J41" s="73">
        <v>12960</v>
      </c>
      <c r="K41" s="73">
        <v>12960</v>
      </c>
      <c r="L41" s="73">
        <v>12960</v>
      </c>
      <c r="M41" s="73">
        <v>12960</v>
      </c>
      <c r="N41" s="73">
        <v>12960</v>
      </c>
      <c r="O41" s="78">
        <v>55</v>
      </c>
      <c r="P41" s="78">
        <v>64</v>
      </c>
      <c r="Q41" s="79">
        <v>28.75</v>
      </c>
      <c r="R41" s="79"/>
      <c r="S41" s="78"/>
      <c r="T41" s="80">
        <v>21</v>
      </c>
      <c r="U41" s="80" t="s">
        <v>121</v>
      </c>
      <c r="V41" s="81" t="s">
        <v>516</v>
      </c>
      <c r="W41" s="82">
        <v>1.19</v>
      </c>
      <c r="X41" s="82" t="s">
        <v>501</v>
      </c>
      <c r="Y41" s="82"/>
      <c r="Z41" s="82"/>
      <c r="AA41" s="82"/>
      <c r="AB41" s="82"/>
      <c r="AC41" s="83" t="s">
        <v>667</v>
      </c>
      <c r="AD41" s="40" t="str">
        <f>VLOOKUP(t_Parts[[#This Row],[Press]],t_Presses[],Press!B$1,FALSE)</f>
        <v>Plainfield</v>
      </c>
      <c r="AE41" s="40" t="str">
        <f>VLOOKUP(t_Parts[[#This Row],[Press]],t_Presses[],Press!E$1,FALSE)</f>
        <v>600-899</v>
      </c>
      <c r="AF41" s="47">
        <f>VLOOKUP(t_Parts[[#This Row],[Plant]],t_Plants[],Plants!C$1,FALSE)</f>
        <v>0.55000000000000004</v>
      </c>
      <c r="AG41" s="47">
        <f>VLOOKUP(t_Parts[[#This Row],[Press]],t_Presses[],Press!F$1,FALSE)</f>
        <v>0</v>
      </c>
      <c r="AH41" s="84"/>
      <c r="AI41" s="47">
        <f>IF(ISBLANK(t_Parts[[#This Row],[PartOEE]])=FALSE,t_Parts[[#This Row],[PartOEE]], IF(t_Parts[[#This Row],[PressOEE]]&gt;0, t_Parts[[#This Row],[PressOEE]], t_Parts[[#This Row],[PlantOEE]] ))</f>
        <v>0.55000000000000004</v>
      </c>
      <c r="AJ41" s="70">
        <f>t_Parts[[#This Row],[SetupsPerMo]]*t_Parts[[#This Row],[SetupHrs]]</f>
        <v>2</v>
      </c>
      <c r="AK41" s="39">
        <f>(t_Parts[[#This Row],[PartsPerStroke]]*t_Parts[[#This Row],[StrokesPerHr]])*t_Parts[[#This Row],[UseOEE]]</f>
        <v>396.00000000000006</v>
      </c>
      <c r="AL4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4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4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4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4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4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4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4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4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4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4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4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41" s="39">
        <f>SUM(t_Parts[[#This Row],[pv2015.01]:[pv2015.12]])</f>
        <v>12959.999999999998</v>
      </c>
      <c r="AY4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4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4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4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4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4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4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4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4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4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4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4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41" s="39">
        <f>SUM(t_Parts[[#This Row],[pv2016.01]:[pv2016.12]])</f>
        <v>12959.999999999998</v>
      </c>
      <c r="BL41" s="39">
        <f>t_Parts[[#This Row],[2017vol]]</f>
        <v>12960</v>
      </c>
      <c r="BM41" s="39">
        <f>t_Parts[[#This Row],[2018vol]]</f>
        <v>12960</v>
      </c>
      <c r="BN41" s="39">
        <f>t_Parts[[#This Row],[2019vol]]</f>
        <v>12960</v>
      </c>
      <c r="BO41" s="40">
        <f>VLOOKUP(t_Parts[[Plant]:[Plant]],t_Plants[],Plants!CN$1,FALSE)</f>
        <v>280</v>
      </c>
      <c r="BP41" s="14">
        <f>VLOOKUP(t_Parts[[Plant]:[Plant]],t_Plants[],Plants!CO$1,FALSE)</f>
        <v>280</v>
      </c>
      <c r="BQ41" s="14">
        <f>VLOOKUP(t_Parts[[Plant]:[Plant]],t_Plants[],Plants!CP$1,FALSE)</f>
        <v>350</v>
      </c>
      <c r="BR41" s="14">
        <f>VLOOKUP(t_Parts[[Plant]:[Plant]],t_Plants[],Plants!CQ$1,FALSE)</f>
        <v>280</v>
      </c>
      <c r="BS41" s="14">
        <f>VLOOKUP(t_Parts[[Plant]:[Plant]],t_Plants[],Plants!CR$1,FALSE)</f>
        <v>280</v>
      </c>
      <c r="BT41" s="14">
        <f>VLOOKUP(t_Parts[[Plant]:[Plant]],t_Plants[],Plants!CS$1,FALSE)</f>
        <v>350</v>
      </c>
      <c r="BU41" s="14">
        <f>VLOOKUP(t_Parts[[Plant]:[Plant]],t_Plants[],Plants!CT$1,FALSE)</f>
        <v>280</v>
      </c>
      <c r="BV41" s="14">
        <f>VLOOKUP(t_Parts[[Plant]:[Plant]],t_Plants[],Plants!CU$1,FALSE)</f>
        <v>280</v>
      </c>
      <c r="BW41" s="14">
        <f>VLOOKUP(t_Parts[[Plant]:[Plant]],t_Plants[],Plants!CV$1,FALSE)</f>
        <v>350</v>
      </c>
      <c r="BX41" s="14">
        <f>VLOOKUP(t_Parts[[Plant]:[Plant]],t_Plants[],Plants!CW$1,FALSE)</f>
        <v>280</v>
      </c>
      <c r="BY41" s="14">
        <f>VLOOKUP(t_Parts[[Plant]:[Plant]],t_Plants[],Plants!CX$1,FALSE)</f>
        <v>280</v>
      </c>
      <c r="BZ41" s="14">
        <f>VLOOKUP(t_Parts[[Plant]:[Plant]],t_Plants[],Plants!CY$1,FALSE)</f>
        <v>350</v>
      </c>
      <c r="CA41" s="40">
        <f>SUM(t_Parts[[#This Row],[ha2015.01]:[ha2015.12]])</f>
        <v>3640</v>
      </c>
      <c r="CB41" s="14">
        <f>VLOOKUP(t_Parts[[Plant]:[Plant]],t_Plants[],Plants!DA$1,FALSE)</f>
        <v>280</v>
      </c>
      <c r="CC41" s="14">
        <f>VLOOKUP(t_Parts[[Plant]:[Plant]],t_Plants[],Plants!DB$1,FALSE)</f>
        <v>280</v>
      </c>
      <c r="CD41" s="14">
        <f>VLOOKUP(t_Parts[[Plant]:[Plant]],t_Plants[],Plants!DC$1,FALSE)</f>
        <v>350</v>
      </c>
      <c r="CE41" s="14">
        <f>VLOOKUP(t_Parts[[Plant]:[Plant]],t_Plants[],Plants!DD$1,FALSE)</f>
        <v>280</v>
      </c>
      <c r="CF41" s="14">
        <f>VLOOKUP(t_Parts[[Plant]:[Plant]],t_Plants[],Plants!DE$1,FALSE)</f>
        <v>280</v>
      </c>
      <c r="CG41" s="14">
        <f>VLOOKUP(t_Parts[[Plant]:[Plant]],t_Plants[],Plants!DF$1,FALSE)</f>
        <v>350</v>
      </c>
      <c r="CH41" s="14">
        <f>VLOOKUP(t_Parts[[Plant]:[Plant]],t_Plants[],Plants!DG$1,FALSE)</f>
        <v>280</v>
      </c>
      <c r="CI41" s="14">
        <f>VLOOKUP(t_Parts[[Plant]:[Plant]],t_Plants[],Plants!DH$1,FALSE)</f>
        <v>280</v>
      </c>
      <c r="CJ41" s="14">
        <f>VLOOKUP(t_Parts[[Plant]:[Plant]],t_Plants[],Plants!DI$1,FALSE)</f>
        <v>350</v>
      </c>
      <c r="CK41" s="14">
        <f>VLOOKUP(t_Parts[[Plant]:[Plant]],t_Plants[],Plants!DJ$1,FALSE)</f>
        <v>280</v>
      </c>
      <c r="CL41" s="14">
        <f>VLOOKUP(t_Parts[[Plant]:[Plant]],t_Plants[],Plants!DK$1,FALSE)</f>
        <v>280</v>
      </c>
      <c r="CM41" s="14">
        <f>VLOOKUP(t_Parts[[Plant]:[Plant]],t_Plants[],Plants!DL$1,FALSE)</f>
        <v>350</v>
      </c>
      <c r="CN41" s="14">
        <f>VLOOKUP(t_Parts[[Plant]:[Plant]],t_Plants[],Plants!DM$1,FALSE)</f>
        <v>3640</v>
      </c>
      <c r="CO41" s="14">
        <f>VLOOKUP(t_Parts[[Plant]:[Plant]],t_Plants[],Plants!DN$1,FALSE)</f>
        <v>3640</v>
      </c>
      <c r="CP41" s="14">
        <f>VLOOKUP(t_Parts[[Plant]:[Plant]],t_Plants[],Plants!DO$1,FALSE)</f>
        <v>3640</v>
      </c>
      <c r="CQ41" s="14">
        <f>VLOOKUP(t_Parts[[Plant]:[Plant]],t_Plants[],Plants!DP$1,FALSE)</f>
        <v>3640</v>
      </c>
      <c r="CR41" s="39">
        <f>IF(AND(AL$3&gt;=VALUE(t_Parts[[SOP]:[SOP]]),AL$3&lt;=VALUE(t_Parts[[EOP]:[EOP]])), t_Parts[[SetupHrsPerMo]:[SetupHrsPerMo]]+(t_Parts[[#This Row],[pv2015.01]]/t_Parts[[NetPPH]:[NetPPH]]),0)</f>
        <v>4.5174825174825166</v>
      </c>
      <c r="CS41" s="39">
        <f>IF(AND(AM$3&gt;=VALUE(t_Parts[[SOP]:[SOP]]),AM$3&lt;=VALUE(t_Parts[[EOP]:[EOP]])), t_Parts[[SetupHrsPerMo]:[SetupHrsPerMo]]+(t_Parts[[#This Row],[pv2015.02]]/t_Parts[[NetPPH]:[NetPPH]]),0)</f>
        <v>4.5174825174825166</v>
      </c>
      <c r="CT41" s="39">
        <f>IF(AND(AN$3&gt;=VALUE(t_Parts[[SOP]:[SOP]]),AN$3&lt;=VALUE(t_Parts[[EOP]:[EOP]])), t_Parts[[SetupHrsPerMo]:[SetupHrsPerMo]]+(t_Parts[[#This Row],[pv2015.03]]/t_Parts[[NetPPH]:[NetPPH]]),0)</f>
        <v>5.1468531468531467</v>
      </c>
      <c r="CU41" s="39">
        <f>IF(AND(AO$3&gt;=VALUE(t_Parts[[SOP]:[SOP]]),AO$3&lt;=VALUE(t_Parts[[EOP]:[EOP]])), t_Parts[[SetupHrsPerMo]:[SetupHrsPerMo]]+(t_Parts[[#This Row],[pv2015.04]]/t_Parts[[NetPPH]:[NetPPH]]),0)</f>
        <v>4.5174825174825166</v>
      </c>
      <c r="CV41" s="39">
        <f>IF(AND(AP$3&gt;=VALUE(t_Parts[[SOP]:[SOP]]),AP$3&lt;=VALUE(t_Parts[[EOP]:[EOP]])), t_Parts[[SetupHrsPerMo]:[SetupHrsPerMo]]+(t_Parts[[#This Row],[pv2015.05]]/t_Parts[[NetPPH]:[NetPPH]]),0)</f>
        <v>4.5174825174825166</v>
      </c>
      <c r="CW41" s="39">
        <f>IF(AND(AQ$3&gt;=VALUE(t_Parts[[SOP]:[SOP]]),AQ$3&lt;=VALUE(t_Parts[[EOP]:[EOP]])), t_Parts[[SetupHrsPerMo]:[SetupHrsPerMo]]+(t_Parts[[#This Row],[pv2015.06]]/t_Parts[[NetPPH]:[NetPPH]]),0)</f>
        <v>5.1468531468531467</v>
      </c>
      <c r="CX41" s="39">
        <f>IF(AND(AR$3&gt;=VALUE(t_Parts[[SOP]:[SOP]]),AR$3&lt;=VALUE(t_Parts[[EOP]:[EOP]])), t_Parts[[SetupHrsPerMo]:[SetupHrsPerMo]]+(t_Parts[[#This Row],[pv2015.07]]/t_Parts[[NetPPH]:[NetPPH]]),0)</f>
        <v>4.5174825174825166</v>
      </c>
      <c r="CY41" s="39">
        <f>IF(AND(AS$3&gt;=VALUE(t_Parts[[SOP]:[SOP]]),AS$3&lt;=VALUE(t_Parts[[EOP]:[EOP]])), t_Parts[[SetupHrsPerMo]:[SetupHrsPerMo]]+(t_Parts[[#This Row],[pv2015.08]]/t_Parts[[NetPPH]:[NetPPH]]),0)</f>
        <v>4.5174825174825166</v>
      </c>
      <c r="CZ41" s="39">
        <f>IF(AND(AT$3&gt;=VALUE(t_Parts[[SOP]:[SOP]]),AT$3&lt;=VALUE(t_Parts[[EOP]:[EOP]])), t_Parts[[SetupHrsPerMo]:[SetupHrsPerMo]]+(t_Parts[[#This Row],[pv2015.09]]/t_Parts[[NetPPH]:[NetPPH]]),0)</f>
        <v>5.1468531468531467</v>
      </c>
      <c r="DA41" s="39">
        <f>IF(AND(AU$3&gt;=VALUE(t_Parts[[SOP]:[SOP]]),AU$3&lt;=VALUE(t_Parts[[EOP]:[EOP]])), t_Parts[[SetupHrsPerMo]:[SetupHrsPerMo]]+(t_Parts[[#This Row],[pv2015.10]]/t_Parts[[NetPPH]:[NetPPH]]),0)</f>
        <v>4.5174825174825166</v>
      </c>
      <c r="DB41" s="39">
        <f>IF(AND(AV$3&gt;=VALUE(t_Parts[[SOP]:[SOP]]),AV$3&lt;=VALUE(t_Parts[[EOP]:[EOP]])), t_Parts[[SetupHrsPerMo]:[SetupHrsPerMo]]+(t_Parts[[#This Row],[pv2015.11]]/t_Parts[[NetPPH]:[NetPPH]]),0)</f>
        <v>4.5174825174825166</v>
      </c>
      <c r="DC41" s="39">
        <f>IF(AND(AW$3&gt;=VALUE(t_Parts[[SOP]:[SOP]]),AW$3&lt;=VALUE(t_Parts[[EOP]:[EOP]])), t_Parts[[SetupHrsPerMo]:[SetupHrsPerMo]]+(t_Parts[[#This Row],[pv2015.12]]/t_Parts[[NetPPH]:[NetPPH]]),0)</f>
        <v>5.1468531468531467</v>
      </c>
      <c r="DD41" s="39">
        <f>SUM(t_Parts[[#This Row],[hp2015.01]:[hp2015.12]])</f>
        <v>56.727272727272734</v>
      </c>
      <c r="DE41" s="39">
        <f>IF(AND(AY$3&gt;=VALUE(t_Parts[[SOP]:[SOP]]),AY$3&lt;=VALUE(t_Parts[[EOP]:[EOP]])), t_Parts[[SetupHrsPerMo]:[SetupHrsPerMo]]+(t_Parts[[#This Row],[pv2016.01]]/t_Parts[[NetPPH]:[NetPPH]]),0)</f>
        <v>4.5174825174825166</v>
      </c>
      <c r="DF41" s="39">
        <f>IF(AND(AZ$3&gt;=VALUE(t_Parts[[SOP]:[SOP]]),AZ$3&lt;=VALUE(t_Parts[[EOP]:[EOP]])), t_Parts[[SetupHrsPerMo]:[SetupHrsPerMo]]+(t_Parts[[#This Row],[pv2016.02]]/t_Parts[[NetPPH]:[NetPPH]]),0)</f>
        <v>4.5174825174825166</v>
      </c>
      <c r="DG41" s="39">
        <f>IF(AND(BA$3&gt;=VALUE(t_Parts[[SOP]:[SOP]]),BA$3&lt;=VALUE(t_Parts[[EOP]:[EOP]])), t_Parts[[SetupHrsPerMo]:[SetupHrsPerMo]]+(t_Parts[[#This Row],[pv2016.03]]/t_Parts[[NetPPH]:[NetPPH]]),0)</f>
        <v>5.1468531468531467</v>
      </c>
      <c r="DH41" s="39">
        <f>IF(AND(BB$3&gt;=VALUE(t_Parts[[SOP]:[SOP]]),BB$3&lt;=VALUE(t_Parts[[EOP]:[EOP]])), t_Parts[[SetupHrsPerMo]:[SetupHrsPerMo]]+(t_Parts[[#This Row],[pv2016.04]]/t_Parts[[NetPPH]:[NetPPH]]),0)</f>
        <v>4.5174825174825166</v>
      </c>
      <c r="DI41" s="39">
        <f>IF(AND(BC$3&gt;=VALUE(t_Parts[[SOP]:[SOP]]),BC$3&lt;=VALUE(t_Parts[[EOP]:[EOP]])), t_Parts[[SetupHrsPerMo]:[SetupHrsPerMo]]+(t_Parts[[#This Row],[pv2016.05]]/t_Parts[[NetPPH]:[NetPPH]]),0)</f>
        <v>4.5174825174825166</v>
      </c>
      <c r="DJ41" s="39">
        <f>IF(AND(BD$3&gt;=VALUE(t_Parts[[SOP]:[SOP]]),BD$3&lt;=VALUE(t_Parts[[EOP]:[EOP]])), t_Parts[[SetupHrsPerMo]:[SetupHrsPerMo]]+(t_Parts[[#This Row],[pv2016.06]]/t_Parts[[NetPPH]:[NetPPH]]),0)</f>
        <v>5.1468531468531467</v>
      </c>
      <c r="DK41" s="39">
        <f>IF(AND(BE$3&gt;=VALUE(t_Parts[[SOP]:[SOP]]),BE$3&lt;=VALUE(t_Parts[[EOP]:[EOP]])), t_Parts[[SetupHrsPerMo]:[SetupHrsPerMo]]+(t_Parts[[#This Row],[pv2016.07]]/t_Parts[[NetPPH]:[NetPPH]]),0)</f>
        <v>4.5174825174825166</v>
      </c>
      <c r="DL41" s="39">
        <f>IF(AND(BF$3&gt;=VALUE(t_Parts[[SOP]:[SOP]]),BF$3&lt;=VALUE(t_Parts[[EOP]:[EOP]])), t_Parts[[SetupHrsPerMo]:[SetupHrsPerMo]]+(t_Parts[[#This Row],[pv2016.08]]/t_Parts[[NetPPH]:[NetPPH]]),0)</f>
        <v>4.5174825174825166</v>
      </c>
      <c r="DM41" s="39">
        <f>IF(AND(BG$3&gt;=VALUE(t_Parts[[SOP]:[SOP]]),BG$3&lt;=VALUE(t_Parts[[EOP]:[EOP]])), t_Parts[[SetupHrsPerMo]:[SetupHrsPerMo]]+(t_Parts[[#This Row],[pv2016.09]]/t_Parts[[NetPPH]:[NetPPH]]),0)</f>
        <v>5.1468531468531467</v>
      </c>
      <c r="DN41" s="39">
        <f>IF(AND(BH$3&gt;=VALUE(t_Parts[[SOP]:[SOP]]),BH$3&lt;=VALUE(t_Parts[[EOP]:[EOP]])), t_Parts[[SetupHrsPerMo]:[SetupHrsPerMo]]+(t_Parts[[#This Row],[pv2016.10]]/t_Parts[[NetPPH]:[NetPPH]]),0)</f>
        <v>4.5174825174825166</v>
      </c>
      <c r="DO41" s="39">
        <f>IF(AND(BI$3&gt;=VALUE(t_Parts[[SOP]:[SOP]]),BI$3&lt;=VALUE(t_Parts[[EOP]:[EOP]])), t_Parts[[SetupHrsPerMo]:[SetupHrsPerMo]]+(t_Parts[[#This Row],[pv2016.11]]/t_Parts[[NetPPH]:[NetPPH]]),0)</f>
        <v>4.5174825174825166</v>
      </c>
      <c r="DP41" s="39">
        <f>IF(AND(BJ$3&gt;=VALUE(t_Parts[[SOP]:[SOP]]),BJ$3&lt;=VALUE(t_Parts[[EOP]:[EOP]])), t_Parts[[SetupHrsPerMo]:[SetupHrsPerMo]]+(t_Parts[[#This Row],[pv2016.12]]/t_Parts[[NetPPH]:[NetPPH]]),0)</f>
        <v>5.1468531468531467</v>
      </c>
      <c r="DQ41" s="39">
        <f>SUM(t_Parts[[#This Row],[hp2016.01]:[hp2016.12]])</f>
        <v>56.727272727272734</v>
      </c>
      <c r="DR41" s="39">
        <f>IF(AND(BL$3&gt;=VALUE(t_Parts[[SOP]:[SOP]]),BL$3&lt;=VALUE(t_Parts[[EOP]:[EOP]])), 12*t_Parts[[SetupHrsPerMo]:[SetupHrsPerMo]]+(t_Parts[[#This Row],[pv2017]]/t_Parts[[NetPPH]:[NetPPH]]),0)</f>
        <v>56.72727272727272</v>
      </c>
      <c r="DS41" s="39">
        <f>IF(AND(BM$3&gt;=VALUE(t_Parts[[SOP]:[SOP]]),BM$3&lt;=VALUE(t_Parts[[EOP]:[EOP]])), 12*t_Parts[[SetupHrsPerMo]:[SetupHrsPerMo]]+(t_Parts[[#This Row],[pv2018]]/t_Parts[[NetPPH]:[NetPPH]]),0)</f>
        <v>0</v>
      </c>
      <c r="DT41" s="39">
        <f>IF(AND(BN$3&gt;=VALUE(t_Parts[[SOP]:[SOP]]),BN$3&lt;=VALUE(t_Parts[[EOP]:[EOP]])), 12*t_Parts[[SetupHrsPerMo]:[SetupHrsPerMo]]+(t_Parts[[#This Row],[pv2019]]/t_Parts[[NetPPH]:[NetPPH]]),0)</f>
        <v>0</v>
      </c>
      <c r="DU41" s="47">
        <f>t_Parts[[#This Row],[hp2015.01]]/t_Parts[[#This Row],[ha2015.01]]</f>
        <v>1.613386613386613E-2</v>
      </c>
      <c r="DV41" s="47">
        <f>t_Parts[[#This Row],[hp2015.02]]/t_Parts[[#This Row],[ha2015.02]]</f>
        <v>1.613386613386613E-2</v>
      </c>
      <c r="DW41" s="47">
        <f>t_Parts[[#This Row],[hp2015.03]]/t_Parts[[#This Row],[ha2015.03]]</f>
        <v>1.4705294705294705E-2</v>
      </c>
      <c r="DX41" s="47">
        <f>t_Parts[[#This Row],[hp2015.04]]/t_Parts[[#This Row],[ha2015.04]]</f>
        <v>1.613386613386613E-2</v>
      </c>
      <c r="DY41" s="47">
        <f>t_Parts[[#This Row],[hp2015.05]]/t_Parts[[#This Row],[ha2015.05]]</f>
        <v>1.613386613386613E-2</v>
      </c>
      <c r="DZ41" s="47">
        <f>t_Parts[[#This Row],[hp2015.06]]/t_Parts[[#This Row],[ha2015.06]]</f>
        <v>1.4705294705294705E-2</v>
      </c>
      <c r="EA41" s="47">
        <f>t_Parts[[#This Row],[hp2015.07]]/t_Parts[[#This Row],[ha2015.07]]</f>
        <v>1.613386613386613E-2</v>
      </c>
      <c r="EB41" s="47">
        <f>t_Parts[[#This Row],[hp2015.08]]/t_Parts[[#This Row],[ha2015.08]]</f>
        <v>1.613386613386613E-2</v>
      </c>
      <c r="EC41" s="47">
        <f>t_Parts[[#This Row],[hp2015.09]]/t_Parts[[#This Row],[ha2015.09]]</f>
        <v>1.4705294705294705E-2</v>
      </c>
      <c r="ED41" s="47">
        <f>t_Parts[[#This Row],[hp2015.10]]/t_Parts[[#This Row],[ha2015.10]]</f>
        <v>1.613386613386613E-2</v>
      </c>
      <c r="EE41" s="47">
        <f>t_Parts[[#This Row],[hp2015.11]]/t_Parts[[#This Row],[ha2015.11]]</f>
        <v>1.613386613386613E-2</v>
      </c>
      <c r="EF41" s="47">
        <f>t_Parts[[#This Row],[hp2015.12]]/t_Parts[[#This Row],[ha2015.12]]</f>
        <v>1.4705294705294705E-2</v>
      </c>
      <c r="EG41" s="47">
        <f>t_Parts[[#This Row],[hp2015.FY]]/t_Parts[[#This Row],[ha2015.FY]]</f>
        <v>1.5584415584415586E-2</v>
      </c>
      <c r="EH41" s="47">
        <f>t_Parts[[#This Row],[hp2016.01]]/t_Parts[[#This Row],[ha2016.01]]</f>
        <v>1.613386613386613E-2</v>
      </c>
      <c r="EI41" s="47">
        <f>t_Parts[[#This Row],[hp2016.02]]/t_Parts[[#This Row],[ha2016.02]]</f>
        <v>1.613386613386613E-2</v>
      </c>
      <c r="EJ41" s="47">
        <f>t_Parts[[#This Row],[hp2016.03]]/t_Parts[[#This Row],[ha2016.03]]</f>
        <v>1.4705294705294705E-2</v>
      </c>
      <c r="EK41" s="47">
        <f>t_Parts[[#This Row],[hp2016.04]]/t_Parts[[#This Row],[ha2016.04]]</f>
        <v>1.613386613386613E-2</v>
      </c>
      <c r="EL41" s="47">
        <f>t_Parts[[#This Row],[hp2016.05]]/t_Parts[[#This Row],[ha2016.05]]</f>
        <v>1.613386613386613E-2</v>
      </c>
      <c r="EM41" s="47">
        <f>t_Parts[[#This Row],[hp2016.06]]/t_Parts[[#This Row],[ha2016.06]]</f>
        <v>1.4705294705294705E-2</v>
      </c>
      <c r="EN41" s="47">
        <f>t_Parts[[#This Row],[hp2016.07]]/t_Parts[[#This Row],[ha2016.07]]</f>
        <v>1.613386613386613E-2</v>
      </c>
      <c r="EO41" s="47">
        <f>t_Parts[[#This Row],[hp2016.08]]/t_Parts[[#This Row],[ha2016.08]]</f>
        <v>1.613386613386613E-2</v>
      </c>
      <c r="EP41" s="47">
        <f>t_Parts[[#This Row],[hp2016.09]]/t_Parts[[#This Row],[ha2016.09]]</f>
        <v>1.4705294705294705E-2</v>
      </c>
      <c r="EQ41" s="47">
        <f>t_Parts[[#This Row],[hp2016.10]]/t_Parts[[#This Row],[ha2016.10]]</f>
        <v>1.613386613386613E-2</v>
      </c>
      <c r="ER41" s="47">
        <f>t_Parts[[#This Row],[hp2016.11]]/t_Parts[[#This Row],[ha2016.11]]</f>
        <v>1.613386613386613E-2</v>
      </c>
      <c r="ES41" s="47">
        <f>t_Parts[[#This Row],[hp2016.12]]/t_Parts[[#This Row],[ha2016.12]]</f>
        <v>1.4705294705294705E-2</v>
      </c>
      <c r="ET41" s="47">
        <f>t_Parts[[#This Row],[hp2016.FY]]/t_Parts[[#This Row],[ha2016.FY]]</f>
        <v>1.5584415584415586E-2</v>
      </c>
      <c r="EU41" s="47">
        <f>t_Parts[[#This Row],[hp2017]]/t_Parts[[#This Row],[ha2017]]</f>
        <v>1.5584415584415583E-2</v>
      </c>
      <c r="EV41" s="47">
        <f>t_Parts[[#This Row],[hp2018]]/t_Parts[[#This Row],[ha2018]]</f>
        <v>0</v>
      </c>
      <c r="EW41" s="47">
        <f>t_Parts[[#This Row],[hp2019]]/t_Parts[[#This Row],[hp2015.01]]</f>
        <v>0</v>
      </c>
      <c r="EX41" s="58">
        <f>(t_Parts[[#This Row],[ha2015.01]]-t_Parts[[#This Row],[hp2015.01]])*t_Parts[[NetPPH]:[NetPPH]]</f>
        <v>109091.07692307694</v>
      </c>
      <c r="EY41" s="58">
        <f>(t_Parts[[#This Row],[ha2015.02]]-t_Parts[[#This Row],[hp2015.02]])*t_Parts[[NetPPH]:[NetPPH]]</f>
        <v>109091.07692307694</v>
      </c>
      <c r="EZ41" s="58">
        <f>(t_Parts[[#This Row],[ha2015.03]]-t_Parts[[#This Row],[hp2015.03]])*t_Parts[[NetPPH]:[NetPPH]]</f>
        <v>136561.84615384619</v>
      </c>
      <c r="FA41" s="58">
        <f>(t_Parts[[#This Row],[ha2015.04]]-t_Parts[[#This Row],[hp2015.04]])*t_Parts[[NetPPH]:[NetPPH]]</f>
        <v>109091.07692307694</v>
      </c>
      <c r="FB41" s="58">
        <f>(t_Parts[[#This Row],[ha2015.05]]-t_Parts[[#This Row],[hp2015.05]])*t_Parts[[NetPPH]:[NetPPH]]</f>
        <v>109091.07692307694</v>
      </c>
      <c r="FC41" s="58">
        <f>(t_Parts[[#This Row],[ha2015.06]]-t_Parts[[#This Row],[hp2015.06]])*t_Parts[[NetPPH]:[NetPPH]]</f>
        <v>136561.84615384619</v>
      </c>
      <c r="FD41" s="58">
        <f>(t_Parts[[#This Row],[ha2015.07]]-t_Parts[[#This Row],[hp2015.07]])*t_Parts[[NetPPH]:[NetPPH]]</f>
        <v>109091.07692307694</v>
      </c>
      <c r="FE41" s="58">
        <f>(t_Parts[[#This Row],[ha2015.08]]-t_Parts[[#This Row],[hp2015.08]])*t_Parts[[NetPPH]:[NetPPH]]</f>
        <v>109091.07692307694</v>
      </c>
      <c r="FF41" s="58">
        <f>(t_Parts[[#This Row],[ha2015.09]]-t_Parts[[#This Row],[hp2015.09]])*t_Parts[[NetPPH]:[NetPPH]]</f>
        <v>136561.84615384619</v>
      </c>
      <c r="FG41" s="58">
        <f>(t_Parts[[#This Row],[ha2015.10]]-t_Parts[[#This Row],[hp2015.10]])*t_Parts[[NetPPH]:[NetPPH]]</f>
        <v>109091.07692307694</v>
      </c>
      <c r="FH41" s="58">
        <f>(t_Parts[[#This Row],[ha2015.11]]-t_Parts[[#This Row],[hp2015.11]])*t_Parts[[NetPPH]:[NetPPH]]</f>
        <v>109091.07692307694</v>
      </c>
      <c r="FI41" s="58">
        <f>(t_Parts[[#This Row],[ha2015.12]]-t_Parts[[#This Row],[hp2015.12]])*t_Parts[[NetPPH]:[NetPPH]]</f>
        <v>136561.84615384619</v>
      </c>
      <c r="FJ41" s="58">
        <f>(t_Parts[[#This Row],[ha2015.FY]]-t_Parts[[#This Row],[hp2015.FY]])*t_Parts[[NetPPH]:[NetPPH]]</f>
        <v>1418976.0000000002</v>
      </c>
      <c r="FK41" s="58">
        <f>(t_Parts[[#This Row],[ha2016.01]]-t_Parts[[#This Row],[hp2016.01]])*t_Parts[[NetPPH]:[NetPPH]]</f>
        <v>109091.07692307694</v>
      </c>
      <c r="FL41" s="58">
        <f>(t_Parts[[#This Row],[ha2016.02]]-t_Parts[[#This Row],[hp2016.02]])*t_Parts[[NetPPH]:[NetPPH]]</f>
        <v>109091.07692307694</v>
      </c>
      <c r="FM41" s="58">
        <f>(t_Parts[[#This Row],[ha2016.03]]-t_Parts[[#This Row],[hp2016.03]])*t_Parts[[NetPPH]:[NetPPH]]</f>
        <v>136561.84615384619</v>
      </c>
      <c r="FN41" s="58">
        <f>(t_Parts[[#This Row],[ha2016.04]]-t_Parts[[#This Row],[hp2016.04]])*t_Parts[[NetPPH]:[NetPPH]]</f>
        <v>109091.07692307694</v>
      </c>
      <c r="FO41" s="58">
        <f>(t_Parts[[#This Row],[ha2016.05]]-t_Parts[[#This Row],[hp2016.05]])*t_Parts[[NetPPH]:[NetPPH]]</f>
        <v>109091.07692307694</v>
      </c>
      <c r="FP41" s="58">
        <f>(t_Parts[[#This Row],[ha2016.06]]-t_Parts[[#This Row],[hp2016.06]])*t_Parts[[NetPPH]:[NetPPH]]</f>
        <v>136561.84615384619</v>
      </c>
      <c r="FQ41" s="58">
        <f>(t_Parts[[#This Row],[ha2016.07]]-t_Parts[[#This Row],[hp2016.07]])*t_Parts[[NetPPH]:[NetPPH]]</f>
        <v>109091.07692307694</v>
      </c>
      <c r="FR41" s="58">
        <f>(t_Parts[[#This Row],[ha2016.08]]-t_Parts[[#This Row],[hp2016.08]])*t_Parts[[NetPPH]:[NetPPH]]</f>
        <v>109091.07692307694</v>
      </c>
      <c r="FS41" s="58">
        <f>(t_Parts[[#This Row],[ha2016.09]]-t_Parts[[#This Row],[hp2016.09]])*t_Parts[[NetPPH]:[NetPPH]]</f>
        <v>136561.84615384619</v>
      </c>
      <c r="FT41" s="58">
        <f>(t_Parts[[#This Row],[ha2016.10]]-t_Parts[[#This Row],[hp2016.10]])*t_Parts[[NetPPH]:[NetPPH]]</f>
        <v>109091.07692307694</v>
      </c>
      <c r="FU41" s="58">
        <f>(t_Parts[[#This Row],[ha2016.11]]-t_Parts[[#This Row],[hp2016.11]])*t_Parts[[NetPPH]:[NetPPH]]</f>
        <v>109091.07692307694</v>
      </c>
      <c r="FV41" s="58">
        <f>(t_Parts[[#This Row],[ha2016.12]]-t_Parts[[#This Row],[hp2016.12]])*t_Parts[[NetPPH]:[NetPPH]]</f>
        <v>136561.84615384619</v>
      </c>
      <c r="FW41" s="58">
        <f>(t_Parts[[#This Row],[ha2016.FY]]-t_Parts[[#This Row],[hp2016.FY]])*t_Parts[[NetPPH]:[NetPPH]]</f>
        <v>1418976.0000000002</v>
      </c>
      <c r="FX41" s="58">
        <f>(t_Parts[[#This Row],[ha2017]]-t_Parts[[#This Row],[hp2017]])*t_Parts[[NetPPH]:[NetPPH]]</f>
        <v>1418976.0000000002</v>
      </c>
      <c r="FY41" s="58">
        <f>(t_Parts[[#This Row],[ha2018]]-t_Parts[[#This Row],[hp2018]])*t_Parts[[NetPPH]:[NetPPH]]</f>
        <v>1441440.0000000002</v>
      </c>
      <c r="FZ41" s="58">
        <f>(t_Parts[[#This Row],[ha2019]]-t_Parts[[#This Row],[hp2019]])*t_Parts[[NetPPH]:[NetPPH]]</f>
        <v>1441440.0000000002</v>
      </c>
    </row>
    <row r="42" spans="1:182" s="14" customFormat="1" x14ac:dyDescent="0.25">
      <c r="A42" s="74" t="s">
        <v>512</v>
      </c>
      <c r="B42" s="74"/>
      <c r="C42" s="74">
        <v>21011</v>
      </c>
      <c r="D42" s="75">
        <v>1</v>
      </c>
      <c r="E42" s="73">
        <v>1800</v>
      </c>
      <c r="F42" s="76">
        <v>1</v>
      </c>
      <c r="G42" s="77">
        <v>2</v>
      </c>
      <c r="H42" s="16">
        <v>2015.01</v>
      </c>
      <c r="I42" s="16" t="s">
        <v>81</v>
      </c>
      <c r="J42" s="73">
        <v>12960</v>
      </c>
      <c r="K42" s="73">
        <v>12960</v>
      </c>
      <c r="L42" s="73">
        <v>12960</v>
      </c>
      <c r="M42" s="73">
        <v>12960</v>
      </c>
      <c r="N42" s="73">
        <v>12960</v>
      </c>
      <c r="O42" s="78">
        <v>54</v>
      </c>
      <c r="P42" s="78">
        <v>97</v>
      </c>
      <c r="Q42" s="79">
        <v>22.79</v>
      </c>
      <c r="R42" s="79"/>
      <c r="S42" s="78">
        <v>308</v>
      </c>
      <c r="T42" s="80">
        <v>16</v>
      </c>
      <c r="U42" s="80" t="s">
        <v>121</v>
      </c>
      <c r="V42" s="81"/>
      <c r="W42" s="82"/>
      <c r="X42" s="82" t="s">
        <v>501</v>
      </c>
      <c r="Y42" s="82"/>
      <c r="Z42" s="82"/>
      <c r="AA42" s="82"/>
      <c r="AB42" s="82"/>
      <c r="AC42" s="83" t="s">
        <v>667</v>
      </c>
      <c r="AD42" s="40" t="str">
        <f>VLOOKUP(t_Parts[[#This Row],[Press]],t_Presses[],Press!B$1,FALSE)</f>
        <v>Plainfield</v>
      </c>
      <c r="AE42" s="40" t="str">
        <f>VLOOKUP(t_Parts[[#This Row],[Press]],t_Presses[],Press!E$1,FALSE)</f>
        <v>300-599</v>
      </c>
      <c r="AF42" s="47">
        <f>VLOOKUP(t_Parts[[#This Row],[Plant]],t_Plants[],Plants!C$1,FALSE)</f>
        <v>0.55000000000000004</v>
      </c>
      <c r="AG42" s="47">
        <f>VLOOKUP(t_Parts[[#This Row],[Press]],t_Presses[],Press!F$1,FALSE)</f>
        <v>0</v>
      </c>
      <c r="AH42" s="84"/>
      <c r="AI42" s="47">
        <f>IF(ISBLANK(t_Parts[[#This Row],[PartOEE]])=FALSE,t_Parts[[#This Row],[PartOEE]], IF(t_Parts[[#This Row],[PressOEE]]&gt;0, t_Parts[[#This Row],[PressOEE]], t_Parts[[#This Row],[PlantOEE]] ))</f>
        <v>0.55000000000000004</v>
      </c>
      <c r="AJ42" s="70">
        <f>t_Parts[[#This Row],[SetupsPerMo]]*t_Parts[[#This Row],[SetupHrs]]</f>
        <v>2</v>
      </c>
      <c r="AK42" s="39">
        <f>(t_Parts[[#This Row],[PartsPerStroke]]*t_Parts[[#This Row],[StrokesPerHr]])*t_Parts[[#This Row],[UseOEE]]</f>
        <v>990.00000000000011</v>
      </c>
      <c r="AL4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4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4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4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4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4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4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4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4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4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4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4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42" s="39">
        <f>SUM(t_Parts[[#This Row],[pv2015.01]:[pv2015.12]])</f>
        <v>12959.999999999998</v>
      </c>
      <c r="AY4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4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4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4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4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4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4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4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4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4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4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4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42" s="39">
        <f>SUM(t_Parts[[#This Row],[pv2016.01]:[pv2016.12]])</f>
        <v>12959.999999999998</v>
      </c>
      <c r="BL42" s="39">
        <f>t_Parts[[#This Row],[2017vol]]</f>
        <v>12960</v>
      </c>
      <c r="BM42" s="39">
        <f>t_Parts[[#This Row],[2018vol]]</f>
        <v>12960</v>
      </c>
      <c r="BN42" s="39">
        <f>t_Parts[[#This Row],[2019vol]]</f>
        <v>12960</v>
      </c>
      <c r="BO42" s="40">
        <f>VLOOKUP(t_Parts[[Plant]:[Plant]],t_Plants[],Plants!CN$1,FALSE)</f>
        <v>280</v>
      </c>
      <c r="BP42" s="14">
        <f>VLOOKUP(t_Parts[[Plant]:[Plant]],t_Plants[],Plants!CO$1,FALSE)</f>
        <v>280</v>
      </c>
      <c r="BQ42" s="14">
        <f>VLOOKUP(t_Parts[[Plant]:[Plant]],t_Plants[],Plants!CP$1,FALSE)</f>
        <v>350</v>
      </c>
      <c r="BR42" s="14">
        <f>VLOOKUP(t_Parts[[Plant]:[Plant]],t_Plants[],Plants!CQ$1,FALSE)</f>
        <v>280</v>
      </c>
      <c r="BS42" s="14">
        <f>VLOOKUP(t_Parts[[Plant]:[Plant]],t_Plants[],Plants!CR$1,FALSE)</f>
        <v>280</v>
      </c>
      <c r="BT42" s="14">
        <f>VLOOKUP(t_Parts[[Plant]:[Plant]],t_Plants[],Plants!CS$1,FALSE)</f>
        <v>350</v>
      </c>
      <c r="BU42" s="14">
        <f>VLOOKUP(t_Parts[[Plant]:[Plant]],t_Plants[],Plants!CT$1,FALSE)</f>
        <v>280</v>
      </c>
      <c r="BV42" s="14">
        <f>VLOOKUP(t_Parts[[Plant]:[Plant]],t_Plants[],Plants!CU$1,FALSE)</f>
        <v>280</v>
      </c>
      <c r="BW42" s="14">
        <f>VLOOKUP(t_Parts[[Plant]:[Plant]],t_Plants[],Plants!CV$1,FALSE)</f>
        <v>350</v>
      </c>
      <c r="BX42" s="14">
        <f>VLOOKUP(t_Parts[[Plant]:[Plant]],t_Plants[],Plants!CW$1,FALSE)</f>
        <v>280</v>
      </c>
      <c r="BY42" s="14">
        <f>VLOOKUP(t_Parts[[Plant]:[Plant]],t_Plants[],Plants!CX$1,FALSE)</f>
        <v>280</v>
      </c>
      <c r="BZ42" s="14">
        <f>VLOOKUP(t_Parts[[Plant]:[Plant]],t_Plants[],Plants!CY$1,FALSE)</f>
        <v>350</v>
      </c>
      <c r="CA42" s="40">
        <f>SUM(t_Parts[[#This Row],[ha2015.01]:[ha2015.12]])</f>
        <v>3640</v>
      </c>
      <c r="CB42" s="14">
        <f>VLOOKUP(t_Parts[[Plant]:[Plant]],t_Plants[],Plants!DA$1,FALSE)</f>
        <v>280</v>
      </c>
      <c r="CC42" s="14">
        <f>VLOOKUP(t_Parts[[Plant]:[Plant]],t_Plants[],Plants!DB$1,FALSE)</f>
        <v>280</v>
      </c>
      <c r="CD42" s="14">
        <f>VLOOKUP(t_Parts[[Plant]:[Plant]],t_Plants[],Plants!DC$1,FALSE)</f>
        <v>350</v>
      </c>
      <c r="CE42" s="14">
        <f>VLOOKUP(t_Parts[[Plant]:[Plant]],t_Plants[],Plants!DD$1,FALSE)</f>
        <v>280</v>
      </c>
      <c r="CF42" s="14">
        <f>VLOOKUP(t_Parts[[Plant]:[Plant]],t_Plants[],Plants!DE$1,FALSE)</f>
        <v>280</v>
      </c>
      <c r="CG42" s="14">
        <f>VLOOKUP(t_Parts[[Plant]:[Plant]],t_Plants[],Plants!DF$1,FALSE)</f>
        <v>350</v>
      </c>
      <c r="CH42" s="14">
        <f>VLOOKUP(t_Parts[[Plant]:[Plant]],t_Plants[],Plants!DG$1,FALSE)</f>
        <v>280</v>
      </c>
      <c r="CI42" s="14">
        <f>VLOOKUP(t_Parts[[Plant]:[Plant]],t_Plants[],Plants!DH$1,FALSE)</f>
        <v>280</v>
      </c>
      <c r="CJ42" s="14">
        <f>VLOOKUP(t_Parts[[Plant]:[Plant]],t_Plants[],Plants!DI$1,FALSE)</f>
        <v>350</v>
      </c>
      <c r="CK42" s="14">
        <f>VLOOKUP(t_Parts[[Plant]:[Plant]],t_Plants[],Plants!DJ$1,FALSE)</f>
        <v>280</v>
      </c>
      <c r="CL42" s="14">
        <f>VLOOKUP(t_Parts[[Plant]:[Plant]],t_Plants[],Plants!DK$1,FALSE)</f>
        <v>280</v>
      </c>
      <c r="CM42" s="14">
        <f>VLOOKUP(t_Parts[[Plant]:[Plant]],t_Plants[],Plants!DL$1,FALSE)</f>
        <v>350</v>
      </c>
      <c r="CN42" s="14">
        <f>VLOOKUP(t_Parts[[Plant]:[Plant]],t_Plants[],Plants!DM$1,FALSE)</f>
        <v>3640</v>
      </c>
      <c r="CO42" s="14">
        <f>VLOOKUP(t_Parts[[Plant]:[Plant]],t_Plants[],Plants!DN$1,FALSE)</f>
        <v>3640</v>
      </c>
      <c r="CP42" s="14">
        <f>VLOOKUP(t_Parts[[Plant]:[Plant]],t_Plants[],Plants!DO$1,FALSE)</f>
        <v>3640</v>
      </c>
      <c r="CQ42" s="14">
        <f>VLOOKUP(t_Parts[[Plant]:[Plant]],t_Plants[],Plants!DP$1,FALSE)</f>
        <v>3640</v>
      </c>
      <c r="CR42" s="39">
        <f>IF(AND(AL$3&gt;=VALUE(t_Parts[[SOP]:[SOP]]),AL$3&lt;=VALUE(t_Parts[[EOP]:[EOP]])), t_Parts[[SetupHrsPerMo]:[SetupHrsPerMo]]+(t_Parts[[#This Row],[pv2015.01]]/t_Parts[[NetPPH]:[NetPPH]]),0)</f>
        <v>3.0069930069930066</v>
      </c>
      <c r="CS42" s="39">
        <f>IF(AND(AM$3&gt;=VALUE(t_Parts[[SOP]:[SOP]]),AM$3&lt;=VALUE(t_Parts[[EOP]:[EOP]])), t_Parts[[SetupHrsPerMo]:[SetupHrsPerMo]]+(t_Parts[[#This Row],[pv2015.02]]/t_Parts[[NetPPH]:[NetPPH]]),0)</f>
        <v>3.0069930069930066</v>
      </c>
      <c r="CT42" s="39">
        <f>IF(AND(AN$3&gt;=VALUE(t_Parts[[SOP]:[SOP]]),AN$3&lt;=VALUE(t_Parts[[EOP]:[EOP]])), t_Parts[[SetupHrsPerMo]:[SetupHrsPerMo]]+(t_Parts[[#This Row],[pv2015.03]]/t_Parts[[NetPPH]:[NetPPH]]),0)</f>
        <v>3.2587412587412583</v>
      </c>
      <c r="CU42" s="39">
        <f>IF(AND(AO$3&gt;=VALUE(t_Parts[[SOP]:[SOP]]),AO$3&lt;=VALUE(t_Parts[[EOP]:[EOP]])), t_Parts[[SetupHrsPerMo]:[SetupHrsPerMo]]+(t_Parts[[#This Row],[pv2015.04]]/t_Parts[[NetPPH]:[NetPPH]]),0)</f>
        <v>3.0069930069930066</v>
      </c>
      <c r="CV42" s="39">
        <f>IF(AND(AP$3&gt;=VALUE(t_Parts[[SOP]:[SOP]]),AP$3&lt;=VALUE(t_Parts[[EOP]:[EOP]])), t_Parts[[SetupHrsPerMo]:[SetupHrsPerMo]]+(t_Parts[[#This Row],[pv2015.05]]/t_Parts[[NetPPH]:[NetPPH]]),0)</f>
        <v>3.0069930069930066</v>
      </c>
      <c r="CW42" s="39">
        <f>IF(AND(AQ$3&gt;=VALUE(t_Parts[[SOP]:[SOP]]),AQ$3&lt;=VALUE(t_Parts[[EOP]:[EOP]])), t_Parts[[SetupHrsPerMo]:[SetupHrsPerMo]]+(t_Parts[[#This Row],[pv2015.06]]/t_Parts[[NetPPH]:[NetPPH]]),0)</f>
        <v>3.2587412587412583</v>
      </c>
      <c r="CX42" s="39">
        <f>IF(AND(AR$3&gt;=VALUE(t_Parts[[SOP]:[SOP]]),AR$3&lt;=VALUE(t_Parts[[EOP]:[EOP]])), t_Parts[[SetupHrsPerMo]:[SetupHrsPerMo]]+(t_Parts[[#This Row],[pv2015.07]]/t_Parts[[NetPPH]:[NetPPH]]),0)</f>
        <v>3.0069930069930066</v>
      </c>
      <c r="CY42" s="39">
        <f>IF(AND(AS$3&gt;=VALUE(t_Parts[[SOP]:[SOP]]),AS$3&lt;=VALUE(t_Parts[[EOP]:[EOP]])), t_Parts[[SetupHrsPerMo]:[SetupHrsPerMo]]+(t_Parts[[#This Row],[pv2015.08]]/t_Parts[[NetPPH]:[NetPPH]]),0)</f>
        <v>3.0069930069930066</v>
      </c>
      <c r="CZ42" s="39">
        <f>IF(AND(AT$3&gt;=VALUE(t_Parts[[SOP]:[SOP]]),AT$3&lt;=VALUE(t_Parts[[EOP]:[EOP]])), t_Parts[[SetupHrsPerMo]:[SetupHrsPerMo]]+(t_Parts[[#This Row],[pv2015.09]]/t_Parts[[NetPPH]:[NetPPH]]),0)</f>
        <v>3.2587412587412583</v>
      </c>
      <c r="DA42" s="39">
        <f>IF(AND(AU$3&gt;=VALUE(t_Parts[[SOP]:[SOP]]),AU$3&lt;=VALUE(t_Parts[[EOP]:[EOP]])), t_Parts[[SetupHrsPerMo]:[SetupHrsPerMo]]+(t_Parts[[#This Row],[pv2015.10]]/t_Parts[[NetPPH]:[NetPPH]]),0)</f>
        <v>3.0069930069930066</v>
      </c>
      <c r="DB42" s="39">
        <f>IF(AND(AV$3&gt;=VALUE(t_Parts[[SOP]:[SOP]]),AV$3&lt;=VALUE(t_Parts[[EOP]:[EOP]])), t_Parts[[SetupHrsPerMo]:[SetupHrsPerMo]]+(t_Parts[[#This Row],[pv2015.11]]/t_Parts[[NetPPH]:[NetPPH]]),0)</f>
        <v>3.0069930069930066</v>
      </c>
      <c r="DC42" s="39">
        <f>IF(AND(AW$3&gt;=VALUE(t_Parts[[SOP]:[SOP]]),AW$3&lt;=VALUE(t_Parts[[EOP]:[EOP]])), t_Parts[[SetupHrsPerMo]:[SetupHrsPerMo]]+(t_Parts[[#This Row],[pv2015.12]]/t_Parts[[NetPPH]:[NetPPH]]),0)</f>
        <v>3.2587412587412583</v>
      </c>
      <c r="DD42" s="39">
        <f>SUM(t_Parts[[#This Row],[hp2015.01]:[hp2015.12]])</f>
        <v>37.090909090909086</v>
      </c>
      <c r="DE42" s="39">
        <f>IF(AND(AY$3&gt;=VALUE(t_Parts[[SOP]:[SOP]]),AY$3&lt;=VALUE(t_Parts[[EOP]:[EOP]])), t_Parts[[SetupHrsPerMo]:[SetupHrsPerMo]]+(t_Parts[[#This Row],[pv2016.01]]/t_Parts[[NetPPH]:[NetPPH]]),0)</f>
        <v>3.0069930069930066</v>
      </c>
      <c r="DF42" s="39">
        <f>IF(AND(AZ$3&gt;=VALUE(t_Parts[[SOP]:[SOP]]),AZ$3&lt;=VALUE(t_Parts[[EOP]:[EOP]])), t_Parts[[SetupHrsPerMo]:[SetupHrsPerMo]]+(t_Parts[[#This Row],[pv2016.02]]/t_Parts[[NetPPH]:[NetPPH]]),0)</f>
        <v>3.0069930069930066</v>
      </c>
      <c r="DG42" s="39">
        <f>IF(AND(BA$3&gt;=VALUE(t_Parts[[SOP]:[SOP]]),BA$3&lt;=VALUE(t_Parts[[EOP]:[EOP]])), t_Parts[[SetupHrsPerMo]:[SetupHrsPerMo]]+(t_Parts[[#This Row],[pv2016.03]]/t_Parts[[NetPPH]:[NetPPH]]),0)</f>
        <v>3.2587412587412583</v>
      </c>
      <c r="DH42" s="39">
        <f>IF(AND(BB$3&gt;=VALUE(t_Parts[[SOP]:[SOP]]),BB$3&lt;=VALUE(t_Parts[[EOP]:[EOP]])), t_Parts[[SetupHrsPerMo]:[SetupHrsPerMo]]+(t_Parts[[#This Row],[pv2016.04]]/t_Parts[[NetPPH]:[NetPPH]]),0)</f>
        <v>3.0069930069930066</v>
      </c>
      <c r="DI42" s="39">
        <f>IF(AND(BC$3&gt;=VALUE(t_Parts[[SOP]:[SOP]]),BC$3&lt;=VALUE(t_Parts[[EOP]:[EOP]])), t_Parts[[SetupHrsPerMo]:[SetupHrsPerMo]]+(t_Parts[[#This Row],[pv2016.05]]/t_Parts[[NetPPH]:[NetPPH]]),0)</f>
        <v>3.0069930069930066</v>
      </c>
      <c r="DJ42" s="39">
        <f>IF(AND(BD$3&gt;=VALUE(t_Parts[[SOP]:[SOP]]),BD$3&lt;=VALUE(t_Parts[[EOP]:[EOP]])), t_Parts[[SetupHrsPerMo]:[SetupHrsPerMo]]+(t_Parts[[#This Row],[pv2016.06]]/t_Parts[[NetPPH]:[NetPPH]]),0)</f>
        <v>3.2587412587412583</v>
      </c>
      <c r="DK42" s="39">
        <f>IF(AND(BE$3&gt;=VALUE(t_Parts[[SOP]:[SOP]]),BE$3&lt;=VALUE(t_Parts[[EOP]:[EOP]])), t_Parts[[SetupHrsPerMo]:[SetupHrsPerMo]]+(t_Parts[[#This Row],[pv2016.07]]/t_Parts[[NetPPH]:[NetPPH]]),0)</f>
        <v>3.0069930069930066</v>
      </c>
      <c r="DL42" s="39">
        <f>IF(AND(BF$3&gt;=VALUE(t_Parts[[SOP]:[SOP]]),BF$3&lt;=VALUE(t_Parts[[EOP]:[EOP]])), t_Parts[[SetupHrsPerMo]:[SetupHrsPerMo]]+(t_Parts[[#This Row],[pv2016.08]]/t_Parts[[NetPPH]:[NetPPH]]),0)</f>
        <v>3.0069930069930066</v>
      </c>
      <c r="DM42" s="39">
        <f>IF(AND(BG$3&gt;=VALUE(t_Parts[[SOP]:[SOP]]),BG$3&lt;=VALUE(t_Parts[[EOP]:[EOP]])), t_Parts[[SetupHrsPerMo]:[SetupHrsPerMo]]+(t_Parts[[#This Row],[pv2016.09]]/t_Parts[[NetPPH]:[NetPPH]]),0)</f>
        <v>3.2587412587412583</v>
      </c>
      <c r="DN42" s="39">
        <f>IF(AND(BH$3&gt;=VALUE(t_Parts[[SOP]:[SOP]]),BH$3&lt;=VALUE(t_Parts[[EOP]:[EOP]])), t_Parts[[SetupHrsPerMo]:[SetupHrsPerMo]]+(t_Parts[[#This Row],[pv2016.10]]/t_Parts[[NetPPH]:[NetPPH]]),0)</f>
        <v>3.0069930069930066</v>
      </c>
      <c r="DO42" s="39">
        <f>IF(AND(BI$3&gt;=VALUE(t_Parts[[SOP]:[SOP]]),BI$3&lt;=VALUE(t_Parts[[EOP]:[EOP]])), t_Parts[[SetupHrsPerMo]:[SetupHrsPerMo]]+(t_Parts[[#This Row],[pv2016.11]]/t_Parts[[NetPPH]:[NetPPH]]),0)</f>
        <v>3.0069930069930066</v>
      </c>
      <c r="DP42" s="39">
        <f>IF(AND(BJ$3&gt;=VALUE(t_Parts[[SOP]:[SOP]]),BJ$3&lt;=VALUE(t_Parts[[EOP]:[EOP]])), t_Parts[[SetupHrsPerMo]:[SetupHrsPerMo]]+(t_Parts[[#This Row],[pv2016.12]]/t_Parts[[NetPPH]:[NetPPH]]),0)</f>
        <v>3.2587412587412583</v>
      </c>
      <c r="DQ42" s="39">
        <f>SUM(t_Parts[[#This Row],[hp2016.01]:[hp2016.12]])</f>
        <v>37.090909090909086</v>
      </c>
      <c r="DR42" s="39">
        <f>IF(AND(BL$3&gt;=VALUE(t_Parts[[SOP]:[SOP]]),BL$3&lt;=VALUE(t_Parts[[EOP]:[EOP]])), 12*t_Parts[[SetupHrsPerMo]:[SetupHrsPerMo]]+(t_Parts[[#This Row],[pv2017]]/t_Parts[[NetPPH]:[NetPPH]]),0)</f>
        <v>37.090909090909093</v>
      </c>
      <c r="DS42" s="39">
        <f>IF(AND(BM$3&gt;=VALUE(t_Parts[[SOP]:[SOP]]),BM$3&lt;=VALUE(t_Parts[[EOP]:[EOP]])), 12*t_Parts[[SetupHrsPerMo]:[SetupHrsPerMo]]+(t_Parts[[#This Row],[pv2018]]/t_Parts[[NetPPH]:[NetPPH]]),0)</f>
        <v>0</v>
      </c>
      <c r="DT42" s="39">
        <f>IF(AND(BN$3&gt;=VALUE(t_Parts[[SOP]:[SOP]]),BN$3&lt;=VALUE(t_Parts[[EOP]:[EOP]])), 12*t_Parts[[SetupHrsPerMo]:[SetupHrsPerMo]]+(t_Parts[[#This Row],[pv2019]]/t_Parts[[NetPPH]:[NetPPH]]),0)</f>
        <v>0</v>
      </c>
      <c r="DU42" s="47">
        <f>t_Parts[[#This Row],[hp2015.01]]/t_Parts[[#This Row],[ha2015.01]]</f>
        <v>1.0739260739260738E-2</v>
      </c>
      <c r="DV42" s="47">
        <f>t_Parts[[#This Row],[hp2015.02]]/t_Parts[[#This Row],[ha2015.02]]</f>
        <v>1.0739260739260738E-2</v>
      </c>
      <c r="DW42" s="47">
        <f>t_Parts[[#This Row],[hp2015.03]]/t_Parts[[#This Row],[ha2015.03]]</f>
        <v>9.3106893106893098E-3</v>
      </c>
      <c r="DX42" s="47">
        <f>t_Parts[[#This Row],[hp2015.04]]/t_Parts[[#This Row],[ha2015.04]]</f>
        <v>1.0739260739260738E-2</v>
      </c>
      <c r="DY42" s="47">
        <f>t_Parts[[#This Row],[hp2015.05]]/t_Parts[[#This Row],[ha2015.05]]</f>
        <v>1.0739260739260738E-2</v>
      </c>
      <c r="DZ42" s="47">
        <f>t_Parts[[#This Row],[hp2015.06]]/t_Parts[[#This Row],[ha2015.06]]</f>
        <v>9.3106893106893098E-3</v>
      </c>
      <c r="EA42" s="47">
        <f>t_Parts[[#This Row],[hp2015.07]]/t_Parts[[#This Row],[ha2015.07]]</f>
        <v>1.0739260739260738E-2</v>
      </c>
      <c r="EB42" s="47">
        <f>t_Parts[[#This Row],[hp2015.08]]/t_Parts[[#This Row],[ha2015.08]]</f>
        <v>1.0739260739260738E-2</v>
      </c>
      <c r="EC42" s="47">
        <f>t_Parts[[#This Row],[hp2015.09]]/t_Parts[[#This Row],[ha2015.09]]</f>
        <v>9.3106893106893098E-3</v>
      </c>
      <c r="ED42" s="47">
        <f>t_Parts[[#This Row],[hp2015.10]]/t_Parts[[#This Row],[ha2015.10]]</f>
        <v>1.0739260739260738E-2</v>
      </c>
      <c r="EE42" s="47">
        <f>t_Parts[[#This Row],[hp2015.11]]/t_Parts[[#This Row],[ha2015.11]]</f>
        <v>1.0739260739260738E-2</v>
      </c>
      <c r="EF42" s="47">
        <f>t_Parts[[#This Row],[hp2015.12]]/t_Parts[[#This Row],[ha2015.12]]</f>
        <v>9.3106893106893098E-3</v>
      </c>
      <c r="EG42" s="47">
        <f>t_Parts[[#This Row],[hp2015.FY]]/t_Parts[[#This Row],[ha2015.FY]]</f>
        <v>1.0189810189810189E-2</v>
      </c>
      <c r="EH42" s="47">
        <f>t_Parts[[#This Row],[hp2016.01]]/t_Parts[[#This Row],[ha2016.01]]</f>
        <v>1.0739260739260738E-2</v>
      </c>
      <c r="EI42" s="47">
        <f>t_Parts[[#This Row],[hp2016.02]]/t_Parts[[#This Row],[ha2016.02]]</f>
        <v>1.0739260739260738E-2</v>
      </c>
      <c r="EJ42" s="47">
        <f>t_Parts[[#This Row],[hp2016.03]]/t_Parts[[#This Row],[ha2016.03]]</f>
        <v>9.3106893106893098E-3</v>
      </c>
      <c r="EK42" s="47">
        <f>t_Parts[[#This Row],[hp2016.04]]/t_Parts[[#This Row],[ha2016.04]]</f>
        <v>1.0739260739260738E-2</v>
      </c>
      <c r="EL42" s="47">
        <f>t_Parts[[#This Row],[hp2016.05]]/t_Parts[[#This Row],[ha2016.05]]</f>
        <v>1.0739260739260738E-2</v>
      </c>
      <c r="EM42" s="47">
        <f>t_Parts[[#This Row],[hp2016.06]]/t_Parts[[#This Row],[ha2016.06]]</f>
        <v>9.3106893106893098E-3</v>
      </c>
      <c r="EN42" s="47">
        <f>t_Parts[[#This Row],[hp2016.07]]/t_Parts[[#This Row],[ha2016.07]]</f>
        <v>1.0739260739260738E-2</v>
      </c>
      <c r="EO42" s="47">
        <f>t_Parts[[#This Row],[hp2016.08]]/t_Parts[[#This Row],[ha2016.08]]</f>
        <v>1.0739260739260738E-2</v>
      </c>
      <c r="EP42" s="47">
        <f>t_Parts[[#This Row],[hp2016.09]]/t_Parts[[#This Row],[ha2016.09]]</f>
        <v>9.3106893106893098E-3</v>
      </c>
      <c r="EQ42" s="47">
        <f>t_Parts[[#This Row],[hp2016.10]]/t_Parts[[#This Row],[ha2016.10]]</f>
        <v>1.0739260739260738E-2</v>
      </c>
      <c r="ER42" s="47">
        <f>t_Parts[[#This Row],[hp2016.11]]/t_Parts[[#This Row],[ha2016.11]]</f>
        <v>1.0739260739260738E-2</v>
      </c>
      <c r="ES42" s="47">
        <f>t_Parts[[#This Row],[hp2016.12]]/t_Parts[[#This Row],[ha2016.12]]</f>
        <v>9.3106893106893098E-3</v>
      </c>
      <c r="ET42" s="47">
        <f>t_Parts[[#This Row],[hp2016.FY]]/t_Parts[[#This Row],[ha2016.FY]]</f>
        <v>1.0189810189810189E-2</v>
      </c>
      <c r="EU42" s="47">
        <f>t_Parts[[#This Row],[hp2017]]/t_Parts[[#This Row],[ha2017]]</f>
        <v>1.0189810189810191E-2</v>
      </c>
      <c r="EV42" s="47">
        <f>t_Parts[[#This Row],[hp2018]]/t_Parts[[#This Row],[ha2018]]</f>
        <v>0</v>
      </c>
      <c r="EW42" s="47">
        <f>t_Parts[[#This Row],[hp2019]]/t_Parts[[#This Row],[hp2015.01]]</f>
        <v>0</v>
      </c>
      <c r="EX42" s="58">
        <f>(t_Parts[[#This Row],[ha2015.01]]-t_Parts[[#This Row],[hp2015.01]])*t_Parts[[NetPPH]:[NetPPH]]</f>
        <v>274223.07692307694</v>
      </c>
      <c r="EY42" s="58">
        <f>(t_Parts[[#This Row],[ha2015.02]]-t_Parts[[#This Row],[hp2015.02]])*t_Parts[[NetPPH]:[NetPPH]]</f>
        <v>274223.07692307694</v>
      </c>
      <c r="EZ42" s="58">
        <f>(t_Parts[[#This Row],[ha2015.03]]-t_Parts[[#This Row],[hp2015.03]])*t_Parts[[NetPPH]:[NetPPH]]</f>
        <v>343273.84615384619</v>
      </c>
      <c r="FA42" s="58">
        <f>(t_Parts[[#This Row],[ha2015.04]]-t_Parts[[#This Row],[hp2015.04]])*t_Parts[[NetPPH]:[NetPPH]]</f>
        <v>274223.07692307694</v>
      </c>
      <c r="FB42" s="58">
        <f>(t_Parts[[#This Row],[ha2015.05]]-t_Parts[[#This Row],[hp2015.05]])*t_Parts[[NetPPH]:[NetPPH]]</f>
        <v>274223.07692307694</v>
      </c>
      <c r="FC42" s="58">
        <f>(t_Parts[[#This Row],[ha2015.06]]-t_Parts[[#This Row],[hp2015.06]])*t_Parts[[NetPPH]:[NetPPH]]</f>
        <v>343273.84615384619</v>
      </c>
      <c r="FD42" s="58">
        <f>(t_Parts[[#This Row],[ha2015.07]]-t_Parts[[#This Row],[hp2015.07]])*t_Parts[[NetPPH]:[NetPPH]]</f>
        <v>274223.07692307694</v>
      </c>
      <c r="FE42" s="58">
        <f>(t_Parts[[#This Row],[ha2015.08]]-t_Parts[[#This Row],[hp2015.08]])*t_Parts[[NetPPH]:[NetPPH]]</f>
        <v>274223.07692307694</v>
      </c>
      <c r="FF42" s="58">
        <f>(t_Parts[[#This Row],[ha2015.09]]-t_Parts[[#This Row],[hp2015.09]])*t_Parts[[NetPPH]:[NetPPH]]</f>
        <v>343273.84615384619</v>
      </c>
      <c r="FG42" s="58">
        <f>(t_Parts[[#This Row],[ha2015.10]]-t_Parts[[#This Row],[hp2015.10]])*t_Parts[[NetPPH]:[NetPPH]]</f>
        <v>274223.07692307694</v>
      </c>
      <c r="FH42" s="58">
        <f>(t_Parts[[#This Row],[ha2015.11]]-t_Parts[[#This Row],[hp2015.11]])*t_Parts[[NetPPH]:[NetPPH]]</f>
        <v>274223.07692307694</v>
      </c>
      <c r="FI42" s="58">
        <f>(t_Parts[[#This Row],[ha2015.12]]-t_Parts[[#This Row],[hp2015.12]])*t_Parts[[NetPPH]:[NetPPH]]</f>
        <v>343273.84615384619</v>
      </c>
      <c r="FJ42" s="58">
        <f>(t_Parts[[#This Row],[ha2015.FY]]-t_Parts[[#This Row],[hp2015.FY]])*t_Parts[[NetPPH]:[NetPPH]]</f>
        <v>3566880.0000000005</v>
      </c>
      <c r="FK42" s="58">
        <f>(t_Parts[[#This Row],[ha2016.01]]-t_Parts[[#This Row],[hp2016.01]])*t_Parts[[NetPPH]:[NetPPH]]</f>
        <v>274223.07692307694</v>
      </c>
      <c r="FL42" s="58">
        <f>(t_Parts[[#This Row],[ha2016.02]]-t_Parts[[#This Row],[hp2016.02]])*t_Parts[[NetPPH]:[NetPPH]]</f>
        <v>274223.07692307694</v>
      </c>
      <c r="FM42" s="58">
        <f>(t_Parts[[#This Row],[ha2016.03]]-t_Parts[[#This Row],[hp2016.03]])*t_Parts[[NetPPH]:[NetPPH]]</f>
        <v>343273.84615384619</v>
      </c>
      <c r="FN42" s="58">
        <f>(t_Parts[[#This Row],[ha2016.04]]-t_Parts[[#This Row],[hp2016.04]])*t_Parts[[NetPPH]:[NetPPH]]</f>
        <v>274223.07692307694</v>
      </c>
      <c r="FO42" s="58">
        <f>(t_Parts[[#This Row],[ha2016.05]]-t_Parts[[#This Row],[hp2016.05]])*t_Parts[[NetPPH]:[NetPPH]]</f>
        <v>274223.07692307694</v>
      </c>
      <c r="FP42" s="58">
        <f>(t_Parts[[#This Row],[ha2016.06]]-t_Parts[[#This Row],[hp2016.06]])*t_Parts[[NetPPH]:[NetPPH]]</f>
        <v>343273.84615384619</v>
      </c>
      <c r="FQ42" s="58">
        <f>(t_Parts[[#This Row],[ha2016.07]]-t_Parts[[#This Row],[hp2016.07]])*t_Parts[[NetPPH]:[NetPPH]]</f>
        <v>274223.07692307694</v>
      </c>
      <c r="FR42" s="58">
        <f>(t_Parts[[#This Row],[ha2016.08]]-t_Parts[[#This Row],[hp2016.08]])*t_Parts[[NetPPH]:[NetPPH]]</f>
        <v>274223.07692307694</v>
      </c>
      <c r="FS42" s="58">
        <f>(t_Parts[[#This Row],[ha2016.09]]-t_Parts[[#This Row],[hp2016.09]])*t_Parts[[NetPPH]:[NetPPH]]</f>
        <v>343273.84615384619</v>
      </c>
      <c r="FT42" s="58">
        <f>(t_Parts[[#This Row],[ha2016.10]]-t_Parts[[#This Row],[hp2016.10]])*t_Parts[[NetPPH]:[NetPPH]]</f>
        <v>274223.07692307694</v>
      </c>
      <c r="FU42" s="58">
        <f>(t_Parts[[#This Row],[ha2016.11]]-t_Parts[[#This Row],[hp2016.11]])*t_Parts[[NetPPH]:[NetPPH]]</f>
        <v>274223.07692307694</v>
      </c>
      <c r="FV42" s="58">
        <f>(t_Parts[[#This Row],[ha2016.12]]-t_Parts[[#This Row],[hp2016.12]])*t_Parts[[NetPPH]:[NetPPH]]</f>
        <v>343273.84615384619</v>
      </c>
      <c r="FW42" s="58">
        <f>(t_Parts[[#This Row],[ha2016.FY]]-t_Parts[[#This Row],[hp2016.FY]])*t_Parts[[NetPPH]:[NetPPH]]</f>
        <v>3566880.0000000005</v>
      </c>
      <c r="FX42" s="58">
        <f>(t_Parts[[#This Row],[ha2017]]-t_Parts[[#This Row],[hp2017]])*t_Parts[[NetPPH]:[NetPPH]]</f>
        <v>3566880.0000000005</v>
      </c>
      <c r="FY42" s="58">
        <f>(t_Parts[[#This Row],[ha2018]]-t_Parts[[#This Row],[hp2018]])*t_Parts[[NetPPH]:[NetPPH]]</f>
        <v>3603600.0000000005</v>
      </c>
      <c r="FZ42" s="58">
        <f>(t_Parts[[#This Row],[ha2019]]-t_Parts[[#This Row],[hp2019]])*t_Parts[[NetPPH]:[NetPPH]]</f>
        <v>3603600.0000000005</v>
      </c>
    </row>
    <row r="43" spans="1:182" s="14" customFormat="1" x14ac:dyDescent="0.25">
      <c r="A43" s="74" t="s">
        <v>510</v>
      </c>
      <c r="B43" s="74"/>
      <c r="C43" s="74">
        <v>21011</v>
      </c>
      <c r="D43" s="75">
        <v>1</v>
      </c>
      <c r="E43" s="73">
        <v>1800</v>
      </c>
      <c r="F43" s="76">
        <v>1</v>
      </c>
      <c r="G43" s="77">
        <v>2</v>
      </c>
      <c r="H43" s="16">
        <v>2015.01</v>
      </c>
      <c r="I43" s="16" t="s">
        <v>81</v>
      </c>
      <c r="J43" s="73">
        <v>12960</v>
      </c>
      <c r="K43" s="73">
        <v>12960</v>
      </c>
      <c r="L43" s="73">
        <v>12960</v>
      </c>
      <c r="M43" s="73">
        <v>12960</v>
      </c>
      <c r="N43" s="73">
        <v>12960</v>
      </c>
      <c r="O43" s="78">
        <v>54</v>
      </c>
      <c r="P43" s="78">
        <v>97</v>
      </c>
      <c r="Q43" s="79">
        <v>22.87</v>
      </c>
      <c r="R43" s="79"/>
      <c r="S43" s="78"/>
      <c r="T43" s="80">
        <v>16</v>
      </c>
      <c r="U43" s="80" t="s">
        <v>121</v>
      </c>
      <c r="V43" s="81" t="s">
        <v>511</v>
      </c>
      <c r="W43" s="82">
        <v>1.18</v>
      </c>
      <c r="X43" s="82" t="s">
        <v>501</v>
      </c>
      <c r="Y43" s="82"/>
      <c r="Z43" s="82"/>
      <c r="AA43" s="82"/>
      <c r="AB43" s="82"/>
      <c r="AC43" s="83" t="s">
        <v>667</v>
      </c>
      <c r="AD43" s="40" t="str">
        <f>VLOOKUP(t_Parts[[#This Row],[Press]],t_Presses[],Press!B$1,FALSE)</f>
        <v>Plainfield</v>
      </c>
      <c r="AE43" s="40" t="str">
        <f>VLOOKUP(t_Parts[[#This Row],[Press]],t_Presses[],Press!E$1,FALSE)</f>
        <v>300-599</v>
      </c>
      <c r="AF43" s="47">
        <f>VLOOKUP(t_Parts[[#This Row],[Plant]],t_Plants[],Plants!C$1,FALSE)</f>
        <v>0.55000000000000004</v>
      </c>
      <c r="AG43" s="47">
        <f>VLOOKUP(t_Parts[[#This Row],[Press]],t_Presses[],Press!F$1,FALSE)</f>
        <v>0</v>
      </c>
      <c r="AH43" s="84"/>
      <c r="AI43" s="47">
        <f>IF(ISBLANK(t_Parts[[#This Row],[PartOEE]])=FALSE,t_Parts[[#This Row],[PartOEE]], IF(t_Parts[[#This Row],[PressOEE]]&gt;0, t_Parts[[#This Row],[PressOEE]], t_Parts[[#This Row],[PlantOEE]] ))</f>
        <v>0.55000000000000004</v>
      </c>
      <c r="AJ43" s="70">
        <f>t_Parts[[#This Row],[SetupsPerMo]]*t_Parts[[#This Row],[SetupHrs]]</f>
        <v>2</v>
      </c>
      <c r="AK43" s="39">
        <f>(t_Parts[[#This Row],[PartsPerStroke]]*t_Parts[[#This Row],[StrokesPerHr]])*t_Parts[[#This Row],[UseOEE]]</f>
        <v>990.00000000000011</v>
      </c>
      <c r="AL4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4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4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4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4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4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4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4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4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4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4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4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43" s="39">
        <f>SUM(t_Parts[[#This Row],[pv2015.01]:[pv2015.12]])</f>
        <v>12959.999999999998</v>
      </c>
      <c r="AY4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4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4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4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4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4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4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4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4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4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4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4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43" s="39">
        <f>SUM(t_Parts[[#This Row],[pv2016.01]:[pv2016.12]])</f>
        <v>12959.999999999998</v>
      </c>
      <c r="BL43" s="39">
        <f>t_Parts[[#This Row],[2017vol]]</f>
        <v>12960</v>
      </c>
      <c r="BM43" s="39">
        <f>t_Parts[[#This Row],[2018vol]]</f>
        <v>12960</v>
      </c>
      <c r="BN43" s="39">
        <f>t_Parts[[#This Row],[2019vol]]</f>
        <v>12960</v>
      </c>
      <c r="BO43" s="40">
        <f>VLOOKUP(t_Parts[[Plant]:[Plant]],t_Plants[],Plants!CN$1,FALSE)</f>
        <v>280</v>
      </c>
      <c r="BP43" s="14">
        <f>VLOOKUP(t_Parts[[Plant]:[Plant]],t_Plants[],Plants!CO$1,FALSE)</f>
        <v>280</v>
      </c>
      <c r="BQ43" s="14">
        <f>VLOOKUP(t_Parts[[Plant]:[Plant]],t_Plants[],Plants!CP$1,FALSE)</f>
        <v>350</v>
      </c>
      <c r="BR43" s="14">
        <f>VLOOKUP(t_Parts[[Plant]:[Plant]],t_Plants[],Plants!CQ$1,FALSE)</f>
        <v>280</v>
      </c>
      <c r="BS43" s="14">
        <f>VLOOKUP(t_Parts[[Plant]:[Plant]],t_Plants[],Plants!CR$1,FALSE)</f>
        <v>280</v>
      </c>
      <c r="BT43" s="14">
        <f>VLOOKUP(t_Parts[[Plant]:[Plant]],t_Plants[],Plants!CS$1,FALSE)</f>
        <v>350</v>
      </c>
      <c r="BU43" s="14">
        <f>VLOOKUP(t_Parts[[Plant]:[Plant]],t_Plants[],Plants!CT$1,FALSE)</f>
        <v>280</v>
      </c>
      <c r="BV43" s="14">
        <f>VLOOKUP(t_Parts[[Plant]:[Plant]],t_Plants[],Plants!CU$1,FALSE)</f>
        <v>280</v>
      </c>
      <c r="BW43" s="14">
        <f>VLOOKUP(t_Parts[[Plant]:[Plant]],t_Plants[],Plants!CV$1,FALSE)</f>
        <v>350</v>
      </c>
      <c r="BX43" s="14">
        <f>VLOOKUP(t_Parts[[Plant]:[Plant]],t_Plants[],Plants!CW$1,FALSE)</f>
        <v>280</v>
      </c>
      <c r="BY43" s="14">
        <f>VLOOKUP(t_Parts[[Plant]:[Plant]],t_Plants[],Plants!CX$1,FALSE)</f>
        <v>280</v>
      </c>
      <c r="BZ43" s="14">
        <f>VLOOKUP(t_Parts[[Plant]:[Plant]],t_Plants[],Plants!CY$1,FALSE)</f>
        <v>350</v>
      </c>
      <c r="CA43" s="40">
        <f>SUM(t_Parts[[#This Row],[ha2015.01]:[ha2015.12]])</f>
        <v>3640</v>
      </c>
      <c r="CB43" s="14">
        <f>VLOOKUP(t_Parts[[Plant]:[Plant]],t_Plants[],Plants!DA$1,FALSE)</f>
        <v>280</v>
      </c>
      <c r="CC43" s="14">
        <f>VLOOKUP(t_Parts[[Plant]:[Plant]],t_Plants[],Plants!DB$1,FALSE)</f>
        <v>280</v>
      </c>
      <c r="CD43" s="14">
        <f>VLOOKUP(t_Parts[[Plant]:[Plant]],t_Plants[],Plants!DC$1,FALSE)</f>
        <v>350</v>
      </c>
      <c r="CE43" s="14">
        <f>VLOOKUP(t_Parts[[Plant]:[Plant]],t_Plants[],Plants!DD$1,FALSE)</f>
        <v>280</v>
      </c>
      <c r="CF43" s="14">
        <f>VLOOKUP(t_Parts[[Plant]:[Plant]],t_Plants[],Plants!DE$1,FALSE)</f>
        <v>280</v>
      </c>
      <c r="CG43" s="14">
        <f>VLOOKUP(t_Parts[[Plant]:[Plant]],t_Plants[],Plants!DF$1,FALSE)</f>
        <v>350</v>
      </c>
      <c r="CH43" s="14">
        <f>VLOOKUP(t_Parts[[Plant]:[Plant]],t_Plants[],Plants!DG$1,FALSE)</f>
        <v>280</v>
      </c>
      <c r="CI43" s="14">
        <f>VLOOKUP(t_Parts[[Plant]:[Plant]],t_Plants[],Plants!DH$1,FALSE)</f>
        <v>280</v>
      </c>
      <c r="CJ43" s="14">
        <f>VLOOKUP(t_Parts[[Plant]:[Plant]],t_Plants[],Plants!DI$1,FALSE)</f>
        <v>350</v>
      </c>
      <c r="CK43" s="14">
        <f>VLOOKUP(t_Parts[[Plant]:[Plant]],t_Plants[],Plants!DJ$1,FALSE)</f>
        <v>280</v>
      </c>
      <c r="CL43" s="14">
        <f>VLOOKUP(t_Parts[[Plant]:[Plant]],t_Plants[],Plants!DK$1,FALSE)</f>
        <v>280</v>
      </c>
      <c r="CM43" s="14">
        <f>VLOOKUP(t_Parts[[Plant]:[Plant]],t_Plants[],Plants!DL$1,FALSE)</f>
        <v>350</v>
      </c>
      <c r="CN43" s="14">
        <f>VLOOKUP(t_Parts[[Plant]:[Plant]],t_Plants[],Plants!DM$1,FALSE)</f>
        <v>3640</v>
      </c>
      <c r="CO43" s="14">
        <f>VLOOKUP(t_Parts[[Plant]:[Plant]],t_Plants[],Plants!DN$1,FALSE)</f>
        <v>3640</v>
      </c>
      <c r="CP43" s="14">
        <f>VLOOKUP(t_Parts[[Plant]:[Plant]],t_Plants[],Plants!DO$1,FALSE)</f>
        <v>3640</v>
      </c>
      <c r="CQ43" s="14">
        <f>VLOOKUP(t_Parts[[Plant]:[Plant]],t_Plants[],Plants!DP$1,FALSE)</f>
        <v>3640</v>
      </c>
      <c r="CR43" s="39">
        <f>IF(AND(AL$3&gt;=VALUE(t_Parts[[SOP]:[SOP]]),AL$3&lt;=VALUE(t_Parts[[EOP]:[EOP]])), t_Parts[[SetupHrsPerMo]:[SetupHrsPerMo]]+(t_Parts[[#This Row],[pv2015.01]]/t_Parts[[NetPPH]:[NetPPH]]),0)</f>
        <v>3.0069930069930066</v>
      </c>
      <c r="CS43" s="39">
        <f>IF(AND(AM$3&gt;=VALUE(t_Parts[[SOP]:[SOP]]),AM$3&lt;=VALUE(t_Parts[[EOP]:[EOP]])), t_Parts[[SetupHrsPerMo]:[SetupHrsPerMo]]+(t_Parts[[#This Row],[pv2015.02]]/t_Parts[[NetPPH]:[NetPPH]]),0)</f>
        <v>3.0069930069930066</v>
      </c>
      <c r="CT43" s="39">
        <f>IF(AND(AN$3&gt;=VALUE(t_Parts[[SOP]:[SOP]]),AN$3&lt;=VALUE(t_Parts[[EOP]:[EOP]])), t_Parts[[SetupHrsPerMo]:[SetupHrsPerMo]]+(t_Parts[[#This Row],[pv2015.03]]/t_Parts[[NetPPH]:[NetPPH]]),0)</f>
        <v>3.2587412587412583</v>
      </c>
      <c r="CU43" s="39">
        <f>IF(AND(AO$3&gt;=VALUE(t_Parts[[SOP]:[SOP]]),AO$3&lt;=VALUE(t_Parts[[EOP]:[EOP]])), t_Parts[[SetupHrsPerMo]:[SetupHrsPerMo]]+(t_Parts[[#This Row],[pv2015.04]]/t_Parts[[NetPPH]:[NetPPH]]),0)</f>
        <v>3.0069930069930066</v>
      </c>
      <c r="CV43" s="39">
        <f>IF(AND(AP$3&gt;=VALUE(t_Parts[[SOP]:[SOP]]),AP$3&lt;=VALUE(t_Parts[[EOP]:[EOP]])), t_Parts[[SetupHrsPerMo]:[SetupHrsPerMo]]+(t_Parts[[#This Row],[pv2015.05]]/t_Parts[[NetPPH]:[NetPPH]]),0)</f>
        <v>3.0069930069930066</v>
      </c>
      <c r="CW43" s="39">
        <f>IF(AND(AQ$3&gt;=VALUE(t_Parts[[SOP]:[SOP]]),AQ$3&lt;=VALUE(t_Parts[[EOP]:[EOP]])), t_Parts[[SetupHrsPerMo]:[SetupHrsPerMo]]+(t_Parts[[#This Row],[pv2015.06]]/t_Parts[[NetPPH]:[NetPPH]]),0)</f>
        <v>3.2587412587412583</v>
      </c>
      <c r="CX43" s="39">
        <f>IF(AND(AR$3&gt;=VALUE(t_Parts[[SOP]:[SOP]]),AR$3&lt;=VALUE(t_Parts[[EOP]:[EOP]])), t_Parts[[SetupHrsPerMo]:[SetupHrsPerMo]]+(t_Parts[[#This Row],[pv2015.07]]/t_Parts[[NetPPH]:[NetPPH]]),0)</f>
        <v>3.0069930069930066</v>
      </c>
      <c r="CY43" s="39">
        <f>IF(AND(AS$3&gt;=VALUE(t_Parts[[SOP]:[SOP]]),AS$3&lt;=VALUE(t_Parts[[EOP]:[EOP]])), t_Parts[[SetupHrsPerMo]:[SetupHrsPerMo]]+(t_Parts[[#This Row],[pv2015.08]]/t_Parts[[NetPPH]:[NetPPH]]),0)</f>
        <v>3.0069930069930066</v>
      </c>
      <c r="CZ43" s="39">
        <f>IF(AND(AT$3&gt;=VALUE(t_Parts[[SOP]:[SOP]]),AT$3&lt;=VALUE(t_Parts[[EOP]:[EOP]])), t_Parts[[SetupHrsPerMo]:[SetupHrsPerMo]]+(t_Parts[[#This Row],[pv2015.09]]/t_Parts[[NetPPH]:[NetPPH]]),0)</f>
        <v>3.2587412587412583</v>
      </c>
      <c r="DA43" s="39">
        <f>IF(AND(AU$3&gt;=VALUE(t_Parts[[SOP]:[SOP]]),AU$3&lt;=VALUE(t_Parts[[EOP]:[EOP]])), t_Parts[[SetupHrsPerMo]:[SetupHrsPerMo]]+(t_Parts[[#This Row],[pv2015.10]]/t_Parts[[NetPPH]:[NetPPH]]),0)</f>
        <v>3.0069930069930066</v>
      </c>
      <c r="DB43" s="39">
        <f>IF(AND(AV$3&gt;=VALUE(t_Parts[[SOP]:[SOP]]),AV$3&lt;=VALUE(t_Parts[[EOP]:[EOP]])), t_Parts[[SetupHrsPerMo]:[SetupHrsPerMo]]+(t_Parts[[#This Row],[pv2015.11]]/t_Parts[[NetPPH]:[NetPPH]]),0)</f>
        <v>3.0069930069930066</v>
      </c>
      <c r="DC43" s="39">
        <f>IF(AND(AW$3&gt;=VALUE(t_Parts[[SOP]:[SOP]]),AW$3&lt;=VALUE(t_Parts[[EOP]:[EOP]])), t_Parts[[SetupHrsPerMo]:[SetupHrsPerMo]]+(t_Parts[[#This Row],[pv2015.12]]/t_Parts[[NetPPH]:[NetPPH]]),0)</f>
        <v>3.2587412587412583</v>
      </c>
      <c r="DD43" s="39">
        <f>SUM(t_Parts[[#This Row],[hp2015.01]:[hp2015.12]])</f>
        <v>37.090909090909086</v>
      </c>
      <c r="DE43" s="39">
        <f>IF(AND(AY$3&gt;=VALUE(t_Parts[[SOP]:[SOP]]),AY$3&lt;=VALUE(t_Parts[[EOP]:[EOP]])), t_Parts[[SetupHrsPerMo]:[SetupHrsPerMo]]+(t_Parts[[#This Row],[pv2016.01]]/t_Parts[[NetPPH]:[NetPPH]]),0)</f>
        <v>3.0069930069930066</v>
      </c>
      <c r="DF43" s="39">
        <f>IF(AND(AZ$3&gt;=VALUE(t_Parts[[SOP]:[SOP]]),AZ$3&lt;=VALUE(t_Parts[[EOP]:[EOP]])), t_Parts[[SetupHrsPerMo]:[SetupHrsPerMo]]+(t_Parts[[#This Row],[pv2016.02]]/t_Parts[[NetPPH]:[NetPPH]]),0)</f>
        <v>3.0069930069930066</v>
      </c>
      <c r="DG43" s="39">
        <f>IF(AND(BA$3&gt;=VALUE(t_Parts[[SOP]:[SOP]]),BA$3&lt;=VALUE(t_Parts[[EOP]:[EOP]])), t_Parts[[SetupHrsPerMo]:[SetupHrsPerMo]]+(t_Parts[[#This Row],[pv2016.03]]/t_Parts[[NetPPH]:[NetPPH]]),0)</f>
        <v>3.2587412587412583</v>
      </c>
      <c r="DH43" s="39">
        <f>IF(AND(BB$3&gt;=VALUE(t_Parts[[SOP]:[SOP]]),BB$3&lt;=VALUE(t_Parts[[EOP]:[EOP]])), t_Parts[[SetupHrsPerMo]:[SetupHrsPerMo]]+(t_Parts[[#This Row],[pv2016.04]]/t_Parts[[NetPPH]:[NetPPH]]),0)</f>
        <v>3.0069930069930066</v>
      </c>
      <c r="DI43" s="39">
        <f>IF(AND(BC$3&gt;=VALUE(t_Parts[[SOP]:[SOP]]),BC$3&lt;=VALUE(t_Parts[[EOP]:[EOP]])), t_Parts[[SetupHrsPerMo]:[SetupHrsPerMo]]+(t_Parts[[#This Row],[pv2016.05]]/t_Parts[[NetPPH]:[NetPPH]]),0)</f>
        <v>3.0069930069930066</v>
      </c>
      <c r="DJ43" s="39">
        <f>IF(AND(BD$3&gt;=VALUE(t_Parts[[SOP]:[SOP]]),BD$3&lt;=VALUE(t_Parts[[EOP]:[EOP]])), t_Parts[[SetupHrsPerMo]:[SetupHrsPerMo]]+(t_Parts[[#This Row],[pv2016.06]]/t_Parts[[NetPPH]:[NetPPH]]),0)</f>
        <v>3.2587412587412583</v>
      </c>
      <c r="DK43" s="39">
        <f>IF(AND(BE$3&gt;=VALUE(t_Parts[[SOP]:[SOP]]),BE$3&lt;=VALUE(t_Parts[[EOP]:[EOP]])), t_Parts[[SetupHrsPerMo]:[SetupHrsPerMo]]+(t_Parts[[#This Row],[pv2016.07]]/t_Parts[[NetPPH]:[NetPPH]]),0)</f>
        <v>3.0069930069930066</v>
      </c>
      <c r="DL43" s="39">
        <f>IF(AND(BF$3&gt;=VALUE(t_Parts[[SOP]:[SOP]]),BF$3&lt;=VALUE(t_Parts[[EOP]:[EOP]])), t_Parts[[SetupHrsPerMo]:[SetupHrsPerMo]]+(t_Parts[[#This Row],[pv2016.08]]/t_Parts[[NetPPH]:[NetPPH]]),0)</f>
        <v>3.0069930069930066</v>
      </c>
      <c r="DM43" s="39">
        <f>IF(AND(BG$3&gt;=VALUE(t_Parts[[SOP]:[SOP]]),BG$3&lt;=VALUE(t_Parts[[EOP]:[EOP]])), t_Parts[[SetupHrsPerMo]:[SetupHrsPerMo]]+(t_Parts[[#This Row],[pv2016.09]]/t_Parts[[NetPPH]:[NetPPH]]),0)</f>
        <v>3.2587412587412583</v>
      </c>
      <c r="DN43" s="39">
        <f>IF(AND(BH$3&gt;=VALUE(t_Parts[[SOP]:[SOP]]),BH$3&lt;=VALUE(t_Parts[[EOP]:[EOP]])), t_Parts[[SetupHrsPerMo]:[SetupHrsPerMo]]+(t_Parts[[#This Row],[pv2016.10]]/t_Parts[[NetPPH]:[NetPPH]]),0)</f>
        <v>3.0069930069930066</v>
      </c>
      <c r="DO43" s="39">
        <f>IF(AND(BI$3&gt;=VALUE(t_Parts[[SOP]:[SOP]]),BI$3&lt;=VALUE(t_Parts[[EOP]:[EOP]])), t_Parts[[SetupHrsPerMo]:[SetupHrsPerMo]]+(t_Parts[[#This Row],[pv2016.11]]/t_Parts[[NetPPH]:[NetPPH]]),0)</f>
        <v>3.0069930069930066</v>
      </c>
      <c r="DP43" s="39">
        <f>IF(AND(BJ$3&gt;=VALUE(t_Parts[[SOP]:[SOP]]),BJ$3&lt;=VALUE(t_Parts[[EOP]:[EOP]])), t_Parts[[SetupHrsPerMo]:[SetupHrsPerMo]]+(t_Parts[[#This Row],[pv2016.12]]/t_Parts[[NetPPH]:[NetPPH]]),0)</f>
        <v>3.2587412587412583</v>
      </c>
      <c r="DQ43" s="39">
        <f>SUM(t_Parts[[#This Row],[hp2016.01]:[hp2016.12]])</f>
        <v>37.090909090909086</v>
      </c>
      <c r="DR43" s="39">
        <f>IF(AND(BL$3&gt;=VALUE(t_Parts[[SOP]:[SOP]]),BL$3&lt;=VALUE(t_Parts[[EOP]:[EOP]])), 12*t_Parts[[SetupHrsPerMo]:[SetupHrsPerMo]]+(t_Parts[[#This Row],[pv2017]]/t_Parts[[NetPPH]:[NetPPH]]),0)</f>
        <v>37.090909090909093</v>
      </c>
      <c r="DS43" s="39">
        <f>IF(AND(BM$3&gt;=VALUE(t_Parts[[SOP]:[SOP]]),BM$3&lt;=VALUE(t_Parts[[EOP]:[EOP]])), 12*t_Parts[[SetupHrsPerMo]:[SetupHrsPerMo]]+(t_Parts[[#This Row],[pv2018]]/t_Parts[[NetPPH]:[NetPPH]]),0)</f>
        <v>0</v>
      </c>
      <c r="DT43" s="39">
        <f>IF(AND(BN$3&gt;=VALUE(t_Parts[[SOP]:[SOP]]),BN$3&lt;=VALUE(t_Parts[[EOP]:[EOP]])), 12*t_Parts[[SetupHrsPerMo]:[SetupHrsPerMo]]+(t_Parts[[#This Row],[pv2019]]/t_Parts[[NetPPH]:[NetPPH]]),0)</f>
        <v>0</v>
      </c>
      <c r="DU43" s="47">
        <f>t_Parts[[#This Row],[hp2015.01]]/t_Parts[[#This Row],[ha2015.01]]</f>
        <v>1.0739260739260738E-2</v>
      </c>
      <c r="DV43" s="47">
        <f>t_Parts[[#This Row],[hp2015.02]]/t_Parts[[#This Row],[ha2015.02]]</f>
        <v>1.0739260739260738E-2</v>
      </c>
      <c r="DW43" s="47">
        <f>t_Parts[[#This Row],[hp2015.03]]/t_Parts[[#This Row],[ha2015.03]]</f>
        <v>9.3106893106893098E-3</v>
      </c>
      <c r="DX43" s="47">
        <f>t_Parts[[#This Row],[hp2015.04]]/t_Parts[[#This Row],[ha2015.04]]</f>
        <v>1.0739260739260738E-2</v>
      </c>
      <c r="DY43" s="47">
        <f>t_Parts[[#This Row],[hp2015.05]]/t_Parts[[#This Row],[ha2015.05]]</f>
        <v>1.0739260739260738E-2</v>
      </c>
      <c r="DZ43" s="47">
        <f>t_Parts[[#This Row],[hp2015.06]]/t_Parts[[#This Row],[ha2015.06]]</f>
        <v>9.3106893106893098E-3</v>
      </c>
      <c r="EA43" s="47">
        <f>t_Parts[[#This Row],[hp2015.07]]/t_Parts[[#This Row],[ha2015.07]]</f>
        <v>1.0739260739260738E-2</v>
      </c>
      <c r="EB43" s="47">
        <f>t_Parts[[#This Row],[hp2015.08]]/t_Parts[[#This Row],[ha2015.08]]</f>
        <v>1.0739260739260738E-2</v>
      </c>
      <c r="EC43" s="47">
        <f>t_Parts[[#This Row],[hp2015.09]]/t_Parts[[#This Row],[ha2015.09]]</f>
        <v>9.3106893106893098E-3</v>
      </c>
      <c r="ED43" s="47">
        <f>t_Parts[[#This Row],[hp2015.10]]/t_Parts[[#This Row],[ha2015.10]]</f>
        <v>1.0739260739260738E-2</v>
      </c>
      <c r="EE43" s="47">
        <f>t_Parts[[#This Row],[hp2015.11]]/t_Parts[[#This Row],[ha2015.11]]</f>
        <v>1.0739260739260738E-2</v>
      </c>
      <c r="EF43" s="47">
        <f>t_Parts[[#This Row],[hp2015.12]]/t_Parts[[#This Row],[ha2015.12]]</f>
        <v>9.3106893106893098E-3</v>
      </c>
      <c r="EG43" s="47">
        <f>t_Parts[[#This Row],[hp2015.FY]]/t_Parts[[#This Row],[ha2015.FY]]</f>
        <v>1.0189810189810189E-2</v>
      </c>
      <c r="EH43" s="47">
        <f>t_Parts[[#This Row],[hp2016.01]]/t_Parts[[#This Row],[ha2016.01]]</f>
        <v>1.0739260739260738E-2</v>
      </c>
      <c r="EI43" s="47">
        <f>t_Parts[[#This Row],[hp2016.02]]/t_Parts[[#This Row],[ha2016.02]]</f>
        <v>1.0739260739260738E-2</v>
      </c>
      <c r="EJ43" s="47">
        <f>t_Parts[[#This Row],[hp2016.03]]/t_Parts[[#This Row],[ha2016.03]]</f>
        <v>9.3106893106893098E-3</v>
      </c>
      <c r="EK43" s="47">
        <f>t_Parts[[#This Row],[hp2016.04]]/t_Parts[[#This Row],[ha2016.04]]</f>
        <v>1.0739260739260738E-2</v>
      </c>
      <c r="EL43" s="47">
        <f>t_Parts[[#This Row],[hp2016.05]]/t_Parts[[#This Row],[ha2016.05]]</f>
        <v>1.0739260739260738E-2</v>
      </c>
      <c r="EM43" s="47">
        <f>t_Parts[[#This Row],[hp2016.06]]/t_Parts[[#This Row],[ha2016.06]]</f>
        <v>9.3106893106893098E-3</v>
      </c>
      <c r="EN43" s="47">
        <f>t_Parts[[#This Row],[hp2016.07]]/t_Parts[[#This Row],[ha2016.07]]</f>
        <v>1.0739260739260738E-2</v>
      </c>
      <c r="EO43" s="47">
        <f>t_Parts[[#This Row],[hp2016.08]]/t_Parts[[#This Row],[ha2016.08]]</f>
        <v>1.0739260739260738E-2</v>
      </c>
      <c r="EP43" s="47">
        <f>t_Parts[[#This Row],[hp2016.09]]/t_Parts[[#This Row],[ha2016.09]]</f>
        <v>9.3106893106893098E-3</v>
      </c>
      <c r="EQ43" s="47">
        <f>t_Parts[[#This Row],[hp2016.10]]/t_Parts[[#This Row],[ha2016.10]]</f>
        <v>1.0739260739260738E-2</v>
      </c>
      <c r="ER43" s="47">
        <f>t_Parts[[#This Row],[hp2016.11]]/t_Parts[[#This Row],[ha2016.11]]</f>
        <v>1.0739260739260738E-2</v>
      </c>
      <c r="ES43" s="47">
        <f>t_Parts[[#This Row],[hp2016.12]]/t_Parts[[#This Row],[ha2016.12]]</f>
        <v>9.3106893106893098E-3</v>
      </c>
      <c r="ET43" s="47">
        <f>t_Parts[[#This Row],[hp2016.FY]]/t_Parts[[#This Row],[ha2016.FY]]</f>
        <v>1.0189810189810189E-2</v>
      </c>
      <c r="EU43" s="47">
        <f>t_Parts[[#This Row],[hp2017]]/t_Parts[[#This Row],[ha2017]]</f>
        <v>1.0189810189810191E-2</v>
      </c>
      <c r="EV43" s="47">
        <f>t_Parts[[#This Row],[hp2018]]/t_Parts[[#This Row],[ha2018]]</f>
        <v>0</v>
      </c>
      <c r="EW43" s="47">
        <f>t_Parts[[#This Row],[hp2019]]/t_Parts[[#This Row],[hp2015.01]]</f>
        <v>0</v>
      </c>
      <c r="EX43" s="58">
        <f>(t_Parts[[#This Row],[ha2015.01]]-t_Parts[[#This Row],[hp2015.01]])*t_Parts[[NetPPH]:[NetPPH]]</f>
        <v>274223.07692307694</v>
      </c>
      <c r="EY43" s="58">
        <f>(t_Parts[[#This Row],[ha2015.02]]-t_Parts[[#This Row],[hp2015.02]])*t_Parts[[NetPPH]:[NetPPH]]</f>
        <v>274223.07692307694</v>
      </c>
      <c r="EZ43" s="58">
        <f>(t_Parts[[#This Row],[ha2015.03]]-t_Parts[[#This Row],[hp2015.03]])*t_Parts[[NetPPH]:[NetPPH]]</f>
        <v>343273.84615384619</v>
      </c>
      <c r="FA43" s="58">
        <f>(t_Parts[[#This Row],[ha2015.04]]-t_Parts[[#This Row],[hp2015.04]])*t_Parts[[NetPPH]:[NetPPH]]</f>
        <v>274223.07692307694</v>
      </c>
      <c r="FB43" s="58">
        <f>(t_Parts[[#This Row],[ha2015.05]]-t_Parts[[#This Row],[hp2015.05]])*t_Parts[[NetPPH]:[NetPPH]]</f>
        <v>274223.07692307694</v>
      </c>
      <c r="FC43" s="58">
        <f>(t_Parts[[#This Row],[ha2015.06]]-t_Parts[[#This Row],[hp2015.06]])*t_Parts[[NetPPH]:[NetPPH]]</f>
        <v>343273.84615384619</v>
      </c>
      <c r="FD43" s="58">
        <f>(t_Parts[[#This Row],[ha2015.07]]-t_Parts[[#This Row],[hp2015.07]])*t_Parts[[NetPPH]:[NetPPH]]</f>
        <v>274223.07692307694</v>
      </c>
      <c r="FE43" s="58">
        <f>(t_Parts[[#This Row],[ha2015.08]]-t_Parts[[#This Row],[hp2015.08]])*t_Parts[[NetPPH]:[NetPPH]]</f>
        <v>274223.07692307694</v>
      </c>
      <c r="FF43" s="58">
        <f>(t_Parts[[#This Row],[ha2015.09]]-t_Parts[[#This Row],[hp2015.09]])*t_Parts[[NetPPH]:[NetPPH]]</f>
        <v>343273.84615384619</v>
      </c>
      <c r="FG43" s="58">
        <f>(t_Parts[[#This Row],[ha2015.10]]-t_Parts[[#This Row],[hp2015.10]])*t_Parts[[NetPPH]:[NetPPH]]</f>
        <v>274223.07692307694</v>
      </c>
      <c r="FH43" s="58">
        <f>(t_Parts[[#This Row],[ha2015.11]]-t_Parts[[#This Row],[hp2015.11]])*t_Parts[[NetPPH]:[NetPPH]]</f>
        <v>274223.07692307694</v>
      </c>
      <c r="FI43" s="58">
        <f>(t_Parts[[#This Row],[ha2015.12]]-t_Parts[[#This Row],[hp2015.12]])*t_Parts[[NetPPH]:[NetPPH]]</f>
        <v>343273.84615384619</v>
      </c>
      <c r="FJ43" s="58">
        <f>(t_Parts[[#This Row],[ha2015.FY]]-t_Parts[[#This Row],[hp2015.FY]])*t_Parts[[NetPPH]:[NetPPH]]</f>
        <v>3566880.0000000005</v>
      </c>
      <c r="FK43" s="58">
        <f>(t_Parts[[#This Row],[ha2016.01]]-t_Parts[[#This Row],[hp2016.01]])*t_Parts[[NetPPH]:[NetPPH]]</f>
        <v>274223.07692307694</v>
      </c>
      <c r="FL43" s="58">
        <f>(t_Parts[[#This Row],[ha2016.02]]-t_Parts[[#This Row],[hp2016.02]])*t_Parts[[NetPPH]:[NetPPH]]</f>
        <v>274223.07692307694</v>
      </c>
      <c r="FM43" s="58">
        <f>(t_Parts[[#This Row],[ha2016.03]]-t_Parts[[#This Row],[hp2016.03]])*t_Parts[[NetPPH]:[NetPPH]]</f>
        <v>343273.84615384619</v>
      </c>
      <c r="FN43" s="58">
        <f>(t_Parts[[#This Row],[ha2016.04]]-t_Parts[[#This Row],[hp2016.04]])*t_Parts[[NetPPH]:[NetPPH]]</f>
        <v>274223.07692307694</v>
      </c>
      <c r="FO43" s="58">
        <f>(t_Parts[[#This Row],[ha2016.05]]-t_Parts[[#This Row],[hp2016.05]])*t_Parts[[NetPPH]:[NetPPH]]</f>
        <v>274223.07692307694</v>
      </c>
      <c r="FP43" s="58">
        <f>(t_Parts[[#This Row],[ha2016.06]]-t_Parts[[#This Row],[hp2016.06]])*t_Parts[[NetPPH]:[NetPPH]]</f>
        <v>343273.84615384619</v>
      </c>
      <c r="FQ43" s="58">
        <f>(t_Parts[[#This Row],[ha2016.07]]-t_Parts[[#This Row],[hp2016.07]])*t_Parts[[NetPPH]:[NetPPH]]</f>
        <v>274223.07692307694</v>
      </c>
      <c r="FR43" s="58">
        <f>(t_Parts[[#This Row],[ha2016.08]]-t_Parts[[#This Row],[hp2016.08]])*t_Parts[[NetPPH]:[NetPPH]]</f>
        <v>274223.07692307694</v>
      </c>
      <c r="FS43" s="58">
        <f>(t_Parts[[#This Row],[ha2016.09]]-t_Parts[[#This Row],[hp2016.09]])*t_Parts[[NetPPH]:[NetPPH]]</f>
        <v>343273.84615384619</v>
      </c>
      <c r="FT43" s="58">
        <f>(t_Parts[[#This Row],[ha2016.10]]-t_Parts[[#This Row],[hp2016.10]])*t_Parts[[NetPPH]:[NetPPH]]</f>
        <v>274223.07692307694</v>
      </c>
      <c r="FU43" s="58">
        <f>(t_Parts[[#This Row],[ha2016.11]]-t_Parts[[#This Row],[hp2016.11]])*t_Parts[[NetPPH]:[NetPPH]]</f>
        <v>274223.07692307694</v>
      </c>
      <c r="FV43" s="58">
        <f>(t_Parts[[#This Row],[ha2016.12]]-t_Parts[[#This Row],[hp2016.12]])*t_Parts[[NetPPH]:[NetPPH]]</f>
        <v>343273.84615384619</v>
      </c>
      <c r="FW43" s="58">
        <f>(t_Parts[[#This Row],[ha2016.FY]]-t_Parts[[#This Row],[hp2016.FY]])*t_Parts[[NetPPH]:[NetPPH]]</f>
        <v>3566880.0000000005</v>
      </c>
      <c r="FX43" s="58">
        <f>(t_Parts[[#This Row],[ha2017]]-t_Parts[[#This Row],[hp2017]])*t_Parts[[NetPPH]:[NetPPH]]</f>
        <v>3566880.0000000005</v>
      </c>
      <c r="FY43" s="58">
        <f>(t_Parts[[#This Row],[ha2018]]-t_Parts[[#This Row],[hp2018]])*t_Parts[[NetPPH]:[NetPPH]]</f>
        <v>3603600.0000000005</v>
      </c>
      <c r="FZ43" s="58">
        <f>(t_Parts[[#This Row],[ha2019]]-t_Parts[[#This Row],[hp2019]])*t_Parts[[NetPPH]:[NetPPH]]</f>
        <v>3603600.0000000005</v>
      </c>
    </row>
    <row r="44" spans="1:182" s="14" customFormat="1" x14ac:dyDescent="0.25">
      <c r="A44" s="74" t="s">
        <v>624</v>
      </c>
      <c r="B44" s="74"/>
      <c r="C44" s="74">
        <v>21013</v>
      </c>
      <c r="D44" s="75">
        <v>2</v>
      </c>
      <c r="E44" s="73">
        <v>3600</v>
      </c>
      <c r="F44" s="76">
        <v>1</v>
      </c>
      <c r="G44" s="77">
        <v>1</v>
      </c>
      <c r="H44" s="16">
        <v>2015.01</v>
      </c>
      <c r="I44" s="16" t="s">
        <v>92</v>
      </c>
      <c r="J44" s="73">
        <v>183353</v>
      </c>
      <c r="K44" s="73">
        <v>183353</v>
      </c>
      <c r="L44" s="73">
        <v>183353</v>
      </c>
      <c r="M44" s="73">
        <v>183353</v>
      </c>
      <c r="N44" s="73">
        <v>183353</v>
      </c>
      <c r="O44" s="78">
        <v>24</v>
      </c>
      <c r="P44" s="78">
        <v>24</v>
      </c>
      <c r="Q44" s="79">
        <v>18.623999999999999</v>
      </c>
      <c r="R44" s="79"/>
      <c r="S44" s="78">
        <v>40</v>
      </c>
      <c r="T44" s="80">
        <v>11</v>
      </c>
      <c r="U44" s="80" t="s">
        <v>121</v>
      </c>
      <c r="V44" s="81" t="s">
        <v>625</v>
      </c>
      <c r="W44" s="82">
        <v>5.8000000000000003E-2</v>
      </c>
      <c r="X44" s="82" t="s">
        <v>501</v>
      </c>
      <c r="Y44" s="82" t="s">
        <v>626</v>
      </c>
      <c r="Z44" s="82"/>
      <c r="AA44" s="82"/>
      <c r="AB44" s="82"/>
      <c r="AC44" s="83" t="s">
        <v>112</v>
      </c>
      <c r="AD44" s="40" t="str">
        <f>VLOOKUP(t_Parts[[#This Row],[Press]],t_Presses[],Press!B$1,FALSE)</f>
        <v>Plainfield</v>
      </c>
      <c r="AE44" s="40" t="str">
        <f>VLOOKUP(t_Parts[[#This Row],[Press]],t_Presses[],Press!E$1,FALSE)</f>
        <v>0-299</v>
      </c>
      <c r="AF44" s="47">
        <f>VLOOKUP(t_Parts[[#This Row],[Plant]],t_Plants[],Plants!C$1,FALSE)</f>
        <v>0.55000000000000004</v>
      </c>
      <c r="AG44" s="47">
        <f>VLOOKUP(t_Parts[[#This Row],[Press]],t_Presses[],Press!F$1,FALSE)</f>
        <v>0</v>
      </c>
      <c r="AH44" s="84"/>
      <c r="AI44" s="47">
        <f>IF(ISBLANK(t_Parts[[#This Row],[PartOEE]])=FALSE,t_Parts[[#This Row],[PartOEE]], IF(t_Parts[[#This Row],[PressOEE]]&gt;0, t_Parts[[#This Row],[PressOEE]], t_Parts[[#This Row],[PlantOEE]] ))</f>
        <v>0.55000000000000004</v>
      </c>
      <c r="AJ44" s="70">
        <f>t_Parts[[#This Row],[SetupsPerMo]]*t_Parts[[#This Row],[SetupHrs]]</f>
        <v>1</v>
      </c>
      <c r="AK44" s="39">
        <f>(t_Parts[[#This Row],[PartsPerStroke]]*t_Parts[[#This Row],[StrokesPerHr]])*t_Parts[[#This Row],[UseOEE]]</f>
        <v>3960.0000000000005</v>
      </c>
      <c r="AL4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14104.076923076924</v>
      </c>
      <c r="AM4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14104.076923076924</v>
      </c>
      <c r="AN4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17630.096153846156</v>
      </c>
      <c r="AO4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14104.076923076924</v>
      </c>
      <c r="AP4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14104.076923076924</v>
      </c>
      <c r="AQ4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17630.096153846156</v>
      </c>
      <c r="AR4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14104.076923076924</v>
      </c>
      <c r="AS4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14104.076923076924</v>
      </c>
      <c r="AT4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17630.096153846156</v>
      </c>
      <c r="AU4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14104.076923076924</v>
      </c>
      <c r="AV4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14104.076923076924</v>
      </c>
      <c r="AW4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17630.096153846156</v>
      </c>
      <c r="AX44" s="39">
        <f>SUM(t_Parts[[#This Row],[pv2015.01]:[pv2015.12]])</f>
        <v>183353.00000000003</v>
      </c>
      <c r="AY4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4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4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4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4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4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4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4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4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4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4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4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44" s="39">
        <f>SUM(t_Parts[[#This Row],[pv2016.01]:[pv2016.12]])</f>
        <v>0</v>
      </c>
      <c r="BL44" s="39">
        <f>t_Parts[[#This Row],[2017vol]]</f>
        <v>183353</v>
      </c>
      <c r="BM44" s="39">
        <f>t_Parts[[#This Row],[2018vol]]</f>
        <v>183353</v>
      </c>
      <c r="BN44" s="39">
        <f>t_Parts[[#This Row],[2019vol]]</f>
        <v>183353</v>
      </c>
      <c r="BO44" s="40">
        <f>VLOOKUP(t_Parts[[Plant]:[Plant]],t_Plants[],Plants!CN$1,FALSE)</f>
        <v>280</v>
      </c>
      <c r="BP44" s="14">
        <f>VLOOKUP(t_Parts[[Plant]:[Plant]],t_Plants[],Plants!CO$1,FALSE)</f>
        <v>280</v>
      </c>
      <c r="BQ44" s="14">
        <f>VLOOKUP(t_Parts[[Plant]:[Plant]],t_Plants[],Plants!CP$1,FALSE)</f>
        <v>350</v>
      </c>
      <c r="BR44" s="14">
        <f>VLOOKUP(t_Parts[[Plant]:[Plant]],t_Plants[],Plants!CQ$1,FALSE)</f>
        <v>280</v>
      </c>
      <c r="BS44" s="14">
        <f>VLOOKUP(t_Parts[[Plant]:[Plant]],t_Plants[],Plants!CR$1,FALSE)</f>
        <v>280</v>
      </c>
      <c r="BT44" s="14">
        <f>VLOOKUP(t_Parts[[Plant]:[Plant]],t_Plants[],Plants!CS$1,FALSE)</f>
        <v>350</v>
      </c>
      <c r="BU44" s="14">
        <f>VLOOKUP(t_Parts[[Plant]:[Plant]],t_Plants[],Plants!CT$1,FALSE)</f>
        <v>280</v>
      </c>
      <c r="BV44" s="14">
        <f>VLOOKUP(t_Parts[[Plant]:[Plant]],t_Plants[],Plants!CU$1,FALSE)</f>
        <v>280</v>
      </c>
      <c r="BW44" s="14">
        <f>VLOOKUP(t_Parts[[Plant]:[Plant]],t_Plants[],Plants!CV$1,FALSE)</f>
        <v>350</v>
      </c>
      <c r="BX44" s="14">
        <f>VLOOKUP(t_Parts[[Plant]:[Plant]],t_Plants[],Plants!CW$1,FALSE)</f>
        <v>280</v>
      </c>
      <c r="BY44" s="14">
        <f>VLOOKUP(t_Parts[[Plant]:[Plant]],t_Plants[],Plants!CX$1,FALSE)</f>
        <v>280</v>
      </c>
      <c r="BZ44" s="14">
        <f>VLOOKUP(t_Parts[[Plant]:[Plant]],t_Plants[],Plants!CY$1,FALSE)</f>
        <v>350</v>
      </c>
      <c r="CA44" s="40">
        <f>SUM(t_Parts[[#This Row],[ha2015.01]:[ha2015.12]])</f>
        <v>3640</v>
      </c>
      <c r="CB44" s="14">
        <f>VLOOKUP(t_Parts[[Plant]:[Plant]],t_Plants[],Plants!DA$1,FALSE)</f>
        <v>280</v>
      </c>
      <c r="CC44" s="14">
        <f>VLOOKUP(t_Parts[[Plant]:[Plant]],t_Plants[],Plants!DB$1,FALSE)</f>
        <v>280</v>
      </c>
      <c r="CD44" s="14">
        <f>VLOOKUP(t_Parts[[Plant]:[Plant]],t_Plants[],Plants!DC$1,FALSE)</f>
        <v>350</v>
      </c>
      <c r="CE44" s="14">
        <f>VLOOKUP(t_Parts[[Plant]:[Plant]],t_Plants[],Plants!DD$1,FALSE)</f>
        <v>280</v>
      </c>
      <c r="CF44" s="14">
        <f>VLOOKUP(t_Parts[[Plant]:[Plant]],t_Plants[],Plants!DE$1,FALSE)</f>
        <v>280</v>
      </c>
      <c r="CG44" s="14">
        <f>VLOOKUP(t_Parts[[Plant]:[Plant]],t_Plants[],Plants!DF$1,FALSE)</f>
        <v>350</v>
      </c>
      <c r="CH44" s="14">
        <f>VLOOKUP(t_Parts[[Plant]:[Plant]],t_Plants[],Plants!DG$1,FALSE)</f>
        <v>280</v>
      </c>
      <c r="CI44" s="14">
        <f>VLOOKUP(t_Parts[[Plant]:[Plant]],t_Plants[],Plants!DH$1,FALSE)</f>
        <v>280</v>
      </c>
      <c r="CJ44" s="14">
        <f>VLOOKUP(t_Parts[[Plant]:[Plant]],t_Plants[],Plants!DI$1,FALSE)</f>
        <v>350</v>
      </c>
      <c r="CK44" s="14">
        <f>VLOOKUP(t_Parts[[Plant]:[Plant]],t_Plants[],Plants!DJ$1,FALSE)</f>
        <v>280</v>
      </c>
      <c r="CL44" s="14">
        <f>VLOOKUP(t_Parts[[Plant]:[Plant]],t_Plants[],Plants!DK$1,FALSE)</f>
        <v>280</v>
      </c>
      <c r="CM44" s="14">
        <f>VLOOKUP(t_Parts[[Plant]:[Plant]],t_Plants[],Plants!DL$1,FALSE)</f>
        <v>350</v>
      </c>
      <c r="CN44" s="14">
        <f>VLOOKUP(t_Parts[[Plant]:[Plant]],t_Plants[],Plants!DM$1,FALSE)</f>
        <v>3640</v>
      </c>
      <c r="CO44" s="14">
        <f>VLOOKUP(t_Parts[[Plant]:[Plant]],t_Plants[],Plants!DN$1,FALSE)</f>
        <v>3640</v>
      </c>
      <c r="CP44" s="14">
        <f>VLOOKUP(t_Parts[[Plant]:[Plant]],t_Plants[],Plants!DO$1,FALSE)</f>
        <v>3640</v>
      </c>
      <c r="CQ44" s="14">
        <f>VLOOKUP(t_Parts[[Plant]:[Plant]],t_Plants[],Plants!DP$1,FALSE)</f>
        <v>3640</v>
      </c>
      <c r="CR44" s="39">
        <f>IF(AND(AL$3&gt;=VALUE(t_Parts[[SOP]:[SOP]]),AL$3&lt;=VALUE(t_Parts[[EOP]:[EOP]])), t_Parts[[SetupHrsPerMo]:[SetupHrsPerMo]]+(t_Parts[[#This Row],[pv2015.01]]/t_Parts[[NetPPH]:[NetPPH]]),0)</f>
        <v>4.5616355866355862</v>
      </c>
      <c r="CS44" s="39">
        <f>IF(AND(AM$3&gt;=VALUE(t_Parts[[SOP]:[SOP]]),AM$3&lt;=VALUE(t_Parts[[EOP]:[EOP]])), t_Parts[[SetupHrsPerMo]:[SetupHrsPerMo]]+(t_Parts[[#This Row],[pv2015.02]]/t_Parts[[NetPPH]:[NetPPH]]),0)</f>
        <v>4.5616355866355862</v>
      </c>
      <c r="CT44" s="39">
        <f>IF(AND(AN$3&gt;=VALUE(t_Parts[[SOP]:[SOP]]),AN$3&lt;=VALUE(t_Parts[[EOP]:[EOP]])), t_Parts[[SetupHrsPerMo]:[SetupHrsPerMo]]+(t_Parts[[#This Row],[pv2015.03]]/t_Parts[[NetPPH]:[NetPPH]]),0)</f>
        <v>5.4520444832944834</v>
      </c>
      <c r="CU44" s="39">
        <f>IF(AND(AO$3&gt;=VALUE(t_Parts[[SOP]:[SOP]]),AO$3&lt;=VALUE(t_Parts[[EOP]:[EOP]])), t_Parts[[SetupHrsPerMo]:[SetupHrsPerMo]]+(t_Parts[[#This Row],[pv2015.04]]/t_Parts[[NetPPH]:[NetPPH]]),0)</f>
        <v>4.5616355866355862</v>
      </c>
      <c r="CV44" s="39">
        <f>IF(AND(AP$3&gt;=VALUE(t_Parts[[SOP]:[SOP]]),AP$3&lt;=VALUE(t_Parts[[EOP]:[EOP]])), t_Parts[[SetupHrsPerMo]:[SetupHrsPerMo]]+(t_Parts[[#This Row],[pv2015.05]]/t_Parts[[NetPPH]:[NetPPH]]),0)</f>
        <v>4.5616355866355862</v>
      </c>
      <c r="CW44" s="39">
        <f>IF(AND(AQ$3&gt;=VALUE(t_Parts[[SOP]:[SOP]]),AQ$3&lt;=VALUE(t_Parts[[EOP]:[EOP]])), t_Parts[[SetupHrsPerMo]:[SetupHrsPerMo]]+(t_Parts[[#This Row],[pv2015.06]]/t_Parts[[NetPPH]:[NetPPH]]),0)</f>
        <v>5.4520444832944834</v>
      </c>
      <c r="CX44" s="39">
        <f>IF(AND(AR$3&gt;=VALUE(t_Parts[[SOP]:[SOP]]),AR$3&lt;=VALUE(t_Parts[[EOP]:[EOP]])), t_Parts[[SetupHrsPerMo]:[SetupHrsPerMo]]+(t_Parts[[#This Row],[pv2015.07]]/t_Parts[[NetPPH]:[NetPPH]]),0)</f>
        <v>4.5616355866355862</v>
      </c>
      <c r="CY44" s="39">
        <f>IF(AND(AS$3&gt;=VALUE(t_Parts[[SOP]:[SOP]]),AS$3&lt;=VALUE(t_Parts[[EOP]:[EOP]])), t_Parts[[SetupHrsPerMo]:[SetupHrsPerMo]]+(t_Parts[[#This Row],[pv2015.08]]/t_Parts[[NetPPH]:[NetPPH]]),0)</f>
        <v>4.5616355866355862</v>
      </c>
      <c r="CZ44" s="39">
        <f>IF(AND(AT$3&gt;=VALUE(t_Parts[[SOP]:[SOP]]),AT$3&lt;=VALUE(t_Parts[[EOP]:[EOP]])), t_Parts[[SetupHrsPerMo]:[SetupHrsPerMo]]+(t_Parts[[#This Row],[pv2015.09]]/t_Parts[[NetPPH]:[NetPPH]]),0)</f>
        <v>5.4520444832944834</v>
      </c>
      <c r="DA44" s="39">
        <f>IF(AND(AU$3&gt;=VALUE(t_Parts[[SOP]:[SOP]]),AU$3&lt;=VALUE(t_Parts[[EOP]:[EOP]])), t_Parts[[SetupHrsPerMo]:[SetupHrsPerMo]]+(t_Parts[[#This Row],[pv2015.10]]/t_Parts[[NetPPH]:[NetPPH]]),0)</f>
        <v>4.5616355866355862</v>
      </c>
      <c r="DB44" s="39">
        <f>IF(AND(AV$3&gt;=VALUE(t_Parts[[SOP]:[SOP]]),AV$3&lt;=VALUE(t_Parts[[EOP]:[EOP]])), t_Parts[[SetupHrsPerMo]:[SetupHrsPerMo]]+(t_Parts[[#This Row],[pv2015.11]]/t_Parts[[NetPPH]:[NetPPH]]),0)</f>
        <v>4.5616355866355862</v>
      </c>
      <c r="DC44" s="39">
        <f>IF(AND(AW$3&gt;=VALUE(t_Parts[[SOP]:[SOP]]),AW$3&lt;=VALUE(t_Parts[[EOP]:[EOP]])), t_Parts[[SetupHrsPerMo]:[SetupHrsPerMo]]+(t_Parts[[#This Row],[pv2015.12]]/t_Parts[[NetPPH]:[NetPPH]]),0)</f>
        <v>5.4520444832944834</v>
      </c>
      <c r="DD44" s="39">
        <f>SUM(t_Parts[[#This Row],[hp2015.01]:[hp2015.12]])</f>
        <v>58.301262626262634</v>
      </c>
      <c r="DE44" s="39">
        <f>IF(AND(AY$3&gt;=VALUE(t_Parts[[SOP]:[SOP]]),AY$3&lt;=VALUE(t_Parts[[EOP]:[EOP]])), t_Parts[[SetupHrsPerMo]:[SetupHrsPerMo]]+(t_Parts[[#This Row],[pv2016.01]]/t_Parts[[NetPPH]:[NetPPH]]),0)</f>
        <v>0</v>
      </c>
      <c r="DF44" s="39">
        <f>IF(AND(AZ$3&gt;=VALUE(t_Parts[[SOP]:[SOP]]),AZ$3&lt;=VALUE(t_Parts[[EOP]:[EOP]])), t_Parts[[SetupHrsPerMo]:[SetupHrsPerMo]]+(t_Parts[[#This Row],[pv2016.02]]/t_Parts[[NetPPH]:[NetPPH]]),0)</f>
        <v>0</v>
      </c>
      <c r="DG44" s="39">
        <f>IF(AND(BA$3&gt;=VALUE(t_Parts[[SOP]:[SOP]]),BA$3&lt;=VALUE(t_Parts[[EOP]:[EOP]])), t_Parts[[SetupHrsPerMo]:[SetupHrsPerMo]]+(t_Parts[[#This Row],[pv2016.03]]/t_Parts[[NetPPH]:[NetPPH]]),0)</f>
        <v>0</v>
      </c>
      <c r="DH44" s="39">
        <f>IF(AND(BB$3&gt;=VALUE(t_Parts[[SOP]:[SOP]]),BB$3&lt;=VALUE(t_Parts[[EOP]:[EOP]])), t_Parts[[SetupHrsPerMo]:[SetupHrsPerMo]]+(t_Parts[[#This Row],[pv2016.04]]/t_Parts[[NetPPH]:[NetPPH]]),0)</f>
        <v>0</v>
      </c>
      <c r="DI44" s="39">
        <f>IF(AND(BC$3&gt;=VALUE(t_Parts[[SOP]:[SOP]]),BC$3&lt;=VALUE(t_Parts[[EOP]:[EOP]])), t_Parts[[SetupHrsPerMo]:[SetupHrsPerMo]]+(t_Parts[[#This Row],[pv2016.05]]/t_Parts[[NetPPH]:[NetPPH]]),0)</f>
        <v>0</v>
      </c>
      <c r="DJ44" s="39">
        <f>IF(AND(BD$3&gt;=VALUE(t_Parts[[SOP]:[SOP]]),BD$3&lt;=VALUE(t_Parts[[EOP]:[EOP]])), t_Parts[[SetupHrsPerMo]:[SetupHrsPerMo]]+(t_Parts[[#This Row],[pv2016.06]]/t_Parts[[NetPPH]:[NetPPH]]),0)</f>
        <v>0</v>
      </c>
      <c r="DK44" s="39">
        <f>IF(AND(BE$3&gt;=VALUE(t_Parts[[SOP]:[SOP]]),BE$3&lt;=VALUE(t_Parts[[EOP]:[EOP]])), t_Parts[[SetupHrsPerMo]:[SetupHrsPerMo]]+(t_Parts[[#This Row],[pv2016.07]]/t_Parts[[NetPPH]:[NetPPH]]),0)</f>
        <v>0</v>
      </c>
      <c r="DL44" s="39">
        <f>IF(AND(BF$3&gt;=VALUE(t_Parts[[SOP]:[SOP]]),BF$3&lt;=VALUE(t_Parts[[EOP]:[EOP]])), t_Parts[[SetupHrsPerMo]:[SetupHrsPerMo]]+(t_Parts[[#This Row],[pv2016.08]]/t_Parts[[NetPPH]:[NetPPH]]),0)</f>
        <v>0</v>
      </c>
      <c r="DM44" s="39">
        <f>IF(AND(BG$3&gt;=VALUE(t_Parts[[SOP]:[SOP]]),BG$3&lt;=VALUE(t_Parts[[EOP]:[EOP]])), t_Parts[[SetupHrsPerMo]:[SetupHrsPerMo]]+(t_Parts[[#This Row],[pv2016.09]]/t_Parts[[NetPPH]:[NetPPH]]),0)</f>
        <v>0</v>
      </c>
      <c r="DN44" s="39">
        <f>IF(AND(BH$3&gt;=VALUE(t_Parts[[SOP]:[SOP]]),BH$3&lt;=VALUE(t_Parts[[EOP]:[EOP]])), t_Parts[[SetupHrsPerMo]:[SetupHrsPerMo]]+(t_Parts[[#This Row],[pv2016.10]]/t_Parts[[NetPPH]:[NetPPH]]),0)</f>
        <v>0</v>
      </c>
      <c r="DO44" s="39">
        <f>IF(AND(BI$3&gt;=VALUE(t_Parts[[SOP]:[SOP]]),BI$3&lt;=VALUE(t_Parts[[EOP]:[EOP]])), t_Parts[[SetupHrsPerMo]:[SetupHrsPerMo]]+(t_Parts[[#This Row],[pv2016.11]]/t_Parts[[NetPPH]:[NetPPH]]),0)</f>
        <v>0</v>
      </c>
      <c r="DP44" s="39">
        <f>IF(AND(BJ$3&gt;=VALUE(t_Parts[[SOP]:[SOP]]),BJ$3&lt;=VALUE(t_Parts[[EOP]:[EOP]])), t_Parts[[SetupHrsPerMo]:[SetupHrsPerMo]]+(t_Parts[[#This Row],[pv2016.12]]/t_Parts[[NetPPH]:[NetPPH]]),0)</f>
        <v>0</v>
      </c>
      <c r="DQ44" s="39">
        <f>SUM(t_Parts[[#This Row],[hp2016.01]:[hp2016.12]])</f>
        <v>0</v>
      </c>
      <c r="DR44" s="39">
        <f>IF(AND(BL$3&gt;=VALUE(t_Parts[[SOP]:[SOP]]),BL$3&lt;=VALUE(t_Parts[[EOP]:[EOP]])), 12*t_Parts[[SetupHrsPerMo]:[SetupHrsPerMo]]+(t_Parts[[#This Row],[pv2017]]/t_Parts[[NetPPH]:[NetPPH]]),0)</f>
        <v>0</v>
      </c>
      <c r="DS44" s="39">
        <f>IF(AND(BM$3&gt;=VALUE(t_Parts[[SOP]:[SOP]]),BM$3&lt;=VALUE(t_Parts[[EOP]:[EOP]])), 12*t_Parts[[SetupHrsPerMo]:[SetupHrsPerMo]]+(t_Parts[[#This Row],[pv2018]]/t_Parts[[NetPPH]:[NetPPH]]),0)</f>
        <v>0</v>
      </c>
      <c r="DT44" s="39">
        <f>IF(AND(BN$3&gt;=VALUE(t_Parts[[SOP]:[SOP]]),BN$3&lt;=VALUE(t_Parts[[EOP]:[EOP]])), 12*t_Parts[[SetupHrsPerMo]:[SetupHrsPerMo]]+(t_Parts[[#This Row],[pv2019]]/t_Parts[[NetPPH]:[NetPPH]]),0)</f>
        <v>0</v>
      </c>
      <c r="DU44" s="47">
        <f>t_Parts[[#This Row],[hp2015.01]]/t_Parts[[#This Row],[ha2015.01]]</f>
        <v>1.6291555666555664E-2</v>
      </c>
      <c r="DV44" s="47">
        <f>t_Parts[[#This Row],[hp2015.02]]/t_Parts[[#This Row],[ha2015.02]]</f>
        <v>1.6291555666555664E-2</v>
      </c>
      <c r="DW44" s="47">
        <f>t_Parts[[#This Row],[hp2015.03]]/t_Parts[[#This Row],[ha2015.03]]</f>
        <v>1.5577269952269953E-2</v>
      </c>
      <c r="DX44" s="47">
        <f>t_Parts[[#This Row],[hp2015.04]]/t_Parts[[#This Row],[ha2015.04]]</f>
        <v>1.6291555666555664E-2</v>
      </c>
      <c r="DY44" s="47">
        <f>t_Parts[[#This Row],[hp2015.05]]/t_Parts[[#This Row],[ha2015.05]]</f>
        <v>1.6291555666555664E-2</v>
      </c>
      <c r="DZ44" s="47">
        <f>t_Parts[[#This Row],[hp2015.06]]/t_Parts[[#This Row],[ha2015.06]]</f>
        <v>1.5577269952269953E-2</v>
      </c>
      <c r="EA44" s="47">
        <f>t_Parts[[#This Row],[hp2015.07]]/t_Parts[[#This Row],[ha2015.07]]</f>
        <v>1.6291555666555664E-2</v>
      </c>
      <c r="EB44" s="47">
        <f>t_Parts[[#This Row],[hp2015.08]]/t_Parts[[#This Row],[ha2015.08]]</f>
        <v>1.6291555666555664E-2</v>
      </c>
      <c r="EC44" s="47">
        <f>t_Parts[[#This Row],[hp2015.09]]/t_Parts[[#This Row],[ha2015.09]]</f>
        <v>1.5577269952269953E-2</v>
      </c>
      <c r="ED44" s="47">
        <f>t_Parts[[#This Row],[hp2015.10]]/t_Parts[[#This Row],[ha2015.10]]</f>
        <v>1.6291555666555664E-2</v>
      </c>
      <c r="EE44" s="47">
        <f>t_Parts[[#This Row],[hp2015.11]]/t_Parts[[#This Row],[ha2015.11]]</f>
        <v>1.6291555666555664E-2</v>
      </c>
      <c r="EF44" s="47">
        <f>t_Parts[[#This Row],[hp2015.12]]/t_Parts[[#This Row],[ha2015.12]]</f>
        <v>1.5577269952269953E-2</v>
      </c>
      <c r="EG44" s="47">
        <f>t_Parts[[#This Row],[hp2015.FY]]/t_Parts[[#This Row],[ha2015.FY]]</f>
        <v>1.6016830391830394E-2</v>
      </c>
      <c r="EH44" s="47">
        <f>t_Parts[[#This Row],[hp2016.01]]/t_Parts[[#This Row],[ha2016.01]]</f>
        <v>0</v>
      </c>
      <c r="EI44" s="47">
        <f>t_Parts[[#This Row],[hp2016.02]]/t_Parts[[#This Row],[ha2016.02]]</f>
        <v>0</v>
      </c>
      <c r="EJ44" s="47">
        <f>t_Parts[[#This Row],[hp2016.03]]/t_Parts[[#This Row],[ha2016.03]]</f>
        <v>0</v>
      </c>
      <c r="EK44" s="47">
        <f>t_Parts[[#This Row],[hp2016.04]]/t_Parts[[#This Row],[ha2016.04]]</f>
        <v>0</v>
      </c>
      <c r="EL44" s="47">
        <f>t_Parts[[#This Row],[hp2016.05]]/t_Parts[[#This Row],[ha2016.05]]</f>
        <v>0</v>
      </c>
      <c r="EM44" s="47">
        <f>t_Parts[[#This Row],[hp2016.06]]/t_Parts[[#This Row],[ha2016.06]]</f>
        <v>0</v>
      </c>
      <c r="EN44" s="47">
        <f>t_Parts[[#This Row],[hp2016.07]]/t_Parts[[#This Row],[ha2016.07]]</f>
        <v>0</v>
      </c>
      <c r="EO44" s="47">
        <f>t_Parts[[#This Row],[hp2016.08]]/t_Parts[[#This Row],[ha2016.08]]</f>
        <v>0</v>
      </c>
      <c r="EP44" s="47">
        <f>t_Parts[[#This Row],[hp2016.09]]/t_Parts[[#This Row],[ha2016.09]]</f>
        <v>0</v>
      </c>
      <c r="EQ44" s="47">
        <f>t_Parts[[#This Row],[hp2016.10]]/t_Parts[[#This Row],[ha2016.10]]</f>
        <v>0</v>
      </c>
      <c r="ER44" s="47">
        <f>t_Parts[[#This Row],[hp2016.11]]/t_Parts[[#This Row],[ha2016.11]]</f>
        <v>0</v>
      </c>
      <c r="ES44" s="47">
        <f>t_Parts[[#This Row],[hp2016.12]]/t_Parts[[#This Row],[ha2016.12]]</f>
        <v>0</v>
      </c>
      <c r="ET44" s="47">
        <f>t_Parts[[#This Row],[hp2016.FY]]/t_Parts[[#This Row],[ha2016.FY]]</f>
        <v>0</v>
      </c>
      <c r="EU44" s="47">
        <f>t_Parts[[#This Row],[hp2017]]/t_Parts[[#This Row],[ha2017]]</f>
        <v>0</v>
      </c>
      <c r="EV44" s="47">
        <f>t_Parts[[#This Row],[hp2018]]/t_Parts[[#This Row],[ha2018]]</f>
        <v>0</v>
      </c>
      <c r="EW44" s="47">
        <f>t_Parts[[#This Row],[hp2019]]/t_Parts[[#This Row],[hp2015.01]]</f>
        <v>0</v>
      </c>
      <c r="EX44" s="58">
        <f>(t_Parts[[#This Row],[ha2015.01]]-t_Parts[[#This Row],[hp2015.01]])*t_Parts[[NetPPH]:[NetPPH]]</f>
        <v>1090735.9230769232</v>
      </c>
      <c r="EY44" s="58">
        <f>(t_Parts[[#This Row],[ha2015.02]]-t_Parts[[#This Row],[hp2015.02]])*t_Parts[[NetPPH]:[NetPPH]]</f>
        <v>1090735.9230769232</v>
      </c>
      <c r="EZ44" s="58">
        <f>(t_Parts[[#This Row],[ha2015.03]]-t_Parts[[#This Row],[hp2015.03]])*t_Parts[[NetPPH]:[NetPPH]]</f>
        <v>1364409.903846154</v>
      </c>
      <c r="FA44" s="58">
        <f>(t_Parts[[#This Row],[ha2015.04]]-t_Parts[[#This Row],[hp2015.04]])*t_Parts[[NetPPH]:[NetPPH]]</f>
        <v>1090735.9230769232</v>
      </c>
      <c r="FB44" s="58">
        <f>(t_Parts[[#This Row],[ha2015.05]]-t_Parts[[#This Row],[hp2015.05]])*t_Parts[[NetPPH]:[NetPPH]]</f>
        <v>1090735.9230769232</v>
      </c>
      <c r="FC44" s="58">
        <f>(t_Parts[[#This Row],[ha2015.06]]-t_Parts[[#This Row],[hp2015.06]])*t_Parts[[NetPPH]:[NetPPH]]</f>
        <v>1364409.903846154</v>
      </c>
      <c r="FD44" s="58">
        <f>(t_Parts[[#This Row],[ha2015.07]]-t_Parts[[#This Row],[hp2015.07]])*t_Parts[[NetPPH]:[NetPPH]]</f>
        <v>1090735.9230769232</v>
      </c>
      <c r="FE44" s="58">
        <f>(t_Parts[[#This Row],[ha2015.08]]-t_Parts[[#This Row],[hp2015.08]])*t_Parts[[NetPPH]:[NetPPH]]</f>
        <v>1090735.9230769232</v>
      </c>
      <c r="FF44" s="58">
        <f>(t_Parts[[#This Row],[ha2015.09]]-t_Parts[[#This Row],[hp2015.09]])*t_Parts[[NetPPH]:[NetPPH]]</f>
        <v>1364409.903846154</v>
      </c>
      <c r="FG44" s="58">
        <f>(t_Parts[[#This Row],[ha2015.10]]-t_Parts[[#This Row],[hp2015.10]])*t_Parts[[NetPPH]:[NetPPH]]</f>
        <v>1090735.9230769232</v>
      </c>
      <c r="FH44" s="58">
        <f>(t_Parts[[#This Row],[ha2015.11]]-t_Parts[[#This Row],[hp2015.11]])*t_Parts[[NetPPH]:[NetPPH]]</f>
        <v>1090735.9230769232</v>
      </c>
      <c r="FI44" s="58">
        <f>(t_Parts[[#This Row],[ha2015.12]]-t_Parts[[#This Row],[hp2015.12]])*t_Parts[[NetPPH]:[NetPPH]]</f>
        <v>1364409.903846154</v>
      </c>
      <c r="FJ44" s="58">
        <f>(t_Parts[[#This Row],[ha2015.FY]]-t_Parts[[#This Row],[hp2015.FY]])*t_Parts[[NetPPH]:[NetPPH]]</f>
        <v>14183527.000000002</v>
      </c>
      <c r="FK44" s="58">
        <f>(t_Parts[[#This Row],[ha2016.01]]-t_Parts[[#This Row],[hp2016.01]])*t_Parts[[NetPPH]:[NetPPH]]</f>
        <v>1108800.0000000002</v>
      </c>
      <c r="FL44" s="58">
        <f>(t_Parts[[#This Row],[ha2016.02]]-t_Parts[[#This Row],[hp2016.02]])*t_Parts[[NetPPH]:[NetPPH]]</f>
        <v>1108800.0000000002</v>
      </c>
      <c r="FM44" s="58">
        <f>(t_Parts[[#This Row],[ha2016.03]]-t_Parts[[#This Row],[hp2016.03]])*t_Parts[[NetPPH]:[NetPPH]]</f>
        <v>1386000.0000000002</v>
      </c>
      <c r="FN44" s="58">
        <f>(t_Parts[[#This Row],[ha2016.04]]-t_Parts[[#This Row],[hp2016.04]])*t_Parts[[NetPPH]:[NetPPH]]</f>
        <v>1108800.0000000002</v>
      </c>
      <c r="FO44" s="58">
        <f>(t_Parts[[#This Row],[ha2016.05]]-t_Parts[[#This Row],[hp2016.05]])*t_Parts[[NetPPH]:[NetPPH]]</f>
        <v>1108800.0000000002</v>
      </c>
      <c r="FP44" s="58">
        <f>(t_Parts[[#This Row],[ha2016.06]]-t_Parts[[#This Row],[hp2016.06]])*t_Parts[[NetPPH]:[NetPPH]]</f>
        <v>1386000.0000000002</v>
      </c>
      <c r="FQ44" s="58">
        <f>(t_Parts[[#This Row],[ha2016.07]]-t_Parts[[#This Row],[hp2016.07]])*t_Parts[[NetPPH]:[NetPPH]]</f>
        <v>1108800.0000000002</v>
      </c>
      <c r="FR44" s="58">
        <f>(t_Parts[[#This Row],[ha2016.08]]-t_Parts[[#This Row],[hp2016.08]])*t_Parts[[NetPPH]:[NetPPH]]</f>
        <v>1108800.0000000002</v>
      </c>
      <c r="FS44" s="58">
        <f>(t_Parts[[#This Row],[ha2016.09]]-t_Parts[[#This Row],[hp2016.09]])*t_Parts[[NetPPH]:[NetPPH]]</f>
        <v>1386000.0000000002</v>
      </c>
      <c r="FT44" s="58">
        <f>(t_Parts[[#This Row],[ha2016.10]]-t_Parts[[#This Row],[hp2016.10]])*t_Parts[[NetPPH]:[NetPPH]]</f>
        <v>1108800.0000000002</v>
      </c>
      <c r="FU44" s="58">
        <f>(t_Parts[[#This Row],[ha2016.11]]-t_Parts[[#This Row],[hp2016.11]])*t_Parts[[NetPPH]:[NetPPH]]</f>
        <v>1108800.0000000002</v>
      </c>
      <c r="FV44" s="58">
        <f>(t_Parts[[#This Row],[ha2016.12]]-t_Parts[[#This Row],[hp2016.12]])*t_Parts[[NetPPH]:[NetPPH]]</f>
        <v>1386000.0000000002</v>
      </c>
      <c r="FW44" s="58">
        <f>(t_Parts[[#This Row],[ha2016.FY]]-t_Parts[[#This Row],[hp2016.FY]])*t_Parts[[NetPPH]:[NetPPH]]</f>
        <v>14414400.000000002</v>
      </c>
      <c r="FX44" s="58">
        <f>(t_Parts[[#This Row],[ha2017]]-t_Parts[[#This Row],[hp2017]])*t_Parts[[NetPPH]:[NetPPH]]</f>
        <v>14414400.000000002</v>
      </c>
      <c r="FY44" s="58">
        <f>(t_Parts[[#This Row],[ha2018]]-t_Parts[[#This Row],[hp2018]])*t_Parts[[NetPPH]:[NetPPH]]</f>
        <v>14414400.000000002</v>
      </c>
      <c r="FZ44" s="58">
        <f>(t_Parts[[#This Row],[ha2019]]-t_Parts[[#This Row],[hp2019]])*t_Parts[[NetPPH]:[NetPPH]]</f>
        <v>14414400.000000002</v>
      </c>
    </row>
    <row r="45" spans="1:182" s="14" customFormat="1" x14ac:dyDescent="0.25">
      <c r="A45" s="74" t="s">
        <v>661</v>
      </c>
      <c r="B45" s="74"/>
      <c r="C45" s="74">
        <v>21013</v>
      </c>
      <c r="D45" s="75">
        <v>1</v>
      </c>
      <c r="E45" s="73">
        <v>2700</v>
      </c>
      <c r="F45" s="76">
        <v>1</v>
      </c>
      <c r="G45" s="77">
        <v>4</v>
      </c>
      <c r="H45" s="16">
        <v>2015.01</v>
      </c>
      <c r="I45" s="16" t="s">
        <v>83</v>
      </c>
      <c r="J45" s="73">
        <v>654981</v>
      </c>
      <c r="K45" s="73">
        <v>654981</v>
      </c>
      <c r="L45" s="73">
        <v>654981</v>
      </c>
      <c r="M45" s="73">
        <v>654981</v>
      </c>
      <c r="N45" s="73">
        <v>654981</v>
      </c>
      <c r="O45" s="78"/>
      <c r="P45" s="78"/>
      <c r="Q45" s="79">
        <v>20.893999999999998</v>
      </c>
      <c r="R45" s="79"/>
      <c r="S45" s="78">
        <v>118</v>
      </c>
      <c r="T45" s="80"/>
      <c r="U45" s="80" t="s">
        <v>121</v>
      </c>
      <c r="V45" s="81" t="s">
        <v>662</v>
      </c>
      <c r="W45" s="82">
        <v>0.17100000000000001</v>
      </c>
      <c r="X45" s="82" t="s">
        <v>495</v>
      </c>
      <c r="Y45" s="82"/>
      <c r="Z45" s="82"/>
      <c r="AA45" s="82"/>
      <c r="AB45" s="82"/>
      <c r="AC45" s="83" t="s">
        <v>667</v>
      </c>
      <c r="AD45" s="40" t="str">
        <f>VLOOKUP(t_Parts[[#This Row],[Press]],t_Presses[],Press!B$1,FALSE)</f>
        <v>Plainfield</v>
      </c>
      <c r="AE45" s="40" t="str">
        <f>VLOOKUP(t_Parts[[#This Row],[Press]],t_Presses[],Press!E$1,FALSE)</f>
        <v>0-299</v>
      </c>
      <c r="AF45" s="47">
        <f>VLOOKUP(t_Parts[[#This Row],[Plant]],t_Plants[],Plants!C$1,FALSE)</f>
        <v>0.55000000000000004</v>
      </c>
      <c r="AG45" s="47">
        <f>VLOOKUP(t_Parts[[#This Row],[Press]],t_Presses[],Press!F$1,FALSE)</f>
        <v>0</v>
      </c>
      <c r="AH45" s="84"/>
      <c r="AI45" s="47">
        <f>IF(ISBLANK(t_Parts[[#This Row],[PartOEE]])=FALSE,t_Parts[[#This Row],[PartOEE]], IF(t_Parts[[#This Row],[PressOEE]]&gt;0, t_Parts[[#This Row],[PressOEE]], t_Parts[[#This Row],[PlantOEE]] ))</f>
        <v>0.55000000000000004</v>
      </c>
      <c r="AJ45" s="70">
        <f>t_Parts[[#This Row],[SetupsPerMo]]*t_Parts[[#This Row],[SetupHrs]]</f>
        <v>4</v>
      </c>
      <c r="AK45" s="39">
        <f>(t_Parts[[#This Row],[PartsPerStroke]]*t_Parts[[#This Row],[StrokesPerHr]])*t_Parts[[#This Row],[UseOEE]]</f>
        <v>1485.0000000000002</v>
      </c>
      <c r="AL4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50383.153846153844</v>
      </c>
      <c r="AM4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50383.153846153844</v>
      </c>
      <c r="AN4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62978.942307692305</v>
      </c>
      <c r="AO4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50383.153846153844</v>
      </c>
      <c r="AP4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50383.153846153844</v>
      </c>
      <c r="AQ4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62978.942307692305</v>
      </c>
      <c r="AR4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50383.153846153844</v>
      </c>
      <c r="AS4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50383.153846153844</v>
      </c>
      <c r="AT4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62978.942307692305</v>
      </c>
      <c r="AU4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50383.153846153844</v>
      </c>
      <c r="AV4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50383.153846153844</v>
      </c>
      <c r="AW4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62978.942307692305</v>
      </c>
      <c r="AX45" s="39">
        <f>SUM(t_Parts[[#This Row],[pv2015.01]:[pv2015.12]])</f>
        <v>654981</v>
      </c>
      <c r="AY4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50383.153846153844</v>
      </c>
      <c r="AZ4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50383.153846153844</v>
      </c>
      <c r="BA4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62978.942307692305</v>
      </c>
      <c r="BB4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50383.153846153844</v>
      </c>
      <c r="BC4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50383.153846153844</v>
      </c>
      <c r="BD4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62978.942307692305</v>
      </c>
      <c r="BE4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50383.153846153844</v>
      </c>
      <c r="BF4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50383.153846153844</v>
      </c>
      <c r="BG4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62978.942307692305</v>
      </c>
      <c r="BH4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50383.153846153844</v>
      </c>
      <c r="BI4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50383.153846153844</v>
      </c>
      <c r="BJ4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62978.942307692305</v>
      </c>
      <c r="BK45" s="39">
        <f>SUM(t_Parts[[#This Row],[pv2016.01]:[pv2016.12]])</f>
        <v>654981</v>
      </c>
      <c r="BL45" s="39">
        <f>t_Parts[[#This Row],[2017vol]]</f>
        <v>654981</v>
      </c>
      <c r="BM45" s="39">
        <f>t_Parts[[#This Row],[2018vol]]</f>
        <v>654981</v>
      </c>
      <c r="BN45" s="39">
        <f>t_Parts[[#This Row],[2019vol]]</f>
        <v>654981</v>
      </c>
      <c r="BO45" s="40">
        <f>VLOOKUP(t_Parts[[Plant]:[Plant]],t_Plants[],Plants!CN$1,FALSE)</f>
        <v>280</v>
      </c>
      <c r="BP45" s="14">
        <f>VLOOKUP(t_Parts[[Plant]:[Plant]],t_Plants[],Plants!CO$1,FALSE)</f>
        <v>280</v>
      </c>
      <c r="BQ45" s="14">
        <f>VLOOKUP(t_Parts[[Plant]:[Plant]],t_Plants[],Plants!CP$1,FALSE)</f>
        <v>350</v>
      </c>
      <c r="BR45" s="14">
        <f>VLOOKUP(t_Parts[[Plant]:[Plant]],t_Plants[],Plants!CQ$1,FALSE)</f>
        <v>280</v>
      </c>
      <c r="BS45" s="14">
        <f>VLOOKUP(t_Parts[[Plant]:[Plant]],t_Plants[],Plants!CR$1,FALSE)</f>
        <v>280</v>
      </c>
      <c r="BT45" s="14">
        <f>VLOOKUP(t_Parts[[Plant]:[Plant]],t_Plants[],Plants!CS$1,FALSE)</f>
        <v>350</v>
      </c>
      <c r="BU45" s="14">
        <f>VLOOKUP(t_Parts[[Plant]:[Plant]],t_Plants[],Plants!CT$1,FALSE)</f>
        <v>280</v>
      </c>
      <c r="BV45" s="14">
        <f>VLOOKUP(t_Parts[[Plant]:[Plant]],t_Plants[],Plants!CU$1,FALSE)</f>
        <v>280</v>
      </c>
      <c r="BW45" s="14">
        <f>VLOOKUP(t_Parts[[Plant]:[Plant]],t_Plants[],Plants!CV$1,FALSE)</f>
        <v>350</v>
      </c>
      <c r="BX45" s="14">
        <f>VLOOKUP(t_Parts[[Plant]:[Plant]],t_Plants[],Plants!CW$1,FALSE)</f>
        <v>280</v>
      </c>
      <c r="BY45" s="14">
        <f>VLOOKUP(t_Parts[[Plant]:[Plant]],t_Plants[],Plants!CX$1,FALSE)</f>
        <v>280</v>
      </c>
      <c r="BZ45" s="14">
        <f>VLOOKUP(t_Parts[[Plant]:[Plant]],t_Plants[],Plants!CY$1,FALSE)</f>
        <v>350</v>
      </c>
      <c r="CA45" s="40">
        <f>SUM(t_Parts[[#This Row],[ha2015.01]:[ha2015.12]])</f>
        <v>3640</v>
      </c>
      <c r="CB45" s="14">
        <f>VLOOKUP(t_Parts[[Plant]:[Plant]],t_Plants[],Plants!DA$1,FALSE)</f>
        <v>280</v>
      </c>
      <c r="CC45" s="14">
        <f>VLOOKUP(t_Parts[[Plant]:[Plant]],t_Plants[],Plants!DB$1,FALSE)</f>
        <v>280</v>
      </c>
      <c r="CD45" s="14">
        <f>VLOOKUP(t_Parts[[Plant]:[Plant]],t_Plants[],Plants!DC$1,FALSE)</f>
        <v>350</v>
      </c>
      <c r="CE45" s="14">
        <f>VLOOKUP(t_Parts[[Plant]:[Plant]],t_Plants[],Plants!DD$1,FALSE)</f>
        <v>280</v>
      </c>
      <c r="CF45" s="14">
        <f>VLOOKUP(t_Parts[[Plant]:[Plant]],t_Plants[],Plants!DE$1,FALSE)</f>
        <v>280</v>
      </c>
      <c r="CG45" s="14">
        <f>VLOOKUP(t_Parts[[Plant]:[Plant]],t_Plants[],Plants!DF$1,FALSE)</f>
        <v>350</v>
      </c>
      <c r="CH45" s="14">
        <f>VLOOKUP(t_Parts[[Plant]:[Plant]],t_Plants[],Plants!DG$1,FALSE)</f>
        <v>280</v>
      </c>
      <c r="CI45" s="14">
        <f>VLOOKUP(t_Parts[[Plant]:[Plant]],t_Plants[],Plants!DH$1,FALSE)</f>
        <v>280</v>
      </c>
      <c r="CJ45" s="14">
        <f>VLOOKUP(t_Parts[[Plant]:[Plant]],t_Plants[],Plants!DI$1,FALSE)</f>
        <v>350</v>
      </c>
      <c r="CK45" s="14">
        <f>VLOOKUP(t_Parts[[Plant]:[Plant]],t_Plants[],Plants!DJ$1,FALSE)</f>
        <v>280</v>
      </c>
      <c r="CL45" s="14">
        <f>VLOOKUP(t_Parts[[Plant]:[Plant]],t_Plants[],Plants!DK$1,FALSE)</f>
        <v>280</v>
      </c>
      <c r="CM45" s="14">
        <f>VLOOKUP(t_Parts[[Plant]:[Plant]],t_Plants[],Plants!DL$1,FALSE)</f>
        <v>350</v>
      </c>
      <c r="CN45" s="14">
        <f>VLOOKUP(t_Parts[[Plant]:[Plant]],t_Plants[],Plants!DM$1,FALSE)</f>
        <v>3640</v>
      </c>
      <c r="CO45" s="14">
        <f>VLOOKUP(t_Parts[[Plant]:[Plant]],t_Plants[],Plants!DN$1,FALSE)</f>
        <v>3640</v>
      </c>
      <c r="CP45" s="14">
        <f>VLOOKUP(t_Parts[[Plant]:[Plant]],t_Plants[],Plants!DO$1,FALSE)</f>
        <v>3640</v>
      </c>
      <c r="CQ45" s="14">
        <f>VLOOKUP(t_Parts[[Plant]:[Plant]],t_Plants[],Plants!DP$1,FALSE)</f>
        <v>3640</v>
      </c>
      <c r="CR45" s="39">
        <f>IF(AND(AL$3&gt;=VALUE(t_Parts[[SOP]:[SOP]]),AL$3&lt;=VALUE(t_Parts[[EOP]:[EOP]])), t_Parts[[SetupHrsPerMo]:[SetupHrsPerMo]]+(t_Parts[[#This Row],[pv2015.01]]/t_Parts[[NetPPH]:[NetPPH]]),0)</f>
        <v>37.928049728049722</v>
      </c>
      <c r="CS45" s="39">
        <f>IF(AND(AM$3&gt;=VALUE(t_Parts[[SOP]:[SOP]]),AM$3&lt;=VALUE(t_Parts[[EOP]:[EOP]])), t_Parts[[SetupHrsPerMo]:[SetupHrsPerMo]]+(t_Parts[[#This Row],[pv2015.02]]/t_Parts[[NetPPH]:[NetPPH]]),0)</f>
        <v>37.928049728049722</v>
      </c>
      <c r="CT45" s="39">
        <f>IF(AND(AN$3&gt;=VALUE(t_Parts[[SOP]:[SOP]]),AN$3&lt;=VALUE(t_Parts[[EOP]:[EOP]])), t_Parts[[SetupHrsPerMo]:[SetupHrsPerMo]]+(t_Parts[[#This Row],[pv2015.03]]/t_Parts[[NetPPH]:[NetPPH]]),0)</f>
        <v>46.410062160062154</v>
      </c>
      <c r="CU45" s="39">
        <f>IF(AND(AO$3&gt;=VALUE(t_Parts[[SOP]:[SOP]]),AO$3&lt;=VALUE(t_Parts[[EOP]:[EOP]])), t_Parts[[SetupHrsPerMo]:[SetupHrsPerMo]]+(t_Parts[[#This Row],[pv2015.04]]/t_Parts[[NetPPH]:[NetPPH]]),0)</f>
        <v>37.928049728049722</v>
      </c>
      <c r="CV45" s="39">
        <f>IF(AND(AP$3&gt;=VALUE(t_Parts[[SOP]:[SOP]]),AP$3&lt;=VALUE(t_Parts[[EOP]:[EOP]])), t_Parts[[SetupHrsPerMo]:[SetupHrsPerMo]]+(t_Parts[[#This Row],[pv2015.05]]/t_Parts[[NetPPH]:[NetPPH]]),0)</f>
        <v>37.928049728049722</v>
      </c>
      <c r="CW45" s="39">
        <f>IF(AND(AQ$3&gt;=VALUE(t_Parts[[SOP]:[SOP]]),AQ$3&lt;=VALUE(t_Parts[[EOP]:[EOP]])), t_Parts[[SetupHrsPerMo]:[SetupHrsPerMo]]+(t_Parts[[#This Row],[pv2015.06]]/t_Parts[[NetPPH]:[NetPPH]]),0)</f>
        <v>46.410062160062154</v>
      </c>
      <c r="CX45" s="39">
        <f>IF(AND(AR$3&gt;=VALUE(t_Parts[[SOP]:[SOP]]),AR$3&lt;=VALUE(t_Parts[[EOP]:[EOP]])), t_Parts[[SetupHrsPerMo]:[SetupHrsPerMo]]+(t_Parts[[#This Row],[pv2015.07]]/t_Parts[[NetPPH]:[NetPPH]]),0)</f>
        <v>37.928049728049722</v>
      </c>
      <c r="CY45" s="39">
        <f>IF(AND(AS$3&gt;=VALUE(t_Parts[[SOP]:[SOP]]),AS$3&lt;=VALUE(t_Parts[[EOP]:[EOP]])), t_Parts[[SetupHrsPerMo]:[SetupHrsPerMo]]+(t_Parts[[#This Row],[pv2015.08]]/t_Parts[[NetPPH]:[NetPPH]]),0)</f>
        <v>37.928049728049722</v>
      </c>
      <c r="CZ45" s="39">
        <f>IF(AND(AT$3&gt;=VALUE(t_Parts[[SOP]:[SOP]]),AT$3&lt;=VALUE(t_Parts[[EOP]:[EOP]])), t_Parts[[SetupHrsPerMo]:[SetupHrsPerMo]]+(t_Parts[[#This Row],[pv2015.09]]/t_Parts[[NetPPH]:[NetPPH]]),0)</f>
        <v>46.410062160062154</v>
      </c>
      <c r="DA45" s="39">
        <f>IF(AND(AU$3&gt;=VALUE(t_Parts[[SOP]:[SOP]]),AU$3&lt;=VALUE(t_Parts[[EOP]:[EOP]])), t_Parts[[SetupHrsPerMo]:[SetupHrsPerMo]]+(t_Parts[[#This Row],[pv2015.10]]/t_Parts[[NetPPH]:[NetPPH]]),0)</f>
        <v>37.928049728049722</v>
      </c>
      <c r="DB45" s="39">
        <f>IF(AND(AV$3&gt;=VALUE(t_Parts[[SOP]:[SOP]]),AV$3&lt;=VALUE(t_Parts[[EOP]:[EOP]])), t_Parts[[SetupHrsPerMo]:[SetupHrsPerMo]]+(t_Parts[[#This Row],[pv2015.11]]/t_Parts[[NetPPH]:[NetPPH]]),0)</f>
        <v>37.928049728049722</v>
      </c>
      <c r="DC45" s="39">
        <f>IF(AND(AW$3&gt;=VALUE(t_Parts[[SOP]:[SOP]]),AW$3&lt;=VALUE(t_Parts[[EOP]:[EOP]])), t_Parts[[SetupHrsPerMo]:[SetupHrsPerMo]]+(t_Parts[[#This Row],[pv2015.12]]/t_Parts[[NetPPH]:[NetPPH]]),0)</f>
        <v>46.410062160062154</v>
      </c>
      <c r="DD45" s="39">
        <f>SUM(t_Parts[[#This Row],[hp2015.01]:[hp2015.12]])</f>
        <v>489.06464646464633</v>
      </c>
      <c r="DE45" s="39">
        <f>IF(AND(AY$3&gt;=VALUE(t_Parts[[SOP]:[SOP]]),AY$3&lt;=VALUE(t_Parts[[EOP]:[EOP]])), t_Parts[[SetupHrsPerMo]:[SetupHrsPerMo]]+(t_Parts[[#This Row],[pv2016.01]]/t_Parts[[NetPPH]:[NetPPH]]),0)</f>
        <v>37.928049728049722</v>
      </c>
      <c r="DF45" s="39">
        <f>IF(AND(AZ$3&gt;=VALUE(t_Parts[[SOP]:[SOP]]),AZ$3&lt;=VALUE(t_Parts[[EOP]:[EOP]])), t_Parts[[SetupHrsPerMo]:[SetupHrsPerMo]]+(t_Parts[[#This Row],[pv2016.02]]/t_Parts[[NetPPH]:[NetPPH]]),0)</f>
        <v>37.928049728049722</v>
      </c>
      <c r="DG45" s="39">
        <f>IF(AND(BA$3&gt;=VALUE(t_Parts[[SOP]:[SOP]]),BA$3&lt;=VALUE(t_Parts[[EOP]:[EOP]])), t_Parts[[SetupHrsPerMo]:[SetupHrsPerMo]]+(t_Parts[[#This Row],[pv2016.03]]/t_Parts[[NetPPH]:[NetPPH]]),0)</f>
        <v>46.410062160062154</v>
      </c>
      <c r="DH45" s="39">
        <f>IF(AND(BB$3&gt;=VALUE(t_Parts[[SOP]:[SOP]]),BB$3&lt;=VALUE(t_Parts[[EOP]:[EOP]])), t_Parts[[SetupHrsPerMo]:[SetupHrsPerMo]]+(t_Parts[[#This Row],[pv2016.04]]/t_Parts[[NetPPH]:[NetPPH]]),0)</f>
        <v>37.928049728049722</v>
      </c>
      <c r="DI45" s="39">
        <f>IF(AND(BC$3&gt;=VALUE(t_Parts[[SOP]:[SOP]]),BC$3&lt;=VALUE(t_Parts[[EOP]:[EOP]])), t_Parts[[SetupHrsPerMo]:[SetupHrsPerMo]]+(t_Parts[[#This Row],[pv2016.05]]/t_Parts[[NetPPH]:[NetPPH]]),0)</f>
        <v>37.928049728049722</v>
      </c>
      <c r="DJ45" s="39">
        <f>IF(AND(BD$3&gt;=VALUE(t_Parts[[SOP]:[SOP]]),BD$3&lt;=VALUE(t_Parts[[EOP]:[EOP]])), t_Parts[[SetupHrsPerMo]:[SetupHrsPerMo]]+(t_Parts[[#This Row],[pv2016.06]]/t_Parts[[NetPPH]:[NetPPH]]),0)</f>
        <v>46.410062160062154</v>
      </c>
      <c r="DK45" s="39">
        <f>IF(AND(BE$3&gt;=VALUE(t_Parts[[SOP]:[SOP]]),BE$3&lt;=VALUE(t_Parts[[EOP]:[EOP]])), t_Parts[[SetupHrsPerMo]:[SetupHrsPerMo]]+(t_Parts[[#This Row],[pv2016.07]]/t_Parts[[NetPPH]:[NetPPH]]),0)</f>
        <v>37.928049728049722</v>
      </c>
      <c r="DL45" s="39">
        <f>IF(AND(BF$3&gt;=VALUE(t_Parts[[SOP]:[SOP]]),BF$3&lt;=VALUE(t_Parts[[EOP]:[EOP]])), t_Parts[[SetupHrsPerMo]:[SetupHrsPerMo]]+(t_Parts[[#This Row],[pv2016.08]]/t_Parts[[NetPPH]:[NetPPH]]),0)</f>
        <v>37.928049728049722</v>
      </c>
      <c r="DM45" s="39">
        <f>IF(AND(BG$3&gt;=VALUE(t_Parts[[SOP]:[SOP]]),BG$3&lt;=VALUE(t_Parts[[EOP]:[EOP]])), t_Parts[[SetupHrsPerMo]:[SetupHrsPerMo]]+(t_Parts[[#This Row],[pv2016.09]]/t_Parts[[NetPPH]:[NetPPH]]),0)</f>
        <v>46.410062160062154</v>
      </c>
      <c r="DN45" s="39">
        <f>IF(AND(BH$3&gt;=VALUE(t_Parts[[SOP]:[SOP]]),BH$3&lt;=VALUE(t_Parts[[EOP]:[EOP]])), t_Parts[[SetupHrsPerMo]:[SetupHrsPerMo]]+(t_Parts[[#This Row],[pv2016.10]]/t_Parts[[NetPPH]:[NetPPH]]),0)</f>
        <v>37.928049728049722</v>
      </c>
      <c r="DO45" s="39">
        <f>IF(AND(BI$3&gt;=VALUE(t_Parts[[SOP]:[SOP]]),BI$3&lt;=VALUE(t_Parts[[EOP]:[EOP]])), t_Parts[[SetupHrsPerMo]:[SetupHrsPerMo]]+(t_Parts[[#This Row],[pv2016.11]]/t_Parts[[NetPPH]:[NetPPH]]),0)</f>
        <v>37.928049728049722</v>
      </c>
      <c r="DP45" s="39">
        <f>IF(AND(BJ$3&gt;=VALUE(t_Parts[[SOP]:[SOP]]),BJ$3&lt;=VALUE(t_Parts[[EOP]:[EOP]])), t_Parts[[SetupHrsPerMo]:[SetupHrsPerMo]]+(t_Parts[[#This Row],[pv2016.12]]/t_Parts[[NetPPH]:[NetPPH]]),0)</f>
        <v>46.410062160062154</v>
      </c>
      <c r="DQ45" s="39">
        <f>SUM(t_Parts[[#This Row],[hp2016.01]:[hp2016.12]])</f>
        <v>489.06464646464633</v>
      </c>
      <c r="DR45" s="39">
        <f>IF(AND(BL$3&gt;=VALUE(t_Parts[[SOP]:[SOP]]),BL$3&lt;=VALUE(t_Parts[[EOP]:[EOP]])), 12*t_Parts[[SetupHrsPerMo]:[SetupHrsPerMo]]+(t_Parts[[#This Row],[pv2017]]/t_Parts[[NetPPH]:[NetPPH]]),0)</f>
        <v>489.06464646464639</v>
      </c>
      <c r="DS45" s="39">
        <f>IF(AND(BM$3&gt;=VALUE(t_Parts[[SOP]:[SOP]]),BM$3&lt;=VALUE(t_Parts[[EOP]:[EOP]])), 12*t_Parts[[SetupHrsPerMo]:[SetupHrsPerMo]]+(t_Parts[[#This Row],[pv2018]]/t_Parts[[NetPPH]:[NetPPH]]),0)</f>
        <v>489.06464646464639</v>
      </c>
      <c r="DT45" s="39">
        <f>IF(AND(BN$3&gt;=VALUE(t_Parts[[SOP]:[SOP]]),BN$3&lt;=VALUE(t_Parts[[EOP]:[EOP]])), 12*t_Parts[[SetupHrsPerMo]:[SetupHrsPerMo]]+(t_Parts[[#This Row],[pv2019]]/t_Parts[[NetPPH]:[NetPPH]]),0)</f>
        <v>489.06464646464639</v>
      </c>
      <c r="DU45" s="47">
        <f>t_Parts[[#This Row],[hp2015.01]]/t_Parts[[#This Row],[ha2015.01]]</f>
        <v>0.13545732045732042</v>
      </c>
      <c r="DV45" s="47">
        <f>t_Parts[[#This Row],[hp2015.02]]/t_Parts[[#This Row],[ha2015.02]]</f>
        <v>0.13545732045732042</v>
      </c>
      <c r="DW45" s="47">
        <f>t_Parts[[#This Row],[hp2015.03]]/t_Parts[[#This Row],[ha2015.03]]</f>
        <v>0.13260017760017759</v>
      </c>
      <c r="DX45" s="47">
        <f>t_Parts[[#This Row],[hp2015.04]]/t_Parts[[#This Row],[ha2015.04]]</f>
        <v>0.13545732045732042</v>
      </c>
      <c r="DY45" s="47">
        <f>t_Parts[[#This Row],[hp2015.05]]/t_Parts[[#This Row],[ha2015.05]]</f>
        <v>0.13545732045732042</v>
      </c>
      <c r="DZ45" s="47">
        <f>t_Parts[[#This Row],[hp2015.06]]/t_Parts[[#This Row],[ha2015.06]]</f>
        <v>0.13260017760017759</v>
      </c>
      <c r="EA45" s="47">
        <f>t_Parts[[#This Row],[hp2015.07]]/t_Parts[[#This Row],[ha2015.07]]</f>
        <v>0.13545732045732042</v>
      </c>
      <c r="EB45" s="47">
        <f>t_Parts[[#This Row],[hp2015.08]]/t_Parts[[#This Row],[ha2015.08]]</f>
        <v>0.13545732045732042</v>
      </c>
      <c r="EC45" s="47">
        <f>t_Parts[[#This Row],[hp2015.09]]/t_Parts[[#This Row],[ha2015.09]]</f>
        <v>0.13260017760017759</v>
      </c>
      <c r="ED45" s="47">
        <f>t_Parts[[#This Row],[hp2015.10]]/t_Parts[[#This Row],[ha2015.10]]</f>
        <v>0.13545732045732042</v>
      </c>
      <c r="EE45" s="47">
        <f>t_Parts[[#This Row],[hp2015.11]]/t_Parts[[#This Row],[ha2015.11]]</f>
        <v>0.13545732045732042</v>
      </c>
      <c r="EF45" s="47">
        <f>t_Parts[[#This Row],[hp2015.12]]/t_Parts[[#This Row],[ha2015.12]]</f>
        <v>0.13260017760017759</v>
      </c>
      <c r="EG45" s="47">
        <f>t_Parts[[#This Row],[hp2015.FY]]/t_Parts[[#This Row],[ha2015.FY]]</f>
        <v>0.13435841935841933</v>
      </c>
      <c r="EH45" s="47">
        <f>t_Parts[[#This Row],[hp2016.01]]/t_Parts[[#This Row],[ha2016.01]]</f>
        <v>0.13545732045732042</v>
      </c>
      <c r="EI45" s="47">
        <f>t_Parts[[#This Row],[hp2016.02]]/t_Parts[[#This Row],[ha2016.02]]</f>
        <v>0.13545732045732042</v>
      </c>
      <c r="EJ45" s="47">
        <f>t_Parts[[#This Row],[hp2016.03]]/t_Parts[[#This Row],[ha2016.03]]</f>
        <v>0.13260017760017759</v>
      </c>
      <c r="EK45" s="47">
        <f>t_Parts[[#This Row],[hp2016.04]]/t_Parts[[#This Row],[ha2016.04]]</f>
        <v>0.13545732045732042</v>
      </c>
      <c r="EL45" s="47">
        <f>t_Parts[[#This Row],[hp2016.05]]/t_Parts[[#This Row],[ha2016.05]]</f>
        <v>0.13545732045732042</v>
      </c>
      <c r="EM45" s="47">
        <f>t_Parts[[#This Row],[hp2016.06]]/t_Parts[[#This Row],[ha2016.06]]</f>
        <v>0.13260017760017759</v>
      </c>
      <c r="EN45" s="47">
        <f>t_Parts[[#This Row],[hp2016.07]]/t_Parts[[#This Row],[ha2016.07]]</f>
        <v>0.13545732045732042</v>
      </c>
      <c r="EO45" s="47">
        <f>t_Parts[[#This Row],[hp2016.08]]/t_Parts[[#This Row],[ha2016.08]]</f>
        <v>0.13545732045732042</v>
      </c>
      <c r="EP45" s="47">
        <f>t_Parts[[#This Row],[hp2016.09]]/t_Parts[[#This Row],[ha2016.09]]</f>
        <v>0.13260017760017759</v>
      </c>
      <c r="EQ45" s="47">
        <f>t_Parts[[#This Row],[hp2016.10]]/t_Parts[[#This Row],[ha2016.10]]</f>
        <v>0.13545732045732042</v>
      </c>
      <c r="ER45" s="47">
        <f>t_Parts[[#This Row],[hp2016.11]]/t_Parts[[#This Row],[ha2016.11]]</f>
        <v>0.13545732045732042</v>
      </c>
      <c r="ES45" s="47">
        <f>t_Parts[[#This Row],[hp2016.12]]/t_Parts[[#This Row],[ha2016.12]]</f>
        <v>0.13260017760017759</v>
      </c>
      <c r="ET45" s="47">
        <f>t_Parts[[#This Row],[hp2016.FY]]/t_Parts[[#This Row],[ha2016.FY]]</f>
        <v>0.13435841935841933</v>
      </c>
      <c r="EU45" s="47">
        <f>t_Parts[[#This Row],[hp2017]]/t_Parts[[#This Row],[ha2017]]</f>
        <v>0.13435841935841933</v>
      </c>
      <c r="EV45" s="47">
        <f>t_Parts[[#This Row],[hp2018]]/t_Parts[[#This Row],[ha2018]]</f>
        <v>0.13435841935841933</v>
      </c>
      <c r="EW45" s="47">
        <f>t_Parts[[#This Row],[hp2019]]/t_Parts[[#This Row],[hp2015.01]]</f>
        <v>12.894537155780995</v>
      </c>
      <c r="EX45" s="58">
        <f>(t_Parts[[#This Row],[ha2015.01]]-t_Parts[[#This Row],[hp2015.01]])*t_Parts[[NetPPH]:[NetPPH]]</f>
        <v>359476.84615384619</v>
      </c>
      <c r="EY45" s="58">
        <f>(t_Parts[[#This Row],[ha2015.02]]-t_Parts[[#This Row],[hp2015.02]])*t_Parts[[NetPPH]:[NetPPH]]</f>
        <v>359476.84615384619</v>
      </c>
      <c r="EZ45" s="58">
        <f>(t_Parts[[#This Row],[ha2015.03]]-t_Parts[[#This Row],[hp2015.03]])*t_Parts[[NetPPH]:[NetPPH]]</f>
        <v>450831.0576923078</v>
      </c>
      <c r="FA45" s="58">
        <f>(t_Parts[[#This Row],[ha2015.04]]-t_Parts[[#This Row],[hp2015.04]])*t_Parts[[NetPPH]:[NetPPH]]</f>
        <v>359476.84615384619</v>
      </c>
      <c r="FB45" s="58">
        <f>(t_Parts[[#This Row],[ha2015.05]]-t_Parts[[#This Row],[hp2015.05]])*t_Parts[[NetPPH]:[NetPPH]]</f>
        <v>359476.84615384619</v>
      </c>
      <c r="FC45" s="58">
        <f>(t_Parts[[#This Row],[ha2015.06]]-t_Parts[[#This Row],[hp2015.06]])*t_Parts[[NetPPH]:[NetPPH]]</f>
        <v>450831.0576923078</v>
      </c>
      <c r="FD45" s="58">
        <f>(t_Parts[[#This Row],[ha2015.07]]-t_Parts[[#This Row],[hp2015.07]])*t_Parts[[NetPPH]:[NetPPH]]</f>
        <v>359476.84615384619</v>
      </c>
      <c r="FE45" s="58">
        <f>(t_Parts[[#This Row],[ha2015.08]]-t_Parts[[#This Row],[hp2015.08]])*t_Parts[[NetPPH]:[NetPPH]]</f>
        <v>359476.84615384619</v>
      </c>
      <c r="FF45" s="58">
        <f>(t_Parts[[#This Row],[ha2015.09]]-t_Parts[[#This Row],[hp2015.09]])*t_Parts[[NetPPH]:[NetPPH]]</f>
        <v>450831.0576923078</v>
      </c>
      <c r="FG45" s="58">
        <f>(t_Parts[[#This Row],[ha2015.10]]-t_Parts[[#This Row],[hp2015.10]])*t_Parts[[NetPPH]:[NetPPH]]</f>
        <v>359476.84615384619</v>
      </c>
      <c r="FH45" s="58">
        <f>(t_Parts[[#This Row],[ha2015.11]]-t_Parts[[#This Row],[hp2015.11]])*t_Parts[[NetPPH]:[NetPPH]]</f>
        <v>359476.84615384619</v>
      </c>
      <c r="FI45" s="58">
        <f>(t_Parts[[#This Row],[ha2015.12]]-t_Parts[[#This Row],[hp2015.12]])*t_Parts[[NetPPH]:[NetPPH]]</f>
        <v>450831.0576923078</v>
      </c>
      <c r="FJ45" s="58">
        <f>(t_Parts[[#This Row],[ha2015.FY]]-t_Parts[[#This Row],[hp2015.FY]])*t_Parts[[NetPPH]:[NetPPH]]</f>
        <v>4679139.0000000009</v>
      </c>
      <c r="FK45" s="58">
        <f>(t_Parts[[#This Row],[ha2016.01]]-t_Parts[[#This Row],[hp2016.01]])*t_Parts[[NetPPH]:[NetPPH]]</f>
        <v>359476.84615384619</v>
      </c>
      <c r="FL45" s="58">
        <f>(t_Parts[[#This Row],[ha2016.02]]-t_Parts[[#This Row],[hp2016.02]])*t_Parts[[NetPPH]:[NetPPH]]</f>
        <v>359476.84615384619</v>
      </c>
      <c r="FM45" s="58">
        <f>(t_Parts[[#This Row],[ha2016.03]]-t_Parts[[#This Row],[hp2016.03]])*t_Parts[[NetPPH]:[NetPPH]]</f>
        <v>450831.0576923078</v>
      </c>
      <c r="FN45" s="58">
        <f>(t_Parts[[#This Row],[ha2016.04]]-t_Parts[[#This Row],[hp2016.04]])*t_Parts[[NetPPH]:[NetPPH]]</f>
        <v>359476.84615384619</v>
      </c>
      <c r="FO45" s="58">
        <f>(t_Parts[[#This Row],[ha2016.05]]-t_Parts[[#This Row],[hp2016.05]])*t_Parts[[NetPPH]:[NetPPH]]</f>
        <v>359476.84615384619</v>
      </c>
      <c r="FP45" s="58">
        <f>(t_Parts[[#This Row],[ha2016.06]]-t_Parts[[#This Row],[hp2016.06]])*t_Parts[[NetPPH]:[NetPPH]]</f>
        <v>450831.0576923078</v>
      </c>
      <c r="FQ45" s="58">
        <f>(t_Parts[[#This Row],[ha2016.07]]-t_Parts[[#This Row],[hp2016.07]])*t_Parts[[NetPPH]:[NetPPH]]</f>
        <v>359476.84615384619</v>
      </c>
      <c r="FR45" s="58">
        <f>(t_Parts[[#This Row],[ha2016.08]]-t_Parts[[#This Row],[hp2016.08]])*t_Parts[[NetPPH]:[NetPPH]]</f>
        <v>359476.84615384619</v>
      </c>
      <c r="FS45" s="58">
        <f>(t_Parts[[#This Row],[ha2016.09]]-t_Parts[[#This Row],[hp2016.09]])*t_Parts[[NetPPH]:[NetPPH]]</f>
        <v>450831.0576923078</v>
      </c>
      <c r="FT45" s="58">
        <f>(t_Parts[[#This Row],[ha2016.10]]-t_Parts[[#This Row],[hp2016.10]])*t_Parts[[NetPPH]:[NetPPH]]</f>
        <v>359476.84615384619</v>
      </c>
      <c r="FU45" s="58">
        <f>(t_Parts[[#This Row],[ha2016.11]]-t_Parts[[#This Row],[hp2016.11]])*t_Parts[[NetPPH]:[NetPPH]]</f>
        <v>359476.84615384619</v>
      </c>
      <c r="FV45" s="58">
        <f>(t_Parts[[#This Row],[ha2016.12]]-t_Parts[[#This Row],[hp2016.12]])*t_Parts[[NetPPH]:[NetPPH]]</f>
        <v>450831.0576923078</v>
      </c>
      <c r="FW45" s="58">
        <f>(t_Parts[[#This Row],[ha2016.FY]]-t_Parts[[#This Row],[hp2016.FY]])*t_Parts[[NetPPH]:[NetPPH]]</f>
        <v>4679139.0000000009</v>
      </c>
      <c r="FX45" s="58">
        <f>(t_Parts[[#This Row],[ha2017]]-t_Parts[[#This Row],[hp2017]])*t_Parts[[NetPPH]:[NetPPH]]</f>
        <v>4679139.0000000009</v>
      </c>
      <c r="FY45" s="58">
        <f>(t_Parts[[#This Row],[ha2018]]-t_Parts[[#This Row],[hp2018]])*t_Parts[[NetPPH]:[NetPPH]]</f>
        <v>4679139.0000000009</v>
      </c>
      <c r="FZ45" s="58">
        <f>(t_Parts[[#This Row],[ha2019]]-t_Parts[[#This Row],[hp2019]])*t_Parts[[NetPPH]:[NetPPH]]</f>
        <v>4679139.0000000009</v>
      </c>
    </row>
    <row r="46" spans="1:182" s="14" customFormat="1" x14ac:dyDescent="0.25">
      <c r="A46" s="74" t="s">
        <v>642</v>
      </c>
      <c r="B46" s="74"/>
      <c r="C46" s="74">
        <v>21013</v>
      </c>
      <c r="D46" s="75">
        <v>1</v>
      </c>
      <c r="E46" s="73">
        <v>2700</v>
      </c>
      <c r="F46" s="76">
        <v>1</v>
      </c>
      <c r="G46" s="77">
        <v>4</v>
      </c>
      <c r="H46" s="16">
        <v>2015.01</v>
      </c>
      <c r="I46" s="16" t="s">
        <v>82</v>
      </c>
      <c r="J46" s="73">
        <v>265014</v>
      </c>
      <c r="K46" s="73">
        <v>265014</v>
      </c>
      <c r="L46" s="73">
        <v>265014</v>
      </c>
      <c r="M46" s="73">
        <v>265014</v>
      </c>
      <c r="N46" s="73">
        <v>265014</v>
      </c>
      <c r="O46" s="78">
        <v>22</v>
      </c>
      <c r="P46" s="78">
        <v>58</v>
      </c>
      <c r="Q46" s="79">
        <v>20.925999999999998</v>
      </c>
      <c r="R46" s="79"/>
      <c r="S46" s="78">
        <v>88</v>
      </c>
      <c r="T46" s="80">
        <v>15</v>
      </c>
      <c r="U46" s="80" t="s">
        <v>121</v>
      </c>
      <c r="V46" s="81" t="s">
        <v>643</v>
      </c>
      <c r="W46" s="82">
        <v>0.44500000000000001</v>
      </c>
      <c r="X46" s="82" t="s">
        <v>495</v>
      </c>
      <c r="Y46" s="82"/>
      <c r="Z46" s="82"/>
      <c r="AA46" s="82"/>
      <c r="AB46" s="82"/>
      <c r="AC46" s="83" t="s">
        <v>667</v>
      </c>
      <c r="AD46" s="40" t="str">
        <f>VLOOKUP(t_Parts[[#This Row],[Press]],t_Presses[],Press!B$1,FALSE)</f>
        <v>Plainfield</v>
      </c>
      <c r="AE46" s="40" t="str">
        <f>VLOOKUP(t_Parts[[#This Row],[Press]],t_Presses[],Press!E$1,FALSE)</f>
        <v>0-299</v>
      </c>
      <c r="AF46" s="47">
        <f>VLOOKUP(t_Parts[[#This Row],[Plant]],t_Plants[],Plants!C$1,FALSE)</f>
        <v>0.55000000000000004</v>
      </c>
      <c r="AG46" s="47">
        <f>VLOOKUP(t_Parts[[#This Row],[Press]],t_Presses[],Press!F$1,FALSE)</f>
        <v>0</v>
      </c>
      <c r="AH46" s="84"/>
      <c r="AI46" s="47">
        <f>IF(ISBLANK(t_Parts[[#This Row],[PartOEE]])=FALSE,t_Parts[[#This Row],[PartOEE]], IF(t_Parts[[#This Row],[PressOEE]]&gt;0, t_Parts[[#This Row],[PressOEE]], t_Parts[[#This Row],[PlantOEE]] ))</f>
        <v>0.55000000000000004</v>
      </c>
      <c r="AJ46" s="70">
        <f>t_Parts[[#This Row],[SetupsPerMo]]*t_Parts[[#This Row],[SetupHrs]]</f>
        <v>4</v>
      </c>
      <c r="AK46" s="39">
        <f>(t_Parts[[#This Row],[PartsPerStroke]]*t_Parts[[#This Row],[StrokesPerHr]])*t_Parts[[#This Row],[UseOEE]]</f>
        <v>1485.0000000000002</v>
      </c>
      <c r="AL4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20385.692307692309</v>
      </c>
      <c r="AM4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20385.692307692309</v>
      </c>
      <c r="AN4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25482.115384615387</v>
      </c>
      <c r="AO4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20385.692307692309</v>
      </c>
      <c r="AP4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20385.692307692309</v>
      </c>
      <c r="AQ4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25482.115384615387</v>
      </c>
      <c r="AR4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20385.692307692309</v>
      </c>
      <c r="AS4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20385.692307692309</v>
      </c>
      <c r="AT4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25482.115384615387</v>
      </c>
      <c r="AU4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20385.692307692309</v>
      </c>
      <c r="AV4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20385.692307692309</v>
      </c>
      <c r="AW4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25482.115384615387</v>
      </c>
      <c r="AX46" s="39">
        <f>SUM(t_Parts[[#This Row],[pv2015.01]:[pv2015.12]])</f>
        <v>265014</v>
      </c>
      <c r="AY4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20385.692307692309</v>
      </c>
      <c r="AZ4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20385.692307692309</v>
      </c>
      <c r="BA4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25482.115384615387</v>
      </c>
      <c r="BB4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20385.692307692309</v>
      </c>
      <c r="BC4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20385.692307692309</v>
      </c>
      <c r="BD4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25482.115384615387</v>
      </c>
      <c r="BE4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20385.692307692309</v>
      </c>
      <c r="BF4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20385.692307692309</v>
      </c>
      <c r="BG4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25482.115384615387</v>
      </c>
      <c r="BH4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20385.692307692309</v>
      </c>
      <c r="BI4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20385.692307692309</v>
      </c>
      <c r="BJ4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25482.115384615387</v>
      </c>
      <c r="BK46" s="39">
        <f>SUM(t_Parts[[#This Row],[pv2016.01]:[pv2016.12]])</f>
        <v>265014</v>
      </c>
      <c r="BL46" s="39">
        <f>t_Parts[[#This Row],[2017vol]]</f>
        <v>265014</v>
      </c>
      <c r="BM46" s="39">
        <f>t_Parts[[#This Row],[2018vol]]</f>
        <v>265014</v>
      </c>
      <c r="BN46" s="39">
        <f>t_Parts[[#This Row],[2019vol]]</f>
        <v>265014</v>
      </c>
      <c r="BO46" s="40">
        <f>VLOOKUP(t_Parts[[Plant]:[Plant]],t_Plants[],Plants!CN$1,FALSE)</f>
        <v>280</v>
      </c>
      <c r="BP46" s="14">
        <f>VLOOKUP(t_Parts[[Plant]:[Plant]],t_Plants[],Plants!CO$1,FALSE)</f>
        <v>280</v>
      </c>
      <c r="BQ46" s="14">
        <f>VLOOKUP(t_Parts[[Plant]:[Plant]],t_Plants[],Plants!CP$1,FALSE)</f>
        <v>350</v>
      </c>
      <c r="BR46" s="14">
        <f>VLOOKUP(t_Parts[[Plant]:[Plant]],t_Plants[],Plants!CQ$1,FALSE)</f>
        <v>280</v>
      </c>
      <c r="BS46" s="14">
        <f>VLOOKUP(t_Parts[[Plant]:[Plant]],t_Plants[],Plants!CR$1,FALSE)</f>
        <v>280</v>
      </c>
      <c r="BT46" s="14">
        <f>VLOOKUP(t_Parts[[Plant]:[Plant]],t_Plants[],Plants!CS$1,FALSE)</f>
        <v>350</v>
      </c>
      <c r="BU46" s="14">
        <f>VLOOKUP(t_Parts[[Plant]:[Plant]],t_Plants[],Plants!CT$1,FALSE)</f>
        <v>280</v>
      </c>
      <c r="BV46" s="14">
        <f>VLOOKUP(t_Parts[[Plant]:[Plant]],t_Plants[],Plants!CU$1,FALSE)</f>
        <v>280</v>
      </c>
      <c r="BW46" s="14">
        <f>VLOOKUP(t_Parts[[Plant]:[Plant]],t_Plants[],Plants!CV$1,FALSE)</f>
        <v>350</v>
      </c>
      <c r="BX46" s="14">
        <f>VLOOKUP(t_Parts[[Plant]:[Plant]],t_Plants[],Plants!CW$1,FALSE)</f>
        <v>280</v>
      </c>
      <c r="BY46" s="14">
        <f>VLOOKUP(t_Parts[[Plant]:[Plant]],t_Plants[],Plants!CX$1,FALSE)</f>
        <v>280</v>
      </c>
      <c r="BZ46" s="14">
        <f>VLOOKUP(t_Parts[[Plant]:[Plant]],t_Plants[],Plants!CY$1,FALSE)</f>
        <v>350</v>
      </c>
      <c r="CA46" s="40">
        <f>SUM(t_Parts[[#This Row],[ha2015.01]:[ha2015.12]])</f>
        <v>3640</v>
      </c>
      <c r="CB46" s="14">
        <f>VLOOKUP(t_Parts[[Plant]:[Plant]],t_Plants[],Plants!DA$1,FALSE)</f>
        <v>280</v>
      </c>
      <c r="CC46" s="14">
        <f>VLOOKUP(t_Parts[[Plant]:[Plant]],t_Plants[],Plants!DB$1,FALSE)</f>
        <v>280</v>
      </c>
      <c r="CD46" s="14">
        <f>VLOOKUP(t_Parts[[Plant]:[Plant]],t_Plants[],Plants!DC$1,FALSE)</f>
        <v>350</v>
      </c>
      <c r="CE46" s="14">
        <f>VLOOKUP(t_Parts[[Plant]:[Plant]],t_Plants[],Plants!DD$1,FALSE)</f>
        <v>280</v>
      </c>
      <c r="CF46" s="14">
        <f>VLOOKUP(t_Parts[[Plant]:[Plant]],t_Plants[],Plants!DE$1,FALSE)</f>
        <v>280</v>
      </c>
      <c r="CG46" s="14">
        <f>VLOOKUP(t_Parts[[Plant]:[Plant]],t_Plants[],Plants!DF$1,FALSE)</f>
        <v>350</v>
      </c>
      <c r="CH46" s="14">
        <f>VLOOKUP(t_Parts[[Plant]:[Plant]],t_Plants[],Plants!DG$1,FALSE)</f>
        <v>280</v>
      </c>
      <c r="CI46" s="14">
        <f>VLOOKUP(t_Parts[[Plant]:[Plant]],t_Plants[],Plants!DH$1,FALSE)</f>
        <v>280</v>
      </c>
      <c r="CJ46" s="14">
        <f>VLOOKUP(t_Parts[[Plant]:[Plant]],t_Plants[],Plants!DI$1,FALSE)</f>
        <v>350</v>
      </c>
      <c r="CK46" s="14">
        <f>VLOOKUP(t_Parts[[Plant]:[Plant]],t_Plants[],Plants!DJ$1,FALSE)</f>
        <v>280</v>
      </c>
      <c r="CL46" s="14">
        <f>VLOOKUP(t_Parts[[Plant]:[Plant]],t_Plants[],Plants!DK$1,FALSE)</f>
        <v>280</v>
      </c>
      <c r="CM46" s="14">
        <f>VLOOKUP(t_Parts[[Plant]:[Plant]],t_Plants[],Plants!DL$1,FALSE)</f>
        <v>350</v>
      </c>
      <c r="CN46" s="14">
        <f>VLOOKUP(t_Parts[[Plant]:[Plant]],t_Plants[],Plants!DM$1,FALSE)</f>
        <v>3640</v>
      </c>
      <c r="CO46" s="14">
        <f>VLOOKUP(t_Parts[[Plant]:[Plant]],t_Plants[],Plants!DN$1,FALSE)</f>
        <v>3640</v>
      </c>
      <c r="CP46" s="14">
        <f>VLOOKUP(t_Parts[[Plant]:[Plant]],t_Plants[],Plants!DO$1,FALSE)</f>
        <v>3640</v>
      </c>
      <c r="CQ46" s="14">
        <f>VLOOKUP(t_Parts[[Plant]:[Plant]],t_Plants[],Plants!DP$1,FALSE)</f>
        <v>3640</v>
      </c>
      <c r="CR46" s="39">
        <f>IF(AND(AL$3&gt;=VALUE(t_Parts[[SOP]:[SOP]]),AL$3&lt;=VALUE(t_Parts[[EOP]:[EOP]])), t_Parts[[SetupHrsPerMo]:[SetupHrsPerMo]]+(t_Parts[[#This Row],[pv2015.01]]/t_Parts[[NetPPH]:[NetPPH]]),0)</f>
        <v>17.727738927738926</v>
      </c>
      <c r="CS46" s="39">
        <f>IF(AND(AM$3&gt;=VALUE(t_Parts[[SOP]:[SOP]]),AM$3&lt;=VALUE(t_Parts[[EOP]:[EOP]])), t_Parts[[SetupHrsPerMo]:[SetupHrsPerMo]]+(t_Parts[[#This Row],[pv2015.02]]/t_Parts[[NetPPH]:[NetPPH]]),0)</f>
        <v>17.727738927738926</v>
      </c>
      <c r="CT46" s="39">
        <f>IF(AND(AN$3&gt;=VALUE(t_Parts[[SOP]:[SOP]]),AN$3&lt;=VALUE(t_Parts[[EOP]:[EOP]])), t_Parts[[SetupHrsPerMo]:[SetupHrsPerMo]]+(t_Parts[[#This Row],[pv2015.03]]/t_Parts[[NetPPH]:[NetPPH]]),0)</f>
        <v>21.159673659673658</v>
      </c>
      <c r="CU46" s="39">
        <f>IF(AND(AO$3&gt;=VALUE(t_Parts[[SOP]:[SOP]]),AO$3&lt;=VALUE(t_Parts[[EOP]:[EOP]])), t_Parts[[SetupHrsPerMo]:[SetupHrsPerMo]]+(t_Parts[[#This Row],[pv2015.04]]/t_Parts[[NetPPH]:[NetPPH]]),0)</f>
        <v>17.727738927738926</v>
      </c>
      <c r="CV46" s="39">
        <f>IF(AND(AP$3&gt;=VALUE(t_Parts[[SOP]:[SOP]]),AP$3&lt;=VALUE(t_Parts[[EOP]:[EOP]])), t_Parts[[SetupHrsPerMo]:[SetupHrsPerMo]]+(t_Parts[[#This Row],[pv2015.05]]/t_Parts[[NetPPH]:[NetPPH]]),0)</f>
        <v>17.727738927738926</v>
      </c>
      <c r="CW46" s="39">
        <f>IF(AND(AQ$3&gt;=VALUE(t_Parts[[SOP]:[SOP]]),AQ$3&lt;=VALUE(t_Parts[[EOP]:[EOP]])), t_Parts[[SetupHrsPerMo]:[SetupHrsPerMo]]+(t_Parts[[#This Row],[pv2015.06]]/t_Parts[[NetPPH]:[NetPPH]]),0)</f>
        <v>21.159673659673658</v>
      </c>
      <c r="CX46" s="39">
        <f>IF(AND(AR$3&gt;=VALUE(t_Parts[[SOP]:[SOP]]),AR$3&lt;=VALUE(t_Parts[[EOP]:[EOP]])), t_Parts[[SetupHrsPerMo]:[SetupHrsPerMo]]+(t_Parts[[#This Row],[pv2015.07]]/t_Parts[[NetPPH]:[NetPPH]]),0)</f>
        <v>17.727738927738926</v>
      </c>
      <c r="CY46" s="39">
        <f>IF(AND(AS$3&gt;=VALUE(t_Parts[[SOP]:[SOP]]),AS$3&lt;=VALUE(t_Parts[[EOP]:[EOP]])), t_Parts[[SetupHrsPerMo]:[SetupHrsPerMo]]+(t_Parts[[#This Row],[pv2015.08]]/t_Parts[[NetPPH]:[NetPPH]]),0)</f>
        <v>17.727738927738926</v>
      </c>
      <c r="CZ46" s="39">
        <f>IF(AND(AT$3&gt;=VALUE(t_Parts[[SOP]:[SOP]]),AT$3&lt;=VALUE(t_Parts[[EOP]:[EOP]])), t_Parts[[SetupHrsPerMo]:[SetupHrsPerMo]]+(t_Parts[[#This Row],[pv2015.09]]/t_Parts[[NetPPH]:[NetPPH]]),0)</f>
        <v>21.159673659673658</v>
      </c>
      <c r="DA46" s="39">
        <f>IF(AND(AU$3&gt;=VALUE(t_Parts[[SOP]:[SOP]]),AU$3&lt;=VALUE(t_Parts[[EOP]:[EOP]])), t_Parts[[SetupHrsPerMo]:[SetupHrsPerMo]]+(t_Parts[[#This Row],[pv2015.10]]/t_Parts[[NetPPH]:[NetPPH]]),0)</f>
        <v>17.727738927738926</v>
      </c>
      <c r="DB46" s="39">
        <f>IF(AND(AV$3&gt;=VALUE(t_Parts[[SOP]:[SOP]]),AV$3&lt;=VALUE(t_Parts[[EOP]:[EOP]])), t_Parts[[SetupHrsPerMo]:[SetupHrsPerMo]]+(t_Parts[[#This Row],[pv2015.11]]/t_Parts[[NetPPH]:[NetPPH]]),0)</f>
        <v>17.727738927738926</v>
      </c>
      <c r="DC46" s="39">
        <f>IF(AND(AW$3&gt;=VALUE(t_Parts[[SOP]:[SOP]]),AW$3&lt;=VALUE(t_Parts[[EOP]:[EOP]])), t_Parts[[SetupHrsPerMo]:[SetupHrsPerMo]]+(t_Parts[[#This Row],[pv2015.12]]/t_Parts[[NetPPH]:[NetPPH]]),0)</f>
        <v>21.159673659673658</v>
      </c>
      <c r="DD46" s="39">
        <f>SUM(t_Parts[[#This Row],[hp2015.01]:[hp2015.12]])</f>
        <v>226.46060606060604</v>
      </c>
      <c r="DE46" s="39">
        <f>IF(AND(AY$3&gt;=VALUE(t_Parts[[SOP]:[SOP]]),AY$3&lt;=VALUE(t_Parts[[EOP]:[EOP]])), t_Parts[[SetupHrsPerMo]:[SetupHrsPerMo]]+(t_Parts[[#This Row],[pv2016.01]]/t_Parts[[NetPPH]:[NetPPH]]),0)</f>
        <v>17.727738927738926</v>
      </c>
      <c r="DF46" s="39">
        <f>IF(AND(AZ$3&gt;=VALUE(t_Parts[[SOP]:[SOP]]),AZ$3&lt;=VALUE(t_Parts[[EOP]:[EOP]])), t_Parts[[SetupHrsPerMo]:[SetupHrsPerMo]]+(t_Parts[[#This Row],[pv2016.02]]/t_Parts[[NetPPH]:[NetPPH]]),0)</f>
        <v>17.727738927738926</v>
      </c>
      <c r="DG46" s="39">
        <f>IF(AND(BA$3&gt;=VALUE(t_Parts[[SOP]:[SOP]]),BA$3&lt;=VALUE(t_Parts[[EOP]:[EOP]])), t_Parts[[SetupHrsPerMo]:[SetupHrsPerMo]]+(t_Parts[[#This Row],[pv2016.03]]/t_Parts[[NetPPH]:[NetPPH]]),0)</f>
        <v>21.159673659673658</v>
      </c>
      <c r="DH46" s="39">
        <f>IF(AND(BB$3&gt;=VALUE(t_Parts[[SOP]:[SOP]]),BB$3&lt;=VALUE(t_Parts[[EOP]:[EOP]])), t_Parts[[SetupHrsPerMo]:[SetupHrsPerMo]]+(t_Parts[[#This Row],[pv2016.04]]/t_Parts[[NetPPH]:[NetPPH]]),0)</f>
        <v>17.727738927738926</v>
      </c>
      <c r="DI46" s="39">
        <f>IF(AND(BC$3&gt;=VALUE(t_Parts[[SOP]:[SOP]]),BC$3&lt;=VALUE(t_Parts[[EOP]:[EOP]])), t_Parts[[SetupHrsPerMo]:[SetupHrsPerMo]]+(t_Parts[[#This Row],[pv2016.05]]/t_Parts[[NetPPH]:[NetPPH]]),0)</f>
        <v>17.727738927738926</v>
      </c>
      <c r="DJ46" s="39">
        <f>IF(AND(BD$3&gt;=VALUE(t_Parts[[SOP]:[SOP]]),BD$3&lt;=VALUE(t_Parts[[EOP]:[EOP]])), t_Parts[[SetupHrsPerMo]:[SetupHrsPerMo]]+(t_Parts[[#This Row],[pv2016.06]]/t_Parts[[NetPPH]:[NetPPH]]),0)</f>
        <v>21.159673659673658</v>
      </c>
      <c r="DK46" s="39">
        <f>IF(AND(BE$3&gt;=VALUE(t_Parts[[SOP]:[SOP]]),BE$3&lt;=VALUE(t_Parts[[EOP]:[EOP]])), t_Parts[[SetupHrsPerMo]:[SetupHrsPerMo]]+(t_Parts[[#This Row],[pv2016.07]]/t_Parts[[NetPPH]:[NetPPH]]),0)</f>
        <v>17.727738927738926</v>
      </c>
      <c r="DL46" s="39">
        <f>IF(AND(BF$3&gt;=VALUE(t_Parts[[SOP]:[SOP]]),BF$3&lt;=VALUE(t_Parts[[EOP]:[EOP]])), t_Parts[[SetupHrsPerMo]:[SetupHrsPerMo]]+(t_Parts[[#This Row],[pv2016.08]]/t_Parts[[NetPPH]:[NetPPH]]),0)</f>
        <v>17.727738927738926</v>
      </c>
      <c r="DM46" s="39">
        <f>IF(AND(BG$3&gt;=VALUE(t_Parts[[SOP]:[SOP]]),BG$3&lt;=VALUE(t_Parts[[EOP]:[EOP]])), t_Parts[[SetupHrsPerMo]:[SetupHrsPerMo]]+(t_Parts[[#This Row],[pv2016.09]]/t_Parts[[NetPPH]:[NetPPH]]),0)</f>
        <v>21.159673659673658</v>
      </c>
      <c r="DN46" s="39">
        <f>IF(AND(BH$3&gt;=VALUE(t_Parts[[SOP]:[SOP]]),BH$3&lt;=VALUE(t_Parts[[EOP]:[EOP]])), t_Parts[[SetupHrsPerMo]:[SetupHrsPerMo]]+(t_Parts[[#This Row],[pv2016.10]]/t_Parts[[NetPPH]:[NetPPH]]),0)</f>
        <v>17.727738927738926</v>
      </c>
      <c r="DO46" s="39">
        <f>IF(AND(BI$3&gt;=VALUE(t_Parts[[SOP]:[SOP]]),BI$3&lt;=VALUE(t_Parts[[EOP]:[EOP]])), t_Parts[[SetupHrsPerMo]:[SetupHrsPerMo]]+(t_Parts[[#This Row],[pv2016.11]]/t_Parts[[NetPPH]:[NetPPH]]),0)</f>
        <v>17.727738927738926</v>
      </c>
      <c r="DP46" s="39">
        <f>IF(AND(BJ$3&gt;=VALUE(t_Parts[[SOP]:[SOP]]),BJ$3&lt;=VALUE(t_Parts[[EOP]:[EOP]])), t_Parts[[SetupHrsPerMo]:[SetupHrsPerMo]]+(t_Parts[[#This Row],[pv2016.12]]/t_Parts[[NetPPH]:[NetPPH]]),0)</f>
        <v>21.159673659673658</v>
      </c>
      <c r="DQ46" s="39">
        <f>SUM(t_Parts[[#This Row],[hp2016.01]:[hp2016.12]])</f>
        <v>226.46060606060604</v>
      </c>
      <c r="DR46" s="39">
        <f>IF(AND(BL$3&gt;=VALUE(t_Parts[[SOP]:[SOP]]),BL$3&lt;=VALUE(t_Parts[[EOP]:[EOP]])), 12*t_Parts[[SetupHrsPerMo]:[SetupHrsPerMo]]+(t_Parts[[#This Row],[pv2017]]/t_Parts[[NetPPH]:[NetPPH]]),0)</f>
        <v>226.46060606060604</v>
      </c>
      <c r="DS46" s="39">
        <f>IF(AND(BM$3&gt;=VALUE(t_Parts[[SOP]:[SOP]]),BM$3&lt;=VALUE(t_Parts[[EOP]:[EOP]])), 12*t_Parts[[SetupHrsPerMo]:[SetupHrsPerMo]]+(t_Parts[[#This Row],[pv2018]]/t_Parts[[NetPPH]:[NetPPH]]),0)</f>
        <v>226.46060606060604</v>
      </c>
      <c r="DT46" s="39">
        <f>IF(AND(BN$3&gt;=VALUE(t_Parts[[SOP]:[SOP]]),BN$3&lt;=VALUE(t_Parts[[EOP]:[EOP]])), 12*t_Parts[[SetupHrsPerMo]:[SetupHrsPerMo]]+(t_Parts[[#This Row],[pv2019]]/t_Parts[[NetPPH]:[NetPPH]]),0)</f>
        <v>0</v>
      </c>
      <c r="DU46" s="47">
        <f>t_Parts[[#This Row],[hp2015.01]]/t_Parts[[#This Row],[ha2015.01]]</f>
        <v>6.3313353313353304E-2</v>
      </c>
      <c r="DV46" s="47">
        <f>t_Parts[[#This Row],[hp2015.02]]/t_Parts[[#This Row],[ha2015.02]]</f>
        <v>6.3313353313353304E-2</v>
      </c>
      <c r="DW46" s="47">
        <f>t_Parts[[#This Row],[hp2015.03]]/t_Parts[[#This Row],[ha2015.03]]</f>
        <v>6.0456210456210448E-2</v>
      </c>
      <c r="DX46" s="47">
        <f>t_Parts[[#This Row],[hp2015.04]]/t_Parts[[#This Row],[ha2015.04]]</f>
        <v>6.3313353313353304E-2</v>
      </c>
      <c r="DY46" s="47">
        <f>t_Parts[[#This Row],[hp2015.05]]/t_Parts[[#This Row],[ha2015.05]]</f>
        <v>6.3313353313353304E-2</v>
      </c>
      <c r="DZ46" s="47">
        <f>t_Parts[[#This Row],[hp2015.06]]/t_Parts[[#This Row],[ha2015.06]]</f>
        <v>6.0456210456210448E-2</v>
      </c>
      <c r="EA46" s="47">
        <f>t_Parts[[#This Row],[hp2015.07]]/t_Parts[[#This Row],[ha2015.07]]</f>
        <v>6.3313353313353304E-2</v>
      </c>
      <c r="EB46" s="47">
        <f>t_Parts[[#This Row],[hp2015.08]]/t_Parts[[#This Row],[ha2015.08]]</f>
        <v>6.3313353313353304E-2</v>
      </c>
      <c r="EC46" s="47">
        <f>t_Parts[[#This Row],[hp2015.09]]/t_Parts[[#This Row],[ha2015.09]]</f>
        <v>6.0456210456210448E-2</v>
      </c>
      <c r="ED46" s="47">
        <f>t_Parts[[#This Row],[hp2015.10]]/t_Parts[[#This Row],[ha2015.10]]</f>
        <v>6.3313353313353304E-2</v>
      </c>
      <c r="EE46" s="47">
        <f>t_Parts[[#This Row],[hp2015.11]]/t_Parts[[#This Row],[ha2015.11]]</f>
        <v>6.3313353313353304E-2</v>
      </c>
      <c r="EF46" s="47">
        <f>t_Parts[[#This Row],[hp2015.12]]/t_Parts[[#This Row],[ha2015.12]]</f>
        <v>6.0456210456210448E-2</v>
      </c>
      <c r="EG46" s="47">
        <f>t_Parts[[#This Row],[hp2015.FY]]/t_Parts[[#This Row],[ha2015.FY]]</f>
        <v>6.2214452214452209E-2</v>
      </c>
      <c r="EH46" s="47">
        <f>t_Parts[[#This Row],[hp2016.01]]/t_Parts[[#This Row],[ha2016.01]]</f>
        <v>6.3313353313353304E-2</v>
      </c>
      <c r="EI46" s="47">
        <f>t_Parts[[#This Row],[hp2016.02]]/t_Parts[[#This Row],[ha2016.02]]</f>
        <v>6.3313353313353304E-2</v>
      </c>
      <c r="EJ46" s="47">
        <f>t_Parts[[#This Row],[hp2016.03]]/t_Parts[[#This Row],[ha2016.03]]</f>
        <v>6.0456210456210448E-2</v>
      </c>
      <c r="EK46" s="47">
        <f>t_Parts[[#This Row],[hp2016.04]]/t_Parts[[#This Row],[ha2016.04]]</f>
        <v>6.3313353313353304E-2</v>
      </c>
      <c r="EL46" s="47">
        <f>t_Parts[[#This Row],[hp2016.05]]/t_Parts[[#This Row],[ha2016.05]]</f>
        <v>6.3313353313353304E-2</v>
      </c>
      <c r="EM46" s="47">
        <f>t_Parts[[#This Row],[hp2016.06]]/t_Parts[[#This Row],[ha2016.06]]</f>
        <v>6.0456210456210448E-2</v>
      </c>
      <c r="EN46" s="47">
        <f>t_Parts[[#This Row],[hp2016.07]]/t_Parts[[#This Row],[ha2016.07]]</f>
        <v>6.3313353313353304E-2</v>
      </c>
      <c r="EO46" s="47">
        <f>t_Parts[[#This Row],[hp2016.08]]/t_Parts[[#This Row],[ha2016.08]]</f>
        <v>6.3313353313353304E-2</v>
      </c>
      <c r="EP46" s="47">
        <f>t_Parts[[#This Row],[hp2016.09]]/t_Parts[[#This Row],[ha2016.09]]</f>
        <v>6.0456210456210448E-2</v>
      </c>
      <c r="EQ46" s="47">
        <f>t_Parts[[#This Row],[hp2016.10]]/t_Parts[[#This Row],[ha2016.10]]</f>
        <v>6.3313353313353304E-2</v>
      </c>
      <c r="ER46" s="47">
        <f>t_Parts[[#This Row],[hp2016.11]]/t_Parts[[#This Row],[ha2016.11]]</f>
        <v>6.3313353313353304E-2</v>
      </c>
      <c r="ES46" s="47">
        <f>t_Parts[[#This Row],[hp2016.12]]/t_Parts[[#This Row],[ha2016.12]]</f>
        <v>6.0456210456210448E-2</v>
      </c>
      <c r="ET46" s="47">
        <f>t_Parts[[#This Row],[hp2016.FY]]/t_Parts[[#This Row],[ha2016.FY]]</f>
        <v>6.2214452214452209E-2</v>
      </c>
      <c r="EU46" s="47">
        <f>t_Parts[[#This Row],[hp2017]]/t_Parts[[#This Row],[ha2017]]</f>
        <v>6.2214452214452209E-2</v>
      </c>
      <c r="EV46" s="47">
        <f>t_Parts[[#This Row],[hp2018]]/t_Parts[[#This Row],[ha2018]]</f>
        <v>6.2214452214452209E-2</v>
      </c>
      <c r="EW46" s="47">
        <f>t_Parts[[#This Row],[hp2019]]/t_Parts[[#This Row],[hp2015.01]]</f>
        <v>0</v>
      </c>
      <c r="EX46" s="58">
        <f>(t_Parts[[#This Row],[ha2015.01]]-t_Parts[[#This Row],[hp2015.01]])*t_Parts[[NetPPH]:[NetPPH]]</f>
        <v>389474.30769230775</v>
      </c>
      <c r="EY46" s="58">
        <f>(t_Parts[[#This Row],[ha2015.02]]-t_Parts[[#This Row],[hp2015.02]])*t_Parts[[NetPPH]:[NetPPH]]</f>
        <v>389474.30769230775</v>
      </c>
      <c r="EZ46" s="58">
        <f>(t_Parts[[#This Row],[ha2015.03]]-t_Parts[[#This Row],[hp2015.03]])*t_Parts[[NetPPH]:[NetPPH]]</f>
        <v>488327.88461538468</v>
      </c>
      <c r="FA46" s="58">
        <f>(t_Parts[[#This Row],[ha2015.04]]-t_Parts[[#This Row],[hp2015.04]])*t_Parts[[NetPPH]:[NetPPH]]</f>
        <v>389474.30769230775</v>
      </c>
      <c r="FB46" s="58">
        <f>(t_Parts[[#This Row],[ha2015.05]]-t_Parts[[#This Row],[hp2015.05]])*t_Parts[[NetPPH]:[NetPPH]]</f>
        <v>389474.30769230775</v>
      </c>
      <c r="FC46" s="58">
        <f>(t_Parts[[#This Row],[ha2015.06]]-t_Parts[[#This Row],[hp2015.06]])*t_Parts[[NetPPH]:[NetPPH]]</f>
        <v>488327.88461538468</v>
      </c>
      <c r="FD46" s="58">
        <f>(t_Parts[[#This Row],[ha2015.07]]-t_Parts[[#This Row],[hp2015.07]])*t_Parts[[NetPPH]:[NetPPH]]</f>
        <v>389474.30769230775</v>
      </c>
      <c r="FE46" s="58">
        <f>(t_Parts[[#This Row],[ha2015.08]]-t_Parts[[#This Row],[hp2015.08]])*t_Parts[[NetPPH]:[NetPPH]]</f>
        <v>389474.30769230775</v>
      </c>
      <c r="FF46" s="58">
        <f>(t_Parts[[#This Row],[ha2015.09]]-t_Parts[[#This Row],[hp2015.09]])*t_Parts[[NetPPH]:[NetPPH]]</f>
        <v>488327.88461538468</v>
      </c>
      <c r="FG46" s="58">
        <f>(t_Parts[[#This Row],[ha2015.10]]-t_Parts[[#This Row],[hp2015.10]])*t_Parts[[NetPPH]:[NetPPH]]</f>
        <v>389474.30769230775</v>
      </c>
      <c r="FH46" s="58">
        <f>(t_Parts[[#This Row],[ha2015.11]]-t_Parts[[#This Row],[hp2015.11]])*t_Parts[[NetPPH]:[NetPPH]]</f>
        <v>389474.30769230775</v>
      </c>
      <c r="FI46" s="58">
        <f>(t_Parts[[#This Row],[ha2015.12]]-t_Parts[[#This Row],[hp2015.12]])*t_Parts[[NetPPH]:[NetPPH]]</f>
        <v>488327.88461538468</v>
      </c>
      <c r="FJ46" s="58">
        <f>(t_Parts[[#This Row],[ha2015.FY]]-t_Parts[[#This Row],[hp2015.FY]])*t_Parts[[NetPPH]:[NetPPH]]</f>
        <v>5069106.0000000009</v>
      </c>
      <c r="FK46" s="58">
        <f>(t_Parts[[#This Row],[ha2016.01]]-t_Parts[[#This Row],[hp2016.01]])*t_Parts[[NetPPH]:[NetPPH]]</f>
        <v>389474.30769230775</v>
      </c>
      <c r="FL46" s="58">
        <f>(t_Parts[[#This Row],[ha2016.02]]-t_Parts[[#This Row],[hp2016.02]])*t_Parts[[NetPPH]:[NetPPH]]</f>
        <v>389474.30769230775</v>
      </c>
      <c r="FM46" s="58">
        <f>(t_Parts[[#This Row],[ha2016.03]]-t_Parts[[#This Row],[hp2016.03]])*t_Parts[[NetPPH]:[NetPPH]]</f>
        <v>488327.88461538468</v>
      </c>
      <c r="FN46" s="58">
        <f>(t_Parts[[#This Row],[ha2016.04]]-t_Parts[[#This Row],[hp2016.04]])*t_Parts[[NetPPH]:[NetPPH]]</f>
        <v>389474.30769230775</v>
      </c>
      <c r="FO46" s="58">
        <f>(t_Parts[[#This Row],[ha2016.05]]-t_Parts[[#This Row],[hp2016.05]])*t_Parts[[NetPPH]:[NetPPH]]</f>
        <v>389474.30769230775</v>
      </c>
      <c r="FP46" s="58">
        <f>(t_Parts[[#This Row],[ha2016.06]]-t_Parts[[#This Row],[hp2016.06]])*t_Parts[[NetPPH]:[NetPPH]]</f>
        <v>488327.88461538468</v>
      </c>
      <c r="FQ46" s="58">
        <f>(t_Parts[[#This Row],[ha2016.07]]-t_Parts[[#This Row],[hp2016.07]])*t_Parts[[NetPPH]:[NetPPH]]</f>
        <v>389474.30769230775</v>
      </c>
      <c r="FR46" s="58">
        <f>(t_Parts[[#This Row],[ha2016.08]]-t_Parts[[#This Row],[hp2016.08]])*t_Parts[[NetPPH]:[NetPPH]]</f>
        <v>389474.30769230775</v>
      </c>
      <c r="FS46" s="58">
        <f>(t_Parts[[#This Row],[ha2016.09]]-t_Parts[[#This Row],[hp2016.09]])*t_Parts[[NetPPH]:[NetPPH]]</f>
        <v>488327.88461538468</v>
      </c>
      <c r="FT46" s="58">
        <f>(t_Parts[[#This Row],[ha2016.10]]-t_Parts[[#This Row],[hp2016.10]])*t_Parts[[NetPPH]:[NetPPH]]</f>
        <v>389474.30769230775</v>
      </c>
      <c r="FU46" s="58">
        <f>(t_Parts[[#This Row],[ha2016.11]]-t_Parts[[#This Row],[hp2016.11]])*t_Parts[[NetPPH]:[NetPPH]]</f>
        <v>389474.30769230775</v>
      </c>
      <c r="FV46" s="58">
        <f>(t_Parts[[#This Row],[ha2016.12]]-t_Parts[[#This Row],[hp2016.12]])*t_Parts[[NetPPH]:[NetPPH]]</f>
        <v>488327.88461538468</v>
      </c>
      <c r="FW46" s="58">
        <f>(t_Parts[[#This Row],[ha2016.FY]]-t_Parts[[#This Row],[hp2016.FY]])*t_Parts[[NetPPH]:[NetPPH]]</f>
        <v>5069106.0000000009</v>
      </c>
      <c r="FX46" s="58">
        <f>(t_Parts[[#This Row],[ha2017]]-t_Parts[[#This Row],[hp2017]])*t_Parts[[NetPPH]:[NetPPH]]</f>
        <v>5069106.0000000009</v>
      </c>
      <c r="FY46" s="58">
        <f>(t_Parts[[#This Row],[ha2018]]-t_Parts[[#This Row],[hp2018]])*t_Parts[[NetPPH]:[NetPPH]]</f>
        <v>5069106.0000000009</v>
      </c>
      <c r="FZ46" s="58">
        <f>(t_Parts[[#This Row],[ha2019]]-t_Parts[[#This Row],[hp2019]])*t_Parts[[NetPPH]:[NetPPH]]</f>
        <v>5405400.0000000009</v>
      </c>
    </row>
    <row r="47" spans="1:182" s="14" customFormat="1" x14ac:dyDescent="0.25">
      <c r="A47" s="74" t="s">
        <v>543</v>
      </c>
      <c r="B47" s="74"/>
      <c r="C47" s="74">
        <v>21014</v>
      </c>
      <c r="D47" s="75">
        <v>1</v>
      </c>
      <c r="E47" s="73">
        <v>2100</v>
      </c>
      <c r="F47" s="76">
        <v>1</v>
      </c>
      <c r="G47" s="77">
        <v>1</v>
      </c>
      <c r="H47" s="16">
        <v>2015.01</v>
      </c>
      <c r="I47" s="16" t="s">
        <v>83</v>
      </c>
      <c r="J47" s="73">
        <v>32299</v>
      </c>
      <c r="K47" s="73">
        <v>32299</v>
      </c>
      <c r="L47" s="73">
        <v>32299</v>
      </c>
      <c r="M47" s="73">
        <v>32299</v>
      </c>
      <c r="N47" s="73">
        <v>32299</v>
      </c>
      <c r="O47" s="78">
        <v>38</v>
      </c>
      <c r="P47" s="78">
        <v>75</v>
      </c>
      <c r="Q47" s="79">
        <v>23.81</v>
      </c>
      <c r="R47" s="79"/>
      <c r="S47" s="78">
        <v>150</v>
      </c>
      <c r="T47" s="80">
        <v>15</v>
      </c>
      <c r="U47" s="80" t="s">
        <v>121</v>
      </c>
      <c r="V47" s="81" t="s">
        <v>544</v>
      </c>
      <c r="W47" s="82">
        <v>1.1100000000000001</v>
      </c>
      <c r="X47" s="82" t="s">
        <v>495</v>
      </c>
      <c r="Y47" s="82" t="s">
        <v>545</v>
      </c>
      <c r="Z47" s="82"/>
      <c r="AA47" s="82"/>
      <c r="AB47" s="82"/>
      <c r="AC47" s="83" t="s">
        <v>111</v>
      </c>
      <c r="AD47" s="40" t="str">
        <f>VLOOKUP(t_Parts[[#This Row],[Press]],t_Presses[],Press!B$1,FALSE)</f>
        <v>Plainfield</v>
      </c>
      <c r="AE47" s="40" t="str">
        <f>VLOOKUP(t_Parts[[#This Row],[Press]],t_Presses[],Press!E$1,FALSE)</f>
        <v>300-599</v>
      </c>
      <c r="AF47" s="47">
        <f>VLOOKUP(t_Parts[[#This Row],[Plant]],t_Plants[],Plants!C$1,FALSE)</f>
        <v>0.55000000000000004</v>
      </c>
      <c r="AG47" s="47">
        <f>VLOOKUP(t_Parts[[#This Row],[Press]],t_Presses[],Press!F$1,FALSE)</f>
        <v>0</v>
      </c>
      <c r="AH47" s="84"/>
      <c r="AI47" s="47">
        <f>IF(ISBLANK(t_Parts[[#This Row],[PartOEE]])=FALSE,t_Parts[[#This Row],[PartOEE]], IF(t_Parts[[#This Row],[PressOEE]]&gt;0, t_Parts[[#This Row],[PressOEE]], t_Parts[[#This Row],[PlantOEE]] ))</f>
        <v>0.55000000000000004</v>
      </c>
      <c r="AJ47" s="70">
        <f>t_Parts[[#This Row],[SetupsPerMo]]*t_Parts[[#This Row],[SetupHrs]]</f>
        <v>1</v>
      </c>
      <c r="AK47" s="39">
        <f>(t_Parts[[#This Row],[PartsPerStroke]]*t_Parts[[#This Row],[StrokesPerHr]])*t_Parts[[#This Row],[UseOEE]]</f>
        <v>1155</v>
      </c>
      <c r="AL4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2484.5384615384614</v>
      </c>
      <c r="AM4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2484.5384615384614</v>
      </c>
      <c r="AN4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3105.6730769230767</v>
      </c>
      <c r="AO4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2484.5384615384614</v>
      </c>
      <c r="AP4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2484.5384615384614</v>
      </c>
      <c r="AQ4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3105.6730769230767</v>
      </c>
      <c r="AR4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2484.5384615384614</v>
      </c>
      <c r="AS4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2484.5384615384614</v>
      </c>
      <c r="AT4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3105.6730769230767</v>
      </c>
      <c r="AU4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2484.5384615384614</v>
      </c>
      <c r="AV4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2484.5384615384614</v>
      </c>
      <c r="AW4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3105.6730769230767</v>
      </c>
      <c r="AX47" s="39">
        <f>SUM(t_Parts[[#This Row],[pv2015.01]:[pv2015.12]])</f>
        <v>32299</v>
      </c>
      <c r="AY4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2484.5384615384614</v>
      </c>
      <c r="AZ4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2484.5384615384614</v>
      </c>
      <c r="BA4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3105.6730769230767</v>
      </c>
      <c r="BB4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2484.5384615384614</v>
      </c>
      <c r="BC4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2484.5384615384614</v>
      </c>
      <c r="BD4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3105.6730769230767</v>
      </c>
      <c r="BE4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2484.5384615384614</v>
      </c>
      <c r="BF4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2484.5384615384614</v>
      </c>
      <c r="BG4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3105.6730769230767</v>
      </c>
      <c r="BH4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2484.5384615384614</v>
      </c>
      <c r="BI4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2484.5384615384614</v>
      </c>
      <c r="BJ4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3105.6730769230767</v>
      </c>
      <c r="BK47" s="39">
        <f>SUM(t_Parts[[#This Row],[pv2016.01]:[pv2016.12]])</f>
        <v>32299</v>
      </c>
      <c r="BL47" s="39">
        <f>t_Parts[[#This Row],[2017vol]]</f>
        <v>32299</v>
      </c>
      <c r="BM47" s="39">
        <f>t_Parts[[#This Row],[2018vol]]</f>
        <v>32299</v>
      </c>
      <c r="BN47" s="39">
        <f>t_Parts[[#This Row],[2019vol]]</f>
        <v>32299</v>
      </c>
      <c r="BO47" s="40">
        <f>VLOOKUP(t_Parts[[Plant]:[Plant]],t_Plants[],Plants!CN$1,FALSE)</f>
        <v>280</v>
      </c>
      <c r="BP47" s="14">
        <f>VLOOKUP(t_Parts[[Plant]:[Plant]],t_Plants[],Plants!CO$1,FALSE)</f>
        <v>280</v>
      </c>
      <c r="BQ47" s="14">
        <f>VLOOKUP(t_Parts[[Plant]:[Plant]],t_Plants[],Plants!CP$1,FALSE)</f>
        <v>350</v>
      </c>
      <c r="BR47" s="14">
        <f>VLOOKUP(t_Parts[[Plant]:[Plant]],t_Plants[],Plants!CQ$1,FALSE)</f>
        <v>280</v>
      </c>
      <c r="BS47" s="14">
        <f>VLOOKUP(t_Parts[[Plant]:[Plant]],t_Plants[],Plants!CR$1,FALSE)</f>
        <v>280</v>
      </c>
      <c r="BT47" s="14">
        <f>VLOOKUP(t_Parts[[Plant]:[Plant]],t_Plants[],Plants!CS$1,FALSE)</f>
        <v>350</v>
      </c>
      <c r="BU47" s="14">
        <f>VLOOKUP(t_Parts[[Plant]:[Plant]],t_Plants[],Plants!CT$1,FALSE)</f>
        <v>280</v>
      </c>
      <c r="BV47" s="14">
        <f>VLOOKUP(t_Parts[[Plant]:[Plant]],t_Plants[],Plants!CU$1,FALSE)</f>
        <v>280</v>
      </c>
      <c r="BW47" s="14">
        <f>VLOOKUP(t_Parts[[Plant]:[Plant]],t_Plants[],Plants!CV$1,FALSE)</f>
        <v>350</v>
      </c>
      <c r="BX47" s="14">
        <f>VLOOKUP(t_Parts[[Plant]:[Plant]],t_Plants[],Plants!CW$1,FALSE)</f>
        <v>280</v>
      </c>
      <c r="BY47" s="14">
        <f>VLOOKUP(t_Parts[[Plant]:[Plant]],t_Plants[],Plants!CX$1,FALSE)</f>
        <v>280</v>
      </c>
      <c r="BZ47" s="14">
        <f>VLOOKUP(t_Parts[[Plant]:[Plant]],t_Plants[],Plants!CY$1,FALSE)</f>
        <v>350</v>
      </c>
      <c r="CA47" s="40">
        <f>SUM(t_Parts[[#This Row],[ha2015.01]:[ha2015.12]])</f>
        <v>3640</v>
      </c>
      <c r="CB47" s="14">
        <f>VLOOKUP(t_Parts[[Plant]:[Plant]],t_Plants[],Plants!DA$1,FALSE)</f>
        <v>280</v>
      </c>
      <c r="CC47" s="14">
        <f>VLOOKUP(t_Parts[[Plant]:[Plant]],t_Plants[],Plants!DB$1,FALSE)</f>
        <v>280</v>
      </c>
      <c r="CD47" s="14">
        <f>VLOOKUP(t_Parts[[Plant]:[Plant]],t_Plants[],Plants!DC$1,FALSE)</f>
        <v>350</v>
      </c>
      <c r="CE47" s="14">
        <f>VLOOKUP(t_Parts[[Plant]:[Plant]],t_Plants[],Plants!DD$1,FALSE)</f>
        <v>280</v>
      </c>
      <c r="CF47" s="14">
        <f>VLOOKUP(t_Parts[[Plant]:[Plant]],t_Plants[],Plants!DE$1,FALSE)</f>
        <v>280</v>
      </c>
      <c r="CG47" s="14">
        <f>VLOOKUP(t_Parts[[Plant]:[Plant]],t_Plants[],Plants!DF$1,FALSE)</f>
        <v>350</v>
      </c>
      <c r="CH47" s="14">
        <f>VLOOKUP(t_Parts[[Plant]:[Plant]],t_Plants[],Plants!DG$1,FALSE)</f>
        <v>280</v>
      </c>
      <c r="CI47" s="14">
        <f>VLOOKUP(t_Parts[[Plant]:[Plant]],t_Plants[],Plants!DH$1,FALSE)</f>
        <v>280</v>
      </c>
      <c r="CJ47" s="14">
        <f>VLOOKUP(t_Parts[[Plant]:[Plant]],t_Plants[],Plants!DI$1,FALSE)</f>
        <v>350</v>
      </c>
      <c r="CK47" s="14">
        <f>VLOOKUP(t_Parts[[Plant]:[Plant]],t_Plants[],Plants!DJ$1,FALSE)</f>
        <v>280</v>
      </c>
      <c r="CL47" s="14">
        <f>VLOOKUP(t_Parts[[Plant]:[Plant]],t_Plants[],Plants!DK$1,FALSE)</f>
        <v>280</v>
      </c>
      <c r="CM47" s="14">
        <f>VLOOKUP(t_Parts[[Plant]:[Plant]],t_Plants[],Plants!DL$1,FALSE)</f>
        <v>350</v>
      </c>
      <c r="CN47" s="14">
        <f>VLOOKUP(t_Parts[[Plant]:[Plant]],t_Plants[],Plants!DM$1,FALSE)</f>
        <v>3640</v>
      </c>
      <c r="CO47" s="14">
        <f>VLOOKUP(t_Parts[[Plant]:[Plant]],t_Plants[],Plants!DN$1,FALSE)</f>
        <v>3640</v>
      </c>
      <c r="CP47" s="14">
        <f>VLOOKUP(t_Parts[[Plant]:[Plant]],t_Plants[],Plants!DO$1,FALSE)</f>
        <v>3640</v>
      </c>
      <c r="CQ47" s="14">
        <f>VLOOKUP(t_Parts[[Plant]:[Plant]],t_Plants[],Plants!DP$1,FALSE)</f>
        <v>3640</v>
      </c>
      <c r="CR47" s="39">
        <f>IF(AND(AL$3&gt;=VALUE(t_Parts[[SOP]:[SOP]]),AL$3&lt;=VALUE(t_Parts[[EOP]:[EOP]])), t_Parts[[SetupHrsPerMo]:[SetupHrsPerMo]]+(t_Parts[[#This Row],[pv2015.01]]/t_Parts[[NetPPH]:[NetPPH]]),0)</f>
        <v>3.1511155511155509</v>
      </c>
      <c r="CS47" s="39">
        <f>IF(AND(AM$3&gt;=VALUE(t_Parts[[SOP]:[SOP]]),AM$3&lt;=VALUE(t_Parts[[EOP]:[EOP]])), t_Parts[[SetupHrsPerMo]:[SetupHrsPerMo]]+(t_Parts[[#This Row],[pv2015.02]]/t_Parts[[NetPPH]:[NetPPH]]),0)</f>
        <v>3.1511155511155509</v>
      </c>
      <c r="CT47" s="39">
        <f>IF(AND(AN$3&gt;=VALUE(t_Parts[[SOP]:[SOP]]),AN$3&lt;=VALUE(t_Parts[[EOP]:[EOP]])), t_Parts[[SetupHrsPerMo]:[SetupHrsPerMo]]+(t_Parts[[#This Row],[pv2015.03]]/t_Parts[[NetPPH]:[NetPPH]]),0)</f>
        <v>3.6888944388944385</v>
      </c>
      <c r="CU47" s="39">
        <f>IF(AND(AO$3&gt;=VALUE(t_Parts[[SOP]:[SOP]]),AO$3&lt;=VALUE(t_Parts[[EOP]:[EOP]])), t_Parts[[SetupHrsPerMo]:[SetupHrsPerMo]]+(t_Parts[[#This Row],[pv2015.04]]/t_Parts[[NetPPH]:[NetPPH]]),0)</f>
        <v>3.1511155511155509</v>
      </c>
      <c r="CV47" s="39">
        <f>IF(AND(AP$3&gt;=VALUE(t_Parts[[SOP]:[SOP]]),AP$3&lt;=VALUE(t_Parts[[EOP]:[EOP]])), t_Parts[[SetupHrsPerMo]:[SetupHrsPerMo]]+(t_Parts[[#This Row],[pv2015.05]]/t_Parts[[NetPPH]:[NetPPH]]),0)</f>
        <v>3.1511155511155509</v>
      </c>
      <c r="CW47" s="39">
        <f>IF(AND(AQ$3&gt;=VALUE(t_Parts[[SOP]:[SOP]]),AQ$3&lt;=VALUE(t_Parts[[EOP]:[EOP]])), t_Parts[[SetupHrsPerMo]:[SetupHrsPerMo]]+(t_Parts[[#This Row],[pv2015.06]]/t_Parts[[NetPPH]:[NetPPH]]),0)</f>
        <v>3.6888944388944385</v>
      </c>
      <c r="CX47" s="39">
        <f>IF(AND(AR$3&gt;=VALUE(t_Parts[[SOP]:[SOP]]),AR$3&lt;=VALUE(t_Parts[[EOP]:[EOP]])), t_Parts[[SetupHrsPerMo]:[SetupHrsPerMo]]+(t_Parts[[#This Row],[pv2015.07]]/t_Parts[[NetPPH]:[NetPPH]]),0)</f>
        <v>3.1511155511155509</v>
      </c>
      <c r="CY47" s="39">
        <f>IF(AND(AS$3&gt;=VALUE(t_Parts[[SOP]:[SOP]]),AS$3&lt;=VALUE(t_Parts[[EOP]:[EOP]])), t_Parts[[SetupHrsPerMo]:[SetupHrsPerMo]]+(t_Parts[[#This Row],[pv2015.08]]/t_Parts[[NetPPH]:[NetPPH]]),0)</f>
        <v>3.1511155511155509</v>
      </c>
      <c r="CZ47" s="39">
        <f>IF(AND(AT$3&gt;=VALUE(t_Parts[[SOP]:[SOP]]),AT$3&lt;=VALUE(t_Parts[[EOP]:[EOP]])), t_Parts[[SetupHrsPerMo]:[SetupHrsPerMo]]+(t_Parts[[#This Row],[pv2015.09]]/t_Parts[[NetPPH]:[NetPPH]]),0)</f>
        <v>3.6888944388944385</v>
      </c>
      <c r="DA47" s="39">
        <f>IF(AND(AU$3&gt;=VALUE(t_Parts[[SOP]:[SOP]]),AU$3&lt;=VALUE(t_Parts[[EOP]:[EOP]])), t_Parts[[SetupHrsPerMo]:[SetupHrsPerMo]]+(t_Parts[[#This Row],[pv2015.10]]/t_Parts[[NetPPH]:[NetPPH]]),0)</f>
        <v>3.1511155511155509</v>
      </c>
      <c r="DB47" s="39">
        <f>IF(AND(AV$3&gt;=VALUE(t_Parts[[SOP]:[SOP]]),AV$3&lt;=VALUE(t_Parts[[EOP]:[EOP]])), t_Parts[[SetupHrsPerMo]:[SetupHrsPerMo]]+(t_Parts[[#This Row],[pv2015.11]]/t_Parts[[NetPPH]:[NetPPH]]),0)</f>
        <v>3.1511155511155509</v>
      </c>
      <c r="DC47" s="39">
        <f>IF(AND(AW$3&gt;=VALUE(t_Parts[[SOP]:[SOP]]),AW$3&lt;=VALUE(t_Parts[[EOP]:[EOP]])), t_Parts[[SetupHrsPerMo]:[SetupHrsPerMo]]+(t_Parts[[#This Row],[pv2015.12]]/t_Parts[[NetPPH]:[NetPPH]]),0)</f>
        <v>3.6888944388944385</v>
      </c>
      <c r="DD47" s="39">
        <f>SUM(t_Parts[[#This Row],[hp2015.01]:[hp2015.12]])</f>
        <v>39.964502164502164</v>
      </c>
      <c r="DE47" s="39">
        <f>IF(AND(AY$3&gt;=VALUE(t_Parts[[SOP]:[SOP]]),AY$3&lt;=VALUE(t_Parts[[EOP]:[EOP]])), t_Parts[[SetupHrsPerMo]:[SetupHrsPerMo]]+(t_Parts[[#This Row],[pv2016.01]]/t_Parts[[NetPPH]:[NetPPH]]),0)</f>
        <v>3.1511155511155509</v>
      </c>
      <c r="DF47" s="39">
        <f>IF(AND(AZ$3&gt;=VALUE(t_Parts[[SOP]:[SOP]]),AZ$3&lt;=VALUE(t_Parts[[EOP]:[EOP]])), t_Parts[[SetupHrsPerMo]:[SetupHrsPerMo]]+(t_Parts[[#This Row],[pv2016.02]]/t_Parts[[NetPPH]:[NetPPH]]),0)</f>
        <v>3.1511155511155509</v>
      </c>
      <c r="DG47" s="39">
        <f>IF(AND(BA$3&gt;=VALUE(t_Parts[[SOP]:[SOP]]),BA$3&lt;=VALUE(t_Parts[[EOP]:[EOP]])), t_Parts[[SetupHrsPerMo]:[SetupHrsPerMo]]+(t_Parts[[#This Row],[pv2016.03]]/t_Parts[[NetPPH]:[NetPPH]]),0)</f>
        <v>3.6888944388944385</v>
      </c>
      <c r="DH47" s="39">
        <f>IF(AND(BB$3&gt;=VALUE(t_Parts[[SOP]:[SOP]]),BB$3&lt;=VALUE(t_Parts[[EOP]:[EOP]])), t_Parts[[SetupHrsPerMo]:[SetupHrsPerMo]]+(t_Parts[[#This Row],[pv2016.04]]/t_Parts[[NetPPH]:[NetPPH]]),0)</f>
        <v>3.1511155511155509</v>
      </c>
      <c r="DI47" s="39">
        <f>IF(AND(BC$3&gt;=VALUE(t_Parts[[SOP]:[SOP]]),BC$3&lt;=VALUE(t_Parts[[EOP]:[EOP]])), t_Parts[[SetupHrsPerMo]:[SetupHrsPerMo]]+(t_Parts[[#This Row],[pv2016.05]]/t_Parts[[NetPPH]:[NetPPH]]),0)</f>
        <v>3.1511155511155509</v>
      </c>
      <c r="DJ47" s="39">
        <f>IF(AND(BD$3&gt;=VALUE(t_Parts[[SOP]:[SOP]]),BD$3&lt;=VALUE(t_Parts[[EOP]:[EOP]])), t_Parts[[SetupHrsPerMo]:[SetupHrsPerMo]]+(t_Parts[[#This Row],[pv2016.06]]/t_Parts[[NetPPH]:[NetPPH]]),0)</f>
        <v>3.6888944388944385</v>
      </c>
      <c r="DK47" s="39">
        <f>IF(AND(BE$3&gt;=VALUE(t_Parts[[SOP]:[SOP]]),BE$3&lt;=VALUE(t_Parts[[EOP]:[EOP]])), t_Parts[[SetupHrsPerMo]:[SetupHrsPerMo]]+(t_Parts[[#This Row],[pv2016.07]]/t_Parts[[NetPPH]:[NetPPH]]),0)</f>
        <v>3.1511155511155509</v>
      </c>
      <c r="DL47" s="39">
        <f>IF(AND(BF$3&gt;=VALUE(t_Parts[[SOP]:[SOP]]),BF$3&lt;=VALUE(t_Parts[[EOP]:[EOP]])), t_Parts[[SetupHrsPerMo]:[SetupHrsPerMo]]+(t_Parts[[#This Row],[pv2016.08]]/t_Parts[[NetPPH]:[NetPPH]]),0)</f>
        <v>3.1511155511155509</v>
      </c>
      <c r="DM47" s="39">
        <f>IF(AND(BG$3&gt;=VALUE(t_Parts[[SOP]:[SOP]]),BG$3&lt;=VALUE(t_Parts[[EOP]:[EOP]])), t_Parts[[SetupHrsPerMo]:[SetupHrsPerMo]]+(t_Parts[[#This Row],[pv2016.09]]/t_Parts[[NetPPH]:[NetPPH]]),0)</f>
        <v>3.6888944388944385</v>
      </c>
      <c r="DN47" s="39">
        <f>IF(AND(BH$3&gt;=VALUE(t_Parts[[SOP]:[SOP]]),BH$3&lt;=VALUE(t_Parts[[EOP]:[EOP]])), t_Parts[[SetupHrsPerMo]:[SetupHrsPerMo]]+(t_Parts[[#This Row],[pv2016.10]]/t_Parts[[NetPPH]:[NetPPH]]),0)</f>
        <v>3.1511155511155509</v>
      </c>
      <c r="DO47" s="39">
        <f>IF(AND(BI$3&gt;=VALUE(t_Parts[[SOP]:[SOP]]),BI$3&lt;=VALUE(t_Parts[[EOP]:[EOP]])), t_Parts[[SetupHrsPerMo]:[SetupHrsPerMo]]+(t_Parts[[#This Row],[pv2016.11]]/t_Parts[[NetPPH]:[NetPPH]]),0)</f>
        <v>3.1511155511155509</v>
      </c>
      <c r="DP47" s="39">
        <f>IF(AND(BJ$3&gt;=VALUE(t_Parts[[SOP]:[SOP]]),BJ$3&lt;=VALUE(t_Parts[[EOP]:[EOP]])), t_Parts[[SetupHrsPerMo]:[SetupHrsPerMo]]+(t_Parts[[#This Row],[pv2016.12]]/t_Parts[[NetPPH]:[NetPPH]]),0)</f>
        <v>3.6888944388944385</v>
      </c>
      <c r="DQ47" s="39">
        <f>SUM(t_Parts[[#This Row],[hp2016.01]:[hp2016.12]])</f>
        <v>39.964502164502164</v>
      </c>
      <c r="DR47" s="39">
        <f>IF(AND(BL$3&gt;=VALUE(t_Parts[[SOP]:[SOP]]),BL$3&lt;=VALUE(t_Parts[[EOP]:[EOP]])), 12*t_Parts[[SetupHrsPerMo]:[SetupHrsPerMo]]+(t_Parts[[#This Row],[pv2017]]/t_Parts[[NetPPH]:[NetPPH]]),0)</f>
        <v>39.964502164502164</v>
      </c>
      <c r="DS47" s="39">
        <f>IF(AND(BM$3&gt;=VALUE(t_Parts[[SOP]:[SOP]]),BM$3&lt;=VALUE(t_Parts[[EOP]:[EOP]])), 12*t_Parts[[SetupHrsPerMo]:[SetupHrsPerMo]]+(t_Parts[[#This Row],[pv2018]]/t_Parts[[NetPPH]:[NetPPH]]),0)</f>
        <v>39.964502164502164</v>
      </c>
      <c r="DT47" s="39">
        <f>IF(AND(BN$3&gt;=VALUE(t_Parts[[SOP]:[SOP]]),BN$3&lt;=VALUE(t_Parts[[EOP]:[EOP]])), 12*t_Parts[[SetupHrsPerMo]:[SetupHrsPerMo]]+(t_Parts[[#This Row],[pv2019]]/t_Parts[[NetPPH]:[NetPPH]]),0)</f>
        <v>39.964502164502164</v>
      </c>
      <c r="DU47" s="47">
        <f>t_Parts[[#This Row],[hp2015.01]]/t_Parts[[#This Row],[ha2015.01]]</f>
        <v>1.1253984111126967E-2</v>
      </c>
      <c r="DV47" s="47">
        <f>t_Parts[[#This Row],[hp2015.02]]/t_Parts[[#This Row],[ha2015.02]]</f>
        <v>1.1253984111126967E-2</v>
      </c>
      <c r="DW47" s="47">
        <f>t_Parts[[#This Row],[hp2015.03]]/t_Parts[[#This Row],[ha2015.03]]</f>
        <v>1.0539698396841253E-2</v>
      </c>
      <c r="DX47" s="47">
        <f>t_Parts[[#This Row],[hp2015.04]]/t_Parts[[#This Row],[ha2015.04]]</f>
        <v>1.1253984111126967E-2</v>
      </c>
      <c r="DY47" s="47">
        <f>t_Parts[[#This Row],[hp2015.05]]/t_Parts[[#This Row],[ha2015.05]]</f>
        <v>1.1253984111126967E-2</v>
      </c>
      <c r="DZ47" s="47">
        <f>t_Parts[[#This Row],[hp2015.06]]/t_Parts[[#This Row],[ha2015.06]]</f>
        <v>1.0539698396841253E-2</v>
      </c>
      <c r="EA47" s="47">
        <f>t_Parts[[#This Row],[hp2015.07]]/t_Parts[[#This Row],[ha2015.07]]</f>
        <v>1.1253984111126967E-2</v>
      </c>
      <c r="EB47" s="47">
        <f>t_Parts[[#This Row],[hp2015.08]]/t_Parts[[#This Row],[ha2015.08]]</f>
        <v>1.1253984111126967E-2</v>
      </c>
      <c r="EC47" s="47">
        <f>t_Parts[[#This Row],[hp2015.09]]/t_Parts[[#This Row],[ha2015.09]]</f>
        <v>1.0539698396841253E-2</v>
      </c>
      <c r="ED47" s="47">
        <f>t_Parts[[#This Row],[hp2015.10]]/t_Parts[[#This Row],[ha2015.10]]</f>
        <v>1.1253984111126967E-2</v>
      </c>
      <c r="EE47" s="47">
        <f>t_Parts[[#This Row],[hp2015.11]]/t_Parts[[#This Row],[ha2015.11]]</f>
        <v>1.1253984111126967E-2</v>
      </c>
      <c r="EF47" s="47">
        <f>t_Parts[[#This Row],[hp2015.12]]/t_Parts[[#This Row],[ha2015.12]]</f>
        <v>1.0539698396841253E-2</v>
      </c>
      <c r="EG47" s="47">
        <f>t_Parts[[#This Row],[hp2015.FY]]/t_Parts[[#This Row],[ha2015.FY]]</f>
        <v>1.0979258836401693E-2</v>
      </c>
      <c r="EH47" s="47">
        <f>t_Parts[[#This Row],[hp2016.01]]/t_Parts[[#This Row],[ha2016.01]]</f>
        <v>1.1253984111126967E-2</v>
      </c>
      <c r="EI47" s="47">
        <f>t_Parts[[#This Row],[hp2016.02]]/t_Parts[[#This Row],[ha2016.02]]</f>
        <v>1.1253984111126967E-2</v>
      </c>
      <c r="EJ47" s="47">
        <f>t_Parts[[#This Row],[hp2016.03]]/t_Parts[[#This Row],[ha2016.03]]</f>
        <v>1.0539698396841253E-2</v>
      </c>
      <c r="EK47" s="47">
        <f>t_Parts[[#This Row],[hp2016.04]]/t_Parts[[#This Row],[ha2016.04]]</f>
        <v>1.1253984111126967E-2</v>
      </c>
      <c r="EL47" s="47">
        <f>t_Parts[[#This Row],[hp2016.05]]/t_Parts[[#This Row],[ha2016.05]]</f>
        <v>1.1253984111126967E-2</v>
      </c>
      <c r="EM47" s="47">
        <f>t_Parts[[#This Row],[hp2016.06]]/t_Parts[[#This Row],[ha2016.06]]</f>
        <v>1.0539698396841253E-2</v>
      </c>
      <c r="EN47" s="47">
        <f>t_Parts[[#This Row],[hp2016.07]]/t_Parts[[#This Row],[ha2016.07]]</f>
        <v>1.1253984111126967E-2</v>
      </c>
      <c r="EO47" s="47">
        <f>t_Parts[[#This Row],[hp2016.08]]/t_Parts[[#This Row],[ha2016.08]]</f>
        <v>1.1253984111126967E-2</v>
      </c>
      <c r="EP47" s="47">
        <f>t_Parts[[#This Row],[hp2016.09]]/t_Parts[[#This Row],[ha2016.09]]</f>
        <v>1.0539698396841253E-2</v>
      </c>
      <c r="EQ47" s="47">
        <f>t_Parts[[#This Row],[hp2016.10]]/t_Parts[[#This Row],[ha2016.10]]</f>
        <v>1.1253984111126967E-2</v>
      </c>
      <c r="ER47" s="47">
        <f>t_Parts[[#This Row],[hp2016.11]]/t_Parts[[#This Row],[ha2016.11]]</f>
        <v>1.1253984111126967E-2</v>
      </c>
      <c r="ES47" s="47">
        <f>t_Parts[[#This Row],[hp2016.12]]/t_Parts[[#This Row],[ha2016.12]]</f>
        <v>1.0539698396841253E-2</v>
      </c>
      <c r="ET47" s="47">
        <f>t_Parts[[#This Row],[hp2016.FY]]/t_Parts[[#This Row],[ha2016.FY]]</f>
        <v>1.0979258836401693E-2</v>
      </c>
      <c r="EU47" s="47">
        <f>t_Parts[[#This Row],[hp2017]]/t_Parts[[#This Row],[ha2017]]</f>
        <v>1.0979258836401693E-2</v>
      </c>
      <c r="EV47" s="47">
        <f>t_Parts[[#This Row],[hp2018]]/t_Parts[[#This Row],[ha2018]]</f>
        <v>1.0979258836401693E-2</v>
      </c>
      <c r="EW47" s="47">
        <f>t_Parts[[#This Row],[hp2019]]/t_Parts[[#This Row],[hp2015.01]]</f>
        <v>12.682652069155008</v>
      </c>
      <c r="EX47" s="58">
        <f>(t_Parts[[#This Row],[ha2015.01]]-t_Parts[[#This Row],[hp2015.01]])*t_Parts[[NetPPH]:[NetPPH]]</f>
        <v>319760.46153846156</v>
      </c>
      <c r="EY47" s="58">
        <f>(t_Parts[[#This Row],[ha2015.02]]-t_Parts[[#This Row],[hp2015.02]])*t_Parts[[NetPPH]:[NetPPH]]</f>
        <v>319760.46153846156</v>
      </c>
      <c r="EZ47" s="58">
        <f>(t_Parts[[#This Row],[ha2015.03]]-t_Parts[[#This Row],[hp2015.03]])*t_Parts[[NetPPH]:[NetPPH]]</f>
        <v>399989.32692307688</v>
      </c>
      <c r="FA47" s="58">
        <f>(t_Parts[[#This Row],[ha2015.04]]-t_Parts[[#This Row],[hp2015.04]])*t_Parts[[NetPPH]:[NetPPH]]</f>
        <v>319760.46153846156</v>
      </c>
      <c r="FB47" s="58">
        <f>(t_Parts[[#This Row],[ha2015.05]]-t_Parts[[#This Row],[hp2015.05]])*t_Parts[[NetPPH]:[NetPPH]]</f>
        <v>319760.46153846156</v>
      </c>
      <c r="FC47" s="58">
        <f>(t_Parts[[#This Row],[ha2015.06]]-t_Parts[[#This Row],[hp2015.06]])*t_Parts[[NetPPH]:[NetPPH]]</f>
        <v>399989.32692307688</v>
      </c>
      <c r="FD47" s="58">
        <f>(t_Parts[[#This Row],[ha2015.07]]-t_Parts[[#This Row],[hp2015.07]])*t_Parts[[NetPPH]:[NetPPH]]</f>
        <v>319760.46153846156</v>
      </c>
      <c r="FE47" s="58">
        <f>(t_Parts[[#This Row],[ha2015.08]]-t_Parts[[#This Row],[hp2015.08]])*t_Parts[[NetPPH]:[NetPPH]]</f>
        <v>319760.46153846156</v>
      </c>
      <c r="FF47" s="58">
        <f>(t_Parts[[#This Row],[ha2015.09]]-t_Parts[[#This Row],[hp2015.09]])*t_Parts[[NetPPH]:[NetPPH]]</f>
        <v>399989.32692307688</v>
      </c>
      <c r="FG47" s="58">
        <f>(t_Parts[[#This Row],[ha2015.10]]-t_Parts[[#This Row],[hp2015.10]])*t_Parts[[NetPPH]:[NetPPH]]</f>
        <v>319760.46153846156</v>
      </c>
      <c r="FH47" s="58">
        <f>(t_Parts[[#This Row],[ha2015.11]]-t_Parts[[#This Row],[hp2015.11]])*t_Parts[[NetPPH]:[NetPPH]]</f>
        <v>319760.46153846156</v>
      </c>
      <c r="FI47" s="58">
        <f>(t_Parts[[#This Row],[ha2015.12]]-t_Parts[[#This Row],[hp2015.12]])*t_Parts[[NetPPH]:[NetPPH]]</f>
        <v>399989.32692307688</v>
      </c>
      <c r="FJ47" s="58">
        <f>(t_Parts[[#This Row],[ha2015.FY]]-t_Parts[[#This Row],[hp2015.FY]])*t_Parts[[NetPPH]:[NetPPH]]</f>
        <v>4158041.0000000005</v>
      </c>
      <c r="FK47" s="58">
        <f>(t_Parts[[#This Row],[ha2016.01]]-t_Parts[[#This Row],[hp2016.01]])*t_Parts[[NetPPH]:[NetPPH]]</f>
        <v>319760.46153846156</v>
      </c>
      <c r="FL47" s="58">
        <f>(t_Parts[[#This Row],[ha2016.02]]-t_Parts[[#This Row],[hp2016.02]])*t_Parts[[NetPPH]:[NetPPH]]</f>
        <v>319760.46153846156</v>
      </c>
      <c r="FM47" s="58">
        <f>(t_Parts[[#This Row],[ha2016.03]]-t_Parts[[#This Row],[hp2016.03]])*t_Parts[[NetPPH]:[NetPPH]]</f>
        <v>399989.32692307688</v>
      </c>
      <c r="FN47" s="58">
        <f>(t_Parts[[#This Row],[ha2016.04]]-t_Parts[[#This Row],[hp2016.04]])*t_Parts[[NetPPH]:[NetPPH]]</f>
        <v>319760.46153846156</v>
      </c>
      <c r="FO47" s="58">
        <f>(t_Parts[[#This Row],[ha2016.05]]-t_Parts[[#This Row],[hp2016.05]])*t_Parts[[NetPPH]:[NetPPH]]</f>
        <v>319760.46153846156</v>
      </c>
      <c r="FP47" s="58">
        <f>(t_Parts[[#This Row],[ha2016.06]]-t_Parts[[#This Row],[hp2016.06]])*t_Parts[[NetPPH]:[NetPPH]]</f>
        <v>399989.32692307688</v>
      </c>
      <c r="FQ47" s="58">
        <f>(t_Parts[[#This Row],[ha2016.07]]-t_Parts[[#This Row],[hp2016.07]])*t_Parts[[NetPPH]:[NetPPH]]</f>
        <v>319760.46153846156</v>
      </c>
      <c r="FR47" s="58">
        <f>(t_Parts[[#This Row],[ha2016.08]]-t_Parts[[#This Row],[hp2016.08]])*t_Parts[[NetPPH]:[NetPPH]]</f>
        <v>319760.46153846156</v>
      </c>
      <c r="FS47" s="58">
        <f>(t_Parts[[#This Row],[ha2016.09]]-t_Parts[[#This Row],[hp2016.09]])*t_Parts[[NetPPH]:[NetPPH]]</f>
        <v>399989.32692307688</v>
      </c>
      <c r="FT47" s="58">
        <f>(t_Parts[[#This Row],[ha2016.10]]-t_Parts[[#This Row],[hp2016.10]])*t_Parts[[NetPPH]:[NetPPH]]</f>
        <v>319760.46153846156</v>
      </c>
      <c r="FU47" s="58">
        <f>(t_Parts[[#This Row],[ha2016.11]]-t_Parts[[#This Row],[hp2016.11]])*t_Parts[[NetPPH]:[NetPPH]]</f>
        <v>319760.46153846156</v>
      </c>
      <c r="FV47" s="58">
        <f>(t_Parts[[#This Row],[ha2016.12]]-t_Parts[[#This Row],[hp2016.12]])*t_Parts[[NetPPH]:[NetPPH]]</f>
        <v>399989.32692307688</v>
      </c>
      <c r="FW47" s="58">
        <f>(t_Parts[[#This Row],[ha2016.FY]]-t_Parts[[#This Row],[hp2016.FY]])*t_Parts[[NetPPH]:[NetPPH]]</f>
        <v>4158041.0000000005</v>
      </c>
      <c r="FX47" s="58">
        <f>(t_Parts[[#This Row],[ha2017]]-t_Parts[[#This Row],[hp2017]])*t_Parts[[NetPPH]:[NetPPH]]</f>
        <v>4158041.0000000005</v>
      </c>
      <c r="FY47" s="58">
        <f>(t_Parts[[#This Row],[ha2018]]-t_Parts[[#This Row],[hp2018]])*t_Parts[[NetPPH]:[NetPPH]]</f>
        <v>4158041.0000000005</v>
      </c>
      <c r="FZ47" s="58">
        <f>(t_Parts[[#This Row],[ha2019]]-t_Parts[[#This Row],[hp2019]])*t_Parts[[NetPPH]:[NetPPH]]</f>
        <v>4158041.0000000005</v>
      </c>
    </row>
    <row r="48" spans="1:182" s="14" customFormat="1" x14ac:dyDescent="0.25">
      <c r="A48" s="74" t="s">
        <v>617</v>
      </c>
      <c r="B48" s="74"/>
      <c r="C48" s="74">
        <v>21002</v>
      </c>
      <c r="D48" s="75">
        <v>2</v>
      </c>
      <c r="E48" s="73">
        <v>2400</v>
      </c>
      <c r="F48" s="76">
        <v>1</v>
      </c>
      <c r="G48" s="77">
        <v>4</v>
      </c>
      <c r="H48" s="16">
        <v>2015.01</v>
      </c>
      <c r="I48" s="16" t="s">
        <v>83</v>
      </c>
      <c r="J48" s="73">
        <v>149244</v>
      </c>
      <c r="K48" s="73">
        <v>149244</v>
      </c>
      <c r="L48" s="73">
        <v>149244</v>
      </c>
      <c r="M48" s="73">
        <v>149244</v>
      </c>
      <c r="N48" s="73">
        <v>149244</v>
      </c>
      <c r="O48" s="78">
        <v>42</v>
      </c>
      <c r="P48" s="78">
        <v>50</v>
      </c>
      <c r="Q48" s="79">
        <v>23.931999999999999</v>
      </c>
      <c r="R48" s="79"/>
      <c r="S48" s="78">
        <v>385</v>
      </c>
      <c r="T48" s="80">
        <v>15</v>
      </c>
      <c r="U48" s="80" t="s">
        <v>121</v>
      </c>
      <c r="V48" s="81"/>
      <c r="W48" s="82">
        <v>1.25</v>
      </c>
      <c r="X48" s="82" t="s">
        <v>495</v>
      </c>
      <c r="Y48" s="82"/>
      <c r="Z48" s="82"/>
      <c r="AA48" s="82"/>
      <c r="AB48" s="82"/>
      <c r="AC48" s="83" t="s">
        <v>667</v>
      </c>
      <c r="AD48" s="40" t="str">
        <f>VLOOKUP(t_Parts[[#This Row],[Press]],t_Presses[],Press!B$1,FALSE)</f>
        <v>Plainfield</v>
      </c>
      <c r="AE48" s="40" t="str">
        <f>VLOOKUP(t_Parts[[#This Row],[Press]],t_Presses[],Press!E$1,FALSE)</f>
        <v>600-899</v>
      </c>
      <c r="AF48" s="47">
        <f>VLOOKUP(t_Parts[[#This Row],[Plant]],t_Plants[],Plants!C$1,FALSE)</f>
        <v>0.55000000000000004</v>
      </c>
      <c r="AG48" s="47">
        <f>VLOOKUP(t_Parts[[#This Row],[Press]],t_Presses[],Press!F$1,FALSE)</f>
        <v>0</v>
      </c>
      <c r="AH48" s="84"/>
      <c r="AI48" s="47">
        <f>IF(ISBLANK(t_Parts[[#This Row],[PartOEE]])=FALSE,t_Parts[[#This Row],[PartOEE]], IF(t_Parts[[#This Row],[PressOEE]]&gt;0, t_Parts[[#This Row],[PressOEE]], t_Parts[[#This Row],[PlantOEE]] ))</f>
        <v>0.55000000000000004</v>
      </c>
      <c r="AJ48" s="70">
        <f>t_Parts[[#This Row],[SetupsPerMo]]*t_Parts[[#This Row],[SetupHrs]]</f>
        <v>4</v>
      </c>
      <c r="AK48" s="39">
        <f>(t_Parts[[#This Row],[PartsPerStroke]]*t_Parts[[#This Row],[StrokesPerHr]])*t_Parts[[#This Row],[UseOEE]]</f>
        <v>2640</v>
      </c>
      <c r="AL4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11480.307692307693</v>
      </c>
      <c r="AM4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11480.307692307693</v>
      </c>
      <c r="AN4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4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11480.307692307693</v>
      </c>
      <c r="AP4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11480.307692307693</v>
      </c>
      <c r="AQ4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4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11480.307692307693</v>
      </c>
      <c r="AS4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11480.307692307693</v>
      </c>
      <c r="AT4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4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11480.307692307693</v>
      </c>
      <c r="AV4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11480.307692307693</v>
      </c>
      <c r="AW4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48" s="39">
        <f>SUM(t_Parts[[#This Row],[pv2015.01]:[pv2015.12]])</f>
        <v>149244</v>
      </c>
      <c r="AY4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4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4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4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4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4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4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4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4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4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4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4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48" s="39">
        <f>SUM(t_Parts[[#This Row],[pv2016.01]:[pv2016.12]])</f>
        <v>149244</v>
      </c>
      <c r="BL48" s="39">
        <f>t_Parts[[#This Row],[2017vol]]</f>
        <v>149244</v>
      </c>
      <c r="BM48" s="39">
        <f>t_Parts[[#This Row],[2018vol]]</f>
        <v>149244</v>
      </c>
      <c r="BN48" s="39">
        <f>t_Parts[[#This Row],[2019vol]]</f>
        <v>149244</v>
      </c>
      <c r="BO48" s="40">
        <f>VLOOKUP(t_Parts[[Plant]:[Plant]],t_Plants[],Plants!CN$1,FALSE)</f>
        <v>280</v>
      </c>
      <c r="BP48" s="14">
        <f>VLOOKUP(t_Parts[[Plant]:[Plant]],t_Plants[],Plants!CO$1,FALSE)</f>
        <v>280</v>
      </c>
      <c r="BQ48" s="14">
        <f>VLOOKUP(t_Parts[[Plant]:[Plant]],t_Plants[],Plants!CP$1,FALSE)</f>
        <v>350</v>
      </c>
      <c r="BR48" s="14">
        <f>VLOOKUP(t_Parts[[Plant]:[Plant]],t_Plants[],Plants!CQ$1,FALSE)</f>
        <v>280</v>
      </c>
      <c r="BS48" s="14">
        <f>VLOOKUP(t_Parts[[Plant]:[Plant]],t_Plants[],Plants!CR$1,FALSE)</f>
        <v>280</v>
      </c>
      <c r="BT48" s="14">
        <f>VLOOKUP(t_Parts[[Plant]:[Plant]],t_Plants[],Plants!CS$1,FALSE)</f>
        <v>350</v>
      </c>
      <c r="BU48" s="14">
        <f>VLOOKUP(t_Parts[[Plant]:[Plant]],t_Plants[],Plants!CT$1,FALSE)</f>
        <v>280</v>
      </c>
      <c r="BV48" s="14">
        <f>VLOOKUP(t_Parts[[Plant]:[Plant]],t_Plants[],Plants!CU$1,FALSE)</f>
        <v>280</v>
      </c>
      <c r="BW48" s="14">
        <f>VLOOKUP(t_Parts[[Plant]:[Plant]],t_Plants[],Plants!CV$1,FALSE)</f>
        <v>350</v>
      </c>
      <c r="BX48" s="14">
        <f>VLOOKUP(t_Parts[[Plant]:[Plant]],t_Plants[],Plants!CW$1,FALSE)</f>
        <v>280</v>
      </c>
      <c r="BY48" s="14">
        <f>VLOOKUP(t_Parts[[Plant]:[Plant]],t_Plants[],Plants!CX$1,FALSE)</f>
        <v>280</v>
      </c>
      <c r="BZ48" s="14">
        <f>VLOOKUP(t_Parts[[Plant]:[Plant]],t_Plants[],Plants!CY$1,FALSE)</f>
        <v>350</v>
      </c>
      <c r="CA48" s="40">
        <f>SUM(t_Parts[[#This Row],[ha2015.01]:[ha2015.12]])</f>
        <v>3640</v>
      </c>
      <c r="CB48" s="14">
        <f>VLOOKUP(t_Parts[[Plant]:[Plant]],t_Plants[],Plants!DA$1,FALSE)</f>
        <v>280</v>
      </c>
      <c r="CC48" s="14">
        <f>VLOOKUP(t_Parts[[Plant]:[Plant]],t_Plants[],Plants!DB$1,FALSE)</f>
        <v>280</v>
      </c>
      <c r="CD48" s="14">
        <f>VLOOKUP(t_Parts[[Plant]:[Plant]],t_Plants[],Plants!DC$1,FALSE)</f>
        <v>350</v>
      </c>
      <c r="CE48" s="14">
        <f>VLOOKUP(t_Parts[[Plant]:[Plant]],t_Plants[],Plants!DD$1,FALSE)</f>
        <v>280</v>
      </c>
      <c r="CF48" s="14">
        <f>VLOOKUP(t_Parts[[Plant]:[Plant]],t_Plants[],Plants!DE$1,FALSE)</f>
        <v>280</v>
      </c>
      <c r="CG48" s="14">
        <f>VLOOKUP(t_Parts[[Plant]:[Plant]],t_Plants[],Plants!DF$1,FALSE)</f>
        <v>350</v>
      </c>
      <c r="CH48" s="14">
        <f>VLOOKUP(t_Parts[[Plant]:[Plant]],t_Plants[],Plants!DG$1,FALSE)</f>
        <v>280</v>
      </c>
      <c r="CI48" s="14">
        <f>VLOOKUP(t_Parts[[Plant]:[Plant]],t_Plants[],Plants!DH$1,FALSE)</f>
        <v>280</v>
      </c>
      <c r="CJ48" s="14">
        <f>VLOOKUP(t_Parts[[Plant]:[Plant]],t_Plants[],Plants!DI$1,FALSE)</f>
        <v>350</v>
      </c>
      <c r="CK48" s="14">
        <f>VLOOKUP(t_Parts[[Plant]:[Plant]],t_Plants[],Plants!DJ$1,FALSE)</f>
        <v>280</v>
      </c>
      <c r="CL48" s="14">
        <f>VLOOKUP(t_Parts[[Plant]:[Plant]],t_Plants[],Plants!DK$1,FALSE)</f>
        <v>280</v>
      </c>
      <c r="CM48" s="14">
        <f>VLOOKUP(t_Parts[[Plant]:[Plant]],t_Plants[],Plants!DL$1,FALSE)</f>
        <v>350</v>
      </c>
      <c r="CN48" s="14">
        <f>VLOOKUP(t_Parts[[Plant]:[Plant]],t_Plants[],Plants!DM$1,FALSE)</f>
        <v>3640</v>
      </c>
      <c r="CO48" s="14">
        <f>VLOOKUP(t_Parts[[Plant]:[Plant]],t_Plants[],Plants!DN$1,FALSE)</f>
        <v>3640</v>
      </c>
      <c r="CP48" s="14">
        <f>VLOOKUP(t_Parts[[Plant]:[Plant]],t_Plants[],Plants!DO$1,FALSE)</f>
        <v>3640</v>
      </c>
      <c r="CQ48" s="14">
        <f>VLOOKUP(t_Parts[[Plant]:[Plant]],t_Plants[],Plants!DP$1,FALSE)</f>
        <v>3640</v>
      </c>
      <c r="CR48" s="39">
        <f>IF(AND(AL$3&gt;=VALUE(t_Parts[[SOP]:[SOP]]),AL$3&lt;=VALUE(t_Parts[[EOP]:[EOP]])), t_Parts[[SetupHrsPerMo]:[SetupHrsPerMo]]+(t_Parts[[#This Row],[pv2015.01]]/t_Parts[[NetPPH]:[NetPPH]]),0)</f>
        <v>8.3486013986013994</v>
      </c>
      <c r="CS48" s="39">
        <f>IF(AND(AM$3&gt;=VALUE(t_Parts[[SOP]:[SOP]]),AM$3&lt;=VALUE(t_Parts[[EOP]:[EOP]])), t_Parts[[SetupHrsPerMo]:[SetupHrsPerMo]]+(t_Parts[[#This Row],[pv2015.02]]/t_Parts[[NetPPH]:[NetPPH]]),0)</f>
        <v>8.3486013986013994</v>
      </c>
      <c r="CT48" s="39">
        <f>IF(AND(AN$3&gt;=VALUE(t_Parts[[SOP]:[SOP]]),AN$3&lt;=VALUE(t_Parts[[EOP]:[EOP]])), t_Parts[[SetupHrsPerMo]:[SetupHrsPerMo]]+(t_Parts[[#This Row],[pv2015.03]]/t_Parts[[NetPPH]:[NetPPH]]),0)</f>
        <v>9.4357517482517483</v>
      </c>
      <c r="CU48" s="39">
        <f>IF(AND(AO$3&gt;=VALUE(t_Parts[[SOP]:[SOP]]),AO$3&lt;=VALUE(t_Parts[[EOP]:[EOP]])), t_Parts[[SetupHrsPerMo]:[SetupHrsPerMo]]+(t_Parts[[#This Row],[pv2015.04]]/t_Parts[[NetPPH]:[NetPPH]]),0)</f>
        <v>8.3486013986013994</v>
      </c>
      <c r="CV48" s="39">
        <f>IF(AND(AP$3&gt;=VALUE(t_Parts[[SOP]:[SOP]]),AP$3&lt;=VALUE(t_Parts[[EOP]:[EOP]])), t_Parts[[SetupHrsPerMo]:[SetupHrsPerMo]]+(t_Parts[[#This Row],[pv2015.05]]/t_Parts[[NetPPH]:[NetPPH]]),0)</f>
        <v>8.3486013986013994</v>
      </c>
      <c r="CW48" s="39">
        <f>IF(AND(AQ$3&gt;=VALUE(t_Parts[[SOP]:[SOP]]),AQ$3&lt;=VALUE(t_Parts[[EOP]:[EOP]])), t_Parts[[SetupHrsPerMo]:[SetupHrsPerMo]]+(t_Parts[[#This Row],[pv2015.06]]/t_Parts[[NetPPH]:[NetPPH]]),0)</f>
        <v>9.4357517482517483</v>
      </c>
      <c r="CX48" s="39">
        <f>IF(AND(AR$3&gt;=VALUE(t_Parts[[SOP]:[SOP]]),AR$3&lt;=VALUE(t_Parts[[EOP]:[EOP]])), t_Parts[[SetupHrsPerMo]:[SetupHrsPerMo]]+(t_Parts[[#This Row],[pv2015.07]]/t_Parts[[NetPPH]:[NetPPH]]),0)</f>
        <v>8.3486013986013994</v>
      </c>
      <c r="CY48" s="39">
        <f>IF(AND(AS$3&gt;=VALUE(t_Parts[[SOP]:[SOP]]),AS$3&lt;=VALUE(t_Parts[[EOP]:[EOP]])), t_Parts[[SetupHrsPerMo]:[SetupHrsPerMo]]+(t_Parts[[#This Row],[pv2015.08]]/t_Parts[[NetPPH]:[NetPPH]]),0)</f>
        <v>8.3486013986013994</v>
      </c>
      <c r="CZ48" s="39">
        <f>IF(AND(AT$3&gt;=VALUE(t_Parts[[SOP]:[SOP]]),AT$3&lt;=VALUE(t_Parts[[EOP]:[EOP]])), t_Parts[[SetupHrsPerMo]:[SetupHrsPerMo]]+(t_Parts[[#This Row],[pv2015.09]]/t_Parts[[NetPPH]:[NetPPH]]),0)</f>
        <v>9.4357517482517483</v>
      </c>
      <c r="DA48" s="39">
        <f>IF(AND(AU$3&gt;=VALUE(t_Parts[[SOP]:[SOP]]),AU$3&lt;=VALUE(t_Parts[[EOP]:[EOP]])), t_Parts[[SetupHrsPerMo]:[SetupHrsPerMo]]+(t_Parts[[#This Row],[pv2015.10]]/t_Parts[[NetPPH]:[NetPPH]]),0)</f>
        <v>8.3486013986013994</v>
      </c>
      <c r="DB48" s="39">
        <f>IF(AND(AV$3&gt;=VALUE(t_Parts[[SOP]:[SOP]]),AV$3&lt;=VALUE(t_Parts[[EOP]:[EOP]])), t_Parts[[SetupHrsPerMo]:[SetupHrsPerMo]]+(t_Parts[[#This Row],[pv2015.11]]/t_Parts[[NetPPH]:[NetPPH]]),0)</f>
        <v>8.3486013986013994</v>
      </c>
      <c r="DC48" s="39">
        <f>IF(AND(AW$3&gt;=VALUE(t_Parts[[SOP]:[SOP]]),AW$3&lt;=VALUE(t_Parts[[EOP]:[EOP]])), t_Parts[[SetupHrsPerMo]:[SetupHrsPerMo]]+(t_Parts[[#This Row],[pv2015.12]]/t_Parts[[NetPPH]:[NetPPH]]),0)</f>
        <v>9.4357517482517483</v>
      </c>
      <c r="DD48" s="39">
        <f>SUM(t_Parts[[#This Row],[hp2015.01]:[hp2015.12]])</f>
        <v>104.5318181818182</v>
      </c>
      <c r="DE48" s="39">
        <f>IF(AND(AY$3&gt;=VALUE(t_Parts[[SOP]:[SOP]]),AY$3&lt;=VALUE(t_Parts[[EOP]:[EOP]])), t_Parts[[SetupHrsPerMo]:[SetupHrsPerMo]]+(t_Parts[[#This Row],[pv2016.01]]/t_Parts[[NetPPH]:[NetPPH]]),0)</f>
        <v>8.3486013986013994</v>
      </c>
      <c r="DF48" s="39">
        <f>IF(AND(AZ$3&gt;=VALUE(t_Parts[[SOP]:[SOP]]),AZ$3&lt;=VALUE(t_Parts[[EOP]:[EOP]])), t_Parts[[SetupHrsPerMo]:[SetupHrsPerMo]]+(t_Parts[[#This Row],[pv2016.02]]/t_Parts[[NetPPH]:[NetPPH]]),0)</f>
        <v>8.3486013986013994</v>
      </c>
      <c r="DG48" s="39">
        <f>IF(AND(BA$3&gt;=VALUE(t_Parts[[SOP]:[SOP]]),BA$3&lt;=VALUE(t_Parts[[EOP]:[EOP]])), t_Parts[[SetupHrsPerMo]:[SetupHrsPerMo]]+(t_Parts[[#This Row],[pv2016.03]]/t_Parts[[NetPPH]:[NetPPH]]),0)</f>
        <v>9.4357517482517483</v>
      </c>
      <c r="DH48" s="39">
        <f>IF(AND(BB$3&gt;=VALUE(t_Parts[[SOP]:[SOP]]),BB$3&lt;=VALUE(t_Parts[[EOP]:[EOP]])), t_Parts[[SetupHrsPerMo]:[SetupHrsPerMo]]+(t_Parts[[#This Row],[pv2016.04]]/t_Parts[[NetPPH]:[NetPPH]]),0)</f>
        <v>8.3486013986013994</v>
      </c>
      <c r="DI48" s="39">
        <f>IF(AND(BC$3&gt;=VALUE(t_Parts[[SOP]:[SOP]]),BC$3&lt;=VALUE(t_Parts[[EOP]:[EOP]])), t_Parts[[SetupHrsPerMo]:[SetupHrsPerMo]]+(t_Parts[[#This Row],[pv2016.05]]/t_Parts[[NetPPH]:[NetPPH]]),0)</f>
        <v>8.3486013986013994</v>
      </c>
      <c r="DJ48" s="39">
        <f>IF(AND(BD$3&gt;=VALUE(t_Parts[[SOP]:[SOP]]),BD$3&lt;=VALUE(t_Parts[[EOP]:[EOP]])), t_Parts[[SetupHrsPerMo]:[SetupHrsPerMo]]+(t_Parts[[#This Row],[pv2016.06]]/t_Parts[[NetPPH]:[NetPPH]]),0)</f>
        <v>9.4357517482517483</v>
      </c>
      <c r="DK48" s="39">
        <f>IF(AND(BE$3&gt;=VALUE(t_Parts[[SOP]:[SOP]]),BE$3&lt;=VALUE(t_Parts[[EOP]:[EOP]])), t_Parts[[SetupHrsPerMo]:[SetupHrsPerMo]]+(t_Parts[[#This Row],[pv2016.07]]/t_Parts[[NetPPH]:[NetPPH]]),0)</f>
        <v>8.3486013986013994</v>
      </c>
      <c r="DL48" s="39">
        <f>IF(AND(BF$3&gt;=VALUE(t_Parts[[SOP]:[SOP]]),BF$3&lt;=VALUE(t_Parts[[EOP]:[EOP]])), t_Parts[[SetupHrsPerMo]:[SetupHrsPerMo]]+(t_Parts[[#This Row],[pv2016.08]]/t_Parts[[NetPPH]:[NetPPH]]),0)</f>
        <v>8.3486013986013994</v>
      </c>
      <c r="DM48" s="39">
        <f>IF(AND(BG$3&gt;=VALUE(t_Parts[[SOP]:[SOP]]),BG$3&lt;=VALUE(t_Parts[[EOP]:[EOP]])), t_Parts[[SetupHrsPerMo]:[SetupHrsPerMo]]+(t_Parts[[#This Row],[pv2016.09]]/t_Parts[[NetPPH]:[NetPPH]]),0)</f>
        <v>9.4357517482517483</v>
      </c>
      <c r="DN48" s="39">
        <f>IF(AND(BH$3&gt;=VALUE(t_Parts[[SOP]:[SOP]]),BH$3&lt;=VALUE(t_Parts[[EOP]:[EOP]])), t_Parts[[SetupHrsPerMo]:[SetupHrsPerMo]]+(t_Parts[[#This Row],[pv2016.10]]/t_Parts[[NetPPH]:[NetPPH]]),0)</f>
        <v>8.3486013986013994</v>
      </c>
      <c r="DO48" s="39">
        <f>IF(AND(BI$3&gt;=VALUE(t_Parts[[SOP]:[SOP]]),BI$3&lt;=VALUE(t_Parts[[EOP]:[EOP]])), t_Parts[[SetupHrsPerMo]:[SetupHrsPerMo]]+(t_Parts[[#This Row],[pv2016.11]]/t_Parts[[NetPPH]:[NetPPH]]),0)</f>
        <v>8.3486013986013994</v>
      </c>
      <c r="DP48" s="39">
        <f>IF(AND(BJ$3&gt;=VALUE(t_Parts[[SOP]:[SOP]]),BJ$3&lt;=VALUE(t_Parts[[EOP]:[EOP]])), t_Parts[[SetupHrsPerMo]:[SetupHrsPerMo]]+(t_Parts[[#This Row],[pv2016.12]]/t_Parts[[NetPPH]:[NetPPH]]),0)</f>
        <v>9.4357517482517483</v>
      </c>
      <c r="DQ48" s="39">
        <f>SUM(t_Parts[[#This Row],[hp2016.01]:[hp2016.12]])</f>
        <v>104.5318181818182</v>
      </c>
      <c r="DR48" s="39">
        <f>IF(AND(BL$3&gt;=VALUE(t_Parts[[SOP]:[SOP]]),BL$3&lt;=VALUE(t_Parts[[EOP]:[EOP]])), 12*t_Parts[[SetupHrsPerMo]:[SetupHrsPerMo]]+(t_Parts[[#This Row],[pv2017]]/t_Parts[[NetPPH]:[NetPPH]]),0)</f>
        <v>104.53181818181818</v>
      </c>
      <c r="DS48" s="39">
        <f>IF(AND(BM$3&gt;=VALUE(t_Parts[[SOP]:[SOP]]),BM$3&lt;=VALUE(t_Parts[[EOP]:[EOP]])), 12*t_Parts[[SetupHrsPerMo]:[SetupHrsPerMo]]+(t_Parts[[#This Row],[pv2018]]/t_Parts[[NetPPH]:[NetPPH]]),0)</f>
        <v>104.53181818181818</v>
      </c>
      <c r="DT48" s="39">
        <f>IF(AND(BN$3&gt;=VALUE(t_Parts[[SOP]:[SOP]]),BN$3&lt;=VALUE(t_Parts[[EOP]:[EOP]])), 12*t_Parts[[SetupHrsPerMo]:[SetupHrsPerMo]]+(t_Parts[[#This Row],[pv2019]]/t_Parts[[NetPPH]:[NetPPH]]),0)</f>
        <v>104.53181818181818</v>
      </c>
      <c r="DU48" s="47">
        <f>t_Parts[[#This Row],[hp2015.01]]/t_Parts[[#This Row],[ha2015.01]]</f>
        <v>2.981643356643357E-2</v>
      </c>
      <c r="DV48" s="47">
        <f>t_Parts[[#This Row],[hp2015.02]]/t_Parts[[#This Row],[ha2015.02]]</f>
        <v>2.981643356643357E-2</v>
      </c>
      <c r="DW48" s="47">
        <f>t_Parts[[#This Row],[hp2015.03]]/t_Parts[[#This Row],[ha2015.03]]</f>
        <v>2.695929070929071E-2</v>
      </c>
      <c r="DX48" s="47">
        <f>t_Parts[[#This Row],[hp2015.04]]/t_Parts[[#This Row],[ha2015.04]]</f>
        <v>2.981643356643357E-2</v>
      </c>
      <c r="DY48" s="47">
        <f>t_Parts[[#This Row],[hp2015.05]]/t_Parts[[#This Row],[ha2015.05]]</f>
        <v>2.981643356643357E-2</v>
      </c>
      <c r="DZ48" s="47">
        <f>t_Parts[[#This Row],[hp2015.06]]/t_Parts[[#This Row],[ha2015.06]]</f>
        <v>2.695929070929071E-2</v>
      </c>
      <c r="EA48" s="47">
        <f>t_Parts[[#This Row],[hp2015.07]]/t_Parts[[#This Row],[ha2015.07]]</f>
        <v>2.981643356643357E-2</v>
      </c>
      <c r="EB48" s="47">
        <f>t_Parts[[#This Row],[hp2015.08]]/t_Parts[[#This Row],[ha2015.08]]</f>
        <v>2.981643356643357E-2</v>
      </c>
      <c r="EC48" s="47">
        <f>t_Parts[[#This Row],[hp2015.09]]/t_Parts[[#This Row],[ha2015.09]]</f>
        <v>2.695929070929071E-2</v>
      </c>
      <c r="ED48" s="47">
        <f>t_Parts[[#This Row],[hp2015.10]]/t_Parts[[#This Row],[ha2015.10]]</f>
        <v>2.981643356643357E-2</v>
      </c>
      <c r="EE48" s="47">
        <f>t_Parts[[#This Row],[hp2015.11]]/t_Parts[[#This Row],[ha2015.11]]</f>
        <v>2.981643356643357E-2</v>
      </c>
      <c r="EF48" s="47">
        <f>t_Parts[[#This Row],[hp2015.12]]/t_Parts[[#This Row],[ha2015.12]]</f>
        <v>2.695929070929071E-2</v>
      </c>
      <c r="EG48" s="47">
        <f>t_Parts[[#This Row],[hp2015.FY]]/t_Parts[[#This Row],[ha2015.FY]]</f>
        <v>2.8717532467532472E-2</v>
      </c>
      <c r="EH48" s="47">
        <f>t_Parts[[#This Row],[hp2016.01]]/t_Parts[[#This Row],[ha2016.01]]</f>
        <v>2.981643356643357E-2</v>
      </c>
      <c r="EI48" s="47">
        <f>t_Parts[[#This Row],[hp2016.02]]/t_Parts[[#This Row],[ha2016.02]]</f>
        <v>2.981643356643357E-2</v>
      </c>
      <c r="EJ48" s="47">
        <f>t_Parts[[#This Row],[hp2016.03]]/t_Parts[[#This Row],[ha2016.03]]</f>
        <v>2.695929070929071E-2</v>
      </c>
      <c r="EK48" s="47">
        <f>t_Parts[[#This Row],[hp2016.04]]/t_Parts[[#This Row],[ha2016.04]]</f>
        <v>2.981643356643357E-2</v>
      </c>
      <c r="EL48" s="47">
        <f>t_Parts[[#This Row],[hp2016.05]]/t_Parts[[#This Row],[ha2016.05]]</f>
        <v>2.981643356643357E-2</v>
      </c>
      <c r="EM48" s="47">
        <f>t_Parts[[#This Row],[hp2016.06]]/t_Parts[[#This Row],[ha2016.06]]</f>
        <v>2.695929070929071E-2</v>
      </c>
      <c r="EN48" s="47">
        <f>t_Parts[[#This Row],[hp2016.07]]/t_Parts[[#This Row],[ha2016.07]]</f>
        <v>2.981643356643357E-2</v>
      </c>
      <c r="EO48" s="47">
        <f>t_Parts[[#This Row],[hp2016.08]]/t_Parts[[#This Row],[ha2016.08]]</f>
        <v>2.981643356643357E-2</v>
      </c>
      <c r="EP48" s="47">
        <f>t_Parts[[#This Row],[hp2016.09]]/t_Parts[[#This Row],[ha2016.09]]</f>
        <v>2.695929070929071E-2</v>
      </c>
      <c r="EQ48" s="47">
        <f>t_Parts[[#This Row],[hp2016.10]]/t_Parts[[#This Row],[ha2016.10]]</f>
        <v>2.981643356643357E-2</v>
      </c>
      <c r="ER48" s="47">
        <f>t_Parts[[#This Row],[hp2016.11]]/t_Parts[[#This Row],[ha2016.11]]</f>
        <v>2.981643356643357E-2</v>
      </c>
      <c r="ES48" s="47">
        <f>t_Parts[[#This Row],[hp2016.12]]/t_Parts[[#This Row],[ha2016.12]]</f>
        <v>2.695929070929071E-2</v>
      </c>
      <c r="ET48" s="47">
        <f>t_Parts[[#This Row],[hp2016.FY]]/t_Parts[[#This Row],[ha2016.FY]]</f>
        <v>2.8717532467532472E-2</v>
      </c>
      <c r="EU48" s="47">
        <f>t_Parts[[#This Row],[hp2017]]/t_Parts[[#This Row],[ha2017]]</f>
        <v>2.8717532467532468E-2</v>
      </c>
      <c r="EV48" s="47">
        <f>t_Parts[[#This Row],[hp2018]]/t_Parts[[#This Row],[ha2018]]</f>
        <v>2.8717532467532468E-2</v>
      </c>
      <c r="EW48" s="47">
        <f>t_Parts[[#This Row],[hp2019]]/t_Parts[[#This Row],[hp2015.01]]</f>
        <v>12.520877832223478</v>
      </c>
      <c r="EX48" s="58">
        <f>(t_Parts[[#This Row],[ha2015.01]]-t_Parts[[#This Row],[hp2015.01]])*t_Parts[[NetPPH]:[NetPPH]]</f>
        <v>717159.69230769237</v>
      </c>
      <c r="EY48" s="58">
        <f>(t_Parts[[#This Row],[ha2015.02]]-t_Parts[[#This Row],[hp2015.02]])*t_Parts[[NetPPH]:[NetPPH]]</f>
        <v>717159.69230769237</v>
      </c>
      <c r="EZ48" s="58">
        <f>(t_Parts[[#This Row],[ha2015.03]]-t_Parts[[#This Row],[hp2015.03]])*t_Parts[[NetPPH]:[NetPPH]]</f>
        <v>899089.61538461538</v>
      </c>
      <c r="FA48" s="58">
        <f>(t_Parts[[#This Row],[ha2015.04]]-t_Parts[[#This Row],[hp2015.04]])*t_Parts[[NetPPH]:[NetPPH]]</f>
        <v>717159.69230769237</v>
      </c>
      <c r="FB48" s="58">
        <f>(t_Parts[[#This Row],[ha2015.05]]-t_Parts[[#This Row],[hp2015.05]])*t_Parts[[NetPPH]:[NetPPH]]</f>
        <v>717159.69230769237</v>
      </c>
      <c r="FC48" s="58">
        <f>(t_Parts[[#This Row],[ha2015.06]]-t_Parts[[#This Row],[hp2015.06]])*t_Parts[[NetPPH]:[NetPPH]]</f>
        <v>899089.61538461538</v>
      </c>
      <c r="FD48" s="58">
        <f>(t_Parts[[#This Row],[ha2015.07]]-t_Parts[[#This Row],[hp2015.07]])*t_Parts[[NetPPH]:[NetPPH]]</f>
        <v>717159.69230769237</v>
      </c>
      <c r="FE48" s="58">
        <f>(t_Parts[[#This Row],[ha2015.08]]-t_Parts[[#This Row],[hp2015.08]])*t_Parts[[NetPPH]:[NetPPH]]</f>
        <v>717159.69230769237</v>
      </c>
      <c r="FF48" s="58">
        <f>(t_Parts[[#This Row],[ha2015.09]]-t_Parts[[#This Row],[hp2015.09]])*t_Parts[[NetPPH]:[NetPPH]]</f>
        <v>899089.61538461538</v>
      </c>
      <c r="FG48" s="58">
        <f>(t_Parts[[#This Row],[ha2015.10]]-t_Parts[[#This Row],[hp2015.10]])*t_Parts[[NetPPH]:[NetPPH]]</f>
        <v>717159.69230769237</v>
      </c>
      <c r="FH48" s="58">
        <f>(t_Parts[[#This Row],[ha2015.11]]-t_Parts[[#This Row],[hp2015.11]])*t_Parts[[NetPPH]:[NetPPH]]</f>
        <v>717159.69230769237</v>
      </c>
      <c r="FI48" s="58">
        <f>(t_Parts[[#This Row],[ha2015.12]]-t_Parts[[#This Row],[hp2015.12]])*t_Parts[[NetPPH]:[NetPPH]]</f>
        <v>899089.61538461538</v>
      </c>
      <c r="FJ48" s="58">
        <f>(t_Parts[[#This Row],[ha2015.FY]]-t_Parts[[#This Row],[hp2015.FY]])*t_Parts[[NetPPH]:[NetPPH]]</f>
        <v>9333636</v>
      </c>
      <c r="FK48" s="58">
        <f>(t_Parts[[#This Row],[ha2016.01]]-t_Parts[[#This Row],[hp2016.01]])*t_Parts[[NetPPH]:[NetPPH]]</f>
        <v>717159.69230769237</v>
      </c>
      <c r="FL48" s="58">
        <f>(t_Parts[[#This Row],[ha2016.02]]-t_Parts[[#This Row],[hp2016.02]])*t_Parts[[NetPPH]:[NetPPH]]</f>
        <v>717159.69230769237</v>
      </c>
      <c r="FM48" s="58">
        <f>(t_Parts[[#This Row],[ha2016.03]]-t_Parts[[#This Row],[hp2016.03]])*t_Parts[[NetPPH]:[NetPPH]]</f>
        <v>899089.61538461538</v>
      </c>
      <c r="FN48" s="58">
        <f>(t_Parts[[#This Row],[ha2016.04]]-t_Parts[[#This Row],[hp2016.04]])*t_Parts[[NetPPH]:[NetPPH]]</f>
        <v>717159.69230769237</v>
      </c>
      <c r="FO48" s="58">
        <f>(t_Parts[[#This Row],[ha2016.05]]-t_Parts[[#This Row],[hp2016.05]])*t_Parts[[NetPPH]:[NetPPH]]</f>
        <v>717159.69230769237</v>
      </c>
      <c r="FP48" s="58">
        <f>(t_Parts[[#This Row],[ha2016.06]]-t_Parts[[#This Row],[hp2016.06]])*t_Parts[[NetPPH]:[NetPPH]]</f>
        <v>899089.61538461538</v>
      </c>
      <c r="FQ48" s="58">
        <f>(t_Parts[[#This Row],[ha2016.07]]-t_Parts[[#This Row],[hp2016.07]])*t_Parts[[NetPPH]:[NetPPH]]</f>
        <v>717159.69230769237</v>
      </c>
      <c r="FR48" s="58">
        <f>(t_Parts[[#This Row],[ha2016.08]]-t_Parts[[#This Row],[hp2016.08]])*t_Parts[[NetPPH]:[NetPPH]]</f>
        <v>717159.69230769237</v>
      </c>
      <c r="FS48" s="58">
        <f>(t_Parts[[#This Row],[ha2016.09]]-t_Parts[[#This Row],[hp2016.09]])*t_Parts[[NetPPH]:[NetPPH]]</f>
        <v>899089.61538461538</v>
      </c>
      <c r="FT48" s="58">
        <f>(t_Parts[[#This Row],[ha2016.10]]-t_Parts[[#This Row],[hp2016.10]])*t_Parts[[NetPPH]:[NetPPH]]</f>
        <v>717159.69230769237</v>
      </c>
      <c r="FU48" s="58">
        <f>(t_Parts[[#This Row],[ha2016.11]]-t_Parts[[#This Row],[hp2016.11]])*t_Parts[[NetPPH]:[NetPPH]]</f>
        <v>717159.69230769237</v>
      </c>
      <c r="FV48" s="58">
        <f>(t_Parts[[#This Row],[ha2016.12]]-t_Parts[[#This Row],[hp2016.12]])*t_Parts[[NetPPH]:[NetPPH]]</f>
        <v>899089.61538461538</v>
      </c>
      <c r="FW48" s="58">
        <f>(t_Parts[[#This Row],[ha2016.FY]]-t_Parts[[#This Row],[hp2016.FY]])*t_Parts[[NetPPH]:[NetPPH]]</f>
        <v>9333636</v>
      </c>
      <c r="FX48" s="58">
        <f>(t_Parts[[#This Row],[ha2017]]-t_Parts[[#This Row],[hp2017]])*t_Parts[[NetPPH]:[NetPPH]]</f>
        <v>9333636</v>
      </c>
      <c r="FY48" s="58">
        <f>(t_Parts[[#This Row],[ha2018]]-t_Parts[[#This Row],[hp2018]])*t_Parts[[NetPPH]:[NetPPH]]</f>
        <v>9333636</v>
      </c>
      <c r="FZ48" s="58">
        <f>(t_Parts[[#This Row],[ha2019]]-t_Parts[[#This Row],[hp2019]])*t_Parts[[NetPPH]:[NetPPH]]</f>
        <v>9333636</v>
      </c>
    </row>
    <row r="49" spans="1:182" s="14" customFormat="1" x14ac:dyDescent="0.25">
      <c r="A49" s="74" t="s">
        <v>650</v>
      </c>
      <c r="B49" s="74"/>
      <c r="C49" s="74">
        <v>21002</v>
      </c>
      <c r="D49" s="75">
        <v>2</v>
      </c>
      <c r="E49" s="73">
        <v>2400</v>
      </c>
      <c r="F49" s="76">
        <v>1</v>
      </c>
      <c r="G49" s="77">
        <v>4</v>
      </c>
      <c r="H49" s="16">
        <v>2015.01</v>
      </c>
      <c r="I49" s="16" t="s">
        <v>83</v>
      </c>
      <c r="J49" s="73">
        <v>298488</v>
      </c>
      <c r="K49" s="73">
        <v>298488</v>
      </c>
      <c r="L49" s="73">
        <v>298488</v>
      </c>
      <c r="M49" s="73">
        <v>298488</v>
      </c>
      <c r="N49" s="73">
        <v>298488</v>
      </c>
      <c r="O49" s="78">
        <v>42</v>
      </c>
      <c r="P49" s="78">
        <v>50</v>
      </c>
      <c r="Q49" s="79">
        <v>23.914999999999999</v>
      </c>
      <c r="R49" s="79"/>
      <c r="S49" s="78">
        <v>410</v>
      </c>
      <c r="T49" s="80">
        <v>15</v>
      </c>
      <c r="U49" s="80" t="s">
        <v>121</v>
      </c>
      <c r="V49" s="81" t="s">
        <v>651</v>
      </c>
      <c r="W49" s="82">
        <v>1.25</v>
      </c>
      <c r="X49" s="82" t="s">
        <v>495</v>
      </c>
      <c r="Y49" s="82"/>
      <c r="Z49" s="82"/>
      <c r="AA49" s="82"/>
      <c r="AB49" s="82"/>
      <c r="AC49" s="83" t="s">
        <v>667</v>
      </c>
      <c r="AD49" s="40" t="str">
        <f>VLOOKUP(t_Parts[[#This Row],[Press]],t_Presses[],Press!B$1,FALSE)</f>
        <v>Plainfield</v>
      </c>
      <c r="AE49" s="40" t="str">
        <f>VLOOKUP(t_Parts[[#This Row],[Press]],t_Presses[],Press!E$1,FALSE)</f>
        <v>600-899</v>
      </c>
      <c r="AF49" s="47">
        <f>VLOOKUP(t_Parts[[#This Row],[Plant]],t_Plants[],Plants!C$1,FALSE)</f>
        <v>0.55000000000000004</v>
      </c>
      <c r="AG49" s="47">
        <f>VLOOKUP(t_Parts[[#This Row],[Press]],t_Presses[],Press!F$1,FALSE)</f>
        <v>0</v>
      </c>
      <c r="AH49" s="84"/>
      <c r="AI49" s="47">
        <f>IF(ISBLANK(t_Parts[[#This Row],[PartOEE]])=FALSE,t_Parts[[#This Row],[PartOEE]], IF(t_Parts[[#This Row],[PressOEE]]&gt;0, t_Parts[[#This Row],[PressOEE]], t_Parts[[#This Row],[PlantOEE]] ))</f>
        <v>0.55000000000000004</v>
      </c>
      <c r="AJ49" s="70">
        <f>t_Parts[[#This Row],[SetupsPerMo]]*t_Parts[[#This Row],[SetupHrs]]</f>
        <v>4</v>
      </c>
      <c r="AK49" s="39">
        <f>(t_Parts[[#This Row],[PartsPerStroke]]*t_Parts[[#This Row],[StrokesPerHr]])*t_Parts[[#This Row],[UseOEE]]</f>
        <v>2640</v>
      </c>
      <c r="AL4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22960.615384615387</v>
      </c>
      <c r="AM4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22960.615384615387</v>
      </c>
      <c r="AN4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28700.76923076923</v>
      </c>
      <c r="AO4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22960.615384615387</v>
      </c>
      <c r="AP4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22960.615384615387</v>
      </c>
      <c r="AQ4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28700.76923076923</v>
      </c>
      <c r="AR4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22960.615384615387</v>
      </c>
      <c r="AS4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22960.615384615387</v>
      </c>
      <c r="AT4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28700.76923076923</v>
      </c>
      <c r="AU4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22960.615384615387</v>
      </c>
      <c r="AV4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22960.615384615387</v>
      </c>
      <c r="AW4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28700.76923076923</v>
      </c>
      <c r="AX49" s="39">
        <f>SUM(t_Parts[[#This Row],[pv2015.01]:[pv2015.12]])</f>
        <v>298488</v>
      </c>
      <c r="AY4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22960.615384615387</v>
      </c>
      <c r="AZ4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22960.615384615387</v>
      </c>
      <c r="BA4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28700.76923076923</v>
      </c>
      <c r="BB4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22960.615384615387</v>
      </c>
      <c r="BC4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22960.615384615387</v>
      </c>
      <c r="BD4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28700.76923076923</v>
      </c>
      <c r="BE4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22960.615384615387</v>
      </c>
      <c r="BF4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22960.615384615387</v>
      </c>
      <c r="BG4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28700.76923076923</v>
      </c>
      <c r="BH4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22960.615384615387</v>
      </c>
      <c r="BI4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22960.615384615387</v>
      </c>
      <c r="BJ4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28700.76923076923</v>
      </c>
      <c r="BK49" s="39">
        <f>SUM(t_Parts[[#This Row],[pv2016.01]:[pv2016.12]])</f>
        <v>298488</v>
      </c>
      <c r="BL49" s="39">
        <f>t_Parts[[#This Row],[2017vol]]</f>
        <v>298488</v>
      </c>
      <c r="BM49" s="39">
        <f>t_Parts[[#This Row],[2018vol]]</f>
        <v>298488</v>
      </c>
      <c r="BN49" s="39">
        <f>t_Parts[[#This Row],[2019vol]]</f>
        <v>298488</v>
      </c>
      <c r="BO49" s="40">
        <f>VLOOKUP(t_Parts[[Plant]:[Plant]],t_Plants[],Plants!CN$1,FALSE)</f>
        <v>280</v>
      </c>
      <c r="BP49" s="14">
        <f>VLOOKUP(t_Parts[[Plant]:[Plant]],t_Plants[],Plants!CO$1,FALSE)</f>
        <v>280</v>
      </c>
      <c r="BQ49" s="14">
        <f>VLOOKUP(t_Parts[[Plant]:[Plant]],t_Plants[],Plants!CP$1,FALSE)</f>
        <v>350</v>
      </c>
      <c r="BR49" s="14">
        <f>VLOOKUP(t_Parts[[Plant]:[Plant]],t_Plants[],Plants!CQ$1,FALSE)</f>
        <v>280</v>
      </c>
      <c r="BS49" s="14">
        <f>VLOOKUP(t_Parts[[Plant]:[Plant]],t_Plants[],Plants!CR$1,FALSE)</f>
        <v>280</v>
      </c>
      <c r="BT49" s="14">
        <f>VLOOKUP(t_Parts[[Plant]:[Plant]],t_Plants[],Plants!CS$1,FALSE)</f>
        <v>350</v>
      </c>
      <c r="BU49" s="14">
        <f>VLOOKUP(t_Parts[[Plant]:[Plant]],t_Plants[],Plants!CT$1,FALSE)</f>
        <v>280</v>
      </c>
      <c r="BV49" s="14">
        <f>VLOOKUP(t_Parts[[Plant]:[Plant]],t_Plants[],Plants!CU$1,FALSE)</f>
        <v>280</v>
      </c>
      <c r="BW49" s="14">
        <f>VLOOKUP(t_Parts[[Plant]:[Plant]],t_Plants[],Plants!CV$1,FALSE)</f>
        <v>350</v>
      </c>
      <c r="BX49" s="14">
        <f>VLOOKUP(t_Parts[[Plant]:[Plant]],t_Plants[],Plants!CW$1,FALSE)</f>
        <v>280</v>
      </c>
      <c r="BY49" s="14">
        <f>VLOOKUP(t_Parts[[Plant]:[Plant]],t_Plants[],Plants!CX$1,FALSE)</f>
        <v>280</v>
      </c>
      <c r="BZ49" s="14">
        <f>VLOOKUP(t_Parts[[Plant]:[Plant]],t_Plants[],Plants!CY$1,FALSE)</f>
        <v>350</v>
      </c>
      <c r="CA49" s="40">
        <f>SUM(t_Parts[[#This Row],[ha2015.01]:[ha2015.12]])</f>
        <v>3640</v>
      </c>
      <c r="CB49" s="14">
        <f>VLOOKUP(t_Parts[[Plant]:[Plant]],t_Plants[],Plants!DA$1,FALSE)</f>
        <v>280</v>
      </c>
      <c r="CC49" s="14">
        <f>VLOOKUP(t_Parts[[Plant]:[Plant]],t_Plants[],Plants!DB$1,FALSE)</f>
        <v>280</v>
      </c>
      <c r="CD49" s="14">
        <f>VLOOKUP(t_Parts[[Plant]:[Plant]],t_Plants[],Plants!DC$1,FALSE)</f>
        <v>350</v>
      </c>
      <c r="CE49" s="14">
        <f>VLOOKUP(t_Parts[[Plant]:[Plant]],t_Plants[],Plants!DD$1,FALSE)</f>
        <v>280</v>
      </c>
      <c r="CF49" s="14">
        <f>VLOOKUP(t_Parts[[Plant]:[Plant]],t_Plants[],Plants!DE$1,FALSE)</f>
        <v>280</v>
      </c>
      <c r="CG49" s="14">
        <f>VLOOKUP(t_Parts[[Plant]:[Plant]],t_Plants[],Plants!DF$1,FALSE)</f>
        <v>350</v>
      </c>
      <c r="CH49" s="14">
        <f>VLOOKUP(t_Parts[[Plant]:[Plant]],t_Plants[],Plants!DG$1,FALSE)</f>
        <v>280</v>
      </c>
      <c r="CI49" s="14">
        <f>VLOOKUP(t_Parts[[Plant]:[Plant]],t_Plants[],Plants!DH$1,FALSE)</f>
        <v>280</v>
      </c>
      <c r="CJ49" s="14">
        <f>VLOOKUP(t_Parts[[Plant]:[Plant]],t_Plants[],Plants!DI$1,FALSE)</f>
        <v>350</v>
      </c>
      <c r="CK49" s="14">
        <f>VLOOKUP(t_Parts[[Plant]:[Plant]],t_Plants[],Plants!DJ$1,FALSE)</f>
        <v>280</v>
      </c>
      <c r="CL49" s="14">
        <f>VLOOKUP(t_Parts[[Plant]:[Plant]],t_Plants[],Plants!DK$1,FALSE)</f>
        <v>280</v>
      </c>
      <c r="CM49" s="14">
        <f>VLOOKUP(t_Parts[[Plant]:[Plant]],t_Plants[],Plants!DL$1,FALSE)</f>
        <v>350</v>
      </c>
      <c r="CN49" s="14">
        <f>VLOOKUP(t_Parts[[Plant]:[Plant]],t_Plants[],Plants!DM$1,FALSE)</f>
        <v>3640</v>
      </c>
      <c r="CO49" s="14">
        <f>VLOOKUP(t_Parts[[Plant]:[Plant]],t_Plants[],Plants!DN$1,FALSE)</f>
        <v>3640</v>
      </c>
      <c r="CP49" s="14">
        <f>VLOOKUP(t_Parts[[Plant]:[Plant]],t_Plants[],Plants!DO$1,FALSE)</f>
        <v>3640</v>
      </c>
      <c r="CQ49" s="14">
        <f>VLOOKUP(t_Parts[[Plant]:[Plant]],t_Plants[],Plants!DP$1,FALSE)</f>
        <v>3640</v>
      </c>
      <c r="CR49" s="39">
        <f>IF(AND(AL$3&gt;=VALUE(t_Parts[[SOP]:[SOP]]),AL$3&lt;=VALUE(t_Parts[[EOP]:[EOP]])), t_Parts[[SetupHrsPerMo]:[SetupHrsPerMo]]+(t_Parts[[#This Row],[pv2015.01]]/t_Parts[[NetPPH]:[NetPPH]]),0)</f>
        <v>12.697202797202799</v>
      </c>
      <c r="CS49" s="39">
        <f>IF(AND(AM$3&gt;=VALUE(t_Parts[[SOP]:[SOP]]),AM$3&lt;=VALUE(t_Parts[[EOP]:[EOP]])), t_Parts[[SetupHrsPerMo]:[SetupHrsPerMo]]+(t_Parts[[#This Row],[pv2015.02]]/t_Parts[[NetPPH]:[NetPPH]]),0)</f>
        <v>12.697202797202799</v>
      </c>
      <c r="CT49" s="39">
        <f>IF(AND(AN$3&gt;=VALUE(t_Parts[[SOP]:[SOP]]),AN$3&lt;=VALUE(t_Parts[[EOP]:[EOP]])), t_Parts[[SetupHrsPerMo]:[SetupHrsPerMo]]+(t_Parts[[#This Row],[pv2015.03]]/t_Parts[[NetPPH]:[NetPPH]]),0)</f>
        <v>14.871503496503497</v>
      </c>
      <c r="CU49" s="39">
        <f>IF(AND(AO$3&gt;=VALUE(t_Parts[[SOP]:[SOP]]),AO$3&lt;=VALUE(t_Parts[[EOP]:[EOP]])), t_Parts[[SetupHrsPerMo]:[SetupHrsPerMo]]+(t_Parts[[#This Row],[pv2015.04]]/t_Parts[[NetPPH]:[NetPPH]]),0)</f>
        <v>12.697202797202799</v>
      </c>
      <c r="CV49" s="39">
        <f>IF(AND(AP$3&gt;=VALUE(t_Parts[[SOP]:[SOP]]),AP$3&lt;=VALUE(t_Parts[[EOP]:[EOP]])), t_Parts[[SetupHrsPerMo]:[SetupHrsPerMo]]+(t_Parts[[#This Row],[pv2015.05]]/t_Parts[[NetPPH]:[NetPPH]]),0)</f>
        <v>12.697202797202799</v>
      </c>
      <c r="CW49" s="39">
        <f>IF(AND(AQ$3&gt;=VALUE(t_Parts[[SOP]:[SOP]]),AQ$3&lt;=VALUE(t_Parts[[EOP]:[EOP]])), t_Parts[[SetupHrsPerMo]:[SetupHrsPerMo]]+(t_Parts[[#This Row],[pv2015.06]]/t_Parts[[NetPPH]:[NetPPH]]),0)</f>
        <v>14.871503496503497</v>
      </c>
      <c r="CX49" s="39">
        <f>IF(AND(AR$3&gt;=VALUE(t_Parts[[SOP]:[SOP]]),AR$3&lt;=VALUE(t_Parts[[EOP]:[EOP]])), t_Parts[[SetupHrsPerMo]:[SetupHrsPerMo]]+(t_Parts[[#This Row],[pv2015.07]]/t_Parts[[NetPPH]:[NetPPH]]),0)</f>
        <v>12.697202797202799</v>
      </c>
      <c r="CY49" s="39">
        <f>IF(AND(AS$3&gt;=VALUE(t_Parts[[SOP]:[SOP]]),AS$3&lt;=VALUE(t_Parts[[EOP]:[EOP]])), t_Parts[[SetupHrsPerMo]:[SetupHrsPerMo]]+(t_Parts[[#This Row],[pv2015.08]]/t_Parts[[NetPPH]:[NetPPH]]),0)</f>
        <v>12.697202797202799</v>
      </c>
      <c r="CZ49" s="39">
        <f>IF(AND(AT$3&gt;=VALUE(t_Parts[[SOP]:[SOP]]),AT$3&lt;=VALUE(t_Parts[[EOP]:[EOP]])), t_Parts[[SetupHrsPerMo]:[SetupHrsPerMo]]+(t_Parts[[#This Row],[pv2015.09]]/t_Parts[[NetPPH]:[NetPPH]]),0)</f>
        <v>14.871503496503497</v>
      </c>
      <c r="DA49" s="39">
        <f>IF(AND(AU$3&gt;=VALUE(t_Parts[[SOP]:[SOP]]),AU$3&lt;=VALUE(t_Parts[[EOP]:[EOP]])), t_Parts[[SetupHrsPerMo]:[SetupHrsPerMo]]+(t_Parts[[#This Row],[pv2015.10]]/t_Parts[[NetPPH]:[NetPPH]]),0)</f>
        <v>12.697202797202799</v>
      </c>
      <c r="DB49" s="39">
        <f>IF(AND(AV$3&gt;=VALUE(t_Parts[[SOP]:[SOP]]),AV$3&lt;=VALUE(t_Parts[[EOP]:[EOP]])), t_Parts[[SetupHrsPerMo]:[SetupHrsPerMo]]+(t_Parts[[#This Row],[pv2015.11]]/t_Parts[[NetPPH]:[NetPPH]]),0)</f>
        <v>12.697202797202799</v>
      </c>
      <c r="DC49" s="39">
        <f>IF(AND(AW$3&gt;=VALUE(t_Parts[[SOP]:[SOP]]),AW$3&lt;=VALUE(t_Parts[[EOP]:[EOP]])), t_Parts[[SetupHrsPerMo]:[SetupHrsPerMo]]+(t_Parts[[#This Row],[pv2015.12]]/t_Parts[[NetPPH]:[NetPPH]]),0)</f>
        <v>14.871503496503497</v>
      </c>
      <c r="DD49" s="39">
        <f>SUM(t_Parts[[#This Row],[hp2015.01]:[hp2015.12]])</f>
        <v>161.06363636363639</v>
      </c>
      <c r="DE49" s="39">
        <f>IF(AND(AY$3&gt;=VALUE(t_Parts[[SOP]:[SOP]]),AY$3&lt;=VALUE(t_Parts[[EOP]:[EOP]])), t_Parts[[SetupHrsPerMo]:[SetupHrsPerMo]]+(t_Parts[[#This Row],[pv2016.01]]/t_Parts[[NetPPH]:[NetPPH]]),0)</f>
        <v>12.697202797202799</v>
      </c>
      <c r="DF49" s="39">
        <f>IF(AND(AZ$3&gt;=VALUE(t_Parts[[SOP]:[SOP]]),AZ$3&lt;=VALUE(t_Parts[[EOP]:[EOP]])), t_Parts[[SetupHrsPerMo]:[SetupHrsPerMo]]+(t_Parts[[#This Row],[pv2016.02]]/t_Parts[[NetPPH]:[NetPPH]]),0)</f>
        <v>12.697202797202799</v>
      </c>
      <c r="DG49" s="39">
        <f>IF(AND(BA$3&gt;=VALUE(t_Parts[[SOP]:[SOP]]),BA$3&lt;=VALUE(t_Parts[[EOP]:[EOP]])), t_Parts[[SetupHrsPerMo]:[SetupHrsPerMo]]+(t_Parts[[#This Row],[pv2016.03]]/t_Parts[[NetPPH]:[NetPPH]]),0)</f>
        <v>14.871503496503497</v>
      </c>
      <c r="DH49" s="39">
        <f>IF(AND(BB$3&gt;=VALUE(t_Parts[[SOP]:[SOP]]),BB$3&lt;=VALUE(t_Parts[[EOP]:[EOP]])), t_Parts[[SetupHrsPerMo]:[SetupHrsPerMo]]+(t_Parts[[#This Row],[pv2016.04]]/t_Parts[[NetPPH]:[NetPPH]]),0)</f>
        <v>12.697202797202799</v>
      </c>
      <c r="DI49" s="39">
        <f>IF(AND(BC$3&gt;=VALUE(t_Parts[[SOP]:[SOP]]),BC$3&lt;=VALUE(t_Parts[[EOP]:[EOP]])), t_Parts[[SetupHrsPerMo]:[SetupHrsPerMo]]+(t_Parts[[#This Row],[pv2016.05]]/t_Parts[[NetPPH]:[NetPPH]]),0)</f>
        <v>12.697202797202799</v>
      </c>
      <c r="DJ49" s="39">
        <f>IF(AND(BD$3&gt;=VALUE(t_Parts[[SOP]:[SOP]]),BD$3&lt;=VALUE(t_Parts[[EOP]:[EOP]])), t_Parts[[SetupHrsPerMo]:[SetupHrsPerMo]]+(t_Parts[[#This Row],[pv2016.06]]/t_Parts[[NetPPH]:[NetPPH]]),0)</f>
        <v>14.871503496503497</v>
      </c>
      <c r="DK49" s="39">
        <f>IF(AND(BE$3&gt;=VALUE(t_Parts[[SOP]:[SOP]]),BE$3&lt;=VALUE(t_Parts[[EOP]:[EOP]])), t_Parts[[SetupHrsPerMo]:[SetupHrsPerMo]]+(t_Parts[[#This Row],[pv2016.07]]/t_Parts[[NetPPH]:[NetPPH]]),0)</f>
        <v>12.697202797202799</v>
      </c>
      <c r="DL49" s="39">
        <f>IF(AND(BF$3&gt;=VALUE(t_Parts[[SOP]:[SOP]]),BF$3&lt;=VALUE(t_Parts[[EOP]:[EOP]])), t_Parts[[SetupHrsPerMo]:[SetupHrsPerMo]]+(t_Parts[[#This Row],[pv2016.08]]/t_Parts[[NetPPH]:[NetPPH]]),0)</f>
        <v>12.697202797202799</v>
      </c>
      <c r="DM49" s="39">
        <f>IF(AND(BG$3&gt;=VALUE(t_Parts[[SOP]:[SOP]]),BG$3&lt;=VALUE(t_Parts[[EOP]:[EOP]])), t_Parts[[SetupHrsPerMo]:[SetupHrsPerMo]]+(t_Parts[[#This Row],[pv2016.09]]/t_Parts[[NetPPH]:[NetPPH]]),0)</f>
        <v>14.871503496503497</v>
      </c>
      <c r="DN49" s="39">
        <f>IF(AND(BH$3&gt;=VALUE(t_Parts[[SOP]:[SOP]]),BH$3&lt;=VALUE(t_Parts[[EOP]:[EOP]])), t_Parts[[SetupHrsPerMo]:[SetupHrsPerMo]]+(t_Parts[[#This Row],[pv2016.10]]/t_Parts[[NetPPH]:[NetPPH]]),0)</f>
        <v>12.697202797202799</v>
      </c>
      <c r="DO49" s="39">
        <f>IF(AND(BI$3&gt;=VALUE(t_Parts[[SOP]:[SOP]]),BI$3&lt;=VALUE(t_Parts[[EOP]:[EOP]])), t_Parts[[SetupHrsPerMo]:[SetupHrsPerMo]]+(t_Parts[[#This Row],[pv2016.11]]/t_Parts[[NetPPH]:[NetPPH]]),0)</f>
        <v>12.697202797202799</v>
      </c>
      <c r="DP49" s="39">
        <f>IF(AND(BJ$3&gt;=VALUE(t_Parts[[SOP]:[SOP]]),BJ$3&lt;=VALUE(t_Parts[[EOP]:[EOP]])), t_Parts[[SetupHrsPerMo]:[SetupHrsPerMo]]+(t_Parts[[#This Row],[pv2016.12]]/t_Parts[[NetPPH]:[NetPPH]]),0)</f>
        <v>14.871503496503497</v>
      </c>
      <c r="DQ49" s="39">
        <f>SUM(t_Parts[[#This Row],[hp2016.01]:[hp2016.12]])</f>
        <v>161.06363636363639</v>
      </c>
      <c r="DR49" s="39">
        <f>IF(AND(BL$3&gt;=VALUE(t_Parts[[SOP]:[SOP]]),BL$3&lt;=VALUE(t_Parts[[EOP]:[EOP]])), 12*t_Parts[[SetupHrsPerMo]:[SetupHrsPerMo]]+(t_Parts[[#This Row],[pv2017]]/t_Parts[[NetPPH]:[NetPPH]]),0)</f>
        <v>161.06363636363636</v>
      </c>
      <c r="DS49" s="39">
        <f>IF(AND(BM$3&gt;=VALUE(t_Parts[[SOP]:[SOP]]),BM$3&lt;=VALUE(t_Parts[[EOP]:[EOP]])), 12*t_Parts[[SetupHrsPerMo]:[SetupHrsPerMo]]+(t_Parts[[#This Row],[pv2018]]/t_Parts[[NetPPH]:[NetPPH]]),0)</f>
        <v>161.06363636363636</v>
      </c>
      <c r="DT49" s="39">
        <f>IF(AND(BN$3&gt;=VALUE(t_Parts[[SOP]:[SOP]]),BN$3&lt;=VALUE(t_Parts[[EOP]:[EOP]])), 12*t_Parts[[SetupHrsPerMo]:[SetupHrsPerMo]]+(t_Parts[[#This Row],[pv2019]]/t_Parts[[NetPPH]:[NetPPH]]),0)</f>
        <v>161.06363636363636</v>
      </c>
      <c r="DU49" s="47">
        <f>t_Parts[[#This Row],[hp2015.01]]/t_Parts[[#This Row],[ha2015.01]]</f>
        <v>4.534715284715285E-2</v>
      </c>
      <c r="DV49" s="47">
        <f>t_Parts[[#This Row],[hp2015.02]]/t_Parts[[#This Row],[ha2015.02]]</f>
        <v>4.534715284715285E-2</v>
      </c>
      <c r="DW49" s="47">
        <f>t_Parts[[#This Row],[hp2015.03]]/t_Parts[[#This Row],[ha2015.03]]</f>
        <v>4.2490009990009993E-2</v>
      </c>
      <c r="DX49" s="47">
        <f>t_Parts[[#This Row],[hp2015.04]]/t_Parts[[#This Row],[ha2015.04]]</f>
        <v>4.534715284715285E-2</v>
      </c>
      <c r="DY49" s="47">
        <f>t_Parts[[#This Row],[hp2015.05]]/t_Parts[[#This Row],[ha2015.05]]</f>
        <v>4.534715284715285E-2</v>
      </c>
      <c r="DZ49" s="47">
        <f>t_Parts[[#This Row],[hp2015.06]]/t_Parts[[#This Row],[ha2015.06]]</f>
        <v>4.2490009990009993E-2</v>
      </c>
      <c r="EA49" s="47">
        <f>t_Parts[[#This Row],[hp2015.07]]/t_Parts[[#This Row],[ha2015.07]]</f>
        <v>4.534715284715285E-2</v>
      </c>
      <c r="EB49" s="47">
        <f>t_Parts[[#This Row],[hp2015.08]]/t_Parts[[#This Row],[ha2015.08]]</f>
        <v>4.534715284715285E-2</v>
      </c>
      <c r="EC49" s="47">
        <f>t_Parts[[#This Row],[hp2015.09]]/t_Parts[[#This Row],[ha2015.09]]</f>
        <v>4.2490009990009993E-2</v>
      </c>
      <c r="ED49" s="47">
        <f>t_Parts[[#This Row],[hp2015.10]]/t_Parts[[#This Row],[ha2015.10]]</f>
        <v>4.534715284715285E-2</v>
      </c>
      <c r="EE49" s="47">
        <f>t_Parts[[#This Row],[hp2015.11]]/t_Parts[[#This Row],[ha2015.11]]</f>
        <v>4.534715284715285E-2</v>
      </c>
      <c r="EF49" s="47">
        <f>t_Parts[[#This Row],[hp2015.12]]/t_Parts[[#This Row],[ha2015.12]]</f>
        <v>4.2490009990009993E-2</v>
      </c>
      <c r="EG49" s="47">
        <f>t_Parts[[#This Row],[hp2015.FY]]/t_Parts[[#This Row],[ha2015.FY]]</f>
        <v>4.4248251748251755E-2</v>
      </c>
      <c r="EH49" s="47">
        <f>t_Parts[[#This Row],[hp2016.01]]/t_Parts[[#This Row],[ha2016.01]]</f>
        <v>4.534715284715285E-2</v>
      </c>
      <c r="EI49" s="47">
        <f>t_Parts[[#This Row],[hp2016.02]]/t_Parts[[#This Row],[ha2016.02]]</f>
        <v>4.534715284715285E-2</v>
      </c>
      <c r="EJ49" s="47">
        <f>t_Parts[[#This Row],[hp2016.03]]/t_Parts[[#This Row],[ha2016.03]]</f>
        <v>4.2490009990009993E-2</v>
      </c>
      <c r="EK49" s="47">
        <f>t_Parts[[#This Row],[hp2016.04]]/t_Parts[[#This Row],[ha2016.04]]</f>
        <v>4.534715284715285E-2</v>
      </c>
      <c r="EL49" s="47">
        <f>t_Parts[[#This Row],[hp2016.05]]/t_Parts[[#This Row],[ha2016.05]]</f>
        <v>4.534715284715285E-2</v>
      </c>
      <c r="EM49" s="47">
        <f>t_Parts[[#This Row],[hp2016.06]]/t_Parts[[#This Row],[ha2016.06]]</f>
        <v>4.2490009990009993E-2</v>
      </c>
      <c r="EN49" s="47">
        <f>t_Parts[[#This Row],[hp2016.07]]/t_Parts[[#This Row],[ha2016.07]]</f>
        <v>4.534715284715285E-2</v>
      </c>
      <c r="EO49" s="47">
        <f>t_Parts[[#This Row],[hp2016.08]]/t_Parts[[#This Row],[ha2016.08]]</f>
        <v>4.534715284715285E-2</v>
      </c>
      <c r="EP49" s="47">
        <f>t_Parts[[#This Row],[hp2016.09]]/t_Parts[[#This Row],[ha2016.09]]</f>
        <v>4.2490009990009993E-2</v>
      </c>
      <c r="EQ49" s="47">
        <f>t_Parts[[#This Row],[hp2016.10]]/t_Parts[[#This Row],[ha2016.10]]</f>
        <v>4.534715284715285E-2</v>
      </c>
      <c r="ER49" s="47">
        <f>t_Parts[[#This Row],[hp2016.11]]/t_Parts[[#This Row],[ha2016.11]]</f>
        <v>4.534715284715285E-2</v>
      </c>
      <c r="ES49" s="47">
        <f>t_Parts[[#This Row],[hp2016.12]]/t_Parts[[#This Row],[ha2016.12]]</f>
        <v>4.2490009990009993E-2</v>
      </c>
      <c r="ET49" s="47">
        <f>t_Parts[[#This Row],[hp2016.FY]]/t_Parts[[#This Row],[ha2016.FY]]</f>
        <v>4.4248251748251755E-2</v>
      </c>
      <c r="EU49" s="47">
        <f>t_Parts[[#This Row],[hp2017]]/t_Parts[[#This Row],[ha2017]]</f>
        <v>4.4248251748251748E-2</v>
      </c>
      <c r="EV49" s="47">
        <f>t_Parts[[#This Row],[hp2018]]/t_Parts[[#This Row],[ha2018]]</f>
        <v>4.4248251748251748E-2</v>
      </c>
      <c r="EW49" s="47">
        <f>t_Parts[[#This Row],[hp2019]]/t_Parts[[#This Row],[hp2015.01]]</f>
        <v>12.684969984028196</v>
      </c>
      <c r="EX49" s="58">
        <f>(t_Parts[[#This Row],[ha2015.01]]-t_Parts[[#This Row],[hp2015.01]])*t_Parts[[NetPPH]:[NetPPH]]</f>
        <v>705679.38461538462</v>
      </c>
      <c r="EY49" s="58">
        <f>(t_Parts[[#This Row],[ha2015.02]]-t_Parts[[#This Row],[hp2015.02]])*t_Parts[[NetPPH]:[NetPPH]]</f>
        <v>705679.38461538462</v>
      </c>
      <c r="EZ49" s="58">
        <f>(t_Parts[[#This Row],[ha2015.03]]-t_Parts[[#This Row],[hp2015.03]])*t_Parts[[NetPPH]:[NetPPH]]</f>
        <v>884739.23076923075</v>
      </c>
      <c r="FA49" s="58">
        <f>(t_Parts[[#This Row],[ha2015.04]]-t_Parts[[#This Row],[hp2015.04]])*t_Parts[[NetPPH]:[NetPPH]]</f>
        <v>705679.38461538462</v>
      </c>
      <c r="FB49" s="58">
        <f>(t_Parts[[#This Row],[ha2015.05]]-t_Parts[[#This Row],[hp2015.05]])*t_Parts[[NetPPH]:[NetPPH]]</f>
        <v>705679.38461538462</v>
      </c>
      <c r="FC49" s="58">
        <f>(t_Parts[[#This Row],[ha2015.06]]-t_Parts[[#This Row],[hp2015.06]])*t_Parts[[NetPPH]:[NetPPH]]</f>
        <v>884739.23076923075</v>
      </c>
      <c r="FD49" s="58">
        <f>(t_Parts[[#This Row],[ha2015.07]]-t_Parts[[#This Row],[hp2015.07]])*t_Parts[[NetPPH]:[NetPPH]]</f>
        <v>705679.38461538462</v>
      </c>
      <c r="FE49" s="58">
        <f>(t_Parts[[#This Row],[ha2015.08]]-t_Parts[[#This Row],[hp2015.08]])*t_Parts[[NetPPH]:[NetPPH]]</f>
        <v>705679.38461538462</v>
      </c>
      <c r="FF49" s="58">
        <f>(t_Parts[[#This Row],[ha2015.09]]-t_Parts[[#This Row],[hp2015.09]])*t_Parts[[NetPPH]:[NetPPH]]</f>
        <v>884739.23076923075</v>
      </c>
      <c r="FG49" s="58">
        <f>(t_Parts[[#This Row],[ha2015.10]]-t_Parts[[#This Row],[hp2015.10]])*t_Parts[[NetPPH]:[NetPPH]]</f>
        <v>705679.38461538462</v>
      </c>
      <c r="FH49" s="58">
        <f>(t_Parts[[#This Row],[ha2015.11]]-t_Parts[[#This Row],[hp2015.11]])*t_Parts[[NetPPH]:[NetPPH]]</f>
        <v>705679.38461538462</v>
      </c>
      <c r="FI49" s="58">
        <f>(t_Parts[[#This Row],[ha2015.12]]-t_Parts[[#This Row],[hp2015.12]])*t_Parts[[NetPPH]:[NetPPH]]</f>
        <v>884739.23076923075</v>
      </c>
      <c r="FJ49" s="58">
        <f>(t_Parts[[#This Row],[ha2015.FY]]-t_Parts[[#This Row],[hp2015.FY]])*t_Parts[[NetPPH]:[NetPPH]]</f>
        <v>9184392</v>
      </c>
      <c r="FK49" s="58">
        <f>(t_Parts[[#This Row],[ha2016.01]]-t_Parts[[#This Row],[hp2016.01]])*t_Parts[[NetPPH]:[NetPPH]]</f>
        <v>705679.38461538462</v>
      </c>
      <c r="FL49" s="58">
        <f>(t_Parts[[#This Row],[ha2016.02]]-t_Parts[[#This Row],[hp2016.02]])*t_Parts[[NetPPH]:[NetPPH]]</f>
        <v>705679.38461538462</v>
      </c>
      <c r="FM49" s="58">
        <f>(t_Parts[[#This Row],[ha2016.03]]-t_Parts[[#This Row],[hp2016.03]])*t_Parts[[NetPPH]:[NetPPH]]</f>
        <v>884739.23076923075</v>
      </c>
      <c r="FN49" s="58">
        <f>(t_Parts[[#This Row],[ha2016.04]]-t_Parts[[#This Row],[hp2016.04]])*t_Parts[[NetPPH]:[NetPPH]]</f>
        <v>705679.38461538462</v>
      </c>
      <c r="FO49" s="58">
        <f>(t_Parts[[#This Row],[ha2016.05]]-t_Parts[[#This Row],[hp2016.05]])*t_Parts[[NetPPH]:[NetPPH]]</f>
        <v>705679.38461538462</v>
      </c>
      <c r="FP49" s="58">
        <f>(t_Parts[[#This Row],[ha2016.06]]-t_Parts[[#This Row],[hp2016.06]])*t_Parts[[NetPPH]:[NetPPH]]</f>
        <v>884739.23076923075</v>
      </c>
      <c r="FQ49" s="58">
        <f>(t_Parts[[#This Row],[ha2016.07]]-t_Parts[[#This Row],[hp2016.07]])*t_Parts[[NetPPH]:[NetPPH]]</f>
        <v>705679.38461538462</v>
      </c>
      <c r="FR49" s="58">
        <f>(t_Parts[[#This Row],[ha2016.08]]-t_Parts[[#This Row],[hp2016.08]])*t_Parts[[NetPPH]:[NetPPH]]</f>
        <v>705679.38461538462</v>
      </c>
      <c r="FS49" s="58">
        <f>(t_Parts[[#This Row],[ha2016.09]]-t_Parts[[#This Row],[hp2016.09]])*t_Parts[[NetPPH]:[NetPPH]]</f>
        <v>884739.23076923075</v>
      </c>
      <c r="FT49" s="58">
        <f>(t_Parts[[#This Row],[ha2016.10]]-t_Parts[[#This Row],[hp2016.10]])*t_Parts[[NetPPH]:[NetPPH]]</f>
        <v>705679.38461538462</v>
      </c>
      <c r="FU49" s="58">
        <f>(t_Parts[[#This Row],[ha2016.11]]-t_Parts[[#This Row],[hp2016.11]])*t_Parts[[NetPPH]:[NetPPH]]</f>
        <v>705679.38461538462</v>
      </c>
      <c r="FV49" s="58">
        <f>(t_Parts[[#This Row],[ha2016.12]]-t_Parts[[#This Row],[hp2016.12]])*t_Parts[[NetPPH]:[NetPPH]]</f>
        <v>884739.23076923075</v>
      </c>
      <c r="FW49" s="58">
        <f>(t_Parts[[#This Row],[ha2016.FY]]-t_Parts[[#This Row],[hp2016.FY]])*t_Parts[[NetPPH]:[NetPPH]]</f>
        <v>9184392</v>
      </c>
      <c r="FX49" s="58">
        <f>(t_Parts[[#This Row],[ha2017]]-t_Parts[[#This Row],[hp2017]])*t_Parts[[NetPPH]:[NetPPH]]</f>
        <v>9184392</v>
      </c>
      <c r="FY49" s="58">
        <f>(t_Parts[[#This Row],[ha2018]]-t_Parts[[#This Row],[hp2018]])*t_Parts[[NetPPH]:[NetPPH]]</f>
        <v>9184392</v>
      </c>
      <c r="FZ49" s="58">
        <f>(t_Parts[[#This Row],[ha2019]]-t_Parts[[#This Row],[hp2019]])*t_Parts[[NetPPH]:[NetPPH]]</f>
        <v>9184392</v>
      </c>
    </row>
    <row r="50" spans="1:182" s="14" customFormat="1" x14ac:dyDescent="0.25">
      <c r="A50" s="74" t="s">
        <v>614</v>
      </c>
      <c r="B50" s="74"/>
      <c r="C50" s="74">
        <v>21002</v>
      </c>
      <c r="D50" s="75">
        <v>1</v>
      </c>
      <c r="E50" s="73">
        <v>1800</v>
      </c>
      <c r="F50" s="76">
        <v>1</v>
      </c>
      <c r="G50" s="77">
        <v>4</v>
      </c>
      <c r="H50" s="16">
        <v>2015.01</v>
      </c>
      <c r="I50" s="16" t="s">
        <v>83</v>
      </c>
      <c r="J50" s="73">
        <v>149244</v>
      </c>
      <c r="K50" s="73">
        <v>149244</v>
      </c>
      <c r="L50" s="73">
        <v>149244</v>
      </c>
      <c r="M50" s="73">
        <v>149244</v>
      </c>
      <c r="N50" s="73">
        <v>149244</v>
      </c>
      <c r="O50" s="78" t="s">
        <v>615</v>
      </c>
      <c r="P50" s="78">
        <v>90</v>
      </c>
      <c r="Q50" s="79">
        <v>22.454999999999998</v>
      </c>
      <c r="R50" s="79"/>
      <c r="S50" s="78">
        <v>285</v>
      </c>
      <c r="T50" s="80">
        <v>14</v>
      </c>
      <c r="U50" s="80" t="s">
        <v>121</v>
      </c>
      <c r="V50" s="81" t="s">
        <v>616</v>
      </c>
      <c r="W50" s="82">
        <v>1.31</v>
      </c>
      <c r="X50" s="82" t="s">
        <v>495</v>
      </c>
      <c r="Y50" s="82"/>
      <c r="Z50" s="82"/>
      <c r="AA50" s="82"/>
      <c r="AB50" s="82"/>
      <c r="AC50" s="83" t="s">
        <v>667</v>
      </c>
      <c r="AD50" s="40" t="str">
        <f>VLOOKUP(t_Parts[[#This Row],[Press]],t_Presses[],Press!B$1,FALSE)</f>
        <v>Plainfield</v>
      </c>
      <c r="AE50" s="40" t="str">
        <f>VLOOKUP(t_Parts[[#This Row],[Press]],t_Presses[],Press!E$1,FALSE)</f>
        <v>600-899</v>
      </c>
      <c r="AF50" s="47">
        <f>VLOOKUP(t_Parts[[#This Row],[Plant]],t_Plants[],Plants!C$1,FALSE)</f>
        <v>0.55000000000000004</v>
      </c>
      <c r="AG50" s="47">
        <f>VLOOKUP(t_Parts[[#This Row],[Press]],t_Presses[],Press!F$1,FALSE)</f>
        <v>0</v>
      </c>
      <c r="AH50" s="84"/>
      <c r="AI50" s="47">
        <f>IF(ISBLANK(t_Parts[[#This Row],[PartOEE]])=FALSE,t_Parts[[#This Row],[PartOEE]], IF(t_Parts[[#This Row],[PressOEE]]&gt;0, t_Parts[[#This Row],[PressOEE]], t_Parts[[#This Row],[PlantOEE]] ))</f>
        <v>0.55000000000000004</v>
      </c>
      <c r="AJ50" s="70">
        <f>t_Parts[[#This Row],[SetupsPerMo]]*t_Parts[[#This Row],[SetupHrs]]</f>
        <v>4</v>
      </c>
      <c r="AK50" s="39">
        <f>(t_Parts[[#This Row],[PartsPerStroke]]*t_Parts[[#This Row],[StrokesPerHr]])*t_Parts[[#This Row],[UseOEE]]</f>
        <v>990.00000000000011</v>
      </c>
      <c r="AL5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11480.307692307693</v>
      </c>
      <c r="AM5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11480.307692307693</v>
      </c>
      <c r="AN5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5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11480.307692307693</v>
      </c>
      <c r="AP5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11480.307692307693</v>
      </c>
      <c r="AQ5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5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11480.307692307693</v>
      </c>
      <c r="AS5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11480.307692307693</v>
      </c>
      <c r="AT5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5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11480.307692307693</v>
      </c>
      <c r="AV5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11480.307692307693</v>
      </c>
      <c r="AW5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50" s="39">
        <f>SUM(t_Parts[[#This Row],[pv2015.01]:[pv2015.12]])</f>
        <v>149244</v>
      </c>
      <c r="AY5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5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5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5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5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5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5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5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5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5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5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5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50" s="39">
        <f>SUM(t_Parts[[#This Row],[pv2016.01]:[pv2016.12]])</f>
        <v>149244</v>
      </c>
      <c r="BL50" s="39">
        <f>t_Parts[[#This Row],[2017vol]]</f>
        <v>149244</v>
      </c>
      <c r="BM50" s="39">
        <f>t_Parts[[#This Row],[2018vol]]</f>
        <v>149244</v>
      </c>
      <c r="BN50" s="39">
        <f>t_Parts[[#This Row],[2019vol]]</f>
        <v>149244</v>
      </c>
      <c r="BO50" s="40">
        <f>VLOOKUP(t_Parts[[Plant]:[Plant]],t_Plants[],Plants!CN$1,FALSE)</f>
        <v>280</v>
      </c>
      <c r="BP50" s="14">
        <f>VLOOKUP(t_Parts[[Plant]:[Plant]],t_Plants[],Plants!CO$1,FALSE)</f>
        <v>280</v>
      </c>
      <c r="BQ50" s="14">
        <f>VLOOKUP(t_Parts[[Plant]:[Plant]],t_Plants[],Plants!CP$1,FALSE)</f>
        <v>350</v>
      </c>
      <c r="BR50" s="14">
        <f>VLOOKUP(t_Parts[[Plant]:[Plant]],t_Plants[],Plants!CQ$1,FALSE)</f>
        <v>280</v>
      </c>
      <c r="BS50" s="14">
        <f>VLOOKUP(t_Parts[[Plant]:[Plant]],t_Plants[],Plants!CR$1,FALSE)</f>
        <v>280</v>
      </c>
      <c r="BT50" s="14">
        <f>VLOOKUP(t_Parts[[Plant]:[Plant]],t_Plants[],Plants!CS$1,FALSE)</f>
        <v>350</v>
      </c>
      <c r="BU50" s="14">
        <f>VLOOKUP(t_Parts[[Plant]:[Plant]],t_Plants[],Plants!CT$1,FALSE)</f>
        <v>280</v>
      </c>
      <c r="BV50" s="14">
        <f>VLOOKUP(t_Parts[[Plant]:[Plant]],t_Plants[],Plants!CU$1,FALSE)</f>
        <v>280</v>
      </c>
      <c r="BW50" s="14">
        <f>VLOOKUP(t_Parts[[Plant]:[Plant]],t_Plants[],Plants!CV$1,FALSE)</f>
        <v>350</v>
      </c>
      <c r="BX50" s="14">
        <f>VLOOKUP(t_Parts[[Plant]:[Plant]],t_Plants[],Plants!CW$1,FALSE)</f>
        <v>280</v>
      </c>
      <c r="BY50" s="14">
        <f>VLOOKUP(t_Parts[[Plant]:[Plant]],t_Plants[],Plants!CX$1,FALSE)</f>
        <v>280</v>
      </c>
      <c r="BZ50" s="14">
        <f>VLOOKUP(t_Parts[[Plant]:[Plant]],t_Plants[],Plants!CY$1,FALSE)</f>
        <v>350</v>
      </c>
      <c r="CA50" s="40">
        <f>SUM(t_Parts[[#This Row],[ha2015.01]:[ha2015.12]])</f>
        <v>3640</v>
      </c>
      <c r="CB50" s="14">
        <f>VLOOKUP(t_Parts[[Plant]:[Plant]],t_Plants[],Plants!DA$1,FALSE)</f>
        <v>280</v>
      </c>
      <c r="CC50" s="14">
        <f>VLOOKUP(t_Parts[[Plant]:[Plant]],t_Plants[],Plants!DB$1,FALSE)</f>
        <v>280</v>
      </c>
      <c r="CD50" s="14">
        <f>VLOOKUP(t_Parts[[Plant]:[Plant]],t_Plants[],Plants!DC$1,FALSE)</f>
        <v>350</v>
      </c>
      <c r="CE50" s="14">
        <f>VLOOKUP(t_Parts[[Plant]:[Plant]],t_Plants[],Plants!DD$1,FALSE)</f>
        <v>280</v>
      </c>
      <c r="CF50" s="14">
        <f>VLOOKUP(t_Parts[[Plant]:[Plant]],t_Plants[],Plants!DE$1,FALSE)</f>
        <v>280</v>
      </c>
      <c r="CG50" s="14">
        <f>VLOOKUP(t_Parts[[Plant]:[Plant]],t_Plants[],Plants!DF$1,FALSE)</f>
        <v>350</v>
      </c>
      <c r="CH50" s="14">
        <f>VLOOKUP(t_Parts[[Plant]:[Plant]],t_Plants[],Plants!DG$1,FALSE)</f>
        <v>280</v>
      </c>
      <c r="CI50" s="14">
        <f>VLOOKUP(t_Parts[[Plant]:[Plant]],t_Plants[],Plants!DH$1,FALSE)</f>
        <v>280</v>
      </c>
      <c r="CJ50" s="14">
        <f>VLOOKUP(t_Parts[[Plant]:[Plant]],t_Plants[],Plants!DI$1,FALSE)</f>
        <v>350</v>
      </c>
      <c r="CK50" s="14">
        <f>VLOOKUP(t_Parts[[Plant]:[Plant]],t_Plants[],Plants!DJ$1,FALSE)</f>
        <v>280</v>
      </c>
      <c r="CL50" s="14">
        <f>VLOOKUP(t_Parts[[Plant]:[Plant]],t_Plants[],Plants!DK$1,FALSE)</f>
        <v>280</v>
      </c>
      <c r="CM50" s="14">
        <f>VLOOKUP(t_Parts[[Plant]:[Plant]],t_Plants[],Plants!DL$1,FALSE)</f>
        <v>350</v>
      </c>
      <c r="CN50" s="14">
        <f>VLOOKUP(t_Parts[[Plant]:[Plant]],t_Plants[],Plants!DM$1,FALSE)</f>
        <v>3640</v>
      </c>
      <c r="CO50" s="14">
        <f>VLOOKUP(t_Parts[[Plant]:[Plant]],t_Plants[],Plants!DN$1,FALSE)</f>
        <v>3640</v>
      </c>
      <c r="CP50" s="14">
        <f>VLOOKUP(t_Parts[[Plant]:[Plant]],t_Plants[],Plants!DO$1,FALSE)</f>
        <v>3640</v>
      </c>
      <c r="CQ50" s="14">
        <f>VLOOKUP(t_Parts[[Plant]:[Plant]],t_Plants[],Plants!DP$1,FALSE)</f>
        <v>3640</v>
      </c>
      <c r="CR50" s="39">
        <f>IF(AND(AL$3&gt;=VALUE(t_Parts[[SOP]:[SOP]]),AL$3&lt;=VALUE(t_Parts[[EOP]:[EOP]])), t_Parts[[SetupHrsPerMo]:[SetupHrsPerMo]]+(t_Parts[[#This Row],[pv2015.01]]/t_Parts[[NetPPH]:[NetPPH]]),0)</f>
        <v>15.596270396270397</v>
      </c>
      <c r="CS50" s="39">
        <f>IF(AND(AM$3&gt;=VALUE(t_Parts[[SOP]:[SOP]]),AM$3&lt;=VALUE(t_Parts[[EOP]:[EOP]])), t_Parts[[SetupHrsPerMo]:[SetupHrsPerMo]]+(t_Parts[[#This Row],[pv2015.02]]/t_Parts[[NetPPH]:[NetPPH]]),0)</f>
        <v>15.596270396270397</v>
      </c>
      <c r="CT50" s="39">
        <f>IF(AND(AN$3&gt;=VALUE(t_Parts[[SOP]:[SOP]]),AN$3&lt;=VALUE(t_Parts[[EOP]:[EOP]])), t_Parts[[SetupHrsPerMo]:[SetupHrsPerMo]]+(t_Parts[[#This Row],[pv2015.03]]/t_Parts[[NetPPH]:[NetPPH]]),0)</f>
        <v>18.495337995337994</v>
      </c>
      <c r="CU50" s="39">
        <f>IF(AND(AO$3&gt;=VALUE(t_Parts[[SOP]:[SOP]]),AO$3&lt;=VALUE(t_Parts[[EOP]:[EOP]])), t_Parts[[SetupHrsPerMo]:[SetupHrsPerMo]]+(t_Parts[[#This Row],[pv2015.04]]/t_Parts[[NetPPH]:[NetPPH]]),0)</f>
        <v>15.596270396270397</v>
      </c>
      <c r="CV50" s="39">
        <f>IF(AND(AP$3&gt;=VALUE(t_Parts[[SOP]:[SOP]]),AP$3&lt;=VALUE(t_Parts[[EOP]:[EOP]])), t_Parts[[SetupHrsPerMo]:[SetupHrsPerMo]]+(t_Parts[[#This Row],[pv2015.05]]/t_Parts[[NetPPH]:[NetPPH]]),0)</f>
        <v>15.596270396270397</v>
      </c>
      <c r="CW50" s="39">
        <f>IF(AND(AQ$3&gt;=VALUE(t_Parts[[SOP]:[SOP]]),AQ$3&lt;=VALUE(t_Parts[[EOP]:[EOP]])), t_Parts[[SetupHrsPerMo]:[SetupHrsPerMo]]+(t_Parts[[#This Row],[pv2015.06]]/t_Parts[[NetPPH]:[NetPPH]]),0)</f>
        <v>18.495337995337994</v>
      </c>
      <c r="CX50" s="39">
        <f>IF(AND(AR$3&gt;=VALUE(t_Parts[[SOP]:[SOP]]),AR$3&lt;=VALUE(t_Parts[[EOP]:[EOP]])), t_Parts[[SetupHrsPerMo]:[SetupHrsPerMo]]+(t_Parts[[#This Row],[pv2015.07]]/t_Parts[[NetPPH]:[NetPPH]]),0)</f>
        <v>15.596270396270397</v>
      </c>
      <c r="CY50" s="39">
        <f>IF(AND(AS$3&gt;=VALUE(t_Parts[[SOP]:[SOP]]),AS$3&lt;=VALUE(t_Parts[[EOP]:[EOP]])), t_Parts[[SetupHrsPerMo]:[SetupHrsPerMo]]+(t_Parts[[#This Row],[pv2015.08]]/t_Parts[[NetPPH]:[NetPPH]]),0)</f>
        <v>15.596270396270397</v>
      </c>
      <c r="CZ50" s="39">
        <f>IF(AND(AT$3&gt;=VALUE(t_Parts[[SOP]:[SOP]]),AT$3&lt;=VALUE(t_Parts[[EOP]:[EOP]])), t_Parts[[SetupHrsPerMo]:[SetupHrsPerMo]]+(t_Parts[[#This Row],[pv2015.09]]/t_Parts[[NetPPH]:[NetPPH]]),0)</f>
        <v>18.495337995337994</v>
      </c>
      <c r="DA50" s="39">
        <f>IF(AND(AU$3&gt;=VALUE(t_Parts[[SOP]:[SOP]]),AU$3&lt;=VALUE(t_Parts[[EOP]:[EOP]])), t_Parts[[SetupHrsPerMo]:[SetupHrsPerMo]]+(t_Parts[[#This Row],[pv2015.10]]/t_Parts[[NetPPH]:[NetPPH]]),0)</f>
        <v>15.596270396270397</v>
      </c>
      <c r="DB50" s="39">
        <f>IF(AND(AV$3&gt;=VALUE(t_Parts[[SOP]:[SOP]]),AV$3&lt;=VALUE(t_Parts[[EOP]:[EOP]])), t_Parts[[SetupHrsPerMo]:[SetupHrsPerMo]]+(t_Parts[[#This Row],[pv2015.11]]/t_Parts[[NetPPH]:[NetPPH]]),0)</f>
        <v>15.596270396270397</v>
      </c>
      <c r="DC50" s="39">
        <f>IF(AND(AW$3&gt;=VALUE(t_Parts[[SOP]:[SOP]]),AW$3&lt;=VALUE(t_Parts[[EOP]:[EOP]])), t_Parts[[SetupHrsPerMo]:[SetupHrsPerMo]]+(t_Parts[[#This Row],[pv2015.12]]/t_Parts[[NetPPH]:[NetPPH]]),0)</f>
        <v>18.495337995337994</v>
      </c>
      <c r="DD50" s="39">
        <f>SUM(t_Parts[[#This Row],[hp2015.01]:[hp2015.12]])</f>
        <v>198.75151515151515</v>
      </c>
      <c r="DE50" s="39">
        <f>IF(AND(AY$3&gt;=VALUE(t_Parts[[SOP]:[SOP]]),AY$3&lt;=VALUE(t_Parts[[EOP]:[EOP]])), t_Parts[[SetupHrsPerMo]:[SetupHrsPerMo]]+(t_Parts[[#This Row],[pv2016.01]]/t_Parts[[NetPPH]:[NetPPH]]),0)</f>
        <v>15.596270396270397</v>
      </c>
      <c r="DF50" s="39">
        <f>IF(AND(AZ$3&gt;=VALUE(t_Parts[[SOP]:[SOP]]),AZ$3&lt;=VALUE(t_Parts[[EOP]:[EOP]])), t_Parts[[SetupHrsPerMo]:[SetupHrsPerMo]]+(t_Parts[[#This Row],[pv2016.02]]/t_Parts[[NetPPH]:[NetPPH]]),0)</f>
        <v>15.596270396270397</v>
      </c>
      <c r="DG50" s="39">
        <f>IF(AND(BA$3&gt;=VALUE(t_Parts[[SOP]:[SOP]]),BA$3&lt;=VALUE(t_Parts[[EOP]:[EOP]])), t_Parts[[SetupHrsPerMo]:[SetupHrsPerMo]]+(t_Parts[[#This Row],[pv2016.03]]/t_Parts[[NetPPH]:[NetPPH]]),0)</f>
        <v>18.495337995337994</v>
      </c>
      <c r="DH50" s="39">
        <f>IF(AND(BB$3&gt;=VALUE(t_Parts[[SOP]:[SOP]]),BB$3&lt;=VALUE(t_Parts[[EOP]:[EOP]])), t_Parts[[SetupHrsPerMo]:[SetupHrsPerMo]]+(t_Parts[[#This Row],[pv2016.04]]/t_Parts[[NetPPH]:[NetPPH]]),0)</f>
        <v>15.596270396270397</v>
      </c>
      <c r="DI50" s="39">
        <f>IF(AND(BC$3&gt;=VALUE(t_Parts[[SOP]:[SOP]]),BC$3&lt;=VALUE(t_Parts[[EOP]:[EOP]])), t_Parts[[SetupHrsPerMo]:[SetupHrsPerMo]]+(t_Parts[[#This Row],[pv2016.05]]/t_Parts[[NetPPH]:[NetPPH]]),0)</f>
        <v>15.596270396270397</v>
      </c>
      <c r="DJ50" s="39">
        <f>IF(AND(BD$3&gt;=VALUE(t_Parts[[SOP]:[SOP]]),BD$3&lt;=VALUE(t_Parts[[EOP]:[EOP]])), t_Parts[[SetupHrsPerMo]:[SetupHrsPerMo]]+(t_Parts[[#This Row],[pv2016.06]]/t_Parts[[NetPPH]:[NetPPH]]),0)</f>
        <v>18.495337995337994</v>
      </c>
      <c r="DK50" s="39">
        <f>IF(AND(BE$3&gt;=VALUE(t_Parts[[SOP]:[SOP]]),BE$3&lt;=VALUE(t_Parts[[EOP]:[EOP]])), t_Parts[[SetupHrsPerMo]:[SetupHrsPerMo]]+(t_Parts[[#This Row],[pv2016.07]]/t_Parts[[NetPPH]:[NetPPH]]),0)</f>
        <v>15.596270396270397</v>
      </c>
      <c r="DL50" s="39">
        <f>IF(AND(BF$3&gt;=VALUE(t_Parts[[SOP]:[SOP]]),BF$3&lt;=VALUE(t_Parts[[EOP]:[EOP]])), t_Parts[[SetupHrsPerMo]:[SetupHrsPerMo]]+(t_Parts[[#This Row],[pv2016.08]]/t_Parts[[NetPPH]:[NetPPH]]),0)</f>
        <v>15.596270396270397</v>
      </c>
      <c r="DM50" s="39">
        <f>IF(AND(BG$3&gt;=VALUE(t_Parts[[SOP]:[SOP]]),BG$3&lt;=VALUE(t_Parts[[EOP]:[EOP]])), t_Parts[[SetupHrsPerMo]:[SetupHrsPerMo]]+(t_Parts[[#This Row],[pv2016.09]]/t_Parts[[NetPPH]:[NetPPH]]),0)</f>
        <v>18.495337995337994</v>
      </c>
      <c r="DN50" s="39">
        <f>IF(AND(BH$3&gt;=VALUE(t_Parts[[SOP]:[SOP]]),BH$3&lt;=VALUE(t_Parts[[EOP]:[EOP]])), t_Parts[[SetupHrsPerMo]:[SetupHrsPerMo]]+(t_Parts[[#This Row],[pv2016.10]]/t_Parts[[NetPPH]:[NetPPH]]),0)</f>
        <v>15.596270396270397</v>
      </c>
      <c r="DO50" s="39">
        <f>IF(AND(BI$3&gt;=VALUE(t_Parts[[SOP]:[SOP]]),BI$3&lt;=VALUE(t_Parts[[EOP]:[EOP]])), t_Parts[[SetupHrsPerMo]:[SetupHrsPerMo]]+(t_Parts[[#This Row],[pv2016.11]]/t_Parts[[NetPPH]:[NetPPH]]),0)</f>
        <v>15.596270396270397</v>
      </c>
      <c r="DP50" s="39">
        <f>IF(AND(BJ$3&gt;=VALUE(t_Parts[[SOP]:[SOP]]),BJ$3&lt;=VALUE(t_Parts[[EOP]:[EOP]])), t_Parts[[SetupHrsPerMo]:[SetupHrsPerMo]]+(t_Parts[[#This Row],[pv2016.12]]/t_Parts[[NetPPH]:[NetPPH]]),0)</f>
        <v>18.495337995337994</v>
      </c>
      <c r="DQ50" s="39">
        <f>SUM(t_Parts[[#This Row],[hp2016.01]:[hp2016.12]])</f>
        <v>198.75151515151515</v>
      </c>
      <c r="DR50" s="39">
        <f>IF(AND(BL$3&gt;=VALUE(t_Parts[[SOP]:[SOP]]),BL$3&lt;=VALUE(t_Parts[[EOP]:[EOP]])), 12*t_Parts[[SetupHrsPerMo]:[SetupHrsPerMo]]+(t_Parts[[#This Row],[pv2017]]/t_Parts[[NetPPH]:[NetPPH]]),0)</f>
        <v>198.75151515151512</v>
      </c>
      <c r="DS50" s="39">
        <f>IF(AND(BM$3&gt;=VALUE(t_Parts[[SOP]:[SOP]]),BM$3&lt;=VALUE(t_Parts[[EOP]:[EOP]])), 12*t_Parts[[SetupHrsPerMo]:[SetupHrsPerMo]]+(t_Parts[[#This Row],[pv2018]]/t_Parts[[NetPPH]:[NetPPH]]),0)</f>
        <v>198.75151515151512</v>
      </c>
      <c r="DT50" s="39">
        <f>IF(AND(BN$3&gt;=VALUE(t_Parts[[SOP]:[SOP]]),BN$3&lt;=VALUE(t_Parts[[EOP]:[EOP]])), 12*t_Parts[[SetupHrsPerMo]:[SetupHrsPerMo]]+(t_Parts[[#This Row],[pv2019]]/t_Parts[[NetPPH]:[NetPPH]]),0)</f>
        <v>198.75151515151512</v>
      </c>
      <c r="DU50" s="47">
        <f>t_Parts[[#This Row],[hp2015.01]]/t_Parts[[#This Row],[ha2015.01]]</f>
        <v>5.57009657009657E-2</v>
      </c>
      <c r="DV50" s="47">
        <f>t_Parts[[#This Row],[hp2015.02]]/t_Parts[[#This Row],[ha2015.02]]</f>
        <v>5.57009657009657E-2</v>
      </c>
      <c r="DW50" s="47">
        <f>t_Parts[[#This Row],[hp2015.03]]/t_Parts[[#This Row],[ha2015.03]]</f>
        <v>5.2843822843822844E-2</v>
      </c>
      <c r="DX50" s="47">
        <f>t_Parts[[#This Row],[hp2015.04]]/t_Parts[[#This Row],[ha2015.04]]</f>
        <v>5.57009657009657E-2</v>
      </c>
      <c r="DY50" s="47">
        <f>t_Parts[[#This Row],[hp2015.05]]/t_Parts[[#This Row],[ha2015.05]]</f>
        <v>5.57009657009657E-2</v>
      </c>
      <c r="DZ50" s="47">
        <f>t_Parts[[#This Row],[hp2015.06]]/t_Parts[[#This Row],[ha2015.06]]</f>
        <v>5.2843822843822844E-2</v>
      </c>
      <c r="EA50" s="47">
        <f>t_Parts[[#This Row],[hp2015.07]]/t_Parts[[#This Row],[ha2015.07]]</f>
        <v>5.57009657009657E-2</v>
      </c>
      <c r="EB50" s="47">
        <f>t_Parts[[#This Row],[hp2015.08]]/t_Parts[[#This Row],[ha2015.08]]</f>
        <v>5.57009657009657E-2</v>
      </c>
      <c r="EC50" s="47">
        <f>t_Parts[[#This Row],[hp2015.09]]/t_Parts[[#This Row],[ha2015.09]]</f>
        <v>5.2843822843822844E-2</v>
      </c>
      <c r="ED50" s="47">
        <f>t_Parts[[#This Row],[hp2015.10]]/t_Parts[[#This Row],[ha2015.10]]</f>
        <v>5.57009657009657E-2</v>
      </c>
      <c r="EE50" s="47">
        <f>t_Parts[[#This Row],[hp2015.11]]/t_Parts[[#This Row],[ha2015.11]]</f>
        <v>5.57009657009657E-2</v>
      </c>
      <c r="EF50" s="47">
        <f>t_Parts[[#This Row],[hp2015.12]]/t_Parts[[#This Row],[ha2015.12]]</f>
        <v>5.2843822843822844E-2</v>
      </c>
      <c r="EG50" s="47">
        <f>t_Parts[[#This Row],[hp2015.FY]]/t_Parts[[#This Row],[ha2015.FY]]</f>
        <v>5.4602064602064598E-2</v>
      </c>
      <c r="EH50" s="47">
        <f>t_Parts[[#This Row],[hp2016.01]]/t_Parts[[#This Row],[ha2016.01]]</f>
        <v>5.57009657009657E-2</v>
      </c>
      <c r="EI50" s="47">
        <f>t_Parts[[#This Row],[hp2016.02]]/t_Parts[[#This Row],[ha2016.02]]</f>
        <v>5.57009657009657E-2</v>
      </c>
      <c r="EJ50" s="47">
        <f>t_Parts[[#This Row],[hp2016.03]]/t_Parts[[#This Row],[ha2016.03]]</f>
        <v>5.2843822843822844E-2</v>
      </c>
      <c r="EK50" s="47">
        <f>t_Parts[[#This Row],[hp2016.04]]/t_Parts[[#This Row],[ha2016.04]]</f>
        <v>5.57009657009657E-2</v>
      </c>
      <c r="EL50" s="47">
        <f>t_Parts[[#This Row],[hp2016.05]]/t_Parts[[#This Row],[ha2016.05]]</f>
        <v>5.57009657009657E-2</v>
      </c>
      <c r="EM50" s="47">
        <f>t_Parts[[#This Row],[hp2016.06]]/t_Parts[[#This Row],[ha2016.06]]</f>
        <v>5.2843822843822844E-2</v>
      </c>
      <c r="EN50" s="47">
        <f>t_Parts[[#This Row],[hp2016.07]]/t_Parts[[#This Row],[ha2016.07]]</f>
        <v>5.57009657009657E-2</v>
      </c>
      <c r="EO50" s="47">
        <f>t_Parts[[#This Row],[hp2016.08]]/t_Parts[[#This Row],[ha2016.08]]</f>
        <v>5.57009657009657E-2</v>
      </c>
      <c r="EP50" s="47">
        <f>t_Parts[[#This Row],[hp2016.09]]/t_Parts[[#This Row],[ha2016.09]]</f>
        <v>5.2843822843822844E-2</v>
      </c>
      <c r="EQ50" s="47">
        <f>t_Parts[[#This Row],[hp2016.10]]/t_Parts[[#This Row],[ha2016.10]]</f>
        <v>5.57009657009657E-2</v>
      </c>
      <c r="ER50" s="47">
        <f>t_Parts[[#This Row],[hp2016.11]]/t_Parts[[#This Row],[ha2016.11]]</f>
        <v>5.57009657009657E-2</v>
      </c>
      <c r="ES50" s="47">
        <f>t_Parts[[#This Row],[hp2016.12]]/t_Parts[[#This Row],[ha2016.12]]</f>
        <v>5.2843822843822844E-2</v>
      </c>
      <c r="ET50" s="47">
        <f>t_Parts[[#This Row],[hp2016.FY]]/t_Parts[[#This Row],[ha2016.FY]]</f>
        <v>5.4602064602064598E-2</v>
      </c>
      <c r="EU50" s="47">
        <f>t_Parts[[#This Row],[hp2017]]/t_Parts[[#This Row],[ha2017]]</f>
        <v>5.4602064602064591E-2</v>
      </c>
      <c r="EV50" s="47">
        <f>t_Parts[[#This Row],[hp2018]]/t_Parts[[#This Row],[ha2018]]</f>
        <v>5.4602064602064591E-2</v>
      </c>
      <c r="EW50" s="47">
        <f>t_Parts[[#This Row],[hp2019]]/t_Parts[[#This Row],[hp2015.01]]</f>
        <v>12.743528427093917</v>
      </c>
      <c r="EX50" s="58">
        <f>(t_Parts[[#This Row],[ha2015.01]]-t_Parts[[#This Row],[hp2015.01]])*t_Parts[[NetPPH]:[NetPPH]]</f>
        <v>261759.69230769237</v>
      </c>
      <c r="EY50" s="58">
        <f>(t_Parts[[#This Row],[ha2015.02]]-t_Parts[[#This Row],[hp2015.02]])*t_Parts[[NetPPH]:[NetPPH]]</f>
        <v>261759.69230769237</v>
      </c>
      <c r="EZ50" s="58">
        <f>(t_Parts[[#This Row],[ha2015.03]]-t_Parts[[#This Row],[hp2015.03]])*t_Parts[[NetPPH]:[NetPPH]]</f>
        <v>328189.61538461543</v>
      </c>
      <c r="FA50" s="58">
        <f>(t_Parts[[#This Row],[ha2015.04]]-t_Parts[[#This Row],[hp2015.04]])*t_Parts[[NetPPH]:[NetPPH]]</f>
        <v>261759.69230769237</v>
      </c>
      <c r="FB50" s="58">
        <f>(t_Parts[[#This Row],[ha2015.05]]-t_Parts[[#This Row],[hp2015.05]])*t_Parts[[NetPPH]:[NetPPH]]</f>
        <v>261759.69230769237</v>
      </c>
      <c r="FC50" s="58">
        <f>(t_Parts[[#This Row],[ha2015.06]]-t_Parts[[#This Row],[hp2015.06]])*t_Parts[[NetPPH]:[NetPPH]]</f>
        <v>328189.61538461543</v>
      </c>
      <c r="FD50" s="58">
        <f>(t_Parts[[#This Row],[ha2015.07]]-t_Parts[[#This Row],[hp2015.07]])*t_Parts[[NetPPH]:[NetPPH]]</f>
        <v>261759.69230769237</v>
      </c>
      <c r="FE50" s="58">
        <f>(t_Parts[[#This Row],[ha2015.08]]-t_Parts[[#This Row],[hp2015.08]])*t_Parts[[NetPPH]:[NetPPH]]</f>
        <v>261759.69230769237</v>
      </c>
      <c r="FF50" s="58">
        <f>(t_Parts[[#This Row],[ha2015.09]]-t_Parts[[#This Row],[hp2015.09]])*t_Parts[[NetPPH]:[NetPPH]]</f>
        <v>328189.61538461543</v>
      </c>
      <c r="FG50" s="58">
        <f>(t_Parts[[#This Row],[ha2015.10]]-t_Parts[[#This Row],[hp2015.10]])*t_Parts[[NetPPH]:[NetPPH]]</f>
        <v>261759.69230769237</v>
      </c>
      <c r="FH50" s="58">
        <f>(t_Parts[[#This Row],[ha2015.11]]-t_Parts[[#This Row],[hp2015.11]])*t_Parts[[NetPPH]:[NetPPH]]</f>
        <v>261759.69230769237</v>
      </c>
      <c r="FI50" s="58">
        <f>(t_Parts[[#This Row],[ha2015.12]]-t_Parts[[#This Row],[hp2015.12]])*t_Parts[[NetPPH]:[NetPPH]]</f>
        <v>328189.61538461543</v>
      </c>
      <c r="FJ50" s="58">
        <f>(t_Parts[[#This Row],[ha2015.FY]]-t_Parts[[#This Row],[hp2015.FY]])*t_Parts[[NetPPH]:[NetPPH]]</f>
        <v>3406836</v>
      </c>
      <c r="FK50" s="58">
        <f>(t_Parts[[#This Row],[ha2016.01]]-t_Parts[[#This Row],[hp2016.01]])*t_Parts[[NetPPH]:[NetPPH]]</f>
        <v>261759.69230769237</v>
      </c>
      <c r="FL50" s="58">
        <f>(t_Parts[[#This Row],[ha2016.02]]-t_Parts[[#This Row],[hp2016.02]])*t_Parts[[NetPPH]:[NetPPH]]</f>
        <v>261759.69230769237</v>
      </c>
      <c r="FM50" s="58">
        <f>(t_Parts[[#This Row],[ha2016.03]]-t_Parts[[#This Row],[hp2016.03]])*t_Parts[[NetPPH]:[NetPPH]]</f>
        <v>328189.61538461543</v>
      </c>
      <c r="FN50" s="58">
        <f>(t_Parts[[#This Row],[ha2016.04]]-t_Parts[[#This Row],[hp2016.04]])*t_Parts[[NetPPH]:[NetPPH]]</f>
        <v>261759.69230769237</v>
      </c>
      <c r="FO50" s="58">
        <f>(t_Parts[[#This Row],[ha2016.05]]-t_Parts[[#This Row],[hp2016.05]])*t_Parts[[NetPPH]:[NetPPH]]</f>
        <v>261759.69230769237</v>
      </c>
      <c r="FP50" s="58">
        <f>(t_Parts[[#This Row],[ha2016.06]]-t_Parts[[#This Row],[hp2016.06]])*t_Parts[[NetPPH]:[NetPPH]]</f>
        <v>328189.61538461543</v>
      </c>
      <c r="FQ50" s="58">
        <f>(t_Parts[[#This Row],[ha2016.07]]-t_Parts[[#This Row],[hp2016.07]])*t_Parts[[NetPPH]:[NetPPH]]</f>
        <v>261759.69230769237</v>
      </c>
      <c r="FR50" s="58">
        <f>(t_Parts[[#This Row],[ha2016.08]]-t_Parts[[#This Row],[hp2016.08]])*t_Parts[[NetPPH]:[NetPPH]]</f>
        <v>261759.69230769237</v>
      </c>
      <c r="FS50" s="58">
        <f>(t_Parts[[#This Row],[ha2016.09]]-t_Parts[[#This Row],[hp2016.09]])*t_Parts[[NetPPH]:[NetPPH]]</f>
        <v>328189.61538461543</v>
      </c>
      <c r="FT50" s="58">
        <f>(t_Parts[[#This Row],[ha2016.10]]-t_Parts[[#This Row],[hp2016.10]])*t_Parts[[NetPPH]:[NetPPH]]</f>
        <v>261759.69230769237</v>
      </c>
      <c r="FU50" s="58">
        <f>(t_Parts[[#This Row],[ha2016.11]]-t_Parts[[#This Row],[hp2016.11]])*t_Parts[[NetPPH]:[NetPPH]]</f>
        <v>261759.69230769237</v>
      </c>
      <c r="FV50" s="58">
        <f>(t_Parts[[#This Row],[ha2016.12]]-t_Parts[[#This Row],[hp2016.12]])*t_Parts[[NetPPH]:[NetPPH]]</f>
        <v>328189.61538461543</v>
      </c>
      <c r="FW50" s="58">
        <f>(t_Parts[[#This Row],[ha2016.FY]]-t_Parts[[#This Row],[hp2016.FY]])*t_Parts[[NetPPH]:[NetPPH]]</f>
        <v>3406836</v>
      </c>
      <c r="FX50" s="58">
        <f>(t_Parts[[#This Row],[ha2017]]-t_Parts[[#This Row],[hp2017]])*t_Parts[[NetPPH]:[NetPPH]]</f>
        <v>3406836.0000000005</v>
      </c>
      <c r="FY50" s="58">
        <f>(t_Parts[[#This Row],[ha2018]]-t_Parts[[#This Row],[hp2018]])*t_Parts[[NetPPH]:[NetPPH]]</f>
        <v>3406836.0000000005</v>
      </c>
      <c r="FZ50" s="58">
        <f>(t_Parts[[#This Row],[ha2019]]-t_Parts[[#This Row],[hp2019]])*t_Parts[[NetPPH]:[NetPPH]]</f>
        <v>3406836.0000000005</v>
      </c>
    </row>
    <row r="51" spans="1:182" s="14" customFormat="1" x14ac:dyDescent="0.25">
      <c r="A51" s="74" t="s">
        <v>594</v>
      </c>
      <c r="B51" s="74"/>
      <c r="C51" s="74">
        <v>21013</v>
      </c>
      <c r="D51" s="75">
        <v>1</v>
      </c>
      <c r="E51" s="73">
        <v>3300</v>
      </c>
      <c r="F51" s="76">
        <v>1</v>
      </c>
      <c r="G51" s="77">
        <v>2</v>
      </c>
      <c r="H51" s="16">
        <v>2015.01</v>
      </c>
      <c r="I51" s="16" t="s">
        <v>83</v>
      </c>
      <c r="J51" s="73">
        <v>86153</v>
      </c>
      <c r="K51" s="73">
        <v>86153</v>
      </c>
      <c r="L51" s="73">
        <v>86153</v>
      </c>
      <c r="M51" s="73">
        <v>86153</v>
      </c>
      <c r="N51" s="73">
        <v>86153</v>
      </c>
      <c r="O51" s="78">
        <v>25</v>
      </c>
      <c r="P51" s="78">
        <v>17</v>
      </c>
      <c r="Q51" s="79">
        <v>20.762</v>
      </c>
      <c r="R51" s="79"/>
      <c r="S51" s="78">
        <v>147</v>
      </c>
      <c r="T51" s="80">
        <v>14.5</v>
      </c>
      <c r="U51" s="80" t="s">
        <v>121</v>
      </c>
      <c r="V51" s="81" t="s">
        <v>595</v>
      </c>
      <c r="W51" s="82">
        <v>8.2000000000000003E-2</v>
      </c>
      <c r="X51" s="82" t="s">
        <v>495</v>
      </c>
      <c r="Y51" s="82"/>
      <c r="Z51" s="82"/>
      <c r="AA51" s="82"/>
      <c r="AB51" s="82"/>
      <c r="AC51" s="83" t="s">
        <v>667</v>
      </c>
      <c r="AD51" s="40" t="str">
        <f>VLOOKUP(t_Parts[[#This Row],[Press]],t_Presses[],Press!B$1,FALSE)</f>
        <v>Plainfield</v>
      </c>
      <c r="AE51" s="40" t="str">
        <f>VLOOKUP(t_Parts[[#This Row],[Press]],t_Presses[],Press!E$1,FALSE)</f>
        <v>0-299</v>
      </c>
      <c r="AF51" s="47">
        <f>VLOOKUP(t_Parts[[#This Row],[Plant]],t_Plants[],Plants!C$1,FALSE)</f>
        <v>0.55000000000000004</v>
      </c>
      <c r="AG51" s="47">
        <f>VLOOKUP(t_Parts[[#This Row],[Press]],t_Presses[],Press!F$1,FALSE)</f>
        <v>0</v>
      </c>
      <c r="AH51" s="84"/>
      <c r="AI51" s="47">
        <f>IF(ISBLANK(t_Parts[[#This Row],[PartOEE]])=FALSE,t_Parts[[#This Row],[PartOEE]], IF(t_Parts[[#This Row],[PressOEE]]&gt;0, t_Parts[[#This Row],[PressOEE]], t_Parts[[#This Row],[PlantOEE]] ))</f>
        <v>0.55000000000000004</v>
      </c>
      <c r="AJ51" s="70">
        <f>t_Parts[[#This Row],[SetupsPerMo]]*t_Parts[[#This Row],[SetupHrs]]</f>
        <v>2</v>
      </c>
      <c r="AK51" s="39">
        <f>(t_Parts[[#This Row],[PartsPerStroke]]*t_Parts[[#This Row],[StrokesPerHr]])*t_Parts[[#This Row],[UseOEE]]</f>
        <v>1815.0000000000002</v>
      </c>
      <c r="AL5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6627.1538461538457</v>
      </c>
      <c r="AM5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6627.1538461538457</v>
      </c>
      <c r="AN5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8283.9423076923067</v>
      </c>
      <c r="AO5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6627.1538461538457</v>
      </c>
      <c r="AP5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6627.1538461538457</v>
      </c>
      <c r="AQ5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8283.9423076923067</v>
      </c>
      <c r="AR5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6627.1538461538457</v>
      </c>
      <c r="AS5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6627.1538461538457</v>
      </c>
      <c r="AT5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8283.9423076923067</v>
      </c>
      <c r="AU5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6627.1538461538457</v>
      </c>
      <c r="AV5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6627.1538461538457</v>
      </c>
      <c r="AW5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8283.9423076923067</v>
      </c>
      <c r="AX51" s="39">
        <f>SUM(t_Parts[[#This Row],[pv2015.01]:[pv2015.12]])</f>
        <v>86152.999999999985</v>
      </c>
      <c r="AY5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6627.1538461538457</v>
      </c>
      <c r="AZ5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6627.1538461538457</v>
      </c>
      <c r="BA5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8283.9423076923067</v>
      </c>
      <c r="BB5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6627.1538461538457</v>
      </c>
      <c r="BC5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6627.1538461538457</v>
      </c>
      <c r="BD5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8283.9423076923067</v>
      </c>
      <c r="BE5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6627.1538461538457</v>
      </c>
      <c r="BF5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6627.1538461538457</v>
      </c>
      <c r="BG5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8283.9423076923067</v>
      </c>
      <c r="BH5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6627.1538461538457</v>
      </c>
      <c r="BI5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6627.1538461538457</v>
      </c>
      <c r="BJ5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8283.9423076923067</v>
      </c>
      <c r="BK51" s="39">
        <f>SUM(t_Parts[[#This Row],[pv2016.01]:[pv2016.12]])</f>
        <v>86152.999999999985</v>
      </c>
      <c r="BL51" s="39">
        <f>t_Parts[[#This Row],[2017vol]]</f>
        <v>86153</v>
      </c>
      <c r="BM51" s="39">
        <f>t_Parts[[#This Row],[2018vol]]</f>
        <v>86153</v>
      </c>
      <c r="BN51" s="39">
        <f>t_Parts[[#This Row],[2019vol]]</f>
        <v>86153</v>
      </c>
      <c r="BO51" s="40">
        <f>VLOOKUP(t_Parts[[Plant]:[Plant]],t_Plants[],Plants!CN$1,FALSE)</f>
        <v>280</v>
      </c>
      <c r="BP51" s="14">
        <f>VLOOKUP(t_Parts[[Plant]:[Plant]],t_Plants[],Plants!CO$1,FALSE)</f>
        <v>280</v>
      </c>
      <c r="BQ51" s="14">
        <f>VLOOKUP(t_Parts[[Plant]:[Plant]],t_Plants[],Plants!CP$1,FALSE)</f>
        <v>350</v>
      </c>
      <c r="BR51" s="14">
        <f>VLOOKUP(t_Parts[[Plant]:[Plant]],t_Plants[],Plants!CQ$1,FALSE)</f>
        <v>280</v>
      </c>
      <c r="BS51" s="14">
        <f>VLOOKUP(t_Parts[[Plant]:[Plant]],t_Plants[],Plants!CR$1,FALSE)</f>
        <v>280</v>
      </c>
      <c r="BT51" s="14">
        <f>VLOOKUP(t_Parts[[Plant]:[Plant]],t_Plants[],Plants!CS$1,FALSE)</f>
        <v>350</v>
      </c>
      <c r="BU51" s="14">
        <f>VLOOKUP(t_Parts[[Plant]:[Plant]],t_Plants[],Plants!CT$1,FALSE)</f>
        <v>280</v>
      </c>
      <c r="BV51" s="14">
        <f>VLOOKUP(t_Parts[[Plant]:[Plant]],t_Plants[],Plants!CU$1,FALSE)</f>
        <v>280</v>
      </c>
      <c r="BW51" s="14">
        <f>VLOOKUP(t_Parts[[Plant]:[Plant]],t_Plants[],Plants!CV$1,FALSE)</f>
        <v>350</v>
      </c>
      <c r="BX51" s="14">
        <f>VLOOKUP(t_Parts[[Plant]:[Plant]],t_Plants[],Plants!CW$1,FALSE)</f>
        <v>280</v>
      </c>
      <c r="BY51" s="14">
        <f>VLOOKUP(t_Parts[[Plant]:[Plant]],t_Plants[],Plants!CX$1,FALSE)</f>
        <v>280</v>
      </c>
      <c r="BZ51" s="14">
        <f>VLOOKUP(t_Parts[[Plant]:[Plant]],t_Plants[],Plants!CY$1,FALSE)</f>
        <v>350</v>
      </c>
      <c r="CA51" s="40">
        <f>SUM(t_Parts[[#This Row],[ha2015.01]:[ha2015.12]])</f>
        <v>3640</v>
      </c>
      <c r="CB51" s="14">
        <f>VLOOKUP(t_Parts[[Plant]:[Plant]],t_Plants[],Plants!DA$1,FALSE)</f>
        <v>280</v>
      </c>
      <c r="CC51" s="14">
        <f>VLOOKUP(t_Parts[[Plant]:[Plant]],t_Plants[],Plants!DB$1,FALSE)</f>
        <v>280</v>
      </c>
      <c r="CD51" s="14">
        <f>VLOOKUP(t_Parts[[Plant]:[Plant]],t_Plants[],Plants!DC$1,FALSE)</f>
        <v>350</v>
      </c>
      <c r="CE51" s="14">
        <f>VLOOKUP(t_Parts[[Plant]:[Plant]],t_Plants[],Plants!DD$1,FALSE)</f>
        <v>280</v>
      </c>
      <c r="CF51" s="14">
        <f>VLOOKUP(t_Parts[[Plant]:[Plant]],t_Plants[],Plants!DE$1,FALSE)</f>
        <v>280</v>
      </c>
      <c r="CG51" s="14">
        <f>VLOOKUP(t_Parts[[Plant]:[Plant]],t_Plants[],Plants!DF$1,FALSE)</f>
        <v>350</v>
      </c>
      <c r="CH51" s="14">
        <f>VLOOKUP(t_Parts[[Plant]:[Plant]],t_Plants[],Plants!DG$1,FALSE)</f>
        <v>280</v>
      </c>
      <c r="CI51" s="14">
        <f>VLOOKUP(t_Parts[[Plant]:[Plant]],t_Plants[],Plants!DH$1,FALSE)</f>
        <v>280</v>
      </c>
      <c r="CJ51" s="14">
        <f>VLOOKUP(t_Parts[[Plant]:[Plant]],t_Plants[],Plants!DI$1,FALSE)</f>
        <v>350</v>
      </c>
      <c r="CK51" s="14">
        <f>VLOOKUP(t_Parts[[Plant]:[Plant]],t_Plants[],Plants!DJ$1,FALSE)</f>
        <v>280</v>
      </c>
      <c r="CL51" s="14">
        <f>VLOOKUP(t_Parts[[Plant]:[Plant]],t_Plants[],Plants!DK$1,FALSE)</f>
        <v>280</v>
      </c>
      <c r="CM51" s="14">
        <f>VLOOKUP(t_Parts[[Plant]:[Plant]],t_Plants[],Plants!DL$1,FALSE)</f>
        <v>350</v>
      </c>
      <c r="CN51" s="14">
        <f>VLOOKUP(t_Parts[[Plant]:[Plant]],t_Plants[],Plants!DM$1,FALSE)</f>
        <v>3640</v>
      </c>
      <c r="CO51" s="14">
        <f>VLOOKUP(t_Parts[[Plant]:[Plant]],t_Plants[],Plants!DN$1,FALSE)</f>
        <v>3640</v>
      </c>
      <c r="CP51" s="14">
        <f>VLOOKUP(t_Parts[[Plant]:[Plant]],t_Plants[],Plants!DO$1,FALSE)</f>
        <v>3640</v>
      </c>
      <c r="CQ51" s="14">
        <f>VLOOKUP(t_Parts[[Plant]:[Plant]],t_Plants[],Plants!DP$1,FALSE)</f>
        <v>3640</v>
      </c>
      <c r="CR51" s="39">
        <f>IF(AND(AL$3&gt;=VALUE(t_Parts[[SOP]:[SOP]]),AL$3&lt;=VALUE(t_Parts[[EOP]:[EOP]])), t_Parts[[SetupHrsPerMo]:[SetupHrsPerMo]]+(t_Parts[[#This Row],[pv2015.01]]/t_Parts[[NetPPH]:[NetPPH]]),0)</f>
        <v>5.651324433142614</v>
      </c>
      <c r="CS51" s="39">
        <f>IF(AND(AM$3&gt;=VALUE(t_Parts[[SOP]:[SOP]]),AM$3&lt;=VALUE(t_Parts[[EOP]:[EOP]])), t_Parts[[SetupHrsPerMo]:[SetupHrsPerMo]]+(t_Parts[[#This Row],[pv2015.02]]/t_Parts[[NetPPH]:[NetPPH]]),0)</f>
        <v>5.651324433142614</v>
      </c>
      <c r="CT51" s="39">
        <f>IF(AND(AN$3&gt;=VALUE(t_Parts[[SOP]:[SOP]]),AN$3&lt;=VALUE(t_Parts[[EOP]:[EOP]])), t_Parts[[SetupHrsPerMo]:[SetupHrsPerMo]]+(t_Parts[[#This Row],[pv2015.03]]/t_Parts[[NetPPH]:[NetPPH]]),0)</f>
        <v>6.564155541428268</v>
      </c>
      <c r="CU51" s="39">
        <f>IF(AND(AO$3&gt;=VALUE(t_Parts[[SOP]:[SOP]]),AO$3&lt;=VALUE(t_Parts[[EOP]:[EOP]])), t_Parts[[SetupHrsPerMo]:[SetupHrsPerMo]]+(t_Parts[[#This Row],[pv2015.04]]/t_Parts[[NetPPH]:[NetPPH]]),0)</f>
        <v>5.651324433142614</v>
      </c>
      <c r="CV51" s="39">
        <f>IF(AND(AP$3&gt;=VALUE(t_Parts[[SOP]:[SOP]]),AP$3&lt;=VALUE(t_Parts[[EOP]:[EOP]])), t_Parts[[SetupHrsPerMo]:[SetupHrsPerMo]]+(t_Parts[[#This Row],[pv2015.05]]/t_Parts[[NetPPH]:[NetPPH]]),0)</f>
        <v>5.651324433142614</v>
      </c>
      <c r="CW51" s="39">
        <f>IF(AND(AQ$3&gt;=VALUE(t_Parts[[SOP]:[SOP]]),AQ$3&lt;=VALUE(t_Parts[[EOP]:[EOP]])), t_Parts[[SetupHrsPerMo]:[SetupHrsPerMo]]+(t_Parts[[#This Row],[pv2015.06]]/t_Parts[[NetPPH]:[NetPPH]]),0)</f>
        <v>6.564155541428268</v>
      </c>
      <c r="CX51" s="39">
        <f>IF(AND(AR$3&gt;=VALUE(t_Parts[[SOP]:[SOP]]),AR$3&lt;=VALUE(t_Parts[[EOP]:[EOP]])), t_Parts[[SetupHrsPerMo]:[SetupHrsPerMo]]+(t_Parts[[#This Row],[pv2015.07]]/t_Parts[[NetPPH]:[NetPPH]]),0)</f>
        <v>5.651324433142614</v>
      </c>
      <c r="CY51" s="39">
        <f>IF(AND(AS$3&gt;=VALUE(t_Parts[[SOP]:[SOP]]),AS$3&lt;=VALUE(t_Parts[[EOP]:[EOP]])), t_Parts[[SetupHrsPerMo]:[SetupHrsPerMo]]+(t_Parts[[#This Row],[pv2015.08]]/t_Parts[[NetPPH]:[NetPPH]]),0)</f>
        <v>5.651324433142614</v>
      </c>
      <c r="CZ51" s="39">
        <f>IF(AND(AT$3&gt;=VALUE(t_Parts[[SOP]:[SOP]]),AT$3&lt;=VALUE(t_Parts[[EOP]:[EOP]])), t_Parts[[SetupHrsPerMo]:[SetupHrsPerMo]]+(t_Parts[[#This Row],[pv2015.09]]/t_Parts[[NetPPH]:[NetPPH]]),0)</f>
        <v>6.564155541428268</v>
      </c>
      <c r="DA51" s="39">
        <f>IF(AND(AU$3&gt;=VALUE(t_Parts[[SOP]:[SOP]]),AU$3&lt;=VALUE(t_Parts[[EOP]:[EOP]])), t_Parts[[SetupHrsPerMo]:[SetupHrsPerMo]]+(t_Parts[[#This Row],[pv2015.10]]/t_Parts[[NetPPH]:[NetPPH]]),0)</f>
        <v>5.651324433142614</v>
      </c>
      <c r="DB51" s="39">
        <f>IF(AND(AV$3&gt;=VALUE(t_Parts[[SOP]:[SOP]]),AV$3&lt;=VALUE(t_Parts[[EOP]:[EOP]])), t_Parts[[SetupHrsPerMo]:[SetupHrsPerMo]]+(t_Parts[[#This Row],[pv2015.11]]/t_Parts[[NetPPH]:[NetPPH]]),0)</f>
        <v>5.651324433142614</v>
      </c>
      <c r="DC51" s="39">
        <f>IF(AND(AW$3&gt;=VALUE(t_Parts[[SOP]:[SOP]]),AW$3&lt;=VALUE(t_Parts[[EOP]:[EOP]])), t_Parts[[SetupHrsPerMo]:[SetupHrsPerMo]]+(t_Parts[[#This Row],[pv2015.12]]/t_Parts[[NetPPH]:[NetPPH]]),0)</f>
        <v>6.564155541428268</v>
      </c>
      <c r="DD51" s="39">
        <f>SUM(t_Parts[[#This Row],[hp2015.01]:[hp2015.12]])</f>
        <v>71.46721763085398</v>
      </c>
      <c r="DE51" s="39">
        <f>IF(AND(AY$3&gt;=VALUE(t_Parts[[SOP]:[SOP]]),AY$3&lt;=VALUE(t_Parts[[EOP]:[EOP]])), t_Parts[[SetupHrsPerMo]:[SetupHrsPerMo]]+(t_Parts[[#This Row],[pv2016.01]]/t_Parts[[NetPPH]:[NetPPH]]),0)</f>
        <v>5.651324433142614</v>
      </c>
      <c r="DF51" s="39">
        <f>IF(AND(AZ$3&gt;=VALUE(t_Parts[[SOP]:[SOP]]),AZ$3&lt;=VALUE(t_Parts[[EOP]:[EOP]])), t_Parts[[SetupHrsPerMo]:[SetupHrsPerMo]]+(t_Parts[[#This Row],[pv2016.02]]/t_Parts[[NetPPH]:[NetPPH]]),0)</f>
        <v>5.651324433142614</v>
      </c>
      <c r="DG51" s="39">
        <f>IF(AND(BA$3&gt;=VALUE(t_Parts[[SOP]:[SOP]]),BA$3&lt;=VALUE(t_Parts[[EOP]:[EOP]])), t_Parts[[SetupHrsPerMo]:[SetupHrsPerMo]]+(t_Parts[[#This Row],[pv2016.03]]/t_Parts[[NetPPH]:[NetPPH]]),0)</f>
        <v>6.564155541428268</v>
      </c>
      <c r="DH51" s="39">
        <f>IF(AND(BB$3&gt;=VALUE(t_Parts[[SOP]:[SOP]]),BB$3&lt;=VALUE(t_Parts[[EOP]:[EOP]])), t_Parts[[SetupHrsPerMo]:[SetupHrsPerMo]]+(t_Parts[[#This Row],[pv2016.04]]/t_Parts[[NetPPH]:[NetPPH]]),0)</f>
        <v>5.651324433142614</v>
      </c>
      <c r="DI51" s="39">
        <f>IF(AND(BC$3&gt;=VALUE(t_Parts[[SOP]:[SOP]]),BC$3&lt;=VALUE(t_Parts[[EOP]:[EOP]])), t_Parts[[SetupHrsPerMo]:[SetupHrsPerMo]]+(t_Parts[[#This Row],[pv2016.05]]/t_Parts[[NetPPH]:[NetPPH]]),0)</f>
        <v>5.651324433142614</v>
      </c>
      <c r="DJ51" s="39">
        <f>IF(AND(BD$3&gt;=VALUE(t_Parts[[SOP]:[SOP]]),BD$3&lt;=VALUE(t_Parts[[EOP]:[EOP]])), t_Parts[[SetupHrsPerMo]:[SetupHrsPerMo]]+(t_Parts[[#This Row],[pv2016.06]]/t_Parts[[NetPPH]:[NetPPH]]),0)</f>
        <v>6.564155541428268</v>
      </c>
      <c r="DK51" s="39">
        <f>IF(AND(BE$3&gt;=VALUE(t_Parts[[SOP]:[SOP]]),BE$3&lt;=VALUE(t_Parts[[EOP]:[EOP]])), t_Parts[[SetupHrsPerMo]:[SetupHrsPerMo]]+(t_Parts[[#This Row],[pv2016.07]]/t_Parts[[NetPPH]:[NetPPH]]),0)</f>
        <v>5.651324433142614</v>
      </c>
      <c r="DL51" s="39">
        <f>IF(AND(BF$3&gt;=VALUE(t_Parts[[SOP]:[SOP]]),BF$3&lt;=VALUE(t_Parts[[EOP]:[EOP]])), t_Parts[[SetupHrsPerMo]:[SetupHrsPerMo]]+(t_Parts[[#This Row],[pv2016.08]]/t_Parts[[NetPPH]:[NetPPH]]),0)</f>
        <v>5.651324433142614</v>
      </c>
      <c r="DM51" s="39">
        <f>IF(AND(BG$3&gt;=VALUE(t_Parts[[SOP]:[SOP]]),BG$3&lt;=VALUE(t_Parts[[EOP]:[EOP]])), t_Parts[[SetupHrsPerMo]:[SetupHrsPerMo]]+(t_Parts[[#This Row],[pv2016.09]]/t_Parts[[NetPPH]:[NetPPH]]),0)</f>
        <v>6.564155541428268</v>
      </c>
      <c r="DN51" s="39">
        <f>IF(AND(BH$3&gt;=VALUE(t_Parts[[SOP]:[SOP]]),BH$3&lt;=VALUE(t_Parts[[EOP]:[EOP]])), t_Parts[[SetupHrsPerMo]:[SetupHrsPerMo]]+(t_Parts[[#This Row],[pv2016.10]]/t_Parts[[NetPPH]:[NetPPH]]),0)</f>
        <v>5.651324433142614</v>
      </c>
      <c r="DO51" s="39">
        <f>IF(AND(BI$3&gt;=VALUE(t_Parts[[SOP]:[SOP]]),BI$3&lt;=VALUE(t_Parts[[EOP]:[EOP]])), t_Parts[[SetupHrsPerMo]:[SetupHrsPerMo]]+(t_Parts[[#This Row],[pv2016.11]]/t_Parts[[NetPPH]:[NetPPH]]),0)</f>
        <v>5.651324433142614</v>
      </c>
      <c r="DP51" s="39">
        <f>IF(AND(BJ$3&gt;=VALUE(t_Parts[[SOP]:[SOP]]),BJ$3&lt;=VALUE(t_Parts[[EOP]:[EOP]])), t_Parts[[SetupHrsPerMo]:[SetupHrsPerMo]]+(t_Parts[[#This Row],[pv2016.12]]/t_Parts[[NetPPH]:[NetPPH]]),0)</f>
        <v>6.564155541428268</v>
      </c>
      <c r="DQ51" s="39">
        <f>SUM(t_Parts[[#This Row],[hp2016.01]:[hp2016.12]])</f>
        <v>71.46721763085398</v>
      </c>
      <c r="DR51" s="39">
        <f>IF(AND(BL$3&gt;=VALUE(t_Parts[[SOP]:[SOP]]),BL$3&lt;=VALUE(t_Parts[[EOP]:[EOP]])), 12*t_Parts[[SetupHrsPerMo]:[SetupHrsPerMo]]+(t_Parts[[#This Row],[pv2017]]/t_Parts[[NetPPH]:[NetPPH]]),0)</f>
        <v>71.46721763085398</v>
      </c>
      <c r="DS51" s="39">
        <f>IF(AND(BM$3&gt;=VALUE(t_Parts[[SOP]:[SOP]]),BM$3&lt;=VALUE(t_Parts[[EOP]:[EOP]])), 12*t_Parts[[SetupHrsPerMo]:[SetupHrsPerMo]]+(t_Parts[[#This Row],[pv2018]]/t_Parts[[NetPPH]:[NetPPH]]),0)</f>
        <v>71.46721763085398</v>
      </c>
      <c r="DT51" s="39">
        <f>IF(AND(BN$3&gt;=VALUE(t_Parts[[SOP]:[SOP]]),BN$3&lt;=VALUE(t_Parts[[EOP]:[EOP]])), 12*t_Parts[[SetupHrsPerMo]:[SetupHrsPerMo]]+(t_Parts[[#This Row],[pv2019]]/t_Parts[[NetPPH]:[NetPPH]]),0)</f>
        <v>71.46721763085398</v>
      </c>
      <c r="DU51" s="47">
        <f>t_Parts[[#This Row],[hp2015.01]]/t_Parts[[#This Row],[ha2015.01]]</f>
        <v>2.0183301546937909E-2</v>
      </c>
      <c r="DV51" s="47">
        <f>t_Parts[[#This Row],[hp2015.02]]/t_Parts[[#This Row],[ha2015.02]]</f>
        <v>2.0183301546937909E-2</v>
      </c>
      <c r="DW51" s="47">
        <f>t_Parts[[#This Row],[hp2015.03]]/t_Parts[[#This Row],[ha2015.03]]</f>
        <v>1.8754730118366481E-2</v>
      </c>
      <c r="DX51" s="47">
        <f>t_Parts[[#This Row],[hp2015.04]]/t_Parts[[#This Row],[ha2015.04]]</f>
        <v>2.0183301546937909E-2</v>
      </c>
      <c r="DY51" s="47">
        <f>t_Parts[[#This Row],[hp2015.05]]/t_Parts[[#This Row],[ha2015.05]]</f>
        <v>2.0183301546937909E-2</v>
      </c>
      <c r="DZ51" s="47">
        <f>t_Parts[[#This Row],[hp2015.06]]/t_Parts[[#This Row],[ha2015.06]]</f>
        <v>1.8754730118366481E-2</v>
      </c>
      <c r="EA51" s="47">
        <f>t_Parts[[#This Row],[hp2015.07]]/t_Parts[[#This Row],[ha2015.07]]</f>
        <v>2.0183301546937909E-2</v>
      </c>
      <c r="EB51" s="47">
        <f>t_Parts[[#This Row],[hp2015.08]]/t_Parts[[#This Row],[ha2015.08]]</f>
        <v>2.0183301546937909E-2</v>
      </c>
      <c r="EC51" s="47">
        <f>t_Parts[[#This Row],[hp2015.09]]/t_Parts[[#This Row],[ha2015.09]]</f>
        <v>1.8754730118366481E-2</v>
      </c>
      <c r="ED51" s="47">
        <f>t_Parts[[#This Row],[hp2015.10]]/t_Parts[[#This Row],[ha2015.10]]</f>
        <v>2.0183301546937909E-2</v>
      </c>
      <c r="EE51" s="47">
        <f>t_Parts[[#This Row],[hp2015.11]]/t_Parts[[#This Row],[ha2015.11]]</f>
        <v>2.0183301546937909E-2</v>
      </c>
      <c r="EF51" s="47">
        <f>t_Parts[[#This Row],[hp2015.12]]/t_Parts[[#This Row],[ha2015.12]]</f>
        <v>1.8754730118366481E-2</v>
      </c>
      <c r="EG51" s="47">
        <f>t_Parts[[#This Row],[hp2015.FY]]/t_Parts[[#This Row],[ha2015.FY]]</f>
        <v>1.9633850997487358E-2</v>
      </c>
      <c r="EH51" s="47">
        <f>t_Parts[[#This Row],[hp2016.01]]/t_Parts[[#This Row],[ha2016.01]]</f>
        <v>2.0183301546937909E-2</v>
      </c>
      <c r="EI51" s="47">
        <f>t_Parts[[#This Row],[hp2016.02]]/t_Parts[[#This Row],[ha2016.02]]</f>
        <v>2.0183301546937909E-2</v>
      </c>
      <c r="EJ51" s="47">
        <f>t_Parts[[#This Row],[hp2016.03]]/t_Parts[[#This Row],[ha2016.03]]</f>
        <v>1.8754730118366481E-2</v>
      </c>
      <c r="EK51" s="47">
        <f>t_Parts[[#This Row],[hp2016.04]]/t_Parts[[#This Row],[ha2016.04]]</f>
        <v>2.0183301546937909E-2</v>
      </c>
      <c r="EL51" s="47">
        <f>t_Parts[[#This Row],[hp2016.05]]/t_Parts[[#This Row],[ha2016.05]]</f>
        <v>2.0183301546937909E-2</v>
      </c>
      <c r="EM51" s="47">
        <f>t_Parts[[#This Row],[hp2016.06]]/t_Parts[[#This Row],[ha2016.06]]</f>
        <v>1.8754730118366481E-2</v>
      </c>
      <c r="EN51" s="47">
        <f>t_Parts[[#This Row],[hp2016.07]]/t_Parts[[#This Row],[ha2016.07]]</f>
        <v>2.0183301546937909E-2</v>
      </c>
      <c r="EO51" s="47">
        <f>t_Parts[[#This Row],[hp2016.08]]/t_Parts[[#This Row],[ha2016.08]]</f>
        <v>2.0183301546937909E-2</v>
      </c>
      <c r="EP51" s="47">
        <f>t_Parts[[#This Row],[hp2016.09]]/t_Parts[[#This Row],[ha2016.09]]</f>
        <v>1.8754730118366481E-2</v>
      </c>
      <c r="EQ51" s="47">
        <f>t_Parts[[#This Row],[hp2016.10]]/t_Parts[[#This Row],[ha2016.10]]</f>
        <v>2.0183301546937909E-2</v>
      </c>
      <c r="ER51" s="47">
        <f>t_Parts[[#This Row],[hp2016.11]]/t_Parts[[#This Row],[ha2016.11]]</f>
        <v>2.0183301546937909E-2</v>
      </c>
      <c r="ES51" s="47">
        <f>t_Parts[[#This Row],[hp2016.12]]/t_Parts[[#This Row],[ha2016.12]]</f>
        <v>1.8754730118366481E-2</v>
      </c>
      <c r="ET51" s="47">
        <f>t_Parts[[#This Row],[hp2016.FY]]/t_Parts[[#This Row],[ha2016.FY]]</f>
        <v>1.9633850997487358E-2</v>
      </c>
      <c r="EU51" s="47">
        <f>t_Parts[[#This Row],[hp2017]]/t_Parts[[#This Row],[ha2017]]</f>
        <v>1.9633850997487358E-2</v>
      </c>
      <c r="EV51" s="47">
        <f>t_Parts[[#This Row],[hp2018]]/t_Parts[[#This Row],[ha2018]]</f>
        <v>1.9633850997487358E-2</v>
      </c>
      <c r="EW51" s="47">
        <f>t_Parts[[#This Row],[hp2019]]/t_Parts[[#This Row],[hp2015.01]]</f>
        <v>12.646100657702316</v>
      </c>
      <c r="EX51" s="58">
        <f>(t_Parts[[#This Row],[ha2015.01]]-t_Parts[[#This Row],[hp2015.01]])*t_Parts[[NetPPH]:[NetPPH]]</f>
        <v>497942.84615384619</v>
      </c>
      <c r="EY51" s="58">
        <f>(t_Parts[[#This Row],[ha2015.02]]-t_Parts[[#This Row],[hp2015.02]])*t_Parts[[NetPPH]:[NetPPH]]</f>
        <v>497942.84615384619</v>
      </c>
      <c r="EZ51" s="58">
        <f>(t_Parts[[#This Row],[ha2015.03]]-t_Parts[[#This Row],[hp2015.03]])*t_Parts[[NetPPH]:[NetPPH]]</f>
        <v>623336.05769230786</v>
      </c>
      <c r="FA51" s="58">
        <f>(t_Parts[[#This Row],[ha2015.04]]-t_Parts[[#This Row],[hp2015.04]])*t_Parts[[NetPPH]:[NetPPH]]</f>
        <v>497942.84615384619</v>
      </c>
      <c r="FB51" s="58">
        <f>(t_Parts[[#This Row],[ha2015.05]]-t_Parts[[#This Row],[hp2015.05]])*t_Parts[[NetPPH]:[NetPPH]]</f>
        <v>497942.84615384619</v>
      </c>
      <c r="FC51" s="58">
        <f>(t_Parts[[#This Row],[ha2015.06]]-t_Parts[[#This Row],[hp2015.06]])*t_Parts[[NetPPH]:[NetPPH]]</f>
        <v>623336.05769230786</v>
      </c>
      <c r="FD51" s="58">
        <f>(t_Parts[[#This Row],[ha2015.07]]-t_Parts[[#This Row],[hp2015.07]])*t_Parts[[NetPPH]:[NetPPH]]</f>
        <v>497942.84615384619</v>
      </c>
      <c r="FE51" s="58">
        <f>(t_Parts[[#This Row],[ha2015.08]]-t_Parts[[#This Row],[hp2015.08]])*t_Parts[[NetPPH]:[NetPPH]]</f>
        <v>497942.84615384619</v>
      </c>
      <c r="FF51" s="58">
        <f>(t_Parts[[#This Row],[ha2015.09]]-t_Parts[[#This Row],[hp2015.09]])*t_Parts[[NetPPH]:[NetPPH]]</f>
        <v>623336.05769230786</v>
      </c>
      <c r="FG51" s="58">
        <f>(t_Parts[[#This Row],[ha2015.10]]-t_Parts[[#This Row],[hp2015.10]])*t_Parts[[NetPPH]:[NetPPH]]</f>
        <v>497942.84615384619</v>
      </c>
      <c r="FH51" s="58">
        <f>(t_Parts[[#This Row],[ha2015.11]]-t_Parts[[#This Row],[hp2015.11]])*t_Parts[[NetPPH]:[NetPPH]]</f>
        <v>497942.84615384619</v>
      </c>
      <c r="FI51" s="58">
        <f>(t_Parts[[#This Row],[ha2015.12]]-t_Parts[[#This Row],[hp2015.12]])*t_Parts[[NetPPH]:[NetPPH]]</f>
        <v>623336.05769230786</v>
      </c>
      <c r="FJ51" s="58">
        <f>(t_Parts[[#This Row],[ha2015.FY]]-t_Parts[[#This Row],[hp2015.FY]])*t_Parts[[NetPPH]:[NetPPH]]</f>
        <v>6476887.0000000009</v>
      </c>
      <c r="FK51" s="58">
        <f>(t_Parts[[#This Row],[ha2016.01]]-t_Parts[[#This Row],[hp2016.01]])*t_Parts[[NetPPH]:[NetPPH]]</f>
        <v>497942.84615384619</v>
      </c>
      <c r="FL51" s="58">
        <f>(t_Parts[[#This Row],[ha2016.02]]-t_Parts[[#This Row],[hp2016.02]])*t_Parts[[NetPPH]:[NetPPH]]</f>
        <v>497942.84615384619</v>
      </c>
      <c r="FM51" s="58">
        <f>(t_Parts[[#This Row],[ha2016.03]]-t_Parts[[#This Row],[hp2016.03]])*t_Parts[[NetPPH]:[NetPPH]]</f>
        <v>623336.05769230786</v>
      </c>
      <c r="FN51" s="58">
        <f>(t_Parts[[#This Row],[ha2016.04]]-t_Parts[[#This Row],[hp2016.04]])*t_Parts[[NetPPH]:[NetPPH]]</f>
        <v>497942.84615384619</v>
      </c>
      <c r="FO51" s="58">
        <f>(t_Parts[[#This Row],[ha2016.05]]-t_Parts[[#This Row],[hp2016.05]])*t_Parts[[NetPPH]:[NetPPH]]</f>
        <v>497942.84615384619</v>
      </c>
      <c r="FP51" s="58">
        <f>(t_Parts[[#This Row],[ha2016.06]]-t_Parts[[#This Row],[hp2016.06]])*t_Parts[[NetPPH]:[NetPPH]]</f>
        <v>623336.05769230786</v>
      </c>
      <c r="FQ51" s="58">
        <f>(t_Parts[[#This Row],[ha2016.07]]-t_Parts[[#This Row],[hp2016.07]])*t_Parts[[NetPPH]:[NetPPH]]</f>
        <v>497942.84615384619</v>
      </c>
      <c r="FR51" s="58">
        <f>(t_Parts[[#This Row],[ha2016.08]]-t_Parts[[#This Row],[hp2016.08]])*t_Parts[[NetPPH]:[NetPPH]]</f>
        <v>497942.84615384619</v>
      </c>
      <c r="FS51" s="58">
        <f>(t_Parts[[#This Row],[ha2016.09]]-t_Parts[[#This Row],[hp2016.09]])*t_Parts[[NetPPH]:[NetPPH]]</f>
        <v>623336.05769230786</v>
      </c>
      <c r="FT51" s="58">
        <f>(t_Parts[[#This Row],[ha2016.10]]-t_Parts[[#This Row],[hp2016.10]])*t_Parts[[NetPPH]:[NetPPH]]</f>
        <v>497942.84615384619</v>
      </c>
      <c r="FU51" s="58">
        <f>(t_Parts[[#This Row],[ha2016.11]]-t_Parts[[#This Row],[hp2016.11]])*t_Parts[[NetPPH]:[NetPPH]]</f>
        <v>497942.84615384619</v>
      </c>
      <c r="FV51" s="58">
        <f>(t_Parts[[#This Row],[ha2016.12]]-t_Parts[[#This Row],[hp2016.12]])*t_Parts[[NetPPH]:[NetPPH]]</f>
        <v>623336.05769230786</v>
      </c>
      <c r="FW51" s="58">
        <f>(t_Parts[[#This Row],[ha2016.FY]]-t_Parts[[#This Row],[hp2016.FY]])*t_Parts[[NetPPH]:[NetPPH]]</f>
        <v>6476887.0000000009</v>
      </c>
      <c r="FX51" s="58">
        <f>(t_Parts[[#This Row],[ha2017]]-t_Parts[[#This Row],[hp2017]])*t_Parts[[NetPPH]:[NetPPH]]</f>
        <v>6476887.0000000009</v>
      </c>
      <c r="FY51" s="58">
        <f>(t_Parts[[#This Row],[ha2018]]-t_Parts[[#This Row],[hp2018]])*t_Parts[[NetPPH]:[NetPPH]]</f>
        <v>6476887.0000000009</v>
      </c>
      <c r="FZ51" s="58">
        <f>(t_Parts[[#This Row],[ha2019]]-t_Parts[[#This Row],[hp2019]])*t_Parts[[NetPPH]:[NetPPH]]</f>
        <v>6476887.0000000009</v>
      </c>
    </row>
    <row r="52" spans="1:182" s="14" customFormat="1" x14ac:dyDescent="0.25">
      <c r="A52" s="74" t="s">
        <v>571</v>
      </c>
      <c r="B52" s="74"/>
      <c r="C52" s="74">
        <v>21001</v>
      </c>
      <c r="D52" s="75">
        <v>1</v>
      </c>
      <c r="E52" s="73">
        <v>2100</v>
      </c>
      <c r="F52" s="76">
        <v>1</v>
      </c>
      <c r="G52" s="77">
        <v>2</v>
      </c>
      <c r="H52" s="16">
        <v>2015.01</v>
      </c>
      <c r="I52" s="16" t="s">
        <v>326</v>
      </c>
      <c r="J52" s="73">
        <v>54221</v>
      </c>
      <c r="K52" s="73">
        <v>54221</v>
      </c>
      <c r="L52" s="73">
        <v>54221</v>
      </c>
      <c r="M52" s="73">
        <v>54221</v>
      </c>
      <c r="N52" s="73">
        <v>54221</v>
      </c>
      <c r="O52" s="78">
        <v>25</v>
      </c>
      <c r="P52" s="78">
        <v>94</v>
      </c>
      <c r="Q52" s="79">
        <v>20.965</v>
      </c>
      <c r="R52" s="79"/>
      <c r="S52" s="78">
        <v>176</v>
      </c>
      <c r="T52" s="80">
        <v>13.5</v>
      </c>
      <c r="U52" s="80" t="s">
        <v>121</v>
      </c>
      <c r="V52" s="81" t="s">
        <v>572</v>
      </c>
      <c r="W52" s="82">
        <v>1.03</v>
      </c>
      <c r="X52" s="82" t="s">
        <v>495</v>
      </c>
      <c r="Y52" s="82"/>
      <c r="Z52" s="82"/>
      <c r="AA52" s="82"/>
      <c r="AB52" s="82"/>
      <c r="AC52" s="83" t="s">
        <v>667</v>
      </c>
      <c r="AD52" s="40" t="str">
        <f>VLOOKUP(t_Parts[[#This Row],[Press]],t_Presses[],Press!B$1,FALSE)</f>
        <v>Plainfield</v>
      </c>
      <c r="AE52" s="40" t="str">
        <f>VLOOKUP(t_Parts[[#This Row],[Press]],t_Presses[],Press!E$1,FALSE)</f>
        <v>300-599</v>
      </c>
      <c r="AF52" s="47">
        <f>VLOOKUP(t_Parts[[#This Row],[Plant]],t_Plants[],Plants!C$1,FALSE)</f>
        <v>0.55000000000000004</v>
      </c>
      <c r="AG52" s="47">
        <f>VLOOKUP(t_Parts[[#This Row],[Press]],t_Presses[],Press!F$1,FALSE)</f>
        <v>0</v>
      </c>
      <c r="AH52" s="84"/>
      <c r="AI52" s="47">
        <f>IF(ISBLANK(t_Parts[[#This Row],[PartOEE]])=FALSE,t_Parts[[#This Row],[PartOEE]], IF(t_Parts[[#This Row],[PressOEE]]&gt;0, t_Parts[[#This Row],[PressOEE]], t_Parts[[#This Row],[PlantOEE]] ))</f>
        <v>0.55000000000000004</v>
      </c>
      <c r="AJ52" s="70">
        <f>t_Parts[[#This Row],[SetupsPerMo]]*t_Parts[[#This Row],[SetupHrs]]</f>
        <v>2</v>
      </c>
      <c r="AK52" s="39">
        <f>(t_Parts[[#This Row],[PartsPerStroke]]*t_Parts[[#This Row],[StrokesPerHr]])*t_Parts[[#This Row],[UseOEE]]</f>
        <v>1155</v>
      </c>
      <c r="AL5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4170.8461538461543</v>
      </c>
      <c r="AM5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4170.8461538461543</v>
      </c>
      <c r="AN5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5213.5576923076924</v>
      </c>
      <c r="AO5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4170.8461538461543</v>
      </c>
      <c r="AP5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4170.8461538461543</v>
      </c>
      <c r="AQ5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5213.5576923076924</v>
      </c>
      <c r="AR5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4170.8461538461543</v>
      </c>
      <c r="AS5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4170.8461538461543</v>
      </c>
      <c r="AT5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5213.5576923076924</v>
      </c>
      <c r="AU5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4170.8461538461543</v>
      </c>
      <c r="AV5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4170.8461538461543</v>
      </c>
      <c r="AW5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5213.5576923076924</v>
      </c>
      <c r="AX52" s="39">
        <f>SUM(t_Parts[[#This Row],[pv2015.01]:[pv2015.12]])</f>
        <v>54221.000000000015</v>
      </c>
      <c r="AY5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4170.8461538461543</v>
      </c>
      <c r="AZ5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4170.8461538461543</v>
      </c>
      <c r="BA5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5213.5576923076924</v>
      </c>
      <c r="BB5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4170.8461538461543</v>
      </c>
      <c r="BC5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4170.8461538461543</v>
      </c>
      <c r="BD5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5213.5576923076924</v>
      </c>
      <c r="BE5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5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2" s="39">
        <f>SUM(t_Parts[[#This Row],[pv2016.01]:[pv2016.12]])</f>
        <v>27110.500000000004</v>
      </c>
      <c r="BL52" s="39">
        <f>t_Parts[[#This Row],[2017vol]]</f>
        <v>54221</v>
      </c>
      <c r="BM52" s="39">
        <f>t_Parts[[#This Row],[2018vol]]</f>
        <v>54221</v>
      </c>
      <c r="BN52" s="39">
        <f>t_Parts[[#This Row],[2019vol]]</f>
        <v>54221</v>
      </c>
      <c r="BO52" s="40">
        <f>VLOOKUP(t_Parts[[Plant]:[Plant]],t_Plants[],Plants!CN$1,FALSE)</f>
        <v>280</v>
      </c>
      <c r="BP52" s="14">
        <f>VLOOKUP(t_Parts[[Plant]:[Plant]],t_Plants[],Plants!CO$1,FALSE)</f>
        <v>280</v>
      </c>
      <c r="BQ52" s="14">
        <f>VLOOKUP(t_Parts[[Plant]:[Plant]],t_Plants[],Plants!CP$1,FALSE)</f>
        <v>350</v>
      </c>
      <c r="BR52" s="14">
        <f>VLOOKUP(t_Parts[[Plant]:[Plant]],t_Plants[],Plants!CQ$1,FALSE)</f>
        <v>280</v>
      </c>
      <c r="BS52" s="14">
        <f>VLOOKUP(t_Parts[[Plant]:[Plant]],t_Plants[],Plants!CR$1,FALSE)</f>
        <v>280</v>
      </c>
      <c r="BT52" s="14">
        <f>VLOOKUP(t_Parts[[Plant]:[Plant]],t_Plants[],Plants!CS$1,FALSE)</f>
        <v>350</v>
      </c>
      <c r="BU52" s="14">
        <f>VLOOKUP(t_Parts[[Plant]:[Plant]],t_Plants[],Plants!CT$1,FALSE)</f>
        <v>280</v>
      </c>
      <c r="BV52" s="14">
        <f>VLOOKUP(t_Parts[[Plant]:[Plant]],t_Plants[],Plants!CU$1,FALSE)</f>
        <v>280</v>
      </c>
      <c r="BW52" s="14">
        <f>VLOOKUP(t_Parts[[Plant]:[Plant]],t_Plants[],Plants!CV$1,FALSE)</f>
        <v>350</v>
      </c>
      <c r="BX52" s="14">
        <f>VLOOKUP(t_Parts[[Plant]:[Plant]],t_Plants[],Plants!CW$1,FALSE)</f>
        <v>280</v>
      </c>
      <c r="BY52" s="14">
        <f>VLOOKUP(t_Parts[[Plant]:[Plant]],t_Plants[],Plants!CX$1,FALSE)</f>
        <v>280</v>
      </c>
      <c r="BZ52" s="14">
        <f>VLOOKUP(t_Parts[[Plant]:[Plant]],t_Plants[],Plants!CY$1,FALSE)</f>
        <v>350</v>
      </c>
      <c r="CA52" s="40">
        <f>SUM(t_Parts[[#This Row],[ha2015.01]:[ha2015.12]])</f>
        <v>3640</v>
      </c>
      <c r="CB52" s="14">
        <f>VLOOKUP(t_Parts[[Plant]:[Plant]],t_Plants[],Plants!DA$1,FALSE)</f>
        <v>280</v>
      </c>
      <c r="CC52" s="14">
        <f>VLOOKUP(t_Parts[[Plant]:[Plant]],t_Plants[],Plants!DB$1,FALSE)</f>
        <v>280</v>
      </c>
      <c r="CD52" s="14">
        <f>VLOOKUP(t_Parts[[Plant]:[Plant]],t_Plants[],Plants!DC$1,FALSE)</f>
        <v>350</v>
      </c>
      <c r="CE52" s="14">
        <f>VLOOKUP(t_Parts[[Plant]:[Plant]],t_Plants[],Plants!DD$1,FALSE)</f>
        <v>280</v>
      </c>
      <c r="CF52" s="14">
        <f>VLOOKUP(t_Parts[[Plant]:[Plant]],t_Plants[],Plants!DE$1,FALSE)</f>
        <v>280</v>
      </c>
      <c r="CG52" s="14">
        <f>VLOOKUP(t_Parts[[Plant]:[Plant]],t_Plants[],Plants!DF$1,FALSE)</f>
        <v>350</v>
      </c>
      <c r="CH52" s="14">
        <f>VLOOKUP(t_Parts[[Plant]:[Plant]],t_Plants[],Plants!DG$1,FALSE)</f>
        <v>280</v>
      </c>
      <c r="CI52" s="14">
        <f>VLOOKUP(t_Parts[[Plant]:[Plant]],t_Plants[],Plants!DH$1,FALSE)</f>
        <v>280</v>
      </c>
      <c r="CJ52" s="14">
        <f>VLOOKUP(t_Parts[[Plant]:[Plant]],t_Plants[],Plants!DI$1,FALSE)</f>
        <v>350</v>
      </c>
      <c r="CK52" s="14">
        <f>VLOOKUP(t_Parts[[Plant]:[Plant]],t_Plants[],Plants!DJ$1,FALSE)</f>
        <v>280</v>
      </c>
      <c r="CL52" s="14">
        <f>VLOOKUP(t_Parts[[Plant]:[Plant]],t_Plants[],Plants!DK$1,FALSE)</f>
        <v>280</v>
      </c>
      <c r="CM52" s="14">
        <f>VLOOKUP(t_Parts[[Plant]:[Plant]],t_Plants[],Plants!DL$1,FALSE)</f>
        <v>350</v>
      </c>
      <c r="CN52" s="14">
        <f>VLOOKUP(t_Parts[[Plant]:[Plant]],t_Plants[],Plants!DM$1,FALSE)</f>
        <v>3640</v>
      </c>
      <c r="CO52" s="14">
        <f>VLOOKUP(t_Parts[[Plant]:[Plant]],t_Plants[],Plants!DN$1,FALSE)</f>
        <v>3640</v>
      </c>
      <c r="CP52" s="14">
        <f>VLOOKUP(t_Parts[[Plant]:[Plant]],t_Plants[],Plants!DO$1,FALSE)</f>
        <v>3640</v>
      </c>
      <c r="CQ52" s="14">
        <f>VLOOKUP(t_Parts[[Plant]:[Plant]],t_Plants[],Plants!DP$1,FALSE)</f>
        <v>3640</v>
      </c>
      <c r="CR52" s="39">
        <f>IF(AND(AL$3&gt;=VALUE(t_Parts[[SOP]:[SOP]]),AL$3&lt;=VALUE(t_Parts[[EOP]:[EOP]])), t_Parts[[SetupHrsPerMo]:[SetupHrsPerMo]]+(t_Parts[[#This Row],[pv2015.01]]/t_Parts[[NetPPH]:[NetPPH]]),0)</f>
        <v>5.6111222111222112</v>
      </c>
      <c r="CS52" s="39">
        <f>IF(AND(AM$3&gt;=VALUE(t_Parts[[SOP]:[SOP]]),AM$3&lt;=VALUE(t_Parts[[EOP]:[EOP]])), t_Parts[[SetupHrsPerMo]:[SetupHrsPerMo]]+(t_Parts[[#This Row],[pv2015.02]]/t_Parts[[NetPPH]:[NetPPH]]),0)</f>
        <v>5.6111222111222112</v>
      </c>
      <c r="CT52" s="39">
        <f>IF(AND(AN$3&gt;=VALUE(t_Parts[[SOP]:[SOP]]),AN$3&lt;=VALUE(t_Parts[[EOP]:[EOP]])), t_Parts[[SetupHrsPerMo]:[SetupHrsPerMo]]+(t_Parts[[#This Row],[pv2015.03]]/t_Parts[[NetPPH]:[NetPPH]]),0)</f>
        <v>6.513902763902764</v>
      </c>
      <c r="CU52" s="39">
        <f>IF(AND(AO$3&gt;=VALUE(t_Parts[[SOP]:[SOP]]),AO$3&lt;=VALUE(t_Parts[[EOP]:[EOP]])), t_Parts[[SetupHrsPerMo]:[SetupHrsPerMo]]+(t_Parts[[#This Row],[pv2015.04]]/t_Parts[[NetPPH]:[NetPPH]]),0)</f>
        <v>5.6111222111222112</v>
      </c>
      <c r="CV52" s="39">
        <f>IF(AND(AP$3&gt;=VALUE(t_Parts[[SOP]:[SOP]]),AP$3&lt;=VALUE(t_Parts[[EOP]:[EOP]])), t_Parts[[SetupHrsPerMo]:[SetupHrsPerMo]]+(t_Parts[[#This Row],[pv2015.05]]/t_Parts[[NetPPH]:[NetPPH]]),0)</f>
        <v>5.6111222111222112</v>
      </c>
      <c r="CW52" s="39">
        <f>IF(AND(AQ$3&gt;=VALUE(t_Parts[[SOP]:[SOP]]),AQ$3&lt;=VALUE(t_Parts[[EOP]:[EOP]])), t_Parts[[SetupHrsPerMo]:[SetupHrsPerMo]]+(t_Parts[[#This Row],[pv2015.06]]/t_Parts[[NetPPH]:[NetPPH]]),0)</f>
        <v>6.513902763902764</v>
      </c>
      <c r="CX52" s="39">
        <f>IF(AND(AR$3&gt;=VALUE(t_Parts[[SOP]:[SOP]]),AR$3&lt;=VALUE(t_Parts[[EOP]:[EOP]])), t_Parts[[SetupHrsPerMo]:[SetupHrsPerMo]]+(t_Parts[[#This Row],[pv2015.07]]/t_Parts[[NetPPH]:[NetPPH]]),0)</f>
        <v>5.6111222111222112</v>
      </c>
      <c r="CY52" s="39">
        <f>IF(AND(AS$3&gt;=VALUE(t_Parts[[SOP]:[SOP]]),AS$3&lt;=VALUE(t_Parts[[EOP]:[EOP]])), t_Parts[[SetupHrsPerMo]:[SetupHrsPerMo]]+(t_Parts[[#This Row],[pv2015.08]]/t_Parts[[NetPPH]:[NetPPH]]),0)</f>
        <v>5.6111222111222112</v>
      </c>
      <c r="CZ52" s="39">
        <f>IF(AND(AT$3&gt;=VALUE(t_Parts[[SOP]:[SOP]]),AT$3&lt;=VALUE(t_Parts[[EOP]:[EOP]])), t_Parts[[SetupHrsPerMo]:[SetupHrsPerMo]]+(t_Parts[[#This Row],[pv2015.09]]/t_Parts[[NetPPH]:[NetPPH]]),0)</f>
        <v>6.513902763902764</v>
      </c>
      <c r="DA52" s="39">
        <f>IF(AND(AU$3&gt;=VALUE(t_Parts[[SOP]:[SOP]]),AU$3&lt;=VALUE(t_Parts[[EOP]:[EOP]])), t_Parts[[SetupHrsPerMo]:[SetupHrsPerMo]]+(t_Parts[[#This Row],[pv2015.10]]/t_Parts[[NetPPH]:[NetPPH]]),0)</f>
        <v>5.6111222111222112</v>
      </c>
      <c r="DB52" s="39">
        <f>IF(AND(AV$3&gt;=VALUE(t_Parts[[SOP]:[SOP]]),AV$3&lt;=VALUE(t_Parts[[EOP]:[EOP]])), t_Parts[[SetupHrsPerMo]:[SetupHrsPerMo]]+(t_Parts[[#This Row],[pv2015.11]]/t_Parts[[NetPPH]:[NetPPH]]),0)</f>
        <v>5.6111222111222112</v>
      </c>
      <c r="DC52" s="39">
        <f>IF(AND(AW$3&gt;=VALUE(t_Parts[[SOP]:[SOP]]),AW$3&lt;=VALUE(t_Parts[[EOP]:[EOP]])), t_Parts[[SetupHrsPerMo]:[SetupHrsPerMo]]+(t_Parts[[#This Row],[pv2015.12]]/t_Parts[[NetPPH]:[NetPPH]]),0)</f>
        <v>6.513902763902764</v>
      </c>
      <c r="DD52" s="39">
        <f>SUM(t_Parts[[#This Row],[hp2015.01]:[hp2015.12]])</f>
        <v>70.944588744588728</v>
      </c>
      <c r="DE52" s="39">
        <f>IF(AND(AY$3&gt;=VALUE(t_Parts[[SOP]:[SOP]]),AY$3&lt;=VALUE(t_Parts[[EOP]:[EOP]])), t_Parts[[SetupHrsPerMo]:[SetupHrsPerMo]]+(t_Parts[[#This Row],[pv2016.01]]/t_Parts[[NetPPH]:[NetPPH]]),0)</f>
        <v>5.6111222111222112</v>
      </c>
      <c r="DF52" s="39">
        <f>IF(AND(AZ$3&gt;=VALUE(t_Parts[[SOP]:[SOP]]),AZ$3&lt;=VALUE(t_Parts[[EOP]:[EOP]])), t_Parts[[SetupHrsPerMo]:[SetupHrsPerMo]]+(t_Parts[[#This Row],[pv2016.02]]/t_Parts[[NetPPH]:[NetPPH]]),0)</f>
        <v>5.6111222111222112</v>
      </c>
      <c r="DG52" s="39">
        <f>IF(AND(BA$3&gt;=VALUE(t_Parts[[SOP]:[SOP]]),BA$3&lt;=VALUE(t_Parts[[EOP]:[EOP]])), t_Parts[[SetupHrsPerMo]:[SetupHrsPerMo]]+(t_Parts[[#This Row],[pv2016.03]]/t_Parts[[NetPPH]:[NetPPH]]),0)</f>
        <v>6.513902763902764</v>
      </c>
      <c r="DH52" s="39">
        <f>IF(AND(BB$3&gt;=VALUE(t_Parts[[SOP]:[SOP]]),BB$3&lt;=VALUE(t_Parts[[EOP]:[EOP]])), t_Parts[[SetupHrsPerMo]:[SetupHrsPerMo]]+(t_Parts[[#This Row],[pv2016.04]]/t_Parts[[NetPPH]:[NetPPH]]),0)</f>
        <v>5.6111222111222112</v>
      </c>
      <c r="DI52" s="39">
        <f>IF(AND(BC$3&gt;=VALUE(t_Parts[[SOP]:[SOP]]),BC$3&lt;=VALUE(t_Parts[[EOP]:[EOP]])), t_Parts[[SetupHrsPerMo]:[SetupHrsPerMo]]+(t_Parts[[#This Row],[pv2016.05]]/t_Parts[[NetPPH]:[NetPPH]]),0)</f>
        <v>5.6111222111222112</v>
      </c>
      <c r="DJ52" s="39">
        <f>IF(AND(BD$3&gt;=VALUE(t_Parts[[SOP]:[SOP]]),BD$3&lt;=VALUE(t_Parts[[EOP]:[EOP]])), t_Parts[[SetupHrsPerMo]:[SetupHrsPerMo]]+(t_Parts[[#This Row],[pv2016.06]]/t_Parts[[NetPPH]:[NetPPH]]),0)</f>
        <v>6.513902763902764</v>
      </c>
      <c r="DK52" s="39">
        <f>IF(AND(BE$3&gt;=VALUE(t_Parts[[SOP]:[SOP]]),BE$3&lt;=VALUE(t_Parts[[EOP]:[EOP]])), t_Parts[[SetupHrsPerMo]:[SetupHrsPerMo]]+(t_Parts[[#This Row],[pv2016.07]]/t_Parts[[NetPPH]:[NetPPH]]),0)</f>
        <v>0</v>
      </c>
      <c r="DL52" s="39">
        <f>IF(AND(BF$3&gt;=VALUE(t_Parts[[SOP]:[SOP]]),BF$3&lt;=VALUE(t_Parts[[EOP]:[EOP]])), t_Parts[[SetupHrsPerMo]:[SetupHrsPerMo]]+(t_Parts[[#This Row],[pv2016.08]]/t_Parts[[NetPPH]:[NetPPH]]),0)</f>
        <v>0</v>
      </c>
      <c r="DM52" s="39">
        <f>IF(AND(BG$3&gt;=VALUE(t_Parts[[SOP]:[SOP]]),BG$3&lt;=VALUE(t_Parts[[EOP]:[EOP]])), t_Parts[[SetupHrsPerMo]:[SetupHrsPerMo]]+(t_Parts[[#This Row],[pv2016.09]]/t_Parts[[NetPPH]:[NetPPH]]),0)</f>
        <v>0</v>
      </c>
      <c r="DN52" s="39">
        <f>IF(AND(BH$3&gt;=VALUE(t_Parts[[SOP]:[SOP]]),BH$3&lt;=VALUE(t_Parts[[EOP]:[EOP]])), t_Parts[[SetupHrsPerMo]:[SetupHrsPerMo]]+(t_Parts[[#This Row],[pv2016.10]]/t_Parts[[NetPPH]:[NetPPH]]),0)</f>
        <v>0</v>
      </c>
      <c r="DO52" s="39">
        <f>IF(AND(BI$3&gt;=VALUE(t_Parts[[SOP]:[SOP]]),BI$3&lt;=VALUE(t_Parts[[EOP]:[EOP]])), t_Parts[[SetupHrsPerMo]:[SetupHrsPerMo]]+(t_Parts[[#This Row],[pv2016.11]]/t_Parts[[NetPPH]:[NetPPH]]),0)</f>
        <v>0</v>
      </c>
      <c r="DP52" s="39">
        <f>IF(AND(BJ$3&gt;=VALUE(t_Parts[[SOP]:[SOP]]),BJ$3&lt;=VALUE(t_Parts[[EOP]:[EOP]])), t_Parts[[SetupHrsPerMo]:[SetupHrsPerMo]]+(t_Parts[[#This Row],[pv2016.12]]/t_Parts[[NetPPH]:[NetPPH]]),0)</f>
        <v>0</v>
      </c>
      <c r="DQ52" s="39">
        <f>SUM(t_Parts[[#This Row],[hp2016.01]:[hp2016.12]])</f>
        <v>35.472294372294371</v>
      </c>
      <c r="DR52" s="39">
        <f>IF(AND(BL$3&gt;=VALUE(t_Parts[[SOP]:[SOP]]),BL$3&lt;=VALUE(t_Parts[[EOP]:[EOP]])), 12*t_Parts[[SetupHrsPerMo]:[SetupHrsPerMo]]+(t_Parts[[#This Row],[pv2017]]/t_Parts[[NetPPH]:[NetPPH]]),0)</f>
        <v>0</v>
      </c>
      <c r="DS52" s="39">
        <f>IF(AND(BM$3&gt;=VALUE(t_Parts[[SOP]:[SOP]]),BM$3&lt;=VALUE(t_Parts[[EOP]:[EOP]])), 12*t_Parts[[SetupHrsPerMo]:[SetupHrsPerMo]]+(t_Parts[[#This Row],[pv2018]]/t_Parts[[NetPPH]:[NetPPH]]),0)</f>
        <v>0</v>
      </c>
      <c r="DT52" s="39">
        <f>IF(AND(BN$3&gt;=VALUE(t_Parts[[SOP]:[SOP]]),BN$3&lt;=VALUE(t_Parts[[EOP]:[EOP]])), 12*t_Parts[[SetupHrsPerMo]:[SetupHrsPerMo]]+(t_Parts[[#This Row],[pv2019]]/t_Parts[[NetPPH]:[NetPPH]]),0)</f>
        <v>0</v>
      </c>
      <c r="DU52" s="47">
        <f>t_Parts[[#This Row],[hp2015.01]]/t_Parts[[#This Row],[ha2015.01]]</f>
        <v>2.0039722182579326E-2</v>
      </c>
      <c r="DV52" s="47">
        <f>t_Parts[[#This Row],[hp2015.02]]/t_Parts[[#This Row],[ha2015.02]]</f>
        <v>2.0039722182579326E-2</v>
      </c>
      <c r="DW52" s="47">
        <f>t_Parts[[#This Row],[hp2015.03]]/t_Parts[[#This Row],[ha2015.03]]</f>
        <v>1.8611150754007898E-2</v>
      </c>
      <c r="DX52" s="47">
        <f>t_Parts[[#This Row],[hp2015.04]]/t_Parts[[#This Row],[ha2015.04]]</f>
        <v>2.0039722182579326E-2</v>
      </c>
      <c r="DY52" s="47">
        <f>t_Parts[[#This Row],[hp2015.05]]/t_Parts[[#This Row],[ha2015.05]]</f>
        <v>2.0039722182579326E-2</v>
      </c>
      <c r="DZ52" s="47">
        <f>t_Parts[[#This Row],[hp2015.06]]/t_Parts[[#This Row],[ha2015.06]]</f>
        <v>1.8611150754007898E-2</v>
      </c>
      <c r="EA52" s="47">
        <f>t_Parts[[#This Row],[hp2015.07]]/t_Parts[[#This Row],[ha2015.07]]</f>
        <v>2.0039722182579326E-2</v>
      </c>
      <c r="EB52" s="47">
        <f>t_Parts[[#This Row],[hp2015.08]]/t_Parts[[#This Row],[ha2015.08]]</f>
        <v>2.0039722182579326E-2</v>
      </c>
      <c r="EC52" s="47">
        <f>t_Parts[[#This Row],[hp2015.09]]/t_Parts[[#This Row],[ha2015.09]]</f>
        <v>1.8611150754007898E-2</v>
      </c>
      <c r="ED52" s="47">
        <f>t_Parts[[#This Row],[hp2015.10]]/t_Parts[[#This Row],[ha2015.10]]</f>
        <v>2.0039722182579326E-2</v>
      </c>
      <c r="EE52" s="47">
        <f>t_Parts[[#This Row],[hp2015.11]]/t_Parts[[#This Row],[ha2015.11]]</f>
        <v>2.0039722182579326E-2</v>
      </c>
      <c r="EF52" s="47">
        <f>t_Parts[[#This Row],[hp2015.12]]/t_Parts[[#This Row],[ha2015.12]]</f>
        <v>1.8611150754007898E-2</v>
      </c>
      <c r="EG52" s="47">
        <f>t_Parts[[#This Row],[hp2015.FY]]/t_Parts[[#This Row],[ha2015.FY]]</f>
        <v>1.9490271633128772E-2</v>
      </c>
      <c r="EH52" s="47">
        <f>t_Parts[[#This Row],[hp2016.01]]/t_Parts[[#This Row],[ha2016.01]]</f>
        <v>2.0039722182579326E-2</v>
      </c>
      <c r="EI52" s="47">
        <f>t_Parts[[#This Row],[hp2016.02]]/t_Parts[[#This Row],[ha2016.02]]</f>
        <v>2.0039722182579326E-2</v>
      </c>
      <c r="EJ52" s="47">
        <f>t_Parts[[#This Row],[hp2016.03]]/t_Parts[[#This Row],[ha2016.03]]</f>
        <v>1.8611150754007898E-2</v>
      </c>
      <c r="EK52" s="47">
        <f>t_Parts[[#This Row],[hp2016.04]]/t_Parts[[#This Row],[ha2016.04]]</f>
        <v>2.0039722182579326E-2</v>
      </c>
      <c r="EL52" s="47">
        <f>t_Parts[[#This Row],[hp2016.05]]/t_Parts[[#This Row],[ha2016.05]]</f>
        <v>2.0039722182579326E-2</v>
      </c>
      <c r="EM52" s="47">
        <f>t_Parts[[#This Row],[hp2016.06]]/t_Parts[[#This Row],[ha2016.06]]</f>
        <v>1.8611150754007898E-2</v>
      </c>
      <c r="EN52" s="47">
        <f>t_Parts[[#This Row],[hp2016.07]]/t_Parts[[#This Row],[ha2016.07]]</f>
        <v>0</v>
      </c>
      <c r="EO52" s="47">
        <f>t_Parts[[#This Row],[hp2016.08]]/t_Parts[[#This Row],[ha2016.08]]</f>
        <v>0</v>
      </c>
      <c r="EP52" s="47">
        <f>t_Parts[[#This Row],[hp2016.09]]/t_Parts[[#This Row],[ha2016.09]]</f>
        <v>0</v>
      </c>
      <c r="EQ52" s="47">
        <f>t_Parts[[#This Row],[hp2016.10]]/t_Parts[[#This Row],[ha2016.10]]</f>
        <v>0</v>
      </c>
      <c r="ER52" s="47">
        <f>t_Parts[[#This Row],[hp2016.11]]/t_Parts[[#This Row],[ha2016.11]]</f>
        <v>0</v>
      </c>
      <c r="ES52" s="47">
        <f>t_Parts[[#This Row],[hp2016.12]]/t_Parts[[#This Row],[ha2016.12]]</f>
        <v>0</v>
      </c>
      <c r="ET52" s="47">
        <f>t_Parts[[#This Row],[hp2016.FY]]/t_Parts[[#This Row],[ha2016.FY]]</f>
        <v>9.7451358165643875E-3</v>
      </c>
      <c r="EU52" s="47">
        <f>t_Parts[[#This Row],[hp2017]]/t_Parts[[#This Row],[ha2017]]</f>
        <v>0</v>
      </c>
      <c r="EV52" s="47">
        <f>t_Parts[[#This Row],[hp2018]]/t_Parts[[#This Row],[ha2018]]</f>
        <v>0</v>
      </c>
      <c r="EW52" s="47">
        <f>t_Parts[[#This Row],[hp2019]]/t_Parts[[#This Row],[hp2015.01]]</f>
        <v>0</v>
      </c>
      <c r="EX52" s="58">
        <f>(t_Parts[[#This Row],[ha2015.01]]-t_Parts[[#This Row],[hp2015.01]])*t_Parts[[NetPPH]:[NetPPH]]</f>
        <v>316919.15384615381</v>
      </c>
      <c r="EY52" s="58">
        <f>(t_Parts[[#This Row],[ha2015.02]]-t_Parts[[#This Row],[hp2015.02]])*t_Parts[[NetPPH]:[NetPPH]]</f>
        <v>316919.15384615381</v>
      </c>
      <c r="EZ52" s="58">
        <f>(t_Parts[[#This Row],[ha2015.03]]-t_Parts[[#This Row],[hp2015.03]])*t_Parts[[NetPPH]:[NetPPH]]</f>
        <v>396726.44230769231</v>
      </c>
      <c r="FA52" s="58">
        <f>(t_Parts[[#This Row],[ha2015.04]]-t_Parts[[#This Row],[hp2015.04]])*t_Parts[[NetPPH]:[NetPPH]]</f>
        <v>316919.15384615381</v>
      </c>
      <c r="FB52" s="58">
        <f>(t_Parts[[#This Row],[ha2015.05]]-t_Parts[[#This Row],[hp2015.05]])*t_Parts[[NetPPH]:[NetPPH]]</f>
        <v>316919.15384615381</v>
      </c>
      <c r="FC52" s="58">
        <f>(t_Parts[[#This Row],[ha2015.06]]-t_Parts[[#This Row],[hp2015.06]])*t_Parts[[NetPPH]:[NetPPH]]</f>
        <v>396726.44230769231</v>
      </c>
      <c r="FD52" s="58">
        <f>(t_Parts[[#This Row],[ha2015.07]]-t_Parts[[#This Row],[hp2015.07]])*t_Parts[[NetPPH]:[NetPPH]]</f>
        <v>316919.15384615381</v>
      </c>
      <c r="FE52" s="58">
        <f>(t_Parts[[#This Row],[ha2015.08]]-t_Parts[[#This Row],[hp2015.08]])*t_Parts[[NetPPH]:[NetPPH]]</f>
        <v>316919.15384615381</v>
      </c>
      <c r="FF52" s="58">
        <f>(t_Parts[[#This Row],[ha2015.09]]-t_Parts[[#This Row],[hp2015.09]])*t_Parts[[NetPPH]:[NetPPH]]</f>
        <v>396726.44230769231</v>
      </c>
      <c r="FG52" s="58">
        <f>(t_Parts[[#This Row],[ha2015.10]]-t_Parts[[#This Row],[hp2015.10]])*t_Parts[[NetPPH]:[NetPPH]]</f>
        <v>316919.15384615381</v>
      </c>
      <c r="FH52" s="58">
        <f>(t_Parts[[#This Row],[ha2015.11]]-t_Parts[[#This Row],[hp2015.11]])*t_Parts[[NetPPH]:[NetPPH]]</f>
        <v>316919.15384615381</v>
      </c>
      <c r="FI52" s="58">
        <f>(t_Parts[[#This Row],[ha2015.12]]-t_Parts[[#This Row],[hp2015.12]])*t_Parts[[NetPPH]:[NetPPH]]</f>
        <v>396726.44230769231</v>
      </c>
      <c r="FJ52" s="58">
        <f>(t_Parts[[#This Row],[ha2015.FY]]-t_Parts[[#This Row],[hp2015.FY]])*t_Parts[[NetPPH]:[NetPPH]]</f>
        <v>4122259</v>
      </c>
      <c r="FK52" s="58">
        <f>(t_Parts[[#This Row],[ha2016.01]]-t_Parts[[#This Row],[hp2016.01]])*t_Parts[[NetPPH]:[NetPPH]]</f>
        <v>316919.15384615381</v>
      </c>
      <c r="FL52" s="58">
        <f>(t_Parts[[#This Row],[ha2016.02]]-t_Parts[[#This Row],[hp2016.02]])*t_Parts[[NetPPH]:[NetPPH]]</f>
        <v>316919.15384615381</v>
      </c>
      <c r="FM52" s="58">
        <f>(t_Parts[[#This Row],[ha2016.03]]-t_Parts[[#This Row],[hp2016.03]])*t_Parts[[NetPPH]:[NetPPH]]</f>
        <v>396726.44230769231</v>
      </c>
      <c r="FN52" s="58">
        <f>(t_Parts[[#This Row],[ha2016.04]]-t_Parts[[#This Row],[hp2016.04]])*t_Parts[[NetPPH]:[NetPPH]]</f>
        <v>316919.15384615381</v>
      </c>
      <c r="FO52" s="58">
        <f>(t_Parts[[#This Row],[ha2016.05]]-t_Parts[[#This Row],[hp2016.05]])*t_Parts[[NetPPH]:[NetPPH]]</f>
        <v>316919.15384615381</v>
      </c>
      <c r="FP52" s="58">
        <f>(t_Parts[[#This Row],[ha2016.06]]-t_Parts[[#This Row],[hp2016.06]])*t_Parts[[NetPPH]:[NetPPH]]</f>
        <v>396726.44230769231</v>
      </c>
      <c r="FQ52" s="58">
        <f>(t_Parts[[#This Row],[ha2016.07]]-t_Parts[[#This Row],[hp2016.07]])*t_Parts[[NetPPH]:[NetPPH]]</f>
        <v>323400</v>
      </c>
      <c r="FR52" s="58">
        <f>(t_Parts[[#This Row],[ha2016.08]]-t_Parts[[#This Row],[hp2016.08]])*t_Parts[[NetPPH]:[NetPPH]]</f>
        <v>323400</v>
      </c>
      <c r="FS52" s="58">
        <f>(t_Parts[[#This Row],[ha2016.09]]-t_Parts[[#This Row],[hp2016.09]])*t_Parts[[NetPPH]:[NetPPH]]</f>
        <v>404250</v>
      </c>
      <c r="FT52" s="58">
        <f>(t_Parts[[#This Row],[ha2016.10]]-t_Parts[[#This Row],[hp2016.10]])*t_Parts[[NetPPH]:[NetPPH]]</f>
        <v>323400</v>
      </c>
      <c r="FU52" s="58">
        <f>(t_Parts[[#This Row],[ha2016.11]]-t_Parts[[#This Row],[hp2016.11]])*t_Parts[[NetPPH]:[NetPPH]]</f>
        <v>323400</v>
      </c>
      <c r="FV52" s="58">
        <f>(t_Parts[[#This Row],[ha2016.12]]-t_Parts[[#This Row],[hp2016.12]])*t_Parts[[NetPPH]:[NetPPH]]</f>
        <v>404250</v>
      </c>
      <c r="FW52" s="58">
        <f>(t_Parts[[#This Row],[ha2016.FY]]-t_Parts[[#This Row],[hp2016.FY]])*t_Parts[[NetPPH]:[NetPPH]]</f>
        <v>4163229.5</v>
      </c>
      <c r="FX52" s="58">
        <f>(t_Parts[[#This Row],[ha2017]]-t_Parts[[#This Row],[hp2017]])*t_Parts[[NetPPH]:[NetPPH]]</f>
        <v>4204200</v>
      </c>
      <c r="FY52" s="58">
        <f>(t_Parts[[#This Row],[ha2018]]-t_Parts[[#This Row],[hp2018]])*t_Parts[[NetPPH]:[NetPPH]]</f>
        <v>4204200</v>
      </c>
      <c r="FZ52" s="58">
        <f>(t_Parts[[#This Row],[ha2019]]-t_Parts[[#This Row],[hp2019]])*t_Parts[[NetPPH]:[NetPPH]]</f>
        <v>4204200</v>
      </c>
    </row>
    <row r="53" spans="1:182" s="14" customFormat="1" x14ac:dyDescent="0.25">
      <c r="A53" s="74" t="s">
        <v>567</v>
      </c>
      <c r="B53" s="74"/>
      <c r="C53" s="74">
        <v>21014</v>
      </c>
      <c r="D53" s="75">
        <v>1</v>
      </c>
      <c r="E53" s="73">
        <v>2400</v>
      </c>
      <c r="F53" s="76">
        <v>1</v>
      </c>
      <c r="G53" s="77">
        <v>2</v>
      </c>
      <c r="H53" s="16">
        <v>2015.01</v>
      </c>
      <c r="I53" s="16" t="s">
        <v>326</v>
      </c>
      <c r="J53" s="73">
        <v>54221</v>
      </c>
      <c r="K53" s="73">
        <v>54221</v>
      </c>
      <c r="L53" s="73">
        <v>54221</v>
      </c>
      <c r="M53" s="73">
        <v>54221</v>
      </c>
      <c r="N53" s="73">
        <v>54221</v>
      </c>
      <c r="O53" s="78">
        <v>29</v>
      </c>
      <c r="P53" s="78">
        <v>77</v>
      </c>
      <c r="Q53" s="79">
        <v>20.94</v>
      </c>
      <c r="R53" s="79"/>
      <c r="S53" s="78">
        <v>136</v>
      </c>
      <c r="T53" s="80">
        <v>14.5</v>
      </c>
      <c r="U53" s="80" t="s">
        <v>121</v>
      </c>
      <c r="V53" s="81" t="s">
        <v>568</v>
      </c>
      <c r="W53" s="82">
        <v>1.044</v>
      </c>
      <c r="X53" s="82" t="s">
        <v>495</v>
      </c>
      <c r="Y53" s="82" t="s">
        <v>529</v>
      </c>
      <c r="Z53" s="82"/>
      <c r="AA53" s="82"/>
      <c r="AB53" s="82"/>
      <c r="AC53" s="83" t="s">
        <v>111</v>
      </c>
      <c r="AD53" s="40" t="str">
        <f>VLOOKUP(t_Parts[[#This Row],[Press]],t_Presses[],Press!B$1,FALSE)</f>
        <v>Plainfield</v>
      </c>
      <c r="AE53" s="40" t="str">
        <f>VLOOKUP(t_Parts[[#This Row],[Press]],t_Presses[],Press!E$1,FALSE)</f>
        <v>300-599</v>
      </c>
      <c r="AF53" s="47">
        <f>VLOOKUP(t_Parts[[#This Row],[Plant]],t_Plants[],Plants!C$1,FALSE)</f>
        <v>0.55000000000000004</v>
      </c>
      <c r="AG53" s="47">
        <f>VLOOKUP(t_Parts[[#This Row],[Press]],t_Presses[],Press!F$1,FALSE)</f>
        <v>0</v>
      </c>
      <c r="AH53" s="84"/>
      <c r="AI53" s="47">
        <f>IF(ISBLANK(t_Parts[[#This Row],[PartOEE]])=FALSE,t_Parts[[#This Row],[PartOEE]], IF(t_Parts[[#This Row],[PressOEE]]&gt;0, t_Parts[[#This Row],[PressOEE]], t_Parts[[#This Row],[PlantOEE]] ))</f>
        <v>0.55000000000000004</v>
      </c>
      <c r="AJ53" s="70">
        <f>t_Parts[[#This Row],[SetupsPerMo]]*t_Parts[[#This Row],[SetupHrs]]</f>
        <v>2</v>
      </c>
      <c r="AK53" s="39">
        <f>(t_Parts[[#This Row],[PartsPerStroke]]*t_Parts[[#This Row],[StrokesPerHr]])*t_Parts[[#This Row],[UseOEE]]</f>
        <v>1320</v>
      </c>
      <c r="AL5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4170.8461538461543</v>
      </c>
      <c r="AM5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4170.8461538461543</v>
      </c>
      <c r="AN5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5213.5576923076924</v>
      </c>
      <c r="AO5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4170.8461538461543</v>
      </c>
      <c r="AP5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4170.8461538461543</v>
      </c>
      <c r="AQ5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5213.5576923076924</v>
      </c>
      <c r="AR5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4170.8461538461543</v>
      </c>
      <c r="AS5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4170.8461538461543</v>
      </c>
      <c r="AT5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5213.5576923076924</v>
      </c>
      <c r="AU5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4170.8461538461543</v>
      </c>
      <c r="AV5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4170.8461538461543</v>
      </c>
      <c r="AW5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5213.5576923076924</v>
      </c>
      <c r="AX53" s="39">
        <f>SUM(t_Parts[[#This Row],[pv2015.01]:[pv2015.12]])</f>
        <v>54221.000000000015</v>
      </c>
      <c r="AY5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4170.8461538461543</v>
      </c>
      <c r="AZ5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4170.8461538461543</v>
      </c>
      <c r="BA5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5213.5576923076924</v>
      </c>
      <c r="BB5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4170.8461538461543</v>
      </c>
      <c r="BC5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4170.8461538461543</v>
      </c>
      <c r="BD5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5213.5576923076924</v>
      </c>
      <c r="BE5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5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3" s="39">
        <f>SUM(t_Parts[[#This Row],[pv2016.01]:[pv2016.12]])</f>
        <v>27110.500000000004</v>
      </c>
      <c r="BL53" s="39">
        <f>t_Parts[[#This Row],[2017vol]]</f>
        <v>54221</v>
      </c>
      <c r="BM53" s="39">
        <f>t_Parts[[#This Row],[2018vol]]</f>
        <v>54221</v>
      </c>
      <c r="BN53" s="39">
        <f>t_Parts[[#This Row],[2019vol]]</f>
        <v>54221</v>
      </c>
      <c r="BO53" s="40">
        <f>VLOOKUP(t_Parts[[Plant]:[Plant]],t_Plants[],Plants!CN$1,FALSE)</f>
        <v>280</v>
      </c>
      <c r="BP53" s="14">
        <f>VLOOKUP(t_Parts[[Plant]:[Plant]],t_Plants[],Plants!CO$1,FALSE)</f>
        <v>280</v>
      </c>
      <c r="BQ53" s="14">
        <f>VLOOKUP(t_Parts[[Plant]:[Plant]],t_Plants[],Plants!CP$1,FALSE)</f>
        <v>350</v>
      </c>
      <c r="BR53" s="14">
        <f>VLOOKUP(t_Parts[[Plant]:[Plant]],t_Plants[],Plants!CQ$1,FALSE)</f>
        <v>280</v>
      </c>
      <c r="BS53" s="14">
        <f>VLOOKUP(t_Parts[[Plant]:[Plant]],t_Plants[],Plants!CR$1,FALSE)</f>
        <v>280</v>
      </c>
      <c r="BT53" s="14">
        <f>VLOOKUP(t_Parts[[Plant]:[Plant]],t_Plants[],Plants!CS$1,FALSE)</f>
        <v>350</v>
      </c>
      <c r="BU53" s="14">
        <f>VLOOKUP(t_Parts[[Plant]:[Plant]],t_Plants[],Plants!CT$1,FALSE)</f>
        <v>280</v>
      </c>
      <c r="BV53" s="14">
        <f>VLOOKUP(t_Parts[[Plant]:[Plant]],t_Plants[],Plants!CU$1,FALSE)</f>
        <v>280</v>
      </c>
      <c r="BW53" s="14">
        <f>VLOOKUP(t_Parts[[Plant]:[Plant]],t_Plants[],Plants!CV$1,FALSE)</f>
        <v>350</v>
      </c>
      <c r="BX53" s="14">
        <f>VLOOKUP(t_Parts[[Plant]:[Plant]],t_Plants[],Plants!CW$1,FALSE)</f>
        <v>280</v>
      </c>
      <c r="BY53" s="14">
        <f>VLOOKUP(t_Parts[[Plant]:[Plant]],t_Plants[],Plants!CX$1,FALSE)</f>
        <v>280</v>
      </c>
      <c r="BZ53" s="14">
        <f>VLOOKUP(t_Parts[[Plant]:[Plant]],t_Plants[],Plants!CY$1,FALSE)</f>
        <v>350</v>
      </c>
      <c r="CA53" s="40">
        <f>SUM(t_Parts[[#This Row],[ha2015.01]:[ha2015.12]])</f>
        <v>3640</v>
      </c>
      <c r="CB53" s="14">
        <f>VLOOKUP(t_Parts[[Plant]:[Plant]],t_Plants[],Plants!DA$1,FALSE)</f>
        <v>280</v>
      </c>
      <c r="CC53" s="14">
        <f>VLOOKUP(t_Parts[[Plant]:[Plant]],t_Plants[],Plants!DB$1,FALSE)</f>
        <v>280</v>
      </c>
      <c r="CD53" s="14">
        <f>VLOOKUP(t_Parts[[Plant]:[Plant]],t_Plants[],Plants!DC$1,FALSE)</f>
        <v>350</v>
      </c>
      <c r="CE53" s="14">
        <f>VLOOKUP(t_Parts[[Plant]:[Plant]],t_Plants[],Plants!DD$1,FALSE)</f>
        <v>280</v>
      </c>
      <c r="CF53" s="14">
        <f>VLOOKUP(t_Parts[[Plant]:[Plant]],t_Plants[],Plants!DE$1,FALSE)</f>
        <v>280</v>
      </c>
      <c r="CG53" s="14">
        <f>VLOOKUP(t_Parts[[Plant]:[Plant]],t_Plants[],Plants!DF$1,FALSE)</f>
        <v>350</v>
      </c>
      <c r="CH53" s="14">
        <f>VLOOKUP(t_Parts[[Plant]:[Plant]],t_Plants[],Plants!DG$1,FALSE)</f>
        <v>280</v>
      </c>
      <c r="CI53" s="14">
        <f>VLOOKUP(t_Parts[[Plant]:[Plant]],t_Plants[],Plants!DH$1,FALSE)</f>
        <v>280</v>
      </c>
      <c r="CJ53" s="14">
        <f>VLOOKUP(t_Parts[[Plant]:[Plant]],t_Plants[],Plants!DI$1,FALSE)</f>
        <v>350</v>
      </c>
      <c r="CK53" s="14">
        <f>VLOOKUP(t_Parts[[Plant]:[Plant]],t_Plants[],Plants!DJ$1,FALSE)</f>
        <v>280</v>
      </c>
      <c r="CL53" s="14">
        <f>VLOOKUP(t_Parts[[Plant]:[Plant]],t_Plants[],Plants!DK$1,FALSE)</f>
        <v>280</v>
      </c>
      <c r="CM53" s="14">
        <f>VLOOKUP(t_Parts[[Plant]:[Plant]],t_Plants[],Plants!DL$1,FALSE)</f>
        <v>350</v>
      </c>
      <c r="CN53" s="14">
        <f>VLOOKUP(t_Parts[[Plant]:[Plant]],t_Plants[],Plants!DM$1,FALSE)</f>
        <v>3640</v>
      </c>
      <c r="CO53" s="14">
        <f>VLOOKUP(t_Parts[[Plant]:[Plant]],t_Plants[],Plants!DN$1,FALSE)</f>
        <v>3640</v>
      </c>
      <c r="CP53" s="14">
        <f>VLOOKUP(t_Parts[[Plant]:[Plant]],t_Plants[],Plants!DO$1,FALSE)</f>
        <v>3640</v>
      </c>
      <c r="CQ53" s="14">
        <f>VLOOKUP(t_Parts[[Plant]:[Plant]],t_Plants[],Plants!DP$1,FALSE)</f>
        <v>3640</v>
      </c>
      <c r="CR53" s="39">
        <f>IF(AND(AL$3&gt;=VALUE(t_Parts[[SOP]:[SOP]]),AL$3&lt;=VALUE(t_Parts[[EOP]:[EOP]])), t_Parts[[SetupHrsPerMo]:[SetupHrsPerMo]]+(t_Parts[[#This Row],[pv2015.01]]/t_Parts[[NetPPH]:[NetPPH]]),0)</f>
        <v>5.1597319347319353</v>
      </c>
      <c r="CS53" s="39">
        <f>IF(AND(AM$3&gt;=VALUE(t_Parts[[SOP]:[SOP]]),AM$3&lt;=VALUE(t_Parts[[EOP]:[EOP]])), t_Parts[[SetupHrsPerMo]:[SetupHrsPerMo]]+(t_Parts[[#This Row],[pv2015.02]]/t_Parts[[NetPPH]:[NetPPH]]),0)</f>
        <v>5.1597319347319353</v>
      </c>
      <c r="CT53" s="39">
        <f>IF(AND(AN$3&gt;=VALUE(t_Parts[[SOP]:[SOP]]),AN$3&lt;=VALUE(t_Parts[[EOP]:[EOP]])), t_Parts[[SetupHrsPerMo]:[SetupHrsPerMo]]+(t_Parts[[#This Row],[pv2015.03]]/t_Parts[[NetPPH]:[NetPPH]]),0)</f>
        <v>5.9496649184149186</v>
      </c>
      <c r="CU53" s="39">
        <f>IF(AND(AO$3&gt;=VALUE(t_Parts[[SOP]:[SOP]]),AO$3&lt;=VALUE(t_Parts[[EOP]:[EOP]])), t_Parts[[SetupHrsPerMo]:[SetupHrsPerMo]]+(t_Parts[[#This Row],[pv2015.04]]/t_Parts[[NetPPH]:[NetPPH]]),0)</f>
        <v>5.1597319347319353</v>
      </c>
      <c r="CV53" s="39">
        <f>IF(AND(AP$3&gt;=VALUE(t_Parts[[SOP]:[SOP]]),AP$3&lt;=VALUE(t_Parts[[EOP]:[EOP]])), t_Parts[[SetupHrsPerMo]:[SetupHrsPerMo]]+(t_Parts[[#This Row],[pv2015.05]]/t_Parts[[NetPPH]:[NetPPH]]),0)</f>
        <v>5.1597319347319353</v>
      </c>
      <c r="CW53" s="39">
        <f>IF(AND(AQ$3&gt;=VALUE(t_Parts[[SOP]:[SOP]]),AQ$3&lt;=VALUE(t_Parts[[EOP]:[EOP]])), t_Parts[[SetupHrsPerMo]:[SetupHrsPerMo]]+(t_Parts[[#This Row],[pv2015.06]]/t_Parts[[NetPPH]:[NetPPH]]),0)</f>
        <v>5.9496649184149186</v>
      </c>
      <c r="CX53" s="39">
        <f>IF(AND(AR$3&gt;=VALUE(t_Parts[[SOP]:[SOP]]),AR$3&lt;=VALUE(t_Parts[[EOP]:[EOP]])), t_Parts[[SetupHrsPerMo]:[SetupHrsPerMo]]+(t_Parts[[#This Row],[pv2015.07]]/t_Parts[[NetPPH]:[NetPPH]]),0)</f>
        <v>5.1597319347319353</v>
      </c>
      <c r="CY53" s="39">
        <f>IF(AND(AS$3&gt;=VALUE(t_Parts[[SOP]:[SOP]]),AS$3&lt;=VALUE(t_Parts[[EOP]:[EOP]])), t_Parts[[SetupHrsPerMo]:[SetupHrsPerMo]]+(t_Parts[[#This Row],[pv2015.08]]/t_Parts[[NetPPH]:[NetPPH]]),0)</f>
        <v>5.1597319347319353</v>
      </c>
      <c r="CZ53" s="39">
        <f>IF(AND(AT$3&gt;=VALUE(t_Parts[[SOP]:[SOP]]),AT$3&lt;=VALUE(t_Parts[[EOP]:[EOP]])), t_Parts[[SetupHrsPerMo]:[SetupHrsPerMo]]+(t_Parts[[#This Row],[pv2015.09]]/t_Parts[[NetPPH]:[NetPPH]]),0)</f>
        <v>5.9496649184149186</v>
      </c>
      <c r="DA53" s="39">
        <f>IF(AND(AU$3&gt;=VALUE(t_Parts[[SOP]:[SOP]]),AU$3&lt;=VALUE(t_Parts[[EOP]:[EOP]])), t_Parts[[SetupHrsPerMo]:[SetupHrsPerMo]]+(t_Parts[[#This Row],[pv2015.10]]/t_Parts[[NetPPH]:[NetPPH]]),0)</f>
        <v>5.1597319347319353</v>
      </c>
      <c r="DB53" s="39">
        <f>IF(AND(AV$3&gt;=VALUE(t_Parts[[SOP]:[SOP]]),AV$3&lt;=VALUE(t_Parts[[EOP]:[EOP]])), t_Parts[[SetupHrsPerMo]:[SetupHrsPerMo]]+(t_Parts[[#This Row],[pv2015.11]]/t_Parts[[NetPPH]:[NetPPH]]),0)</f>
        <v>5.1597319347319353</v>
      </c>
      <c r="DC53" s="39">
        <f>IF(AND(AW$3&gt;=VALUE(t_Parts[[SOP]:[SOP]]),AW$3&lt;=VALUE(t_Parts[[EOP]:[EOP]])), t_Parts[[SetupHrsPerMo]:[SetupHrsPerMo]]+(t_Parts[[#This Row],[pv2015.12]]/t_Parts[[NetPPH]:[NetPPH]]),0)</f>
        <v>5.9496649184149186</v>
      </c>
      <c r="DD53" s="39">
        <f>SUM(t_Parts[[#This Row],[hp2015.01]:[hp2015.12]])</f>
        <v>65.076515151515167</v>
      </c>
      <c r="DE53" s="39">
        <f>IF(AND(AY$3&gt;=VALUE(t_Parts[[SOP]:[SOP]]),AY$3&lt;=VALUE(t_Parts[[EOP]:[EOP]])), t_Parts[[SetupHrsPerMo]:[SetupHrsPerMo]]+(t_Parts[[#This Row],[pv2016.01]]/t_Parts[[NetPPH]:[NetPPH]]),0)</f>
        <v>5.1597319347319353</v>
      </c>
      <c r="DF53" s="39">
        <f>IF(AND(AZ$3&gt;=VALUE(t_Parts[[SOP]:[SOP]]),AZ$3&lt;=VALUE(t_Parts[[EOP]:[EOP]])), t_Parts[[SetupHrsPerMo]:[SetupHrsPerMo]]+(t_Parts[[#This Row],[pv2016.02]]/t_Parts[[NetPPH]:[NetPPH]]),0)</f>
        <v>5.1597319347319353</v>
      </c>
      <c r="DG53" s="39">
        <f>IF(AND(BA$3&gt;=VALUE(t_Parts[[SOP]:[SOP]]),BA$3&lt;=VALUE(t_Parts[[EOP]:[EOP]])), t_Parts[[SetupHrsPerMo]:[SetupHrsPerMo]]+(t_Parts[[#This Row],[pv2016.03]]/t_Parts[[NetPPH]:[NetPPH]]),0)</f>
        <v>5.9496649184149186</v>
      </c>
      <c r="DH53" s="39">
        <f>IF(AND(BB$3&gt;=VALUE(t_Parts[[SOP]:[SOP]]),BB$3&lt;=VALUE(t_Parts[[EOP]:[EOP]])), t_Parts[[SetupHrsPerMo]:[SetupHrsPerMo]]+(t_Parts[[#This Row],[pv2016.04]]/t_Parts[[NetPPH]:[NetPPH]]),0)</f>
        <v>5.1597319347319353</v>
      </c>
      <c r="DI53" s="39">
        <f>IF(AND(BC$3&gt;=VALUE(t_Parts[[SOP]:[SOP]]),BC$3&lt;=VALUE(t_Parts[[EOP]:[EOP]])), t_Parts[[SetupHrsPerMo]:[SetupHrsPerMo]]+(t_Parts[[#This Row],[pv2016.05]]/t_Parts[[NetPPH]:[NetPPH]]),0)</f>
        <v>5.1597319347319353</v>
      </c>
      <c r="DJ53" s="39">
        <f>IF(AND(BD$3&gt;=VALUE(t_Parts[[SOP]:[SOP]]),BD$3&lt;=VALUE(t_Parts[[EOP]:[EOP]])), t_Parts[[SetupHrsPerMo]:[SetupHrsPerMo]]+(t_Parts[[#This Row],[pv2016.06]]/t_Parts[[NetPPH]:[NetPPH]]),0)</f>
        <v>5.9496649184149186</v>
      </c>
      <c r="DK53" s="39">
        <f>IF(AND(BE$3&gt;=VALUE(t_Parts[[SOP]:[SOP]]),BE$3&lt;=VALUE(t_Parts[[EOP]:[EOP]])), t_Parts[[SetupHrsPerMo]:[SetupHrsPerMo]]+(t_Parts[[#This Row],[pv2016.07]]/t_Parts[[NetPPH]:[NetPPH]]),0)</f>
        <v>0</v>
      </c>
      <c r="DL53" s="39">
        <f>IF(AND(BF$3&gt;=VALUE(t_Parts[[SOP]:[SOP]]),BF$3&lt;=VALUE(t_Parts[[EOP]:[EOP]])), t_Parts[[SetupHrsPerMo]:[SetupHrsPerMo]]+(t_Parts[[#This Row],[pv2016.08]]/t_Parts[[NetPPH]:[NetPPH]]),0)</f>
        <v>0</v>
      </c>
      <c r="DM53" s="39">
        <f>IF(AND(BG$3&gt;=VALUE(t_Parts[[SOP]:[SOP]]),BG$3&lt;=VALUE(t_Parts[[EOP]:[EOP]])), t_Parts[[SetupHrsPerMo]:[SetupHrsPerMo]]+(t_Parts[[#This Row],[pv2016.09]]/t_Parts[[NetPPH]:[NetPPH]]),0)</f>
        <v>0</v>
      </c>
      <c r="DN53" s="39">
        <f>IF(AND(BH$3&gt;=VALUE(t_Parts[[SOP]:[SOP]]),BH$3&lt;=VALUE(t_Parts[[EOP]:[EOP]])), t_Parts[[SetupHrsPerMo]:[SetupHrsPerMo]]+(t_Parts[[#This Row],[pv2016.10]]/t_Parts[[NetPPH]:[NetPPH]]),0)</f>
        <v>0</v>
      </c>
      <c r="DO53" s="39">
        <f>IF(AND(BI$3&gt;=VALUE(t_Parts[[SOP]:[SOP]]),BI$3&lt;=VALUE(t_Parts[[EOP]:[EOP]])), t_Parts[[SetupHrsPerMo]:[SetupHrsPerMo]]+(t_Parts[[#This Row],[pv2016.11]]/t_Parts[[NetPPH]:[NetPPH]]),0)</f>
        <v>0</v>
      </c>
      <c r="DP53" s="39">
        <f>IF(AND(BJ$3&gt;=VALUE(t_Parts[[SOP]:[SOP]]),BJ$3&lt;=VALUE(t_Parts[[EOP]:[EOP]])), t_Parts[[SetupHrsPerMo]:[SetupHrsPerMo]]+(t_Parts[[#This Row],[pv2016.12]]/t_Parts[[NetPPH]:[NetPPH]]),0)</f>
        <v>0</v>
      </c>
      <c r="DQ53" s="39">
        <f>SUM(t_Parts[[#This Row],[hp2016.01]:[hp2016.12]])</f>
        <v>32.538257575757576</v>
      </c>
      <c r="DR53" s="39">
        <f>IF(AND(BL$3&gt;=VALUE(t_Parts[[SOP]:[SOP]]),BL$3&lt;=VALUE(t_Parts[[EOP]:[EOP]])), 12*t_Parts[[SetupHrsPerMo]:[SetupHrsPerMo]]+(t_Parts[[#This Row],[pv2017]]/t_Parts[[NetPPH]:[NetPPH]]),0)</f>
        <v>0</v>
      </c>
      <c r="DS53" s="39">
        <f>IF(AND(BM$3&gt;=VALUE(t_Parts[[SOP]:[SOP]]),BM$3&lt;=VALUE(t_Parts[[EOP]:[EOP]])), 12*t_Parts[[SetupHrsPerMo]:[SetupHrsPerMo]]+(t_Parts[[#This Row],[pv2018]]/t_Parts[[NetPPH]:[NetPPH]]),0)</f>
        <v>0</v>
      </c>
      <c r="DT53" s="39">
        <f>IF(AND(BN$3&gt;=VALUE(t_Parts[[SOP]:[SOP]]),BN$3&lt;=VALUE(t_Parts[[EOP]:[EOP]])), 12*t_Parts[[SetupHrsPerMo]:[SetupHrsPerMo]]+(t_Parts[[#This Row],[pv2019]]/t_Parts[[NetPPH]:[NetPPH]]),0)</f>
        <v>0</v>
      </c>
      <c r="DU53" s="47">
        <f>t_Parts[[#This Row],[hp2015.01]]/t_Parts[[#This Row],[ha2015.01]]</f>
        <v>1.8427614052614054E-2</v>
      </c>
      <c r="DV53" s="47">
        <f>t_Parts[[#This Row],[hp2015.02]]/t_Parts[[#This Row],[ha2015.02]]</f>
        <v>1.8427614052614054E-2</v>
      </c>
      <c r="DW53" s="47">
        <f>t_Parts[[#This Row],[hp2015.03]]/t_Parts[[#This Row],[ha2015.03]]</f>
        <v>1.6999042624042626E-2</v>
      </c>
      <c r="DX53" s="47">
        <f>t_Parts[[#This Row],[hp2015.04]]/t_Parts[[#This Row],[ha2015.04]]</f>
        <v>1.8427614052614054E-2</v>
      </c>
      <c r="DY53" s="47">
        <f>t_Parts[[#This Row],[hp2015.05]]/t_Parts[[#This Row],[ha2015.05]]</f>
        <v>1.8427614052614054E-2</v>
      </c>
      <c r="DZ53" s="47">
        <f>t_Parts[[#This Row],[hp2015.06]]/t_Parts[[#This Row],[ha2015.06]]</f>
        <v>1.6999042624042626E-2</v>
      </c>
      <c r="EA53" s="47">
        <f>t_Parts[[#This Row],[hp2015.07]]/t_Parts[[#This Row],[ha2015.07]]</f>
        <v>1.8427614052614054E-2</v>
      </c>
      <c r="EB53" s="47">
        <f>t_Parts[[#This Row],[hp2015.08]]/t_Parts[[#This Row],[ha2015.08]]</f>
        <v>1.8427614052614054E-2</v>
      </c>
      <c r="EC53" s="47">
        <f>t_Parts[[#This Row],[hp2015.09]]/t_Parts[[#This Row],[ha2015.09]]</f>
        <v>1.6999042624042626E-2</v>
      </c>
      <c r="ED53" s="47">
        <f>t_Parts[[#This Row],[hp2015.10]]/t_Parts[[#This Row],[ha2015.10]]</f>
        <v>1.8427614052614054E-2</v>
      </c>
      <c r="EE53" s="47">
        <f>t_Parts[[#This Row],[hp2015.11]]/t_Parts[[#This Row],[ha2015.11]]</f>
        <v>1.8427614052614054E-2</v>
      </c>
      <c r="EF53" s="47">
        <f>t_Parts[[#This Row],[hp2015.12]]/t_Parts[[#This Row],[ha2015.12]]</f>
        <v>1.6999042624042626E-2</v>
      </c>
      <c r="EG53" s="47">
        <f>t_Parts[[#This Row],[hp2015.FY]]/t_Parts[[#This Row],[ha2015.FY]]</f>
        <v>1.7878163503163506E-2</v>
      </c>
      <c r="EH53" s="47">
        <f>t_Parts[[#This Row],[hp2016.01]]/t_Parts[[#This Row],[ha2016.01]]</f>
        <v>1.8427614052614054E-2</v>
      </c>
      <c r="EI53" s="47">
        <f>t_Parts[[#This Row],[hp2016.02]]/t_Parts[[#This Row],[ha2016.02]]</f>
        <v>1.8427614052614054E-2</v>
      </c>
      <c r="EJ53" s="47">
        <f>t_Parts[[#This Row],[hp2016.03]]/t_Parts[[#This Row],[ha2016.03]]</f>
        <v>1.6999042624042626E-2</v>
      </c>
      <c r="EK53" s="47">
        <f>t_Parts[[#This Row],[hp2016.04]]/t_Parts[[#This Row],[ha2016.04]]</f>
        <v>1.8427614052614054E-2</v>
      </c>
      <c r="EL53" s="47">
        <f>t_Parts[[#This Row],[hp2016.05]]/t_Parts[[#This Row],[ha2016.05]]</f>
        <v>1.8427614052614054E-2</v>
      </c>
      <c r="EM53" s="47">
        <f>t_Parts[[#This Row],[hp2016.06]]/t_Parts[[#This Row],[ha2016.06]]</f>
        <v>1.6999042624042626E-2</v>
      </c>
      <c r="EN53" s="47">
        <f>t_Parts[[#This Row],[hp2016.07]]/t_Parts[[#This Row],[ha2016.07]]</f>
        <v>0</v>
      </c>
      <c r="EO53" s="47">
        <f>t_Parts[[#This Row],[hp2016.08]]/t_Parts[[#This Row],[ha2016.08]]</f>
        <v>0</v>
      </c>
      <c r="EP53" s="47">
        <f>t_Parts[[#This Row],[hp2016.09]]/t_Parts[[#This Row],[ha2016.09]]</f>
        <v>0</v>
      </c>
      <c r="EQ53" s="47">
        <f>t_Parts[[#This Row],[hp2016.10]]/t_Parts[[#This Row],[ha2016.10]]</f>
        <v>0</v>
      </c>
      <c r="ER53" s="47">
        <f>t_Parts[[#This Row],[hp2016.11]]/t_Parts[[#This Row],[ha2016.11]]</f>
        <v>0</v>
      </c>
      <c r="ES53" s="47">
        <f>t_Parts[[#This Row],[hp2016.12]]/t_Parts[[#This Row],[ha2016.12]]</f>
        <v>0</v>
      </c>
      <c r="ET53" s="47">
        <f>t_Parts[[#This Row],[hp2016.FY]]/t_Parts[[#This Row],[ha2016.FY]]</f>
        <v>8.9390817515817515E-3</v>
      </c>
      <c r="EU53" s="47">
        <f>t_Parts[[#This Row],[hp2017]]/t_Parts[[#This Row],[ha2017]]</f>
        <v>0</v>
      </c>
      <c r="EV53" s="47">
        <f>t_Parts[[#This Row],[hp2018]]/t_Parts[[#This Row],[ha2018]]</f>
        <v>0</v>
      </c>
      <c r="EW53" s="47">
        <f>t_Parts[[#This Row],[hp2019]]/t_Parts[[#This Row],[hp2015.01]]</f>
        <v>0</v>
      </c>
      <c r="EX53" s="58">
        <f>(t_Parts[[#This Row],[ha2015.01]]-t_Parts[[#This Row],[hp2015.01]])*t_Parts[[NetPPH]:[NetPPH]]</f>
        <v>362789.15384615381</v>
      </c>
      <c r="EY53" s="58">
        <f>(t_Parts[[#This Row],[ha2015.02]]-t_Parts[[#This Row],[hp2015.02]])*t_Parts[[NetPPH]:[NetPPH]]</f>
        <v>362789.15384615381</v>
      </c>
      <c r="EZ53" s="58">
        <f>(t_Parts[[#This Row],[ha2015.03]]-t_Parts[[#This Row],[hp2015.03]])*t_Parts[[NetPPH]:[NetPPH]]</f>
        <v>454146.44230769231</v>
      </c>
      <c r="FA53" s="58">
        <f>(t_Parts[[#This Row],[ha2015.04]]-t_Parts[[#This Row],[hp2015.04]])*t_Parts[[NetPPH]:[NetPPH]]</f>
        <v>362789.15384615381</v>
      </c>
      <c r="FB53" s="58">
        <f>(t_Parts[[#This Row],[ha2015.05]]-t_Parts[[#This Row],[hp2015.05]])*t_Parts[[NetPPH]:[NetPPH]]</f>
        <v>362789.15384615381</v>
      </c>
      <c r="FC53" s="58">
        <f>(t_Parts[[#This Row],[ha2015.06]]-t_Parts[[#This Row],[hp2015.06]])*t_Parts[[NetPPH]:[NetPPH]]</f>
        <v>454146.44230769231</v>
      </c>
      <c r="FD53" s="58">
        <f>(t_Parts[[#This Row],[ha2015.07]]-t_Parts[[#This Row],[hp2015.07]])*t_Parts[[NetPPH]:[NetPPH]]</f>
        <v>362789.15384615381</v>
      </c>
      <c r="FE53" s="58">
        <f>(t_Parts[[#This Row],[ha2015.08]]-t_Parts[[#This Row],[hp2015.08]])*t_Parts[[NetPPH]:[NetPPH]]</f>
        <v>362789.15384615381</v>
      </c>
      <c r="FF53" s="58">
        <f>(t_Parts[[#This Row],[ha2015.09]]-t_Parts[[#This Row],[hp2015.09]])*t_Parts[[NetPPH]:[NetPPH]]</f>
        <v>454146.44230769231</v>
      </c>
      <c r="FG53" s="58">
        <f>(t_Parts[[#This Row],[ha2015.10]]-t_Parts[[#This Row],[hp2015.10]])*t_Parts[[NetPPH]:[NetPPH]]</f>
        <v>362789.15384615381</v>
      </c>
      <c r="FH53" s="58">
        <f>(t_Parts[[#This Row],[ha2015.11]]-t_Parts[[#This Row],[hp2015.11]])*t_Parts[[NetPPH]:[NetPPH]]</f>
        <v>362789.15384615381</v>
      </c>
      <c r="FI53" s="58">
        <f>(t_Parts[[#This Row],[ha2015.12]]-t_Parts[[#This Row],[hp2015.12]])*t_Parts[[NetPPH]:[NetPPH]]</f>
        <v>454146.44230769231</v>
      </c>
      <c r="FJ53" s="58">
        <f>(t_Parts[[#This Row],[ha2015.FY]]-t_Parts[[#This Row],[hp2015.FY]])*t_Parts[[NetPPH]:[NetPPH]]</f>
        <v>4718899</v>
      </c>
      <c r="FK53" s="58">
        <f>(t_Parts[[#This Row],[ha2016.01]]-t_Parts[[#This Row],[hp2016.01]])*t_Parts[[NetPPH]:[NetPPH]]</f>
        <v>362789.15384615381</v>
      </c>
      <c r="FL53" s="58">
        <f>(t_Parts[[#This Row],[ha2016.02]]-t_Parts[[#This Row],[hp2016.02]])*t_Parts[[NetPPH]:[NetPPH]]</f>
        <v>362789.15384615381</v>
      </c>
      <c r="FM53" s="58">
        <f>(t_Parts[[#This Row],[ha2016.03]]-t_Parts[[#This Row],[hp2016.03]])*t_Parts[[NetPPH]:[NetPPH]]</f>
        <v>454146.44230769231</v>
      </c>
      <c r="FN53" s="58">
        <f>(t_Parts[[#This Row],[ha2016.04]]-t_Parts[[#This Row],[hp2016.04]])*t_Parts[[NetPPH]:[NetPPH]]</f>
        <v>362789.15384615381</v>
      </c>
      <c r="FO53" s="58">
        <f>(t_Parts[[#This Row],[ha2016.05]]-t_Parts[[#This Row],[hp2016.05]])*t_Parts[[NetPPH]:[NetPPH]]</f>
        <v>362789.15384615381</v>
      </c>
      <c r="FP53" s="58">
        <f>(t_Parts[[#This Row],[ha2016.06]]-t_Parts[[#This Row],[hp2016.06]])*t_Parts[[NetPPH]:[NetPPH]]</f>
        <v>454146.44230769231</v>
      </c>
      <c r="FQ53" s="58">
        <f>(t_Parts[[#This Row],[ha2016.07]]-t_Parts[[#This Row],[hp2016.07]])*t_Parts[[NetPPH]:[NetPPH]]</f>
        <v>369600</v>
      </c>
      <c r="FR53" s="58">
        <f>(t_Parts[[#This Row],[ha2016.08]]-t_Parts[[#This Row],[hp2016.08]])*t_Parts[[NetPPH]:[NetPPH]]</f>
        <v>369600</v>
      </c>
      <c r="FS53" s="58">
        <f>(t_Parts[[#This Row],[ha2016.09]]-t_Parts[[#This Row],[hp2016.09]])*t_Parts[[NetPPH]:[NetPPH]]</f>
        <v>462000</v>
      </c>
      <c r="FT53" s="58">
        <f>(t_Parts[[#This Row],[ha2016.10]]-t_Parts[[#This Row],[hp2016.10]])*t_Parts[[NetPPH]:[NetPPH]]</f>
        <v>369600</v>
      </c>
      <c r="FU53" s="58">
        <f>(t_Parts[[#This Row],[ha2016.11]]-t_Parts[[#This Row],[hp2016.11]])*t_Parts[[NetPPH]:[NetPPH]]</f>
        <v>369600</v>
      </c>
      <c r="FV53" s="58">
        <f>(t_Parts[[#This Row],[ha2016.12]]-t_Parts[[#This Row],[hp2016.12]])*t_Parts[[NetPPH]:[NetPPH]]</f>
        <v>462000</v>
      </c>
      <c r="FW53" s="58">
        <f>(t_Parts[[#This Row],[ha2016.FY]]-t_Parts[[#This Row],[hp2016.FY]])*t_Parts[[NetPPH]:[NetPPH]]</f>
        <v>4761849.5</v>
      </c>
      <c r="FX53" s="58">
        <f>(t_Parts[[#This Row],[ha2017]]-t_Parts[[#This Row],[hp2017]])*t_Parts[[NetPPH]:[NetPPH]]</f>
        <v>4804800</v>
      </c>
      <c r="FY53" s="58">
        <f>(t_Parts[[#This Row],[ha2018]]-t_Parts[[#This Row],[hp2018]])*t_Parts[[NetPPH]:[NetPPH]]</f>
        <v>4804800</v>
      </c>
      <c r="FZ53" s="58">
        <f>(t_Parts[[#This Row],[ha2019]]-t_Parts[[#This Row],[hp2019]])*t_Parts[[NetPPH]:[NetPPH]]</f>
        <v>4804800</v>
      </c>
    </row>
    <row r="54" spans="1:182" s="14" customFormat="1" x14ac:dyDescent="0.25">
      <c r="A54" s="74" t="s">
        <v>569</v>
      </c>
      <c r="B54" s="74"/>
      <c r="C54" s="74">
        <v>21001</v>
      </c>
      <c r="D54" s="75">
        <v>1</v>
      </c>
      <c r="E54" s="73">
        <v>2100</v>
      </c>
      <c r="F54" s="76">
        <v>1</v>
      </c>
      <c r="G54" s="77">
        <v>2</v>
      </c>
      <c r="H54" s="16">
        <v>2015.01</v>
      </c>
      <c r="I54" s="16" t="s">
        <v>326</v>
      </c>
      <c r="J54" s="73">
        <v>54221</v>
      </c>
      <c r="K54" s="73">
        <v>54221</v>
      </c>
      <c r="L54" s="73">
        <v>54221</v>
      </c>
      <c r="M54" s="73">
        <v>54221</v>
      </c>
      <c r="N54" s="73">
        <v>54221</v>
      </c>
      <c r="O54" s="78">
        <v>33</v>
      </c>
      <c r="P54" s="78">
        <v>66</v>
      </c>
      <c r="Q54" s="79">
        <v>22.25</v>
      </c>
      <c r="R54" s="79"/>
      <c r="S54" s="78">
        <v>157</v>
      </c>
      <c r="T54" s="80">
        <v>15</v>
      </c>
      <c r="U54" s="80" t="s">
        <v>121</v>
      </c>
      <c r="V54" s="81" t="s">
        <v>570</v>
      </c>
      <c r="W54" s="82">
        <v>1.06</v>
      </c>
      <c r="X54" s="82" t="s">
        <v>495</v>
      </c>
      <c r="Y54" s="82" t="s">
        <v>547</v>
      </c>
      <c r="Z54" s="82"/>
      <c r="AA54" s="82"/>
      <c r="AB54" s="82"/>
      <c r="AC54" s="83" t="s">
        <v>111</v>
      </c>
      <c r="AD54" s="40" t="str">
        <f>VLOOKUP(t_Parts[[#This Row],[Press]],t_Presses[],Press!B$1,FALSE)</f>
        <v>Plainfield</v>
      </c>
      <c r="AE54" s="40" t="str">
        <f>VLOOKUP(t_Parts[[#This Row],[Press]],t_Presses[],Press!E$1,FALSE)</f>
        <v>300-599</v>
      </c>
      <c r="AF54" s="47">
        <f>VLOOKUP(t_Parts[[#This Row],[Plant]],t_Plants[],Plants!C$1,FALSE)</f>
        <v>0.55000000000000004</v>
      </c>
      <c r="AG54" s="47">
        <f>VLOOKUP(t_Parts[[#This Row],[Press]],t_Presses[],Press!F$1,FALSE)</f>
        <v>0</v>
      </c>
      <c r="AH54" s="84"/>
      <c r="AI54" s="47">
        <f>IF(ISBLANK(t_Parts[[#This Row],[PartOEE]])=FALSE,t_Parts[[#This Row],[PartOEE]], IF(t_Parts[[#This Row],[PressOEE]]&gt;0, t_Parts[[#This Row],[PressOEE]], t_Parts[[#This Row],[PlantOEE]] ))</f>
        <v>0.55000000000000004</v>
      </c>
      <c r="AJ54" s="70">
        <f>t_Parts[[#This Row],[SetupsPerMo]]*t_Parts[[#This Row],[SetupHrs]]</f>
        <v>2</v>
      </c>
      <c r="AK54" s="39">
        <f>(t_Parts[[#This Row],[PartsPerStroke]]*t_Parts[[#This Row],[StrokesPerHr]])*t_Parts[[#This Row],[UseOEE]]</f>
        <v>1155</v>
      </c>
      <c r="AL5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4170.8461538461543</v>
      </c>
      <c r="AM5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4170.8461538461543</v>
      </c>
      <c r="AN5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5213.5576923076924</v>
      </c>
      <c r="AO5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4170.8461538461543</v>
      </c>
      <c r="AP5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4170.8461538461543</v>
      </c>
      <c r="AQ5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5213.5576923076924</v>
      </c>
      <c r="AR5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4170.8461538461543</v>
      </c>
      <c r="AS5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4170.8461538461543</v>
      </c>
      <c r="AT5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5213.5576923076924</v>
      </c>
      <c r="AU5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4170.8461538461543</v>
      </c>
      <c r="AV5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4170.8461538461543</v>
      </c>
      <c r="AW5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5213.5576923076924</v>
      </c>
      <c r="AX54" s="39">
        <f>SUM(t_Parts[[#This Row],[pv2015.01]:[pv2015.12]])</f>
        <v>54221.000000000015</v>
      </c>
      <c r="AY5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4170.8461538461543</v>
      </c>
      <c r="AZ5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4170.8461538461543</v>
      </c>
      <c r="BA5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5213.5576923076924</v>
      </c>
      <c r="BB5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4170.8461538461543</v>
      </c>
      <c r="BC5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4170.8461538461543</v>
      </c>
      <c r="BD5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5213.5576923076924</v>
      </c>
      <c r="BE5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5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4" s="39">
        <f>SUM(t_Parts[[#This Row],[pv2016.01]:[pv2016.12]])</f>
        <v>27110.500000000004</v>
      </c>
      <c r="BL54" s="39">
        <f>t_Parts[[#This Row],[2017vol]]</f>
        <v>54221</v>
      </c>
      <c r="BM54" s="39">
        <f>t_Parts[[#This Row],[2018vol]]</f>
        <v>54221</v>
      </c>
      <c r="BN54" s="39">
        <f>t_Parts[[#This Row],[2019vol]]</f>
        <v>54221</v>
      </c>
      <c r="BO54" s="40">
        <f>VLOOKUP(t_Parts[[Plant]:[Plant]],t_Plants[],Plants!CN$1,FALSE)</f>
        <v>280</v>
      </c>
      <c r="BP54" s="14">
        <f>VLOOKUP(t_Parts[[Plant]:[Plant]],t_Plants[],Plants!CO$1,FALSE)</f>
        <v>280</v>
      </c>
      <c r="BQ54" s="14">
        <f>VLOOKUP(t_Parts[[Plant]:[Plant]],t_Plants[],Plants!CP$1,FALSE)</f>
        <v>350</v>
      </c>
      <c r="BR54" s="14">
        <f>VLOOKUP(t_Parts[[Plant]:[Plant]],t_Plants[],Plants!CQ$1,FALSE)</f>
        <v>280</v>
      </c>
      <c r="BS54" s="14">
        <f>VLOOKUP(t_Parts[[Plant]:[Plant]],t_Plants[],Plants!CR$1,FALSE)</f>
        <v>280</v>
      </c>
      <c r="BT54" s="14">
        <f>VLOOKUP(t_Parts[[Plant]:[Plant]],t_Plants[],Plants!CS$1,FALSE)</f>
        <v>350</v>
      </c>
      <c r="BU54" s="14">
        <f>VLOOKUP(t_Parts[[Plant]:[Plant]],t_Plants[],Plants!CT$1,FALSE)</f>
        <v>280</v>
      </c>
      <c r="BV54" s="14">
        <f>VLOOKUP(t_Parts[[Plant]:[Plant]],t_Plants[],Plants!CU$1,FALSE)</f>
        <v>280</v>
      </c>
      <c r="BW54" s="14">
        <f>VLOOKUP(t_Parts[[Plant]:[Plant]],t_Plants[],Plants!CV$1,FALSE)</f>
        <v>350</v>
      </c>
      <c r="BX54" s="14">
        <f>VLOOKUP(t_Parts[[Plant]:[Plant]],t_Plants[],Plants!CW$1,FALSE)</f>
        <v>280</v>
      </c>
      <c r="BY54" s="14">
        <f>VLOOKUP(t_Parts[[Plant]:[Plant]],t_Plants[],Plants!CX$1,FALSE)</f>
        <v>280</v>
      </c>
      <c r="BZ54" s="14">
        <f>VLOOKUP(t_Parts[[Plant]:[Plant]],t_Plants[],Plants!CY$1,FALSE)</f>
        <v>350</v>
      </c>
      <c r="CA54" s="40">
        <f>SUM(t_Parts[[#This Row],[ha2015.01]:[ha2015.12]])</f>
        <v>3640</v>
      </c>
      <c r="CB54" s="14">
        <f>VLOOKUP(t_Parts[[Plant]:[Plant]],t_Plants[],Plants!DA$1,FALSE)</f>
        <v>280</v>
      </c>
      <c r="CC54" s="14">
        <f>VLOOKUP(t_Parts[[Plant]:[Plant]],t_Plants[],Plants!DB$1,FALSE)</f>
        <v>280</v>
      </c>
      <c r="CD54" s="14">
        <f>VLOOKUP(t_Parts[[Plant]:[Plant]],t_Plants[],Plants!DC$1,FALSE)</f>
        <v>350</v>
      </c>
      <c r="CE54" s="14">
        <f>VLOOKUP(t_Parts[[Plant]:[Plant]],t_Plants[],Plants!DD$1,FALSE)</f>
        <v>280</v>
      </c>
      <c r="CF54" s="14">
        <f>VLOOKUP(t_Parts[[Plant]:[Plant]],t_Plants[],Plants!DE$1,FALSE)</f>
        <v>280</v>
      </c>
      <c r="CG54" s="14">
        <f>VLOOKUP(t_Parts[[Plant]:[Plant]],t_Plants[],Plants!DF$1,FALSE)</f>
        <v>350</v>
      </c>
      <c r="CH54" s="14">
        <f>VLOOKUP(t_Parts[[Plant]:[Plant]],t_Plants[],Plants!DG$1,FALSE)</f>
        <v>280</v>
      </c>
      <c r="CI54" s="14">
        <f>VLOOKUP(t_Parts[[Plant]:[Plant]],t_Plants[],Plants!DH$1,FALSE)</f>
        <v>280</v>
      </c>
      <c r="CJ54" s="14">
        <f>VLOOKUP(t_Parts[[Plant]:[Plant]],t_Plants[],Plants!DI$1,FALSE)</f>
        <v>350</v>
      </c>
      <c r="CK54" s="14">
        <f>VLOOKUP(t_Parts[[Plant]:[Plant]],t_Plants[],Plants!DJ$1,FALSE)</f>
        <v>280</v>
      </c>
      <c r="CL54" s="14">
        <f>VLOOKUP(t_Parts[[Plant]:[Plant]],t_Plants[],Plants!DK$1,FALSE)</f>
        <v>280</v>
      </c>
      <c r="CM54" s="14">
        <f>VLOOKUP(t_Parts[[Plant]:[Plant]],t_Plants[],Plants!DL$1,FALSE)</f>
        <v>350</v>
      </c>
      <c r="CN54" s="14">
        <f>VLOOKUP(t_Parts[[Plant]:[Plant]],t_Plants[],Plants!DM$1,FALSE)</f>
        <v>3640</v>
      </c>
      <c r="CO54" s="14">
        <f>VLOOKUP(t_Parts[[Plant]:[Plant]],t_Plants[],Plants!DN$1,FALSE)</f>
        <v>3640</v>
      </c>
      <c r="CP54" s="14">
        <f>VLOOKUP(t_Parts[[Plant]:[Plant]],t_Plants[],Plants!DO$1,FALSE)</f>
        <v>3640</v>
      </c>
      <c r="CQ54" s="14">
        <f>VLOOKUP(t_Parts[[Plant]:[Plant]],t_Plants[],Plants!DP$1,FALSE)</f>
        <v>3640</v>
      </c>
      <c r="CR54" s="39">
        <f>IF(AND(AL$3&gt;=VALUE(t_Parts[[SOP]:[SOP]]),AL$3&lt;=VALUE(t_Parts[[EOP]:[EOP]])), t_Parts[[SetupHrsPerMo]:[SetupHrsPerMo]]+(t_Parts[[#This Row],[pv2015.01]]/t_Parts[[NetPPH]:[NetPPH]]),0)</f>
        <v>5.6111222111222112</v>
      </c>
      <c r="CS54" s="39">
        <f>IF(AND(AM$3&gt;=VALUE(t_Parts[[SOP]:[SOP]]),AM$3&lt;=VALUE(t_Parts[[EOP]:[EOP]])), t_Parts[[SetupHrsPerMo]:[SetupHrsPerMo]]+(t_Parts[[#This Row],[pv2015.02]]/t_Parts[[NetPPH]:[NetPPH]]),0)</f>
        <v>5.6111222111222112</v>
      </c>
      <c r="CT54" s="39">
        <f>IF(AND(AN$3&gt;=VALUE(t_Parts[[SOP]:[SOP]]),AN$3&lt;=VALUE(t_Parts[[EOP]:[EOP]])), t_Parts[[SetupHrsPerMo]:[SetupHrsPerMo]]+(t_Parts[[#This Row],[pv2015.03]]/t_Parts[[NetPPH]:[NetPPH]]),0)</f>
        <v>6.513902763902764</v>
      </c>
      <c r="CU54" s="39">
        <f>IF(AND(AO$3&gt;=VALUE(t_Parts[[SOP]:[SOP]]),AO$3&lt;=VALUE(t_Parts[[EOP]:[EOP]])), t_Parts[[SetupHrsPerMo]:[SetupHrsPerMo]]+(t_Parts[[#This Row],[pv2015.04]]/t_Parts[[NetPPH]:[NetPPH]]),0)</f>
        <v>5.6111222111222112</v>
      </c>
      <c r="CV54" s="39">
        <f>IF(AND(AP$3&gt;=VALUE(t_Parts[[SOP]:[SOP]]),AP$3&lt;=VALUE(t_Parts[[EOP]:[EOP]])), t_Parts[[SetupHrsPerMo]:[SetupHrsPerMo]]+(t_Parts[[#This Row],[pv2015.05]]/t_Parts[[NetPPH]:[NetPPH]]),0)</f>
        <v>5.6111222111222112</v>
      </c>
      <c r="CW54" s="39">
        <f>IF(AND(AQ$3&gt;=VALUE(t_Parts[[SOP]:[SOP]]),AQ$3&lt;=VALUE(t_Parts[[EOP]:[EOP]])), t_Parts[[SetupHrsPerMo]:[SetupHrsPerMo]]+(t_Parts[[#This Row],[pv2015.06]]/t_Parts[[NetPPH]:[NetPPH]]),0)</f>
        <v>6.513902763902764</v>
      </c>
      <c r="CX54" s="39">
        <f>IF(AND(AR$3&gt;=VALUE(t_Parts[[SOP]:[SOP]]),AR$3&lt;=VALUE(t_Parts[[EOP]:[EOP]])), t_Parts[[SetupHrsPerMo]:[SetupHrsPerMo]]+(t_Parts[[#This Row],[pv2015.07]]/t_Parts[[NetPPH]:[NetPPH]]),0)</f>
        <v>5.6111222111222112</v>
      </c>
      <c r="CY54" s="39">
        <f>IF(AND(AS$3&gt;=VALUE(t_Parts[[SOP]:[SOP]]),AS$3&lt;=VALUE(t_Parts[[EOP]:[EOP]])), t_Parts[[SetupHrsPerMo]:[SetupHrsPerMo]]+(t_Parts[[#This Row],[pv2015.08]]/t_Parts[[NetPPH]:[NetPPH]]),0)</f>
        <v>5.6111222111222112</v>
      </c>
      <c r="CZ54" s="39">
        <f>IF(AND(AT$3&gt;=VALUE(t_Parts[[SOP]:[SOP]]),AT$3&lt;=VALUE(t_Parts[[EOP]:[EOP]])), t_Parts[[SetupHrsPerMo]:[SetupHrsPerMo]]+(t_Parts[[#This Row],[pv2015.09]]/t_Parts[[NetPPH]:[NetPPH]]),0)</f>
        <v>6.513902763902764</v>
      </c>
      <c r="DA54" s="39">
        <f>IF(AND(AU$3&gt;=VALUE(t_Parts[[SOP]:[SOP]]),AU$3&lt;=VALUE(t_Parts[[EOP]:[EOP]])), t_Parts[[SetupHrsPerMo]:[SetupHrsPerMo]]+(t_Parts[[#This Row],[pv2015.10]]/t_Parts[[NetPPH]:[NetPPH]]),0)</f>
        <v>5.6111222111222112</v>
      </c>
      <c r="DB54" s="39">
        <f>IF(AND(AV$3&gt;=VALUE(t_Parts[[SOP]:[SOP]]),AV$3&lt;=VALUE(t_Parts[[EOP]:[EOP]])), t_Parts[[SetupHrsPerMo]:[SetupHrsPerMo]]+(t_Parts[[#This Row],[pv2015.11]]/t_Parts[[NetPPH]:[NetPPH]]),0)</f>
        <v>5.6111222111222112</v>
      </c>
      <c r="DC54" s="39">
        <f>IF(AND(AW$3&gt;=VALUE(t_Parts[[SOP]:[SOP]]),AW$3&lt;=VALUE(t_Parts[[EOP]:[EOP]])), t_Parts[[SetupHrsPerMo]:[SetupHrsPerMo]]+(t_Parts[[#This Row],[pv2015.12]]/t_Parts[[NetPPH]:[NetPPH]]),0)</f>
        <v>6.513902763902764</v>
      </c>
      <c r="DD54" s="39">
        <f>SUM(t_Parts[[#This Row],[hp2015.01]:[hp2015.12]])</f>
        <v>70.944588744588728</v>
      </c>
      <c r="DE54" s="39">
        <f>IF(AND(AY$3&gt;=VALUE(t_Parts[[SOP]:[SOP]]),AY$3&lt;=VALUE(t_Parts[[EOP]:[EOP]])), t_Parts[[SetupHrsPerMo]:[SetupHrsPerMo]]+(t_Parts[[#This Row],[pv2016.01]]/t_Parts[[NetPPH]:[NetPPH]]),0)</f>
        <v>5.6111222111222112</v>
      </c>
      <c r="DF54" s="39">
        <f>IF(AND(AZ$3&gt;=VALUE(t_Parts[[SOP]:[SOP]]),AZ$3&lt;=VALUE(t_Parts[[EOP]:[EOP]])), t_Parts[[SetupHrsPerMo]:[SetupHrsPerMo]]+(t_Parts[[#This Row],[pv2016.02]]/t_Parts[[NetPPH]:[NetPPH]]),0)</f>
        <v>5.6111222111222112</v>
      </c>
      <c r="DG54" s="39">
        <f>IF(AND(BA$3&gt;=VALUE(t_Parts[[SOP]:[SOP]]),BA$3&lt;=VALUE(t_Parts[[EOP]:[EOP]])), t_Parts[[SetupHrsPerMo]:[SetupHrsPerMo]]+(t_Parts[[#This Row],[pv2016.03]]/t_Parts[[NetPPH]:[NetPPH]]),0)</f>
        <v>6.513902763902764</v>
      </c>
      <c r="DH54" s="39">
        <f>IF(AND(BB$3&gt;=VALUE(t_Parts[[SOP]:[SOP]]),BB$3&lt;=VALUE(t_Parts[[EOP]:[EOP]])), t_Parts[[SetupHrsPerMo]:[SetupHrsPerMo]]+(t_Parts[[#This Row],[pv2016.04]]/t_Parts[[NetPPH]:[NetPPH]]),0)</f>
        <v>5.6111222111222112</v>
      </c>
      <c r="DI54" s="39">
        <f>IF(AND(BC$3&gt;=VALUE(t_Parts[[SOP]:[SOP]]),BC$3&lt;=VALUE(t_Parts[[EOP]:[EOP]])), t_Parts[[SetupHrsPerMo]:[SetupHrsPerMo]]+(t_Parts[[#This Row],[pv2016.05]]/t_Parts[[NetPPH]:[NetPPH]]),0)</f>
        <v>5.6111222111222112</v>
      </c>
      <c r="DJ54" s="39">
        <f>IF(AND(BD$3&gt;=VALUE(t_Parts[[SOP]:[SOP]]),BD$3&lt;=VALUE(t_Parts[[EOP]:[EOP]])), t_Parts[[SetupHrsPerMo]:[SetupHrsPerMo]]+(t_Parts[[#This Row],[pv2016.06]]/t_Parts[[NetPPH]:[NetPPH]]),0)</f>
        <v>6.513902763902764</v>
      </c>
      <c r="DK54" s="39">
        <f>IF(AND(BE$3&gt;=VALUE(t_Parts[[SOP]:[SOP]]),BE$3&lt;=VALUE(t_Parts[[EOP]:[EOP]])), t_Parts[[SetupHrsPerMo]:[SetupHrsPerMo]]+(t_Parts[[#This Row],[pv2016.07]]/t_Parts[[NetPPH]:[NetPPH]]),0)</f>
        <v>0</v>
      </c>
      <c r="DL54" s="39">
        <f>IF(AND(BF$3&gt;=VALUE(t_Parts[[SOP]:[SOP]]),BF$3&lt;=VALUE(t_Parts[[EOP]:[EOP]])), t_Parts[[SetupHrsPerMo]:[SetupHrsPerMo]]+(t_Parts[[#This Row],[pv2016.08]]/t_Parts[[NetPPH]:[NetPPH]]),0)</f>
        <v>0</v>
      </c>
      <c r="DM54" s="39">
        <f>IF(AND(BG$3&gt;=VALUE(t_Parts[[SOP]:[SOP]]),BG$3&lt;=VALUE(t_Parts[[EOP]:[EOP]])), t_Parts[[SetupHrsPerMo]:[SetupHrsPerMo]]+(t_Parts[[#This Row],[pv2016.09]]/t_Parts[[NetPPH]:[NetPPH]]),0)</f>
        <v>0</v>
      </c>
      <c r="DN54" s="39">
        <f>IF(AND(BH$3&gt;=VALUE(t_Parts[[SOP]:[SOP]]),BH$3&lt;=VALUE(t_Parts[[EOP]:[EOP]])), t_Parts[[SetupHrsPerMo]:[SetupHrsPerMo]]+(t_Parts[[#This Row],[pv2016.10]]/t_Parts[[NetPPH]:[NetPPH]]),0)</f>
        <v>0</v>
      </c>
      <c r="DO54" s="39">
        <f>IF(AND(BI$3&gt;=VALUE(t_Parts[[SOP]:[SOP]]),BI$3&lt;=VALUE(t_Parts[[EOP]:[EOP]])), t_Parts[[SetupHrsPerMo]:[SetupHrsPerMo]]+(t_Parts[[#This Row],[pv2016.11]]/t_Parts[[NetPPH]:[NetPPH]]),0)</f>
        <v>0</v>
      </c>
      <c r="DP54" s="39">
        <f>IF(AND(BJ$3&gt;=VALUE(t_Parts[[SOP]:[SOP]]),BJ$3&lt;=VALUE(t_Parts[[EOP]:[EOP]])), t_Parts[[SetupHrsPerMo]:[SetupHrsPerMo]]+(t_Parts[[#This Row],[pv2016.12]]/t_Parts[[NetPPH]:[NetPPH]]),0)</f>
        <v>0</v>
      </c>
      <c r="DQ54" s="39">
        <f>SUM(t_Parts[[#This Row],[hp2016.01]:[hp2016.12]])</f>
        <v>35.472294372294371</v>
      </c>
      <c r="DR54" s="39">
        <f>IF(AND(BL$3&gt;=VALUE(t_Parts[[SOP]:[SOP]]),BL$3&lt;=VALUE(t_Parts[[EOP]:[EOP]])), 12*t_Parts[[SetupHrsPerMo]:[SetupHrsPerMo]]+(t_Parts[[#This Row],[pv2017]]/t_Parts[[NetPPH]:[NetPPH]]),0)</f>
        <v>0</v>
      </c>
      <c r="DS54" s="39">
        <f>IF(AND(BM$3&gt;=VALUE(t_Parts[[SOP]:[SOP]]),BM$3&lt;=VALUE(t_Parts[[EOP]:[EOP]])), 12*t_Parts[[SetupHrsPerMo]:[SetupHrsPerMo]]+(t_Parts[[#This Row],[pv2018]]/t_Parts[[NetPPH]:[NetPPH]]),0)</f>
        <v>0</v>
      </c>
      <c r="DT54" s="39">
        <f>IF(AND(BN$3&gt;=VALUE(t_Parts[[SOP]:[SOP]]),BN$3&lt;=VALUE(t_Parts[[EOP]:[EOP]])), 12*t_Parts[[SetupHrsPerMo]:[SetupHrsPerMo]]+(t_Parts[[#This Row],[pv2019]]/t_Parts[[NetPPH]:[NetPPH]]),0)</f>
        <v>0</v>
      </c>
      <c r="DU54" s="47">
        <f>t_Parts[[#This Row],[hp2015.01]]/t_Parts[[#This Row],[ha2015.01]]</f>
        <v>2.0039722182579326E-2</v>
      </c>
      <c r="DV54" s="47">
        <f>t_Parts[[#This Row],[hp2015.02]]/t_Parts[[#This Row],[ha2015.02]]</f>
        <v>2.0039722182579326E-2</v>
      </c>
      <c r="DW54" s="47">
        <f>t_Parts[[#This Row],[hp2015.03]]/t_Parts[[#This Row],[ha2015.03]]</f>
        <v>1.8611150754007898E-2</v>
      </c>
      <c r="DX54" s="47">
        <f>t_Parts[[#This Row],[hp2015.04]]/t_Parts[[#This Row],[ha2015.04]]</f>
        <v>2.0039722182579326E-2</v>
      </c>
      <c r="DY54" s="47">
        <f>t_Parts[[#This Row],[hp2015.05]]/t_Parts[[#This Row],[ha2015.05]]</f>
        <v>2.0039722182579326E-2</v>
      </c>
      <c r="DZ54" s="47">
        <f>t_Parts[[#This Row],[hp2015.06]]/t_Parts[[#This Row],[ha2015.06]]</f>
        <v>1.8611150754007898E-2</v>
      </c>
      <c r="EA54" s="47">
        <f>t_Parts[[#This Row],[hp2015.07]]/t_Parts[[#This Row],[ha2015.07]]</f>
        <v>2.0039722182579326E-2</v>
      </c>
      <c r="EB54" s="47">
        <f>t_Parts[[#This Row],[hp2015.08]]/t_Parts[[#This Row],[ha2015.08]]</f>
        <v>2.0039722182579326E-2</v>
      </c>
      <c r="EC54" s="47">
        <f>t_Parts[[#This Row],[hp2015.09]]/t_Parts[[#This Row],[ha2015.09]]</f>
        <v>1.8611150754007898E-2</v>
      </c>
      <c r="ED54" s="47">
        <f>t_Parts[[#This Row],[hp2015.10]]/t_Parts[[#This Row],[ha2015.10]]</f>
        <v>2.0039722182579326E-2</v>
      </c>
      <c r="EE54" s="47">
        <f>t_Parts[[#This Row],[hp2015.11]]/t_Parts[[#This Row],[ha2015.11]]</f>
        <v>2.0039722182579326E-2</v>
      </c>
      <c r="EF54" s="47">
        <f>t_Parts[[#This Row],[hp2015.12]]/t_Parts[[#This Row],[ha2015.12]]</f>
        <v>1.8611150754007898E-2</v>
      </c>
      <c r="EG54" s="47">
        <f>t_Parts[[#This Row],[hp2015.FY]]/t_Parts[[#This Row],[ha2015.FY]]</f>
        <v>1.9490271633128772E-2</v>
      </c>
      <c r="EH54" s="47">
        <f>t_Parts[[#This Row],[hp2016.01]]/t_Parts[[#This Row],[ha2016.01]]</f>
        <v>2.0039722182579326E-2</v>
      </c>
      <c r="EI54" s="47">
        <f>t_Parts[[#This Row],[hp2016.02]]/t_Parts[[#This Row],[ha2016.02]]</f>
        <v>2.0039722182579326E-2</v>
      </c>
      <c r="EJ54" s="47">
        <f>t_Parts[[#This Row],[hp2016.03]]/t_Parts[[#This Row],[ha2016.03]]</f>
        <v>1.8611150754007898E-2</v>
      </c>
      <c r="EK54" s="47">
        <f>t_Parts[[#This Row],[hp2016.04]]/t_Parts[[#This Row],[ha2016.04]]</f>
        <v>2.0039722182579326E-2</v>
      </c>
      <c r="EL54" s="47">
        <f>t_Parts[[#This Row],[hp2016.05]]/t_Parts[[#This Row],[ha2016.05]]</f>
        <v>2.0039722182579326E-2</v>
      </c>
      <c r="EM54" s="47">
        <f>t_Parts[[#This Row],[hp2016.06]]/t_Parts[[#This Row],[ha2016.06]]</f>
        <v>1.8611150754007898E-2</v>
      </c>
      <c r="EN54" s="47">
        <f>t_Parts[[#This Row],[hp2016.07]]/t_Parts[[#This Row],[ha2016.07]]</f>
        <v>0</v>
      </c>
      <c r="EO54" s="47">
        <f>t_Parts[[#This Row],[hp2016.08]]/t_Parts[[#This Row],[ha2016.08]]</f>
        <v>0</v>
      </c>
      <c r="EP54" s="47">
        <f>t_Parts[[#This Row],[hp2016.09]]/t_Parts[[#This Row],[ha2016.09]]</f>
        <v>0</v>
      </c>
      <c r="EQ54" s="47">
        <f>t_Parts[[#This Row],[hp2016.10]]/t_Parts[[#This Row],[ha2016.10]]</f>
        <v>0</v>
      </c>
      <c r="ER54" s="47">
        <f>t_Parts[[#This Row],[hp2016.11]]/t_Parts[[#This Row],[ha2016.11]]</f>
        <v>0</v>
      </c>
      <c r="ES54" s="47">
        <f>t_Parts[[#This Row],[hp2016.12]]/t_Parts[[#This Row],[ha2016.12]]</f>
        <v>0</v>
      </c>
      <c r="ET54" s="47">
        <f>t_Parts[[#This Row],[hp2016.FY]]/t_Parts[[#This Row],[ha2016.FY]]</f>
        <v>9.7451358165643875E-3</v>
      </c>
      <c r="EU54" s="47">
        <f>t_Parts[[#This Row],[hp2017]]/t_Parts[[#This Row],[ha2017]]</f>
        <v>0</v>
      </c>
      <c r="EV54" s="47">
        <f>t_Parts[[#This Row],[hp2018]]/t_Parts[[#This Row],[ha2018]]</f>
        <v>0</v>
      </c>
      <c r="EW54" s="47">
        <f>t_Parts[[#This Row],[hp2019]]/t_Parts[[#This Row],[hp2015.01]]</f>
        <v>0</v>
      </c>
      <c r="EX54" s="58">
        <f>(t_Parts[[#This Row],[ha2015.01]]-t_Parts[[#This Row],[hp2015.01]])*t_Parts[[NetPPH]:[NetPPH]]</f>
        <v>316919.15384615381</v>
      </c>
      <c r="EY54" s="58">
        <f>(t_Parts[[#This Row],[ha2015.02]]-t_Parts[[#This Row],[hp2015.02]])*t_Parts[[NetPPH]:[NetPPH]]</f>
        <v>316919.15384615381</v>
      </c>
      <c r="EZ54" s="58">
        <f>(t_Parts[[#This Row],[ha2015.03]]-t_Parts[[#This Row],[hp2015.03]])*t_Parts[[NetPPH]:[NetPPH]]</f>
        <v>396726.44230769231</v>
      </c>
      <c r="FA54" s="58">
        <f>(t_Parts[[#This Row],[ha2015.04]]-t_Parts[[#This Row],[hp2015.04]])*t_Parts[[NetPPH]:[NetPPH]]</f>
        <v>316919.15384615381</v>
      </c>
      <c r="FB54" s="58">
        <f>(t_Parts[[#This Row],[ha2015.05]]-t_Parts[[#This Row],[hp2015.05]])*t_Parts[[NetPPH]:[NetPPH]]</f>
        <v>316919.15384615381</v>
      </c>
      <c r="FC54" s="58">
        <f>(t_Parts[[#This Row],[ha2015.06]]-t_Parts[[#This Row],[hp2015.06]])*t_Parts[[NetPPH]:[NetPPH]]</f>
        <v>396726.44230769231</v>
      </c>
      <c r="FD54" s="58">
        <f>(t_Parts[[#This Row],[ha2015.07]]-t_Parts[[#This Row],[hp2015.07]])*t_Parts[[NetPPH]:[NetPPH]]</f>
        <v>316919.15384615381</v>
      </c>
      <c r="FE54" s="58">
        <f>(t_Parts[[#This Row],[ha2015.08]]-t_Parts[[#This Row],[hp2015.08]])*t_Parts[[NetPPH]:[NetPPH]]</f>
        <v>316919.15384615381</v>
      </c>
      <c r="FF54" s="58">
        <f>(t_Parts[[#This Row],[ha2015.09]]-t_Parts[[#This Row],[hp2015.09]])*t_Parts[[NetPPH]:[NetPPH]]</f>
        <v>396726.44230769231</v>
      </c>
      <c r="FG54" s="58">
        <f>(t_Parts[[#This Row],[ha2015.10]]-t_Parts[[#This Row],[hp2015.10]])*t_Parts[[NetPPH]:[NetPPH]]</f>
        <v>316919.15384615381</v>
      </c>
      <c r="FH54" s="58">
        <f>(t_Parts[[#This Row],[ha2015.11]]-t_Parts[[#This Row],[hp2015.11]])*t_Parts[[NetPPH]:[NetPPH]]</f>
        <v>316919.15384615381</v>
      </c>
      <c r="FI54" s="58">
        <f>(t_Parts[[#This Row],[ha2015.12]]-t_Parts[[#This Row],[hp2015.12]])*t_Parts[[NetPPH]:[NetPPH]]</f>
        <v>396726.44230769231</v>
      </c>
      <c r="FJ54" s="58">
        <f>(t_Parts[[#This Row],[ha2015.FY]]-t_Parts[[#This Row],[hp2015.FY]])*t_Parts[[NetPPH]:[NetPPH]]</f>
        <v>4122259</v>
      </c>
      <c r="FK54" s="58">
        <f>(t_Parts[[#This Row],[ha2016.01]]-t_Parts[[#This Row],[hp2016.01]])*t_Parts[[NetPPH]:[NetPPH]]</f>
        <v>316919.15384615381</v>
      </c>
      <c r="FL54" s="58">
        <f>(t_Parts[[#This Row],[ha2016.02]]-t_Parts[[#This Row],[hp2016.02]])*t_Parts[[NetPPH]:[NetPPH]]</f>
        <v>316919.15384615381</v>
      </c>
      <c r="FM54" s="58">
        <f>(t_Parts[[#This Row],[ha2016.03]]-t_Parts[[#This Row],[hp2016.03]])*t_Parts[[NetPPH]:[NetPPH]]</f>
        <v>396726.44230769231</v>
      </c>
      <c r="FN54" s="58">
        <f>(t_Parts[[#This Row],[ha2016.04]]-t_Parts[[#This Row],[hp2016.04]])*t_Parts[[NetPPH]:[NetPPH]]</f>
        <v>316919.15384615381</v>
      </c>
      <c r="FO54" s="58">
        <f>(t_Parts[[#This Row],[ha2016.05]]-t_Parts[[#This Row],[hp2016.05]])*t_Parts[[NetPPH]:[NetPPH]]</f>
        <v>316919.15384615381</v>
      </c>
      <c r="FP54" s="58">
        <f>(t_Parts[[#This Row],[ha2016.06]]-t_Parts[[#This Row],[hp2016.06]])*t_Parts[[NetPPH]:[NetPPH]]</f>
        <v>396726.44230769231</v>
      </c>
      <c r="FQ54" s="58">
        <f>(t_Parts[[#This Row],[ha2016.07]]-t_Parts[[#This Row],[hp2016.07]])*t_Parts[[NetPPH]:[NetPPH]]</f>
        <v>323400</v>
      </c>
      <c r="FR54" s="58">
        <f>(t_Parts[[#This Row],[ha2016.08]]-t_Parts[[#This Row],[hp2016.08]])*t_Parts[[NetPPH]:[NetPPH]]</f>
        <v>323400</v>
      </c>
      <c r="FS54" s="58">
        <f>(t_Parts[[#This Row],[ha2016.09]]-t_Parts[[#This Row],[hp2016.09]])*t_Parts[[NetPPH]:[NetPPH]]</f>
        <v>404250</v>
      </c>
      <c r="FT54" s="58">
        <f>(t_Parts[[#This Row],[ha2016.10]]-t_Parts[[#This Row],[hp2016.10]])*t_Parts[[NetPPH]:[NetPPH]]</f>
        <v>323400</v>
      </c>
      <c r="FU54" s="58">
        <f>(t_Parts[[#This Row],[ha2016.11]]-t_Parts[[#This Row],[hp2016.11]])*t_Parts[[NetPPH]:[NetPPH]]</f>
        <v>323400</v>
      </c>
      <c r="FV54" s="58">
        <f>(t_Parts[[#This Row],[ha2016.12]]-t_Parts[[#This Row],[hp2016.12]])*t_Parts[[NetPPH]:[NetPPH]]</f>
        <v>404250</v>
      </c>
      <c r="FW54" s="58">
        <f>(t_Parts[[#This Row],[ha2016.FY]]-t_Parts[[#This Row],[hp2016.FY]])*t_Parts[[NetPPH]:[NetPPH]]</f>
        <v>4163229.5</v>
      </c>
      <c r="FX54" s="58">
        <f>(t_Parts[[#This Row],[ha2017]]-t_Parts[[#This Row],[hp2017]])*t_Parts[[NetPPH]:[NetPPH]]</f>
        <v>4204200</v>
      </c>
      <c r="FY54" s="58">
        <f>(t_Parts[[#This Row],[ha2018]]-t_Parts[[#This Row],[hp2018]])*t_Parts[[NetPPH]:[NetPPH]]</f>
        <v>4204200</v>
      </c>
      <c r="FZ54" s="58">
        <f>(t_Parts[[#This Row],[ha2019]]-t_Parts[[#This Row],[hp2019]])*t_Parts[[NetPPH]:[NetPPH]]</f>
        <v>4204200</v>
      </c>
    </row>
    <row r="55" spans="1:182" s="14" customFormat="1" x14ac:dyDescent="0.25">
      <c r="A55" s="74" t="s">
        <v>592</v>
      </c>
      <c r="B55" s="74"/>
      <c r="C55" s="74">
        <v>21014</v>
      </c>
      <c r="D55" s="75">
        <v>1</v>
      </c>
      <c r="E55" s="73">
        <v>2400</v>
      </c>
      <c r="F55" s="76">
        <v>1</v>
      </c>
      <c r="G55" s="77">
        <v>2</v>
      </c>
      <c r="H55" s="16">
        <v>2015.01</v>
      </c>
      <c r="I55" s="16" t="s">
        <v>83</v>
      </c>
      <c r="J55" s="73">
        <v>86153</v>
      </c>
      <c r="K55" s="73">
        <v>86153</v>
      </c>
      <c r="L55" s="73">
        <v>86153</v>
      </c>
      <c r="M55" s="73">
        <v>86153</v>
      </c>
      <c r="N55" s="73">
        <v>86153</v>
      </c>
      <c r="O55" s="78">
        <v>29</v>
      </c>
      <c r="P55" s="78">
        <v>74</v>
      </c>
      <c r="Q55" s="79">
        <v>21.670999999999999</v>
      </c>
      <c r="R55" s="79"/>
      <c r="S55" s="78">
        <v>130</v>
      </c>
      <c r="T55" s="80">
        <v>11.5</v>
      </c>
      <c r="U55" s="80" t="s">
        <v>121</v>
      </c>
      <c r="V55" s="81" t="s">
        <v>593</v>
      </c>
      <c r="W55" s="82">
        <v>0.73699999999999999</v>
      </c>
      <c r="X55" s="82" t="s">
        <v>495</v>
      </c>
      <c r="Y55" s="82"/>
      <c r="Z55" s="82"/>
      <c r="AA55" s="82"/>
      <c r="AB55" s="82"/>
      <c r="AC55" s="83" t="s">
        <v>667</v>
      </c>
      <c r="AD55" s="40" t="str">
        <f>VLOOKUP(t_Parts[[#This Row],[Press]],t_Presses[],Press!B$1,FALSE)</f>
        <v>Plainfield</v>
      </c>
      <c r="AE55" s="40" t="str">
        <f>VLOOKUP(t_Parts[[#This Row],[Press]],t_Presses[],Press!E$1,FALSE)</f>
        <v>300-599</v>
      </c>
      <c r="AF55" s="47">
        <f>VLOOKUP(t_Parts[[#This Row],[Plant]],t_Plants[],Plants!C$1,FALSE)</f>
        <v>0.55000000000000004</v>
      </c>
      <c r="AG55" s="47">
        <f>VLOOKUP(t_Parts[[#This Row],[Press]],t_Presses[],Press!F$1,FALSE)</f>
        <v>0</v>
      </c>
      <c r="AH55" s="84"/>
      <c r="AI55" s="47">
        <f>IF(ISBLANK(t_Parts[[#This Row],[PartOEE]])=FALSE,t_Parts[[#This Row],[PartOEE]], IF(t_Parts[[#This Row],[PressOEE]]&gt;0, t_Parts[[#This Row],[PressOEE]], t_Parts[[#This Row],[PlantOEE]] ))</f>
        <v>0.55000000000000004</v>
      </c>
      <c r="AJ55" s="70">
        <f>t_Parts[[#This Row],[SetupsPerMo]]*t_Parts[[#This Row],[SetupHrs]]</f>
        <v>2</v>
      </c>
      <c r="AK55" s="39">
        <f>(t_Parts[[#This Row],[PartsPerStroke]]*t_Parts[[#This Row],[StrokesPerHr]])*t_Parts[[#This Row],[UseOEE]]</f>
        <v>1320</v>
      </c>
      <c r="AL5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6627.1538461538457</v>
      </c>
      <c r="AM5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6627.1538461538457</v>
      </c>
      <c r="AN5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8283.9423076923067</v>
      </c>
      <c r="AO5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6627.1538461538457</v>
      </c>
      <c r="AP5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6627.1538461538457</v>
      </c>
      <c r="AQ5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8283.9423076923067</v>
      </c>
      <c r="AR5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6627.1538461538457</v>
      </c>
      <c r="AS5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6627.1538461538457</v>
      </c>
      <c r="AT5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8283.9423076923067</v>
      </c>
      <c r="AU5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6627.1538461538457</v>
      </c>
      <c r="AV5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6627.1538461538457</v>
      </c>
      <c r="AW5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8283.9423076923067</v>
      </c>
      <c r="AX55" s="39">
        <f>SUM(t_Parts[[#This Row],[pv2015.01]:[pv2015.12]])</f>
        <v>86152.999999999985</v>
      </c>
      <c r="AY5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6627.1538461538457</v>
      </c>
      <c r="AZ5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6627.1538461538457</v>
      </c>
      <c r="BA5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8283.9423076923067</v>
      </c>
      <c r="BB5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6627.1538461538457</v>
      </c>
      <c r="BC5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6627.1538461538457</v>
      </c>
      <c r="BD5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8283.9423076923067</v>
      </c>
      <c r="BE5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6627.1538461538457</v>
      </c>
      <c r="BF5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6627.1538461538457</v>
      </c>
      <c r="BG5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8283.9423076923067</v>
      </c>
      <c r="BH5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6627.1538461538457</v>
      </c>
      <c r="BI5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6627.1538461538457</v>
      </c>
      <c r="BJ5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8283.9423076923067</v>
      </c>
      <c r="BK55" s="39">
        <f>SUM(t_Parts[[#This Row],[pv2016.01]:[pv2016.12]])</f>
        <v>86152.999999999985</v>
      </c>
      <c r="BL55" s="39">
        <f>t_Parts[[#This Row],[2017vol]]</f>
        <v>86153</v>
      </c>
      <c r="BM55" s="39">
        <f>t_Parts[[#This Row],[2018vol]]</f>
        <v>86153</v>
      </c>
      <c r="BN55" s="39">
        <f>t_Parts[[#This Row],[2019vol]]</f>
        <v>86153</v>
      </c>
      <c r="BO55" s="40">
        <f>VLOOKUP(t_Parts[[Plant]:[Plant]],t_Plants[],Plants!CN$1,FALSE)</f>
        <v>280</v>
      </c>
      <c r="BP55" s="14">
        <f>VLOOKUP(t_Parts[[Plant]:[Plant]],t_Plants[],Plants!CO$1,FALSE)</f>
        <v>280</v>
      </c>
      <c r="BQ55" s="14">
        <f>VLOOKUP(t_Parts[[Plant]:[Plant]],t_Plants[],Plants!CP$1,FALSE)</f>
        <v>350</v>
      </c>
      <c r="BR55" s="14">
        <f>VLOOKUP(t_Parts[[Plant]:[Plant]],t_Plants[],Plants!CQ$1,FALSE)</f>
        <v>280</v>
      </c>
      <c r="BS55" s="14">
        <f>VLOOKUP(t_Parts[[Plant]:[Plant]],t_Plants[],Plants!CR$1,FALSE)</f>
        <v>280</v>
      </c>
      <c r="BT55" s="14">
        <f>VLOOKUP(t_Parts[[Plant]:[Plant]],t_Plants[],Plants!CS$1,FALSE)</f>
        <v>350</v>
      </c>
      <c r="BU55" s="14">
        <f>VLOOKUP(t_Parts[[Plant]:[Plant]],t_Plants[],Plants!CT$1,FALSE)</f>
        <v>280</v>
      </c>
      <c r="BV55" s="14">
        <f>VLOOKUP(t_Parts[[Plant]:[Plant]],t_Plants[],Plants!CU$1,FALSE)</f>
        <v>280</v>
      </c>
      <c r="BW55" s="14">
        <f>VLOOKUP(t_Parts[[Plant]:[Plant]],t_Plants[],Plants!CV$1,FALSE)</f>
        <v>350</v>
      </c>
      <c r="BX55" s="14">
        <f>VLOOKUP(t_Parts[[Plant]:[Plant]],t_Plants[],Plants!CW$1,FALSE)</f>
        <v>280</v>
      </c>
      <c r="BY55" s="14">
        <f>VLOOKUP(t_Parts[[Plant]:[Plant]],t_Plants[],Plants!CX$1,FALSE)</f>
        <v>280</v>
      </c>
      <c r="BZ55" s="14">
        <f>VLOOKUP(t_Parts[[Plant]:[Plant]],t_Plants[],Plants!CY$1,FALSE)</f>
        <v>350</v>
      </c>
      <c r="CA55" s="40">
        <f>SUM(t_Parts[[#This Row],[ha2015.01]:[ha2015.12]])</f>
        <v>3640</v>
      </c>
      <c r="CB55" s="14">
        <f>VLOOKUP(t_Parts[[Plant]:[Plant]],t_Plants[],Plants!DA$1,FALSE)</f>
        <v>280</v>
      </c>
      <c r="CC55" s="14">
        <f>VLOOKUP(t_Parts[[Plant]:[Plant]],t_Plants[],Plants!DB$1,FALSE)</f>
        <v>280</v>
      </c>
      <c r="CD55" s="14">
        <f>VLOOKUP(t_Parts[[Plant]:[Plant]],t_Plants[],Plants!DC$1,FALSE)</f>
        <v>350</v>
      </c>
      <c r="CE55" s="14">
        <f>VLOOKUP(t_Parts[[Plant]:[Plant]],t_Plants[],Plants!DD$1,FALSE)</f>
        <v>280</v>
      </c>
      <c r="CF55" s="14">
        <f>VLOOKUP(t_Parts[[Plant]:[Plant]],t_Plants[],Plants!DE$1,FALSE)</f>
        <v>280</v>
      </c>
      <c r="CG55" s="14">
        <f>VLOOKUP(t_Parts[[Plant]:[Plant]],t_Plants[],Plants!DF$1,FALSE)</f>
        <v>350</v>
      </c>
      <c r="CH55" s="14">
        <f>VLOOKUP(t_Parts[[Plant]:[Plant]],t_Plants[],Plants!DG$1,FALSE)</f>
        <v>280</v>
      </c>
      <c r="CI55" s="14">
        <f>VLOOKUP(t_Parts[[Plant]:[Plant]],t_Plants[],Plants!DH$1,FALSE)</f>
        <v>280</v>
      </c>
      <c r="CJ55" s="14">
        <f>VLOOKUP(t_Parts[[Plant]:[Plant]],t_Plants[],Plants!DI$1,FALSE)</f>
        <v>350</v>
      </c>
      <c r="CK55" s="14">
        <f>VLOOKUP(t_Parts[[Plant]:[Plant]],t_Plants[],Plants!DJ$1,FALSE)</f>
        <v>280</v>
      </c>
      <c r="CL55" s="14">
        <f>VLOOKUP(t_Parts[[Plant]:[Plant]],t_Plants[],Plants!DK$1,FALSE)</f>
        <v>280</v>
      </c>
      <c r="CM55" s="14">
        <f>VLOOKUP(t_Parts[[Plant]:[Plant]],t_Plants[],Plants!DL$1,FALSE)</f>
        <v>350</v>
      </c>
      <c r="CN55" s="14">
        <f>VLOOKUP(t_Parts[[Plant]:[Plant]],t_Plants[],Plants!DM$1,FALSE)</f>
        <v>3640</v>
      </c>
      <c r="CO55" s="14">
        <f>VLOOKUP(t_Parts[[Plant]:[Plant]],t_Plants[],Plants!DN$1,FALSE)</f>
        <v>3640</v>
      </c>
      <c r="CP55" s="14">
        <f>VLOOKUP(t_Parts[[Plant]:[Plant]],t_Plants[],Plants!DO$1,FALSE)</f>
        <v>3640</v>
      </c>
      <c r="CQ55" s="14">
        <f>VLOOKUP(t_Parts[[Plant]:[Plant]],t_Plants[],Plants!DP$1,FALSE)</f>
        <v>3640</v>
      </c>
      <c r="CR55" s="39">
        <f>IF(AND(AL$3&gt;=VALUE(t_Parts[[SOP]:[SOP]]),AL$3&lt;=VALUE(t_Parts[[EOP]:[EOP]])), t_Parts[[SetupHrsPerMo]:[SetupHrsPerMo]]+(t_Parts[[#This Row],[pv2015.01]]/t_Parts[[NetPPH]:[NetPPH]]),0)</f>
        <v>7.0205710955710954</v>
      </c>
      <c r="CS55" s="39">
        <f>IF(AND(AM$3&gt;=VALUE(t_Parts[[SOP]:[SOP]]),AM$3&lt;=VALUE(t_Parts[[EOP]:[EOP]])), t_Parts[[SetupHrsPerMo]:[SetupHrsPerMo]]+(t_Parts[[#This Row],[pv2015.02]]/t_Parts[[NetPPH]:[NetPPH]]),0)</f>
        <v>7.0205710955710954</v>
      </c>
      <c r="CT55" s="39">
        <f>IF(AND(AN$3&gt;=VALUE(t_Parts[[SOP]:[SOP]]),AN$3&lt;=VALUE(t_Parts[[EOP]:[EOP]])), t_Parts[[SetupHrsPerMo]:[SetupHrsPerMo]]+(t_Parts[[#This Row],[pv2015.03]]/t_Parts[[NetPPH]:[NetPPH]]),0)</f>
        <v>8.2757138694638677</v>
      </c>
      <c r="CU55" s="39">
        <f>IF(AND(AO$3&gt;=VALUE(t_Parts[[SOP]:[SOP]]),AO$3&lt;=VALUE(t_Parts[[EOP]:[EOP]])), t_Parts[[SetupHrsPerMo]:[SetupHrsPerMo]]+(t_Parts[[#This Row],[pv2015.04]]/t_Parts[[NetPPH]:[NetPPH]]),0)</f>
        <v>7.0205710955710954</v>
      </c>
      <c r="CV55" s="39">
        <f>IF(AND(AP$3&gt;=VALUE(t_Parts[[SOP]:[SOP]]),AP$3&lt;=VALUE(t_Parts[[EOP]:[EOP]])), t_Parts[[SetupHrsPerMo]:[SetupHrsPerMo]]+(t_Parts[[#This Row],[pv2015.05]]/t_Parts[[NetPPH]:[NetPPH]]),0)</f>
        <v>7.0205710955710954</v>
      </c>
      <c r="CW55" s="39">
        <f>IF(AND(AQ$3&gt;=VALUE(t_Parts[[SOP]:[SOP]]),AQ$3&lt;=VALUE(t_Parts[[EOP]:[EOP]])), t_Parts[[SetupHrsPerMo]:[SetupHrsPerMo]]+(t_Parts[[#This Row],[pv2015.06]]/t_Parts[[NetPPH]:[NetPPH]]),0)</f>
        <v>8.2757138694638677</v>
      </c>
      <c r="CX55" s="39">
        <f>IF(AND(AR$3&gt;=VALUE(t_Parts[[SOP]:[SOP]]),AR$3&lt;=VALUE(t_Parts[[EOP]:[EOP]])), t_Parts[[SetupHrsPerMo]:[SetupHrsPerMo]]+(t_Parts[[#This Row],[pv2015.07]]/t_Parts[[NetPPH]:[NetPPH]]),0)</f>
        <v>7.0205710955710954</v>
      </c>
      <c r="CY55" s="39">
        <f>IF(AND(AS$3&gt;=VALUE(t_Parts[[SOP]:[SOP]]),AS$3&lt;=VALUE(t_Parts[[EOP]:[EOP]])), t_Parts[[SetupHrsPerMo]:[SetupHrsPerMo]]+(t_Parts[[#This Row],[pv2015.08]]/t_Parts[[NetPPH]:[NetPPH]]),0)</f>
        <v>7.0205710955710954</v>
      </c>
      <c r="CZ55" s="39">
        <f>IF(AND(AT$3&gt;=VALUE(t_Parts[[SOP]:[SOP]]),AT$3&lt;=VALUE(t_Parts[[EOP]:[EOP]])), t_Parts[[SetupHrsPerMo]:[SetupHrsPerMo]]+(t_Parts[[#This Row],[pv2015.09]]/t_Parts[[NetPPH]:[NetPPH]]),0)</f>
        <v>8.2757138694638677</v>
      </c>
      <c r="DA55" s="39">
        <f>IF(AND(AU$3&gt;=VALUE(t_Parts[[SOP]:[SOP]]),AU$3&lt;=VALUE(t_Parts[[EOP]:[EOP]])), t_Parts[[SetupHrsPerMo]:[SetupHrsPerMo]]+(t_Parts[[#This Row],[pv2015.10]]/t_Parts[[NetPPH]:[NetPPH]]),0)</f>
        <v>7.0205710955710954</v>
      </c>
      <c r="DB55" s="39">
        <f>IF(AND(AV$3&gt;=VALUE(t_Parts[[SOP]:[SOP]]),AV$3&lt;=VALUE(t_Parts[[EOP]:[EOP]])), t_Parts[[SetupHrsPerMo]:[SetupHrsPerMo]]+(t_Parts[[#This Row],[pv2015.11]]/t_Parts[[NetPPH]:[NetPPH]]),0)</f>
        <v>7.0205710955710954</v>
      </c>
      <c r="DC55" s="39">
        <f>IF(AND(AW$3&gt;=VALUE(t_Parts[[SOP]:[SOP]]),AW$3&lt;=VALUE(t_Parts[[EOP]:[EOP]])), t_Parts[[SetupHrsPerMo]:[SetupHrsPerMo]]+(t_Parts[[#This Row],[pv2015.12]]/t_Parts[[NetPPH]:[NetPPH]]),0)</f>
        <v>8.2757138694638677</v>
      </c>
      <c r="DD55" s="39">
        <f>SUM(t_Parts[[#This Row],[hp2015.01]:[hp2015.12]])</f>
        <v>89.267424242424241</v>
      </c>
      <c r="DE55" s="39">
        <f>IF(AND(AY$3&gt;=VALUE(t_Parts[[SOP]:[SOP]]),AY$3&lt;=VALUE(t_Parts[[EOP]:[EOP]])), t_Parts[[SetupHrsPerMo]:[SetupHrsPerMo]]+(t_Parts[[#This Row],[pv2016.01]]/t_Parts[[NetPPH]:[NetPPH]]),0)</f>
        <v>7.0205710955710954</v>
      </c>
      <c r="DF55" s="39">
        <f>IF(AND(AZ$3&gt;=VALUE(t_Parts[[SOP]:[SOP]]),AZ$3&lt;=VALUE(t_Parts[[EOP]:[EOP]])), t_Parts[[SetupHrsPerMo]:[SetupHrsPerMo]]+(t_Parts[[#This Row],[pv2016.02]]/t_Parts[[NetPPH]:[NetPPH]]),0)</f>
        <v>7.0205710955710954</v>
      </c>
      <c r="DG55" s="39">
        <f>IF(AND(BA$3&gt;=VALUE(t_Parts[[SOP]:[SOP]]),BA$3&lt;=VALUE(t_Parts[[EOP]:[EOP]])), t_Parts[[SetupHrsPerMo]:[SetupHrsPerMo]]+(t_Parts[[#This Row],[pv2016.03]]/t_Parts[[NetPPH]:[NetPPH]]),0)</f>
        <v>8.2757138694638677</v>
      </c>
      <c r="DH55" s="39">
        <f>IF(AND(BB$3&gt;=VALUE(t_Parts[[SOP]:[SOP]]),BB$3&lt;=VALUE(t_Parts[[EOP]:[EOP]])), t_Parts[[SetupHrsPerMo]:[SetupHrsPerMo]]+(t_Parts[[#This Row],[pv2016.04]]/t_Parts[[NetPPH]:[NetPPH]]),0)</f>
        <v>7.0205710955710954</v>
      </c>
      <c r="DI55" s="39">
        <f>IF(AND(BC$3&gt;=VALUE(t_Parts[[SOP]:[SOP]]),BC$3&lt;=VALUE(t_Parts[[EOP]:[EOP]])), t_Parts[[SetupHrsPerMo]:[SetupHrsPerMo]]+(t_Parts[[#This Row],[pv2016.05]]/t_Parts[[NetPPH]:[NetPPH]]),0)</f>
        <v>7.0205710955710954</v>
      </c>
      <c r="DJ55" s="39">
        <f>IF(AND(BD$3&gt;=VALUE(t_Parts[[SOP]:[SOP]]),BD$3&lt;=VALUE(t_Parts[[EOP]:[EOP]])), t_Parts[[SetupHrsPerMo]:[SetupHrsPerMo]]+(t_Parts[[#This Row],[pv2016.06]]/t_Parts[[NetPPH]:[NetPPH]]),0)</f>
        <v>8.2757138694638677</v>
      </c>
      <c r="DK55" s="39">
        <f>IF(AND(BE$3&gt;=VALUE(t_Parts[[SOP]:[SOP]]),BE$3&lt;=VALUE(t_Parts[[EOP]:[EOP]])), t_Parts[[SetupHrsPerMo]:[SetupHrsPerMo]]+(t_Parts[[#This Row],[pv2016.07]]/t_Parts[[NetPPH]:[NetPPH]]),0)</f>
        <v>7.0205710955710954</v>
      </c>
      <c r="DL55" s="39">
        <f>IF(AND(BF$3&gt;=VALUE(t_Parts[[SOP]:[SOP]]),BF$3&lt;=VALUE(t_Parts[[EOP]:[EOP]])), t_Parts[[SetupHrsPerMo]:[SetupHrsPerMo]]+(t_Parts[[#This Row],[pv2016.08]]/t_Parts[[NetPPH]:[NetPPH]]),0)</f>
        <v>7.0205710955710954</v>
      </c>
      <c r="DM55" s="39">
        <f>IF(AND(BG$3&gt;=VALUE(t_Parts[[SOP]:[SOP]]),BG$3&lt;=VALUE(t_Parts[[EOP]:[EOP]])), t_Parts[[SetupHrsPerMo]:[SetupHrsPerMo]]+(t_Parts[[#This Row],[pv2016.09]]/t_Parts[[NetPPH]:[NetPPH]]),0)</f>
        <v>8.2757138694638677</v>
      </c>
      <c r="DN55" s="39">
        <f>IF(AND(BH$3&gt;=VALUE(t_Parts[[SOP]:[SOP]]),BH$3&lt;=VALUE(t_Parts[[EOP]:[EOP]])), t_Parts[[SetupHrsPerMo]:[SetupHrsPerMo]]+(t_Parts[[#This Row],[pv2016.10]]/t_Parts[[NetPPH]:[NetPPH]]),0)</f>
        <v>7.0205710955710954</v>
      </c>
      <c r="DO55" s="39">
        <f>IF(AND(BI$3&gt;=VALUE(t_Parts[[SOP]:[SOP]]),BI$3&lt;=VALUE(t_Parts[[EOP]:[EOP]])), t_Parts[[SetupHrsPerMo]:[SetupHrsPerMo]]+(t_Parts[[#This Row],[pv2016.11]]/t_Parts[[NetPPH]:[NetPPH]]),0)</f>
        <v>7.0205710955710954</v>
      </c>
      <c r="DP55" s="39">
        <f>IF(AND(BJ$3&gt;=VALUE(t_Parts[[SOP]:[SOP]]),BJ$3&lt;=VALUE(t_Parts[[EOP]:[EOP]])), t_Parts[[SetupHrsPerMo]:[SetupHrsPerMo]]+(t_Parts[[#This Row],[pv2016.12]]/t_Parts[[NetPPH]:[NetPPH]]),0)</f>
        <v>8.2757138694638677</v>
      </c>
      <c r="DQ55" s="39">
        <f>SUM(t_Parts[[#This Row],[hp2016.01]:[hp2016.12]])</f>
        <v>89.267424242424241</v>
      </c>
      <c r="DR55" s="39">
        <f>IF(AND(BL$3&gt;=VALUE(t_Parts[[SOP]:[SOP]]),BL$3&lt;=VALUE(t_Parts[[EOP]:[EOP]])), 12*t_Parts[[SetupHrsPerMo]:[SetupHrsPerMo]]+(t_Parts[[#This Row],[pv2017]]/t_Parts[[NetPPH]:[NetPPH]]),0)</f>
        <v>89.267424242424241</v>
      </c>
      <c r="DS55" s="39">
        <f>IF(AND(BM$3&gt;=VALUE(t_Parts[[SOP]:[SOP]]),BM$3&lt;=VALUE(t_Parts[[EOP]:[EOP]])), 12*t_Parts[[SetupHrsPerMo]:[SetupHrsPerMo]]+(t_Parts[[#This Row],[pv2018]]/t_Parts[[NetPPH]:[NetPPH]]),0)</f>
        <v>89.267424242424241</v>
      </c>
      <c r="DT55" s="39">
        <f>IF(AND(BN$3&gt;=VALUE(t_Parts[[SOP]:[SOP]]),BN$3&lt;=VALUE(t_Parts[[EOP]:[EOP]])), 12*t_Parts[[SetupHrsPerMo]:[SetupHrsPerMo]]+(t_Parts[[#This Row],[pv2019]]/t_Parts[[NetPPH]:[NetPPH]]),0)</f>
        <v>89.267424242424241</v>
      </c>
      <c r="DU55" s="47">
        <f>t_Parts[[#This Row],[hp2015.01]]/t_Parts[[#This Row],[ha2015.01]]</f>
        <v>2.5073468198468198E-2</v>
      </c>
      <c r="DV55" s="47">
        <f>t_Parts[[#This Row],[hp2015.02]]/t_Parts[[#This Row],[ha2015.02]]</f>
        <v>2.5073468198468198E-2</v>
      </c>
      <c r="DW55" s="47">
        <f>t_Parts[[#This Row],[hp2015.03]]/t_Parts[[#This Row],[ha2015.03]]</f>
        <v>2.3644896769896766E-2</v>
      </c>
      <c r="DX55" s="47">
        <f>t_Parts[[#This Row],[hp2015.04]]/t_Parts[[#This Row],[ha2015.04]]</f>
        <v>2.5073468198468198E-2</v>
      </c>
      <c r="DY55" s="47">
        <f>t_Parts[[#This Row],[hp2015.05]]/t_Parts[[#This Row],[ha2015.05]]</f>
        <v>2.5073468198468198E-2</v>
      </c>
      <c r="DZ55" s="47">
        <f>t_Parts[[#This Row],[hp2015.06]]/t_Parts[[#This Row],[ha2015.06]]</f>
        <v>2.3644896769896766E-2</v>
      </c>
      <c r="EA55" s="47">
        <f>t_Parts[[#This Row],[hp2015.07]]/t_Parts[[#This Row],[ha2015.07]]</f>
        <v>2.5073468198468198E-2</v>
      </c>
      <c r="EB55" s="47">
        <f>t_Parts[[#This Row],[hp2015.08]]/t_Parts[[#This Row],[ha2015.08]]</f>
        <v>2.5073468198468198E-2</v>
      </c>
      <c r="EC55" s="47">
        <f>t_Parts[[#This Row],[hp2015.09]]/t_Parts[[#This Row],[ha2015.09]]</f>
        <v>2.3644896769896766E-2</v>
      </c>
      <c r="ED55" s="47">
        <f>t_Parts[[#This Row],[hp2015.10]]/t_Parts[[#This Row],[ha2015.10]]</f>
        <v>2.5073468198468198E-2</v>
      </c>
      <c r="EE55" s="47">
        <f>t_Parts[[#This Row],[hp2015.11]]/t_Parts[[#This Row],[ha2015.11]]</f>
        <v>2.5073468198468198E-2</v>
      </c>
      <c r="EF55" s="47">
        <f>t_Parts[[#This Row],[hp2015.12]]/t_Parts[[#This Row],[ha2015.12]]</f>
        <v>2.3644896769896766E-2</v>
      </c>
      <c r="EG55" s="47">
        <f>t_Parts[[#This Row],[hp2015.FY]]/t_Parts[[#This Row],[ha2015.FY]]</f>
        <v>2.4524017649017647E-2</v>
      </c>
      <c r="EH55" s="47">
        <f>t_Parts[[#This Row],[hp2016.01]]/t_Parts[[#This Row],[ha2016.01]]</f>
        <v>2.5073468198468198E-2</v>
      </c>
      <c r="EI55" s="47">
        <f>t_Parts[[#This Row],[hp2016.02]]/t_Parts[[#This Row],[ha2016.02]]</f>
        <v>2.5073468198468198E-2</v>
      </c>
      <c r="EJ55" s="47">
        <f>t_Parts[[#This Row],[hp2016.03]]/t_Parts[[#This Row],[ha2016.03]]</f>
        <v>2.3644896769896766E-2</v>
      </c>
      <c r="EK55" s="47">
        <f>t_Parts[[#This Row],[hp2016.04]]/t_Parts[[#This Row],[ha2016.04]]</f>
        <v>2.5073468198468198E-2</v>
      </c>
      <c r="EL55" s="47">
        <f>t_Parts[[#This Row],[hp2016.05]]/t_Parts[[#This Row],[ha2016.05]]</f>
        <v>2.5073468198468198E-2</v>
      </c>
      <c r="EM55" s="47">
        <f>t_Parts[[#This Row],[hp2016.06]]/t_Parts[[#This Row],[ha2016.06]]</f>
        <v>2.3644896769896766E-2</v>
      </c>
      <c r="EN55" s="47">
        <f>t_Parts[[#This Row],[hp2016.07]]/t_Parts[[#This Row],[ha2016.07]]</f>
        <v>2.5073468198468198E-2</v>
      </c>
      <c r="EO55" s="47">
        <f>t_Parts[[#This Row],[hp2016.08]]/t_Parts[[#This Row],[ha2016.08]]</f>
        <v>2.5073468198468198E-2</v>
      </c>
      <c r="EP55" s="47">
        <f>t_Parts[[#This Row],[hp2016.09]]/t_Parts[[#This Row],[ha2016.09]]</f>
        <v>2.3644896769896766E-2</v>
      </c>
      <c r="EQ55" s="47">
        <f>t_Parts[[#This Row],[hp2016.10]]/t_Parts[[#This Row],[ha2016.10]]</f>
        <v>2.5073468198468198E-2</v>
      </c>
      <c r="ER55" s="47">
        <f>t_Parts[[#This Row],[hp2016.11]]/t_Parts[[#This Row],[ha2016.11]]</f>
        <v>2.5073468198468198E-2</v>
      </c>
      <c r="ES55" s="47">
        <f>t_Parts[[#This Row],[hp2016.12]]/t_Parts[[#This Row],[ha2016.12]]</f>
        <v>2.3644896769896766E-2</v>
      </c>
      <c r="ET55" s="47">
        <f>t_Parts[[#This Row],[hp2016.FY]]/t_Parts[[#This Row],[ha2016.FY]]</f>
        <v>2.4524017649017647E-2</v>
      </c>
      <c r="EU55" s="47">
        <f>t_Parts[[#This Row],[hp2017]]/t_Parts[[#This Row],[ha2017]]</f>
        <v>2.4524017649017647E-2</v>
      </c>
      <c r="EV55" s="47">
        <f>t_Parts[[#This Row],[hp2018]]/t_Parts[[#This Row],[ha2018]]</f>
        <v>2.4524017649017647E-2</v>
      </c>
      <c r="EW55" s="47">
        <f>t_Parts[[#This Row],[hp2019]]/t_Parts[[#This Row],[hp2015.01]]</f>
        <v>12.715122890606194</v>
      </c>
      <c r="EX55" s="58">
        <f>(t_Parts[[#This Row],[ha2015.01]]-t_Parts[[#This Row],[hp2015.01]])*t_Parts[[NetPPH]:[NetPPH]]</f>
        <v>360332.84615384619</v>
      </c>
      <c r="EY55" s="58">
        <f>(t_Parts[[#This Row],[ha2015.02]]-t_Parts[[#This Row],[hp2015.02]])*t_Parts[[NetPPH]:[NetPPH]]</f>
        <v>360332.84615384619</v>
      </c>
      <c r="EZ55" s="58">
        <f>(t_Parts[[#This Row],[ha2015.03]]-t_Parts[[#This Row],[hp2015.03]])*t_Parts[[NetPPH]:[NetPPH]]</f>
        <v>451076.05769230769</v>
      </c>
      <c r="FA55" s="58">
        <f>(t_Parts[[#This Row],[ha2015.04]]-t_Parts[[#This Row],[hp2015.04]])*t_Parts[[NetPPH]:[NetPPH]]</f>
        <v>360332.84615384619</v>
      </c>
      <c r="FB55" s="58">
        <f>(t_Parts[[#This Row],[ha2015.05]]-t_Parts[[#This Row],[hp2015.05]])*t_Parts[[NetPPH]:[NetPPH]]</f>
        <v>360332.84615384619</v>
      </c>
      <c r="FC55" s="58">
        <f>(t_Parts[[#This Row],[ha2015.06]]-t_Parts[[#This Row],[hp2015.06]])*t_Parts[[NetPPH]:[NetPPH]]</f>
        <v>451076.05769230769</v>
      </c>
      <c r="FD55" s="58">
        <f>(t_Parts[[#This Row],[ha2015.07]]-t_Parts[[#This Row],[hp2015.07]])*t_Parts[[NetPPH]:[NetPPH]]</f>
        <v>360332.84615384619</v>
      </c>
      <c r="FE55" s="58">
        <f>(t_Parts[[#This Row],[ha2015.08]]-t_Parts[[#This Row],[hp2015.08]])*t_Parts[[NetPPH]:[NetPPH]]</f>
        <v>360332.84615384619</v>
      </c>
      <c r="FF55" s="58">
        <f>(t_Parts[[#This Row],[ha2015.09]]-t_Parts[[#This Row],[hp2015.09]])*t_Parts[[NetPPH]:[NetPPH]]</f>
        <v>451076.05769230769</v>
      </c>
      <c r="FG55" s="58">
        <f>(t_Parts[[#This Row],[ha2015.10]]-t_Parts[[#This Row],[hp2015.10]])*t_Parts[[NetPPH]:[NetPPH]]</f>
        <v>360332.84615384619</v>
      </c>
      <c r="FH55" s="58">
        <f>(t_Parts[[#This Row],[ha2015.11]]-t_Parts[[#This Row],[hp2015.11]])*t_Parts[[NetPPH]:[NetPPH]]</f>
        <v>360332.84615384619</v>
      </c>
      <c r="FI55" s="58">
        <f>(t_Parts[[#This Row],[ha2015.12]]-t_Parts[[#This Row],[hp2015.12]])*t_Parts[[NetPPH]:[NetPPH]]</f>
        <v>451076.05769230769</v>
      </c>
      <c r="FJ55" s="58">
        <f>(t_Parts[[#This Row],[ha2015.FY]]-t_Parts[[#This Row],[hp2015.FY]])*t_Parts[[NetPPH]:[NetPPH]]</f>
        <v>4686967</v>
      </c>
      <c r="FK55" s="58">
        <f>(t_Parts[[#This Row],[ha2016.01]]-t_Parts[[#This Row],[hp2016.01]])*t_Parts[[NetPPH]:[NetPPH]]</f>
        <v>360332.84615384619</v>
      </c>
      <c r="FL55" s="58">
        <f>(t_Parts[[#This Row],[ha2016.02]]-t_Parts[[#This Row],[hp2016.02]])*t_Parts[[NetPPH]:[NetPPH]]</f>
        <v>360332.84615384619</v>
      </c>
      <c r="FM55" s="58">
        <f>(t_Parts[[#This Row],[ha2016.03]]-t_Parts[[#This Row],[hp2016.03]])*t_Parts[[NetPPH]:[NetPPH]]</f>
        <v>451076.05769230769</v>
      </c>
      <c r="FN55" s="58">
        <f>(t_Parts[[#This Row],[ha2016.04]]-t_Parts[[#This Row],[hp2016.04]])*t_Parts[[NetPPH]:[NetPPH]]</f>
        <v>360332.84615384619</v>
      </c>
      <c r="FO55" s="58">
        <f>(t_Parts[[#This Row],[ha2016.05]]-t_Parts[[#This Row],[hp2016.05]])*t_Parts[[NetPPH]:[NetPPH]]</f>
        <v>360332.84615384619</v>
      </c>
      <c r="FP55" s="58">
        <f>(t_Parts[[#This Row],[ha2016.06]]-t_Parts[[#This Row],[hp2016.06]])*t_Parts[[NetPPH]:[NetPPH]]</f>
        <v>451076.05769230769</v>
      </c>
      <c r="FQ55" s="58">
        <f>(t_Parts[[#This Row],[ha2016.07]]-t_Parts[[#This Row],[hp2016.07]])*t_Parts[[NetPPH]:[NetPPH]]</f>
        <v>360332.84615384619</v>
      </c>
      <c r="FR55" s="58">
        <f>(t_Parts[[#This Row],[ha2016.08]]-t_Parts[[#This Row],[hp2016.08]])*t_Parts[[NetPPH]:[NetPPH]]</f>
        <v>360332.84615384619</v>
      </c>
      <c r="FS55" s="58">
        <f>(t_Parts[[#This Row],[ha2016.09]]-t_Parts[[#This Row],[hp2016.09]])*t_Parts[[NetPPH]:[NetPPH]]</f>
        <v>451076.05769230769</v>
      </c>
      <c r="FT55" s="58">
        <f>(t_Parts[[#This Row],[ha2016.10]]-t_Parts[[#This Row],[hp2016.10]])*t_Parts[[NetPPH]:[NetPPH]]</f>
        <v>360332.84615384619</v>
      </c>
      <c r="FU55" s="58">
        <f>(t_Parts[[#This Row],[ha2016.11]]-t_Parts[[#This Row],[hp2016.11]])*t_Parts[[NetPPH]:[NetPPH]]</f>
        <v>360332.84615384619</v>
      </c>
      <c r="FV55" s="58">
        <f>(t_Parts[[#This Row],[ha2016.12]]-t_Parts[[#This Row],[hp2016.12]])*t_Parts[[NetPPH]:[NetPPH]]</f>
        <v>451076.05769230769</v>
      </c>
      <c r="FW55" s="58">
        <f>(t_Parts[[#This Row],[ha2016.FY]]-t_Parts[[#This Row],[hp2016.FY]])*t_Parts[[NetPPH]:[NetPPH]]</f>
        <v>4686967</v>
      </c>
      <c r="FX55" s="58">
        <f>(t_Parts[[#This Row],[ha2017]]-t_Parts[[#This Row],[hp2017]])*t_Parts[[NetPPH]:[NetPPH]]</f>
        <v>4686967</v>
      </c>
      <c r="FY55" s="58">
        <f>(t_Parts[[#This Row],[ha2018]]-t_Parts[[#This Row],[hp2018]])*t_Parts[[NetPPH]:[NetPPH]]</f>
        <v>4686967</v>
      </c>
      <c r="FZ55" s="58">
        <f>(t_Parts[[#This Row],[ha2019]]-t_Parts[[#This Row],[hp2019]])*t_Parts[[NetPPH]:[NetPPH]]</f>
        <v>4686967</v>
      </c>
    </row>
    <row r="56" spans="1:182" s="14" customFormat="1" x14ac:dyDescent="0.25">
      <c r="A56" s="74" t="s">
        <v>534</v>
      </c>
      <c r="B56" s="74"/>
      <c r="C56" s="74">
        <v>21013</v>
      </c>
      <c r="D56" s="75">
        <v>1</v>
      </c>
      <c r="E56" s="73">
        <v>3000</v>
      </c>
      <c r="F56" s="76">
        <v>1</v>
      </c>
      <c r="G56" s="77">
        <v>1</v>
      </c>
      <c r="H56" s="16">
        <v>2015.01</v>
      </c>
      <c r="I56" s="16" t="s">
        <v>332</v>
      </c>
      <c r="J56" s="73">
        <v>22000</v>
      </c>
      <c r="K56" s="73">
        <v>22000</v>
      </c>
      <c r="L56" s="73">
        <v>22000</v>
      </c>
      <c r="M56" s="73">
        <v>22000</v>
      </c>
      <c r="N56" s="73">
        <v>22000</v>
      </c>
      <c r="O56" s="78">
        <v>33</v>
      </c>
      <c r="P56" s="78">
        <v>63</v>
      </c>
      <c r="Q56" s="79">
        <v>20.934999999999999</v>
      </c>
      <c r="R56" s="79"/>
      <c r="S56" s="78">
        <v>168</v>
      </c>
      <c r="T56" s="80">
        <v>11</v>
      </c>
      <c r="U56" s="80" t="s">
        <v>121</v>
      </c>
      <c r="V56" s="81" t="s">
        <v>535</v>
      </c>
      <c r="W56" s="82">
        <v>0.79</v>
      </c>
      <c r="X56" s="82" t="s">
        <v>495</v>
      </c>
      <c r="Y56" s="82"/>
      <c r="Z56" s="82"/>
      <c r="AA56" s="82"/>
      <c r="AB56" s="82"/>
      <c r="AC56" s="83" t="s">
        <v>667</v>
      </c>
      <c r="AD56" s="40" t="str">
        <f>VLOOKUP(t_Parts[[#This Row],[Press]],t_Presses[],Press!B$1,FALSE)</f>
        <v>Plainfield</v>
      </c>
      <c r="AE56" s="40" t="str">
        <f>VLOOKUP(t_Parts[[#This Row],[Press]],t_Presses[],Press!E$1,FALSE)</f>
        <v>0-299</v>
      </c>
      <c r="AF56" s="47">
        <f>VLOOKUP(t_Parts[[#This Row],[Plant]],t_Plants[],Plants!C$1,FALSE)</f>
        <v>0.55000000000000004</v>
      </c>
      <c r="AG56" s="47">
        <f>VLOOKUP(t_Parts[[#This Row],[Press]],t_Presses[],Press!F$1,FALSE)</f>
        <v>0</v>
      </c>
      <c r="AH56" s="84"/>
      <c r="AI56" s="47">
        <f>IF(ISBLANK(t_Parts[[#This Row],[PartOEE]])=FALSE,t_Parts[[#This Row],[PartOEE]], IF(t_Parts[[#This Row],[PressOEE]]&gt;0, t_Parts[[#This Row],[PressOEE]], t_Parts[[#This Row],[PlantOEE]] ))</f>
        <v>0.55000000000000004</v>
      </c>
      <c r="AJ56" s="70">
        <f>t_Parts[[#This Row],[SetupsPerMo]]*t_Parts[[#This Row],[SetupHrs]]</f>
        <v>1</v>
      </c>
      <c r="AK56" s="39">
        <f>(t_Parts[[#This Row],[PartsPerStroke]]*t_Parts[[#This Row],[StrokesPerHr]])*t_Parts[[#This Row],[UseOEE]]</f>
        <v>1650.0000000000002</v>
      </c>
      <c r="AL5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1692.3076923076924</v>
      </c>
      <c r="AM5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1692.3076923076924</v>
      </c>
      <c r="AN5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2115.3846153846152</v>
      </c>
      <c r="AO5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1692.3076923076924</v>
      </c>
      <c r="AP5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1692.3076923076924</v>
      </c>
      <c r="AQ5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2115.3846153846152</v>
      </c>
      <c r="AR5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1692.3076923076924</v>
      </c>
      <c r="AS5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1692.3076923076924</v>
      </c>
      <c r="AT5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2115.3846153846152</v>
      </c>
      <c r="AU5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1692.3076923076924</v>
      </c>
      <c r="AV5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1692.3076923076924</v>
      </c>
      <c r="AW5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2115.3846153846152</v>
      </c>
      <c r="AX56" s="39">
        <f>SUM(t_Parts[[#This Row],[pv2015.01]:[pv2015.12]])</f>
        <v>22000</v>
      </c>
      <c r="AY5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1692.3076923076924</v>
      </c>
      <c r="AZ5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1692.3076923076924</v>
      </c>
      <c r="BA5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2115.3846153846152</v>
      </c>
      <c r="BB5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1692.3076923076924</v>
      </c>
      <c r="BC5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1692.3076923076924</v>
      </c>
      <c r="BD5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2115.3846153846152</v>
      </c>
      <c r="BE5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1692.3076923076924</v>
      </c>
      <c r="BF5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1692.3076923076924</v>
      </c>
      <c r="BG5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2115.3846153846152</v>
      </c>
      <c r="BH5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1692.3076923076924</v>
      </c>
      <c r="BI5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1692.3076923076924</v>
      </c>
      <c r="BJ5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2115.3846153846152</v>
      </c>
      <c r="BK56" s="39">
        <f>SUM(t_Parts[[#This Row],[pv2016.01]:[pv2016.12]])</f>
        <v>22000</v>
      </c>
      <c r="BL56" s="39">
        <f>t_Parts[[#This Row],[2017vol]]</f>
        <v>22000</v>
      </c>
      <c r="BM56" s="39">
        <f>t_Parts[[#This Row],[2018vol]]</f>
        <v>22000</v>
      </c>
      <c r="BN56" s="39">
        <f>t_Parts[[#This Row],[2019vol]]</f>
        <v>22000</v>
      </c>
      <c r="BO56" s="40">
        <f>VLOOKUP(t_Parts[[Plant]:[Plant]],t_Plants[],Plants!CN$1,FALSE)</f>
        <v>280</v>
      </c>
      <c r="BP56" s="14">
        <f>VLOOKUP(t_Parts[[Plant]:[Plant]],t_Plants[],Plants!CO$1,FALSE)</f>
        <v>280</v>
      </c>
      <c r="BQ56" s="14">
        <f>VLOOKUP(t_Parts[[Plant]:[Plant]],t_Plants[],Plants!CP$1,FALSE)</f>
        <v>350</v>
      </c>
      <c r="BR56" s="14">
        <f>VLOOKUP(t_Parts[[Plant]:[Plant]],t_Plants[],Plants!CQ$1,FALSE)</f>
        <v>280</v>
      </c>
      <c r="BS56" s="14">
        <f>VLOOKUP(t_Parts[[Plant]:[Plant]],t_Plants[],Plants!CR$1,FALSE)</f>
        <v>280</v>
      </c>
      <c r="BT56" s="14">
        <f>VLOOKUP(t_Parts[[Plant]:[Plant]],t_Plants[],Plants!CS$1,FALSE)</f>
        <v>350</v>
      </c>
      <c r="BU56" s="14">
        <f>VLOOKUP(t_Parts[[Plant]:[Plant]],t_Plants[],Plants!CT$1,FALSE)</f>
        <v>280</v>
      </c>
      <c r="BV56" s="14">
        <f>VLOOKUP(t_Parts[[Plant]:[Plant]],t_Plants[],Plants!CU$1,FALSE)</f>
        <v>280</v>
      </c>
      <c r="BW56" s="14">
        <f>VLOOKUP(t_Parts[[Plant]:[Plant]],t_Plants[],Plants!CV$1,FALSE)</f>
        <v>350</v>
      </c>
      <c r="BX56" s="14">
        <f>VLOOKUP(t_Parts[[Plant]:[Plant]],t_Plants[],Plants!CW$1,FALSE)</f>
        <v>280</v>
      </c>
      <c r="BY56" s="14">
        <f>VLOOKUP(t_Parts[[Plant]:[Plant]],t_Plants[],Plants!CX$1,FALSE)</f>
        <v>280</v>
      </c>
      <c r="BZ56" s="14">
        <f>VLOOKUP(t_Parts[[Plant]:[Plant]],t_Plants[],Plants!CY$1,FALSE)</f>
        <v>350</v>
      </c>
      <c r="CA56" s="40">
        <f>SUM(t_Parts[[#This Row],[ha2015.01]:[ha2015.12]])</f>
        <v>3640</v>
      </c>
      <c r="CB56" s="14">
        <f>VLOOKUP(t_Parts[[Plant]:[Plant]],t_Plants[],Plants!DA$1,FALSE)</f>
        <v>280</v>
      </c>
      <c r="CC56" s="14">
        <f>VLOOKUP(t_Parts[[Plant]:[Plant]],t_Plants[],Plants!DB$1,FALSE)</f>
        <v>280</v>
      </c>
      <c r="CD56" s="14">
        <f>VLOOKUP(t_Parts[[Plant]:[Plant]],t_Plants[],Plants!DC$1,FALSE)</f>
        <v>350</v>
      </c>
      <c r="CE56" s="14">
        <f>VLOOKUP(t_Parts[[Plant]:[Plant]],t_Plants[],Plants!DD$1,FALSE)</f>
        <v>280</v>
      </c>
      <c r="CF56" s="14">
        <f>VLOOKUP(t_Parts[[Plant]:[Plant]],t_Plants[],Plants!DE$1,FALSE)</f>
        <v>280</v>
      </c>
      <c r="CG56" s="14">
        <f>VLOOKUP(t_Parts[[Plant]:[Plant]],t_Plants[],Plants!DF$1,FALSE)</f>
        <v>350</v>
      </c>
      <c r="CH56" s="14">
        <f>VLOOKUP(t_Parts[[Plant]:[Plant]],t_Plants[],Plants!DG$1,FALSE)</f>
        <v>280</v>
      </c>
      <c r="CI56" s="14">
        <f>VLOOKUP(t_Parts[[Plant]:[Plant]],t_Plants[],Plants!DH$1,FALSE)</f>
        <v>280</v>
      </c>
      <c r="CJ56" s="14">
        <f>VLOOKUP(t_Parts[[Plant]:[Plant]],t_Plants[],Plants!DI$1,FALSE)</f>
        <v>350</v>
      </c>
      <c r="CK56" s="14">
        <f>VLOOKUP(t_Parts[[Plant]:[Plant]],t_Plants[],Plants!DJ$1,FALSE)</f>
        <v>280</v>
      </c>
      <c r="CL56" s="14">
        <f>VLOOKUP(t_Parts[[Plant]:[Plant]],t_Plants[],Plants!DK$1,FALSE)</f>
        <v>280</v>
      </c>
      <c r="CM56" s="14">
        <f>VLOOKUP(t_Parts[[Plant]:[Plant]],t_Plants[],Plants!DL$1,FALSE)</f>
        <v>350</v>
      </c>
      <c r="CN56" s="14">
        <f>VLOOKUP(t_Parts[[Plant]:[Plant]],t_Plants[],Plants!DM$1,FALSE)</f>
        <v>3640</v>
      </c>
      <c r="CO56" s="14">
        <f>VLOOKUP(t_Parts[[Plant]:[Plant]],t_Plants[],Plants!DN$1,FALSE)</f>
        <v>3640</v>
      </c>
      <c r="CP56" s="14">
        <f>VLOOKUP(t_Parts[[Plant]:[Plant]],t_Plants[],Plants!DO$1,FALSE)</f>
        <v>3640</v>
      </c>
      <c r="CQ56" s="14">
        <f>VLOOKUP(t_Parts[[Plant]:[Plant]],t_Plants[],Plants!DP$1,FALSE)</f>
        <v>3640</v>
      </c>
      <c r="CR56" s="39">
        <f>IF(AND(AL$3&gt;=VALUE(t_Parts[[SOP]:[SOP]]),AL$3&lt;=VALUE(t_Parts[[EOP]:[EOP]])), t_Parts[[SetupHrsPerMo]:[SetupHrsPerMo]]+(t_Parts[[#This Row],[pv2015.01]]/t_Parts[[NetPPH]:[NetPPH]]),0)</f>
        <v>2.0256410256410255</v>
      </c>
      <c r="CS56" s="39">
        <f>IF(AND(AM$3&gt;=VALUE(t_Parts[[SOP]:[SOP]]),AM$3&lt;=VALUE(t_Parts[[EOP]:[EOP]])), t_Parts[[SetupHrsPerMo]:[SetupHrsPerMo]]+(t_Parts[[#This Row],[pv2015.02]]/t_Parts[[NetPPH]:[NetPPH]]),0)</f>
        <v>2.0256410256410255</v>
      </c>
      <c r="CT56" s="39">
        <f>IF(AND(AN$3&gt;=VALUE(t_Parts[[SOP]:[SOP]]),AN$3&lt;=VALUE(t_Parts[[EOP]:[EOP]])), t_Parts[[SetupHrsPerMo]:[SetupHrsPerMo]]+(t_Parts[[#This Row],[pv2015.03]]/t_Parts[[NetPPH]:[NetPPH]]),0)</f>
        <v>2.2820512820512819</v>
      </c>
      <c r="CU56" s="39">
        <f>IF(AND(AO$3&gt;=VALUE(t_Parts[[SOP]:[SOP]]),AO$3&lt;=VALUE(t_Parts[[EOP]:[EOP]])), t_Parts[[SetupHrsPerMo]:[SetupHrsPerMo]]+(t_Parts[[#This Row],[pv2015.04]]/t_Parts[[NetPPH]:[NetPPH]]),0)</f>
        <v>2.0256410256410255</v>
      </c>
      <c r="CV56" s="39">
        <f>IF(AND(AP$3&gt;=VALUE(t_Parts[[SOP]:[SOP]]),AP$3&lt;=VALUE(t_Parts[[EOP]:[EOP]])), t_Parts[[SetupHrsPerMo]:[SetupHrsPerMo]]+(t_Parts[[#This Row],[pv2015.05]]/t_Parts[[NetPPH]:[NetPPH]]),0)</f>
        <v>2.0256410256410255</v>
      </c>
      <c r="CW56" s="39">
        <f>IF(AND(AQ$3&gt;=VALUE(t_Parts[[SOP]:[SOP]]),AQ$3&lt;=VALUE(t_Parts[[EOP]:[EOP]])), t_Parts[[SetupHrsPerMo]:[SetupHrsPerMo]]+(t_Parts[[#This Row],[pv2015.06]]/t_Parts[[NetPPH]:[NetPPH]]),0)</f>
        <v>2.2820512820512819</v>
      </c>
      <c r="CX56" s="39">
        <f>IF(AND(AR$3&gt;=VALUE(t_Parts[[SOP]:[SOP]]),AR$3&lt;=VALUE(t_Parts[[EOP]:[EOP]])), t_Parts[[SetupHrsPerMo]:[SetupHrsPerMo]]+(t_Parts[[#This Row],[pv2015.07]]/t_Parts[[NetPPH]:[NetPPH]]),0)</f>
        <v>2.0256410256410255</v>
      </c>
      <c r="CY56" s="39">
        <f>IF(AND(AS$3&gt;=VALUE(t_Parts[[SOP]:[SOP]]),AS$3&lt;=VALUE(t_Parts[[EOP]:[EOP]])), t_Parts[[SetupHrsPerMo]:[SetupHrsPerMo]]+(t_Parts[[#This Row],[pv2015.08]]/t_Parts[[NetPPH]:[NetPPH]]),0)</f>
        <v>2.0256410256410255</v>
      </c>
      <c r="CZ56" s="39">
        <f>IF(AND(AT$3&gt;=VALUE(t_Parts[[SOP]:[SOP]]),AT$3&lt;=VALUE(t_Parts[[EOP]:[EOP]])), t_Parts[[SetupHrsPerMo]:[SetupHrsPerMo]]+(t_Parts[[#This Row],[pv2015.09]]/t_Parts[[NetPPH]:[NetPPH]]),0)</f>
        <v>2.2820512820512819</v>
      </c>
      <c r="DA56" s="39">
        <f>IF(AND(AU$3&gt;=VALUE(t_Parts[[SOP]:[SOP]]),AU$3&lt;=VALUE(t_Parts[[EOP]:[EOP]])), t_Parts[[SetupHrsPerMo]:[SetupHrsPerMo]]+(t_Parts[[#This Row],[pv2015.10]]/t_Parts[[NetPPH]:[NetPPH]]),0)</f>
        <v>2.0256410256410255</v>
      </c>
      <c r="DB56" s="39">
        <f>IF(AND(AV$3&gt;=VALUE(t_Parts[[SOP]:[SOP]]),AV$3&lt;=VALUE(t_Parts[[EOP]:[EOP]])), t_Parts[[SetupHrsPerMo]:[SetupHrsPerMo]]+(t_Parts[[#This Row],[pv2015.11]]/t_Parts[[NetPPH]:[NetPPH]]),0)</f>
        <v>2.0256410256410255</v>
      </c>
      <c r="DC56" s="39">
        <f>IF(AND(AW$3&gt;=VALUE(t_Parts[[SOP]:[SOP]]),AW$3&lt;=VALUE(t_Parts[[EOP]:[EOP]])), t_Parts[[SetupHrsPerMo]:[SetupHrsPerMo]]+(t_Parts[[#This Row],[pv2015.12]]/t_Parts[[NetPPH]:[NetPPH]]),0)</f>
        <v>2.2820512820512819</v>
      </c>
      <c r="DD56" s="39">
        <f>SUM(t_Parts[[#This Row],[hp2015.01]:[hp2015.12]])</f>
        <v>25.333333333333329</v>
      </c>
      <c r="DE56" s="39">
        <f>IF(AND(AY$3&gt;=VALUE(t_Parts[[SOP]:[SOP]]),AY$3&lt;=VALUE(t_Parts[[EOP]:[EOP]])), t_Parts[[SetupHrsPerMo]:[SetupHrsPerMo]]+(t_Parts[[#This Row],[pv2016.01]]/t_Parts[[NetPPH]:[NetPPH]]),0)</f>
        <v>2.0256410256410255</v>
      </c>
      <c r="DF56" s="39">
        <f>IF(AND(AZ$3&gt;=VALUE(t_Parts[[SOP]:[SOP]]),AZ$3&lt;=VALUE(t_Parts[[EOP]:[EOP]])), t_Parts[[SetupHrsPerMo]:[SetupHrsPerMo]]+(t_Parts[[#This Row],[pv2016.02]]/t_Parts[[NetPPH]:[NetPPH]]),0)</f>
        <v>2.0256410256410255</v>
      </c>
      <c r="DG56" s="39">
        <f>IF(AND(BA$3&gt;=VALUE(t_Parts[[SOP]:[SOP]]),BA$3&lt;=VALUE(t_Parts[[EOP]:[EOP]])), t_Parts[[SetupHrsPerMo]:[SetupHrsPerMo]]+(t_Parts[[#This Row],[pv2016.03]]/t_Parts[[NetPPH]:[NetPPH]]),0)</f>
        <v>2.2820512820512819</v>
      </c>
      <c r="DH56" s="39">
        <f>IF(AND(BB$3&gt;=VALUE(t_Parts[[SOP]:[SOP]]),BB$3&lt;=VALUE(t_Parts[[EOP]:[EOP]])), t_Parts[[SetupHrsPerMo]:[SetupHrsPerMo]]+(t_Parts[[#This Row],[pv2016.04]]/t_Parts[[NetPPH]:[NetPPH]]),0)</f>
        <v>2.0256410256410255</v>
      </c>
      <c r="DI56" s="39">
        <f>IF(AND(BC$3&gt;=VALUE(t_Parts[[SOP]:[SOP]]),BC$3&lt;=VALUE(t_Parts[[EOP]:[EOP]])), t_Parts[[SetupHrsPerMo]:[SetupHrsPerMo]]+(t_Parts[[#This Row],[pv2016.05]]/t_Parts[[NetPPH]:[NetPPH]]),0)</f>
        <v>2.0256410256410255</v>
      </c>
      <c r="DJ56" s="39">
        <f>IF(AND(BD$3&gt;=VALUE(t_Parts[[SOP]:[SOP]]),BD$3&lt;=VALUE(t_Parts[[EOP]:[EOP]])), t_Parts[[SetupHrsPerMo]:[SetupHrsPerMo]]+(t_Parts[[#This Row],[pv2016.06]]/t_Parts[[NetPPH]:[NetPPH]]),0)</f>
        <v>2.2820512820512819</v>
      </c>
      <c r="DK56" s="39">
        <f>IF(AND(BE$3&gt;=VALUE(t_Parts[[SOP]:[SOP]]),BE$3&lt;=VALUE(t_Parts[[EOP]:[EOP]])), t_Parts[[SetupHrsPerMo]:[SetupHrsPerMo]]+(t_Parts[[#This Row],[pv2016.07]]/t_Parts[[NetPPH]:[NetPPH]]),0)</f>
        <v>2.0256410256410255</v>
      </c>
      <c r="DL56" s="39">
        <f>IF(AND(BF$3&gt;=VALUE(t_Parts[[SOP]:[SOP]]),BF$3&lt;=VALUE(t_Parts[[EOP]:[EOP]])), t_Parts[[SetupHrsPerMo]:[SetupHrsPerMo]]+(t_Parts[[#This Row],[pv2016.08]]/t_Parts[[NetPPH]:[NetPPH]]),0)</f>
        <v>2.0256410256410255</v>
      </c>
      <c r="DM56" s="39">
        <f>IF(AND(BG$3&gt;=VALUE(t_Parts[[SOP]:[SOP]]),BG$3&lt;=VALUE(t_Parts[[EOP]:[EOP]])), t_Parts[[SetupHrsPerMo]:[SetupHrsPerMo]]+(t_Parts[[#This Row],[pv2016.09]]/t_Parts[[NetPPH]:[NetPPH]]),0)</f>
        <v>2.2820512820512819</v>
      </c>
      <c r="DN56" s="39">
        <f>IF(AND(BH$3&gt;=VALUE(t_Parts[[SOP]:[SOP]]),BH$3&lt;=VALUE(t_Parts[[EOP]:[EOP]])), t_Parts[[SetupHrsPerMo]:[SetupHrsPerMo]]+(t_Parts[[#This Row],[pv2016.10]]/t_Parts[[NetPPH]:[NetPPH]]),0)</f>
        <v>2.0256410256410255</v>
      </c>
      <c r="DO56" s="39">
        <f>IF(AND(BI$3&gt;=VALUE(t_Parts[[SOP]:[SOP]]),BI$3&lt;=VALUE(t_Parts[[EOP]:[EOP]])), t_Parts[[SetupHrsPerMo]:[SetupHrsPerMo]]+(t_Parts[[#This Row],[pv2016.11]]/t_Parts[[NetPPH]:[NetPPH]]),0)</f>
        <v>2.0256410256410255</v>
      </c>
      <c r="DP56" s="39">
        <f>IF(AND(BJ$3&gt;=VALUE(t_Parts[[SOP]:[SOP]]),BJ$3&lt;=VALUE(t_Parts[[EOP]:[EOP]])), t_Parts[[SetupHrsPerMo]:[SetupHrsPerMo]]+(t_Parts[[#This Row],[pv2016.12]]/t_Parts[[NetPPH]:[NetPPH]]),0)</f>
        <v>2.2820512820512819</v>
      </c>
      <c r="DQ56" s="39">
        <f>SUM(t_Parts[[#This Row],[hp2016.01]:[hp2016.12]])</f>
        <v>25.333333333333329</v>
      </c>
      <c r="DR56" s="39">
        <f>IF(AND(BL$3&gt;=VALUE(t_Parts[[SOP]:[SOP]]),BL$3&lt;=VALUE(t_Parts[[EOP]:[EOP]])), 12*t_Parts[[SetupHrsPerMo]:[SetupHrsPerMo]]+(t_Parts[[#This Row],[pv2017]]/t_Parts[[NetPPH]:[NetPPH]]),0)</f>
        <v>0</v>
      </c>
      <c r="DS56" s="39">
        <f>IF(AND(BM$3&gt;=VALUE(t_Parts[[SOP]:[SOP]]),BM$3&lt;=VALUE(t_Parts[[EOP]:[EOP]])), 12*t_Parts[[SetupHrsPerMo]:[SetupHrsPerMo]]+(t_Parts[[#This Row],[pv2018]]/t_Parts[[NetPPH]:[NetPPH]]),0)</f>
        <v>0</v>
      </c>
      <c r="DT56" s="39">
        <f>IF(AND(BN$3&gt;=VALUE(t_Parts[[SOP]:[SOP]]),BN$3&lt;=VALUE(t_Parts[[EOP]:[EOP]])), 12*t_Parts[[SetupHrsPerMo]:[SetupHrsPerMo]]+(t_Parts[[#This Row],[pv2019]]/t_Parts[[NetPPH]:[NetPPH]]),0)</f>
        <v>0</v>
      </c>
      <c r="DU56" s="47">
        <f>t_Parts[[#This Row],[hp2015.01]]/t_Parts[[#This Row],[ha2015.01]]</f>
        <v>7.2344322344322339E-3</v>
      </c>
      <c r="DV56" s="47">
        <f>t_Parts[[#This Row],[hp2015.02]]/t_Parts[[#This Row],[ha2015.02]]</f>
        <v>7.2344322344322339E-3</v>
      </c>
      <c r="DW56" s="47">
        <f>t_Parts[[#This Row],[hp2015.03]]/t_Parts[[#This Row],[ha2015.03]]</f>
        <v>6.5201465201465197E-3</v>
      </c>
      <c r="DX56" s="47">
        <f>t_Parts[[#This Row],[hp2015.04]]/t_Parts[[#This Row],[ha2015.04]]</f>
        <v>7.2344322344322339E-3</v>
      </c>
      <c r="DY56" s="47">
        <f>t_Parts[[#This Row],[hp2015.05]]/t_Parts[[#This Row],[ha2015.05]]</f>
        <v>7.2344322344322339E-3</v>
      </c>
      <c r="DZ56" s="47">
        <f>t_Parts[[#This Row],[hp2015.06]]/t_Parts[[#This Row],[ha2015.06]]</f>
        <v>6.5201465201465197E-3</v>
      </c>
      <c r="EA56" s="47">
        <f>t_Parts[[#This Row],[hp2015.07]]/t_Parts[[#This Row],[ha2015.07]]</f>
        <v>7.2344322344322339E-3</v>
      </c>
      <c r="EB56" s="47">
        <f>t_Parts[[#This Row],[hp2015.08]]/t_Parts[[#This Row],[ha2015.08]]</f>
        <v>7.2344322344322339E-3</v>
      </c>
      <c r="EC56" s="47">
        <f>t_Parts[[#This Row],[hp2015.09]]/t_Parts[[#This Row],[ha2015.09]]</f>
        <v>6.5201465201465197E-3</v>
      </c>
      <c r="ED56" s="47">
        <f>t_Parts[[#This Row],[hp2015.10]]/t_Parts[[#This Row],[ha2015.10]]</f>
        <v>7.2344322344322339E-3</v>
      </c>
      <c r="EE56" s="47">
        <f>t_Parts[[#This Row],[hp2015.11]]/t_Parts[[#This Row],[ha2015.11]]</f>
        <v>7.2344322344322339E-3</v>
      </c>
      <c r="EF56" s="47">
        <f>t_Parts[[#This Row],[hp2015.12]]/t_Parts[[#This Row],[ha2015.12]]</f>
        <v>6.5201465201465197E-3</v>
      </c>
      <c r="EG56" s="47">
        <f>t_Parts[[#This Row],[hp2015.FY]]/t_Parts[[#This Row],[ha2015.FY]]</f>
        <v>6.9597069597069584E-3</v>
      </c>
      <c r="EH56" s="47">
        <f>t_Parts[[#This Row],[hp2016.01]]/t_Parts[[#This Row],[ha2016.01]]</f>
        <v>7.2344322344322339E-3</v>
      </c>
      <c r="EI56" s="47">
        <f>t_Parts[[#This Row],[hp2016.02]]/t_Parts[[#This Row],[ha2016.02]]</f>
        <v>7.2344322344322339E-3</v>
      </c>
      <c r="EJ56" s="47">
        <f>t_Parts[[#This Row],[hp2016.03]]/t_Parts[[#This Row],[ha2016.03]]</f>
        <v>6.5201465201465197E-3</v>
      </c>
      <c r="EK56" s="47">
        <f>t_Parts[[#This Row],[hp2016.04]]/t_Parts[[#This Row],[ha2016.04]]</f>
        <v>7.2344322344322339E-3</v>
      </c>
      <c r="EL56" s="47">
        <f>t_Parts[[#This Row],[hp2016.05]]/t_Parts[[#This Row],[ha2016.05]]</f>
        <v>7.2344322344322339E-3</v>
      </c>
      <c r="EM56" s="47">
        <f>t_Parts[[#This Row],[hp2016.06]]/t_Parts[[#This Row],[ha2016.06]]</f>
        <v>6.5201465201465197E-3</v>
      </c>
      <c r="EN56" s="47">
        <f>t_Parts[[#This Row],[hp2016.07]]/t_Parts[[#This Row],[ha2016.07]]</f>
        <v>7.2344322344322339E-3</v>
      </c>
      <c r="EO56" s="47">
        <f>t_Parts[[#This Row],[hp2016.08]]/t_Parts[[#This Row],[ha2016.08]]</f>
        <v>7.2344322344322339E-3</v>
      </c>
      <c r="EP56" s="47">
        <f>t_Parts[[#This Row],[hp2016.09]]/t_Parts[[#This Row],[ha2016.09]]</f>
        <v>6.5201465201465197E-3</v>
      </c>
      <c r="EQ56" s="47">
        <f>t_Parts[[#This Row],[hp2016.10]]/t_Parts[[#This Row],[ha2016.10]]</f>
        <v>7.2344322344322339E-3</v>
      </c>
      <c r="ER56" s="47">
        <f>t_Parts[[#This Row],[hp2016.11]]/t_Parts[[#This Row],[ha2016.11]]</f>
        <v>7.2344322344322339E-3</v>
      </c>
      <c r="ES56" s="47">
        <f>t_Parts[[#This Row],[hp2016.12]]/t_Parts[[#This Row],[ha2016.12]]</f>
        <v>6.5201465201465197E-3</v>
      </c>
      <c r="ET56" s="47">
        <f>t_Parts[[#This Row],[hp2016.FY]]/t_Parts[[#This Row],[ha2016.FY]]</f>
        <v>6.9597069597069584E-3</v>
      </c>
      <c r="EU56" s="47">
        <f>t_Parts[[#This Row],[hp2017]]/t_Parts[[#This Row],[ha2017]]</f>
        <v>0</v>
      </c>
      <c r="EV56" s="47">
        <f>t_Parts[[#This Row],[hp2018]]/t_Parts[[#This Row],[ha2018]]</f>
        <v>0</v>
      </c>
      <c r="EW56" s="47">
        <f>t_Parts[[#This Row],[hp2019]]/t_Parts[[#This Row],[hp2015.01]]</f>
        <v>0</v>
      </c>
      <c r="EX56" s="58">
        <f>(t_Parts[[#This Row],[ha2015.01]]-t_Parts[[#This Row],[hp2015.01]])*t_Parts[[NetPPH]:[NetPPH]]</f>
        <v>458657.69230769231</v>
      </c>
      <c r="EY56" s="58">
        <f>(t_Parts[[#This Row],[ha2015.02]]-t_Parts[[#This Row],[hp2015.02]])*t_Parts[[NetPPH]:[NetPPH]]</f>
        <v>458657.69230769231</v>
      </c>
      <c r="EZ56" s="58">
        <f>(t_Parts[[#This Row],[ha2015.03]]-t_Parts[[#This Row],[hp2015.03]])*t_Parts[[NetPPH]:[NetPPH]]</f>
        <v>573734.61538461549</v>
      </c>
      <c r="FA56" s="58">
        <f>(t_Parts[[#This Row],[ha2015.04]]-t_Parts[[#This Row],[hp2015.04]])*t_Parts[[NetPPH]:[NetPPH]]</f>
        <v>458657.69230769231</v>
      </c>
      <c r="FB56" s="58">
        <f>(t_Parts[[#This Row],[ha2015.05]]-t_Parts[[#This Row],[hp2015.05]])*t_Parts[[NetPPH]:[NetPPH]]</f>
        <v>458657.69230769231</v>
      </c>
      <c r="FC56" s="58">
        <f>(t_Parts[[#This Row],[ha2015.06]]-t_Parts[[#This Row],[hp2015.06]])*t_Parts[[NetPPH]:[NetPPH]]</f>
        <v>573734.61538461549</v>
      </c>
      <c r="FD56" s="58">
        <f>(t_Parts[[#This Row],[ha2015.07]]-t_Parts[[#This Row],[hp2015.07]])*t_Parts[[NetPPH]:[NetPPH]]</f>
        <v>458657.69230769231</v>
      </c>
      <c r="FE56" s="58">
        <f>(t_Parts[[#This Row],[ha2015.08]]-t_Parts[[#This Row],[hp2015.08]])*t_Parts[[NetPPH]:[NetPPH]]</f>
        <v>458657.69230769231</v>
      </c>
      <c r="FF56" s="58">
        <f>(t_Parts[[#This Row],[ha2015.09]]-t_Parts[[#This Row],[hp2015.09]])*t_Parts[[NetPPH]:[NetPPH]]</f>
        <v>573734.61538461549</v>
      </c>
      <c r="FG56" s="58">
        <f>(t_Parts[[#This Row],[ha2015.10]]-t_Parts[[#This Row],[hp2015.10]])*t_Parts[[NetPPH]:[NetPPH]]</f>
        <v>458657.69230769231</v>
      </c>
      <c r="FH56" s="58">
        <f>(t_Parts[[#This Row],[ha2015.11]]-t_Parts[[#This Row],[hp2015.11]])*t_Parts[[NetPPH]:[NetPPH]]</f>
        <v>458657.69230769231</v>
      </c>
      <c r="FI56" s="58">
        <f>(t_Parts[[#This Row],[ha2015.12]]-t_Parts[[#This Row],[hp2015.12]])*t_Parts[[NetPPH]:[NetPPH]]</f>
        <v>573734.61538461549</v>
      </c>
      <c r="FJ56" s="58">
        <f>(t_Parts[[#This Row],[ha2015.FY]]-t_Parts[[#This Row],[hp2015.FY]])*t_Parts[[NetPPH]:[NetPPH]]</f>
        <v>5964200.0000000009</v>
      </c>
      <c r="FK56" s="58">
        <f>(t_Parts[[#This Row],[ha2016.01]]-t_Parts[[#This Row],[hp2016.01]])*t_Parts[[NetPPH]:[NetPPH]]</f>
        <v>458657.69230769231</v>
      </c>
      <c r="FL56" s="58">
        <f>(t_Parts[[#This Row],[ha2016.02]]-t_Parts[[#This Row],[hp2016.02]])*t_Parts[[NetPPH]:[NetPPH]]</f>
        <v>458657.69230769231</v>
      </c>
      <c r="FM56" s="58">
        <f>(t_Parts[[#This Row],[ha2016.03]]-t_Parts[[#This Row],[hp2016.03]])*t_Parts[[NetPPH]:[NetPPH]]</f>
        <v>573734.61538461549</v>
      </c>
      <c r="FN56" s="58">
        <f>(t_Parts[[#This Row],[ha2016.04]]-t_Parts[[#This Row],[hp2016.04]])*t_Parts[[NetPPH]:[NetPPH]]</f>
        <v>458657.69230769231</v>
      </c>
      <c r="FO56" s="58">
        <f>(t_Parts[[#This Row],[ha2016.05]]-t_Parts[[#This Row],[hp2016.05]])*t_Parts[[NetPPH]:[NetPPH]]</f>
        <v>458657.69230769231</v>
      </c>
      <c r="FP56" s="58">
        <f>(t_Parts[[#This Row],[ha2016.06]]-t_Parts[[#This Row],[hp2016.06]])*t_Parts[[NetPPH]:[NetPPH]]</f>
        <v>573734.61538461549</v>
      </c>
      <c r="FQ56" s="58">
        <f>(t_Parts[[#This Row],[ha2016.07]]-t_Parts[[#This Row],[hp2016.07]])*t_Parts[[NetPPH]:[NetPPH]]</f>
        <v>458657.69230769231</v>
      </c>
      <c r="FR56" s="58">
        <f>(t_Parts[[#This Row],[ha2016.08]]-t_Parts[[#This Row],[hp2016.08]])*t_Parts[[NetPPH]:[NetPPH]]</f>
        <v>458657.69230769231</v>
      </c>
      <c r="FS56" s="58">
        <f>(t_Parts[[#This Row],[ha2016.09]]-t_Parts[[#This Row],[hp2016.09]])*t_Parts[[NetPPH]:[NetPPH]]</f>
        <v>573734.61538461549</v>
      </c>
      <c r="FT56" s="58">
        <f>(t_Parts[[#This Row],[ha2016.10]]-t_Parts[[#This Row],[hp2016.10]])*t_Parts[[NetPPH]:[NetPPH]]</f>
        <v>458657.69230769231</v>
      </c>
      <c r="FU56" s="58">
        <f>(t_Parts[[#This Row],[ha2016.11]]-t_Parts[[#This Row],[hp2016.11]])*t_Parts[[NetPPH]:[NetPPH]]</f>
        <v>458657.69230769231</v>
      </c>
      <c r="FV56" s="58">
        <f>(t_Parts[[#This Row],[ha2016.12]]-t_Parts[[#This Row],[hp2016.12]])*t_Parts[[NetPPH]:[NetPPH]]</f>
        <v>573734.61538461549</v>
      </c>
      <c r="FW56" s="58">
        <f>(t_Parts[[#This Row],[ha2016.FY]]-t_Parts[[#This Row],[hp2016.FY]])*t_Parts[[NetPPH]:[NetPPH]]</f>
        <v>5964200.0000000009</v>
      </c>
      <c r="FX56" s="58">
        <f>(t_Parts[[#This Row],[ha2017]]-t_Parts[[#This Row],[hp2017]])*t_Parts[[NetPPH]:[NetPPH]]</f>
        <v>6006000.0000000009</v>
      </c>
      <c r="FY56" s="58">
        <f>(t_Parts[[#This Row],[ha2018]]-t_Parts[[#This Row],[hp2018]])*t_Parts[[NetPPH]:[NetPPH]]</f>
        <v>6006000.0000000009</v>
      </c>
      <c r="FZ56" s="58">
        <f>(t_Parts[[#This Row],[ha2019]]-t_Parts[[#This Row],[hp2019]])*t_Parts[[NetPPH]:[NetPPH]]</f>
        <v>6006000.0000000009</v>
      </c>
    </row>
    <row r="57" spans="1:182" s="14" customFormat="1" x14ac:dyDescent="0.25">
      <c r="A57" s="74" t="s">
        <v>605</v>
      </c>
      <c r="B57" s="74"/>
      <c r="C57" s="74">
        <v>21013</v>
      </c>
      <c r="D57" s="75">
        <v>1</v>
      </c>
      <c r="E57" s="73">
        <v>2700</v>
      </c>
      <c r="F57" s="76">
        <v>1</v>
      </c>
      <c r="G57" s="77">
        <v>4</v>
      </c>
      <c r="H57" s="16">
        <v>2015.01</v>
      </c>
      <c r="I57" s="16" t="s">
        <v>327</v>
      </c>
      <c r="J57" s="73">
        <v>107997</v>
      </c>
      <c r="K57" s="73">
        <v>107997</v>
      </c>
      <c r="L57" s="73">
        <v>107997</v>
      </c>
      <c r="M57" s="73">
        <v>107997</v>
      </c>
      <c r="N57" s="73">
        <v>107997</v>
      </c>
      <c r="O57" s="78">
        <v>30</v>
      </c>
      <c r="P57" s="78">
        <v>60</v>
      </c>
      <c r="Q57" s="79">
        <v>20.97</v>
      </c>
      <c r="R57" s="79"/>
      <c r="S57" s="78">
        <v>163</v>
      </c>
      <c r="T57" s="80">
        <v>14.5</v>
      </c>
      <c r="U57" s="80" t="s">
        <v>121</v>
      </c>
      <c r="V57" s="81" t="s">
        <v>606</v>
      </c>
      <c r="W57" s="82">
        <v>0.61599999999999999</v>
      </c>
      <c r="X57" s="82" t="s">
        <v>495</v>
      </c>
      <c r="Y57" s="82" t="s">
        <v>604</v>
      </c>
      <c r="Z57" s="82"/>
      <c r="AA57" s="82"/>
      <c r="AB57" s="82"/>
      <c r="AC57" s="83" t="s">
        <v>110</v>
      </c>
      <c r="AD57" s="40" t="str">
        <f>VLOOKUP(t_Parts[[#This Row],[Press]],t_Presses[],Press!B$1,FALSE)</f>
        <v>Plainfield</v>
      </c>
      <c r="AE57" s="40" t="str">
        <f>VLOOKUP(t_Parts[[#This Row],[Press]],t_Presses[],Press!E$1,FALSE)</f>
        <v>0-299</v>
      </c>
      <c r="AF57" s="47">
        <f>VLOOKUP(t_Parts[[#This Row],[Plant]],t_Plants[],Plants!C$1,FALSE)</f>
        <v>0.55000000000000004</v>
      </c>
      <c r="AG57" s="47">
        <f>VLOOKUP(t_Parts[[#This Row],[Press]],t_Presses[],Press!F$1,FALSE)</f>
        <v>0</v>
      </c>
      <c r="AH57" s="84"/>
      <c r="AI57" s="47">
        <f>IF(ISBLANK(t_Parts[[#This Row],[PartOEE]])=FALSE,t_Parts[[#This Row],[PartOEE]], IF(t_Parts[[#This Row],[PressOEE]]&gt;0, t_Parts[[#This Row],[PressOEE]], t_Parts[[#This Row],[PlantOEE]] ))</f>
        <v>0.55000000000000004</v>
      </c>
      <c r="AJ57" s="70">
        <f>t_Parts[[#This Row],[SetupsPerMo]]*t_Parts[[#This Row],[SetupHrs]]</f>
        <v>4</v>
      </c>
      <c r="AK57" s="39">
        <f>(t_Parts[[#This Row],[PartsPerStroke]]*t_Parts[[#This Row],[StrokesPerHr]])*t_Parts[[#This Row],[UseOEE]]</f>
        <v>1485.0000000000002</v>
      </c>
      <c r="AL5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8307.461538461539</v>
      </c>
      <c r="AM5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8307.461538461539</v>
      </c>
      <c r="AN5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10384.326923076924</v>
      </c>
      <c r="AO5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8307.461538461539</v>
      </c>
      <c r="AP5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8307.461538461539</v>
      </c>
      <c r="AQ5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10384.326923076924</v>
      </c>
      <c r="AR5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8307.461538461539</v>
      </c>
      <c r="AS5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8307.461538461539</v>
      </c>
      <c r="AT5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10384.326923076924</v>
      </c>
      <c r="AU5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8307.461538461539</v>
      </c>
      <c r="AV5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8307.461538461539</v>
      </c>
      <c r="AW5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10384.326923076924</v>
      </c>
      <c r="AX57" s="39">
        <f>SUM(t_Parts[[#This Row],[pv2015.01]:[pv2015.12]])</f>
        <v>107996.99999999999</v>
      </c>
      <c r="AY5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8307.461538461539</v>
      </c>
      <c r="AZ5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8307.461538461539</v>
      </c>
      <c r="BA5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10384.326923076924</v>
      </c>
      <c r="BB5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8307.461538461539</v>
      </c>
      <c r="BC5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8307.461538461539</v>
      </c>
      <c r="BD5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10384.326923076924</v>
      </c>
      <c r="BE5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8307.461538461539</v>
      </c>
      <c r="BF5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7" s="39">
        <f>SUM(t_Parts[[#This Row],[pv2016.01]:[pv2016.12]])</f>
        <v>62305.961538461539</v>
      </c>
      <c r="BL57" s="39">
        <f>t_Parts[[#This Row],[2017vol]]</f>
        <v>107997</v>
      </c>
      <c r="BM57" s="39">
        <f>t_Parts[[#This Row],[2018vol]]</f>
        <v>107997</v>
      </c>
      <c r="BN57" s="39">
        <f>t_Parts[[#This Row],[2019vol]]</f>
        <v>107997</v>
      </c>
      <c r="BO57" s="40">
        <f>VLOOKUP(t_Parts[[Plant]:[Plant]],t_Plants[],Plants!CN$1,FALSE)</f>
        <v>280</v>
      </c>
      <c r="BP57" s="14">
        <f>VLOOKUP(t_Parts[[Plant]:[Plant]],t_Plants[],Plants!CO$1,FALSE)</f>
        <v>280</v>
      </c>
      <c r="BQ57" s="14">
        <f>VLOOKUP(t_Parts[[Plant]:[Plant]],t_Plants[],Plants!CP$1,FALSE)</f>
        <v>350</v>
      </c>
      <c r="BR57" s="14">
        <f>VLOOKUP(t_Parts[[Plant]:[Plant]],t_Plants[],Plants!CQ$1,FALSE)</f>
        <v>280</v>
      </c>
      <c r="BS57" s="14">
        <f>VLOOKUP(t_Parts[[Plant]:[Plant]],t_Plants[],Plants!CR$1,FALSE)</f>
        <v>280</v>
      </c>
      <c r="BT57" s="14">
        <f>VLOOKUP(t_Parts[[Plant]:[Plant]],t_Plants[],Plants!CS$1,FALSE)</f>
        <v>350</v>
      </c>
      <c r="BU57" s="14">
        <f>VLOOKUP(t_Parts[[Plant]:[Plant]],t_Plants[],Plants!CT$1,FALSE)</f>
        <v>280</v>
      </c>
      <c r="BV57" s="14">
        <f>VLOOKUP(t_Parts[[Plant]:[Plant]],t_Plants[],Plants!CU$1,FALSE)</f>
        <v>280</v>
      </c>
      <c r="BW57" s="14">
        <f>VLOOKUP(t_Parts[[Plant]:[Plant]],t_Plants[],Plants!CV$1,FALSE)</f>
        <v>350</v>
      </c>
      <c r="BX57" s="14">
        <f>VLOOKUP(t_Parts[[Plant]:[Plant]],t_Plants[],Plants!CW$1,FALSE)</f>
        <v>280</v>
      </c>
      <c r="BY57" s="14">
        <f>VLOOKUP(t_Parts[[Plant]:[Plant]],t_Plants[],Plants!CX$1,FALSE)</f>
        <v>280</v>
      </c>
      <c r="BZ57" s="14">
        <f>VLOOKUP(t_Parts[[Plant]:[Plant]],t_Plants[],Plants!CY$1,FALSE)</f>
        <v>350</v>
      </c>
      <c r="CA57" s="40">
        <f>SUM(t_Parts[[#This Row],[ha2015.01]:[ha2015.12]])</f>
        <v>3640</v>
      </c>
      <c r="CB57" s="14">
        <f>VLOOKUP(t_Parts[[Plant]:[Plant]],t_Plants[],Plants!DA$1,FALSE)</f>
        <v>280</v>
      </c>
      <c r="CC57" s="14">
        <f>VLOOKUP(t_Parts[[Plant]:[Plant]],t_Plants[],Plants!DB$1,FALSE)</f>
        <v>280</v>
      </c>
      <c r="CD57" s="14">
        <f>VLOOKUP(t_Parts[[Plant]:[Plant]],t_Plants[],Plants!DC$1,FALSE)</f>
        <v>350</v>
      </c>
      <c r="CE57" s="14">
        <f>VLOOKUP(t_Parts[[Plant]:[Plant]],t_Plants[],Plants!DD$1,FALSE)</f>
        <v>280</v>
      </c>
      <c r="CF57" s="14">
        <f>VLOOKUP(t_Parts[[Plant]:[Plant]],t_Plants[],Plants!DE$1,FALSE)</f>
        <v>280</v>
      </c>
      <c r="CG57" s="14">
        <f>VLOOKUP(t_Parts[[Plant]:[Plant]],t_Plants[],Plants!DF$1,FALSE)</f>
        <v>350</v>
      </c>
      <c r="CH57" s="14">
        <f>VLOOKUP(t_Parts[[Plant]:[Plant]],t_Plants[],Plants!DG$1,FALSE)</f>
        <v>280</v>
      </c>
      <c r="CI57" s="14">
        <f>VLOOKUP(t_Parts[[Plant]:[Plant]],t_Plants[],Plants!DH$1,FALSE)</f>
        <v>280</v>
      </c>
      <c r="CJ57" s="14">
        <f>VLOOKUP(t_Parts[[Plant]:[Plant]],t_Plants[],Plants!DI$1,FALSE)</f>
        <v>350</v>
      </c>
      <c r="CK57" s="14">
        <f>VLOOKUP(t_Parts[[Plant]:[Plant]],t_Plants[],Plants!DJ$1,FALSE)</f>
        <v>280</v>
      </c>
      <c r="CL57" s="14">
        <f>VLOOKUP(t_Parts[[Plant]:[Plant]],t_Plants[],Plants!DK$1,FALSE)</f>
        <v>280</v>
      </c>
      <c r="CM57" s="14">
        <f>VLOOKUP(t_Parts[[Plant]:[Plant]],t_Plants[],Plants!DL$1,FALSE)</f>
        <v>350</v>
      </c>
      <c r="CN57" s="14">
        <f>VLOOKUP(t_Parts[[Plant]:[Plant]],t_Plants[],Plants!DM$1,FALSE)</f>
        <v>3640</v>
      </c>
      <c r="CO57" s="14">
        <f>VLOOKUP(t_Parts[[Plant]:[Plant]],t_Plants[],Plants!DN$1,FALSE)</f>
        <v>3640</v>
      </c>
      <c r="CP57" s="14">
        <f>VLOOKUP(t_Parts[[Plant]:[Plant]],t_Plants[],Plants!DO$1,FALSE)</f>
        <v>3640</v>
      </c>
      <c r="CQ57" s="14">
        <f>VLOOKUP(t_Parts[[Plant]:[Plant]],t_Plants[],Plants!DP$1,FALSE)</f>
        <v>3640</v>
      </c>
      <c r="CR57" s="39">
        <f>IF(AND(AL$3&gt;=VALUE(t_Parts[[SOP]:[SOP]]),AL$3&lt;=VALUE(t_Parts[[EOP]:[EOP]])), t_Parts[[SetupHrsPerMo]:[SetupHrsPerMo]]+(t_Parts[[#This Row],[pv2015.01]]/t_Parts[[NetPPH]:[NetPPH]]),0)</f>
        <v>9.5942501942501934</v>
      </c>
      <c r="CS57" s="39">
        <f>IF(AND(AM$3&gt;=VALUE(t_Parts[[SOP]:[SOP]]),AM$3&lt;=VALUE(t_Parts[[EOP]:[EOP]])), t_Parts[[SetupHrsPerMo]:[SetupHrsPerMo]]+(t_Parts[[#This Row],[pv2015.02]]/t_Parts[[NetPPH]:[NetPPH]]),0)</f>
        <v>9.5942501942501934</v>
      </c>
      <c r="CT57" s="39">
        <f>IF(AND(AN$3&gt;=VALUE(t_Parts[[SOP]:[SOP]]),AN$3&lt;=VALUE(t_Parts[[EOP]:[EOP]])), t_Parts[[SetupHrsPerMo]:[SetupHrsPerMo]]+(t_Parts[[#This Row],[pv2015.03]]/t_Parts[[NetPPH]:[NetPPH]]),0)</f>
        <v>10.992812742812742</v>
      </c>
      <c r="CU57" s="39">
        <f>IF(AND(AO$3&gt;=VALUE(t_Parts[[SOP]:[SOP]]),AO$3&lt;=VALUE(t_Parts[[EOP]:[EOP]])), t_Parts[[SetupHrsPerMo]:[SetupHrsPerMo]]+(t_Parts[[#This Row],[pv2015.04]]/t_Parts[[NetPPH]:[NetPPH]]),0)</f>
        <v>9.5942501942501934</v>
      </c>
      <c r="CV57" s="39">
        <f>IF(AND(AP$3&gt;=VALUE(t_Parts[[SOP]:[SOP]]),AP$3&lt;=VALUE(t_Parts[[EOP]:[EOP]])), t_Parts[[SetupHrsPerMo]:[SetupHrsPerMo]]+(t_Parts[[#This Row],[pv2015.05]]/t_Parts[[NetPPH]:[NetPPH]]),0)</f>
        <v>9.5942501942501934</v>
      </c>
      <c r="CW57" s="39">
        <f>IF(AND(AQ$3&gt;=VALUE(t_Parts[[SOP]:[SOP]]),AQ$3&lt;=VALUE(t_Parts[[EOP]:[EOP]])), t_Parts[[SetupHrsPerMo]:[SetupHrsPerMo]]+(t_Parts[[#This Row],[pv2015.06]]/t_Parts[[NetPPH]:[NetPPH]]),0)</f>
        <v>10.992812742812742</v>
      </c>
      <c r="CX57" s="39">
        <f>IF(AND(AR$3&gt;=VALUE(t_Parts[[SOP]:[SOP]]),AR$3&lt;=VALUE(t_Parts[[EOP]:[EOP]])), t_Parts[[SetupHrsPerMo]:[SetupHrsPerMo]]+(t_Parts[[#This Row],[pv2015.07]]/t_Parts[[NetPPH]:[NetPPH]]),0)</f>
        <v>9.5942501942501934</v>
      </c>
      <c r="CY57" s="39">
        <f>IF(AND(AS$3&gt;=VALUE(t_Parts[[SOP]:[SOP]]),AS$3&lt;=VALUE(t_Parts[[EOP]:[EOP]])), t_Parts[[SetupHrsPerMo]:[SetupHrsPerMo]]+(t_Parts[[#This Row],[pv2015.08]]/t_Parts[[NetPPH]:[NetPPH]]),0)</f>
        <v>9.5942501942501934</v>
      </c>
      <c r="CZ57" s="39">
        <f>IF(AND(AT$3&gt;=VALUE(t_Parts[[SOP]:[SOP]]),AT$3&lt;=VALUE(t_Parts[[EOP]:[EOP]])), t_Parts[[SetupHrsPerMo]:[SetupHrsPerMo]]+(t_Parts[[#This Row],[pv2015.09]]/t_Parts[[NetPPH]:[NetPPH]]),0)</f>
        <v>10.992812742812742</v>
      </c>
      <c r="DA57" s="39">
        <f>IF(AND(AU$3&gt;=VALUE(t_Parts[[SOP]:[SOP]]),AU$3&lt;=VALUE(t_Parts[[EOP]:[EOP]])), t_Parts[[SetupHrsPerMo]:[SetupHrsPerMo]]+(t_Parts[[#This Row],[pv2015.10]]/t_Parts[[NetPPH]:[NetPPH]]),0)</f>
        <v>9.5942501942501934</v>
      </c>
      <c r="DB57" s="39">
        <f>IF(AND(AV$3&gt;=VALUE(t_Parts[[SOP]:[SOP]]),AV$3&lt;=VALUE(t_Parts[[EOP]:[EOP]])), t_Parts[[SetupHrsPerMo]:[SetupHrsPerMo]]+(t_Parts[[#This Row],[pv2015.11]]/t_Parts[[NetPPH]:[NetPPH]]),0)</f>
        <v>9.5942501942501934</v>
      </c>
      <c r="DC57" s="39">
        <f>IF(AND(AW$3&gt;=VALUE(t_Parts[[SOP]:[SOP]]),AW$3&lt;=VALUE(t_Parts[[EOP]:[EOP]])), t_Parts[[SetupHrsPerMo]:[SetupHrsPerMo]]+(t_Parts[[#This Row],[pv2015.12]]/t_Parts[[NetPPH]:[NetPPH]]),0)</f>
        <v>10.992812742812742</v>
      </c>
      <c r="DD57" s="39">
        <f>SUM(t_Parts[[#This Row],[hp2015.01]:[hp2015.12]])</f>
        <v>120.72525252525253</v>
      </c>
      <c r="DE57" s="39">
        <f>IF(AND(AY$3&gt;=VALUE(t_Parts[[SOP]:[SOP]]),AY$3&lt;=VALUE(t_Parts[[EOP]:[EOP]])), t_Parts[[SetupHrsPerMo]:[SetupHrsPerMo]]+(t_Parts[[#This Row],[pv2016.01]]/t_Parts[[NetPPH]:[NetPPH]]),0)</f>
        <v>9.5942501942501934</v>
      </c>
      <c r="DF57" s="39">
        <f>IF(AND(AZ$3&gt;=VALUE(t_Parts[[SOP]:[SOP]]),AZ$3&lt;=VALUE(t_Parts[[EOP]:[EOP]])), t_Parts[[SetupHrsPerMo]:[SetupHrsPerMo]]+(t_Parts[[#This Row],[pv2016.02]]/t_Parts[[NetPPH]:[NetPPH]]),0)</f>
        <v>9.5942501942501934</v>
      </c>
      <c r="DG57" s="39">
        <f>IF(AND(BA$3&gt;=VALUE(t_Parts[[SOP]:[SOP]]),BA$3&lt;=VALUE(t_Parts[[EOP]:[EOP]])), t_Parts[[SetupHrsPerMo]:[SetupHrsPerMo]]+(t_Parts[[#This Row],[pv2016.03]]/t_Parts[[NetPPH]:[NetPPH]]),0)</f>
        <v>10.992812742812742</v>
      </c>
      <c r="DH57" s="39">
        <f>IF(AND(BB$3&gt;=VALUE(t_Parts[[SOP]:[SOP]]),BB$3&lt;=VALUE(t_Parts[[EOP]:[EOP]])), t_Parts[[SetupHrsPerMo]:[SetupHrsPerMo]]+(t_Parts[[#This Row],[pv2016.04]]/t_Parts[[NetPPH]:[NetPPH]]),0)</f>
        <v>9.5942501942501934</v>
      </c>
      <c r="DI57" s="39">
        <f>IF(AND(BC$3&gt;=VALUE(t_Parts[[SOP]:[SOP]]),BC$3&lt;=VALUE(t_Parts[[EOP]:[EOP]])), t_Parts[[SetupHrsPerMo]:[SetupHrsPerMo]]+(t_Parts[[#This Row],[pv2016.05]]/t_Parts[[NetPPH]:[NetPPH]]),0)</f>
        <v>9.5942501942501934</v>
      </c>
      <c r="DJ57" s="39">
        <f>IF(AND(BD$3&gt;=VALUE(t_Parts[[SOP]:[SOP]]),BD$3&lt;=VALUE(t_Parts[[EOP]:[EOP]])), t_Parts[[SetupHrsPerMo]:[SetupHrsPerMo]]+(t_Parts[[#This Row],[pv2016.06]]/t_Parts[[NetPPH]:[NetPPH]]),0)</f>
        <v>10.992812742812742</v>
      </c>
      <c r="DK57" s="39">
        <f>IF(AND(BE$3&gt;=VALUE(t_Parts[[SOP]:[SOP]]),BE$3&lt;=VALUE(t_Parts[[EOP]:[EOP]])), t_Parts[[SetupHrsPerMo]:[SetupHrsPerMo]]+(t_Parts[[#This Row],[pv2016.07]]/t_Parts[[NetPPH]:[NetPPH]]),0)</f>
        <v>9.5942501942501934</v>
      </c>
      <c r="DL57" s="39">
        <f>IF(AND(BF$3&gt;=VALUE(t_Parts[[SOP]:[SOP]]),BF$3&lt;=VALUE(t_Parts[[EOP]:[EOP]])), t_Parts[[SetupHrsPerMo]:[SetupHrsPerMo]]+(t_Parts[[#This Row],[pv2016.08]]/t_Parts[[NetPPH]:[NetPPH]]),0)</f>
        <v>0</v>
      </c>
      <c r="DM57" s="39">
        <f>IF(AND(BG$3&gt;=VALUE(t_Parts[[SOP]:[SOP]]),BG$3&lt;=VALUE(t_Parts[[EOP]:[EOP]])), t_Parts[[SetupHrsPerMo]:[SetupHrsPerMo]]+(t_Parts[[#This Row],[pv2016.09]]/t_Parts[[NetPPH]:[NetPPH]]),0)</f>
        <v>0</v>
      </c>
      <c r="DN57" s="39">
        <f>IF(AND(BH$3&gt;=VALUE(t_Parts[[SOP]:[SOP]]),BH$3&lt;=VALUE(t_Parts[[EOP]:[EOP]])), t_Parts[[SetupHrsPerMo]:[SetupHrsPerMo]]+(t_Parts[[#This Row],[pv2016.10]]/t_Parts[[NetPPH]:[NetPPH]]),0)</f>
        <v>0</v>
      </c>
      <c r="DO57" s="39">
        <f>IF(AND(BI$3&gt;=VALUE(t_Parts[[SOP]:[SOP]]),BI$3&lt;=VALUE(t_Parts[[EOP]:[EOP]])), t_Parts[[SetupHrsPerMo]:[SetupHrsPerMo]]+(t_Parts[[#This Row],[pv2016.11]]/t_Parts[[NetPPH]:[NetPPH]]),0)</f>
        <v>0</v>
      </c>
      <c r="DP57" s="39">
        <f>IF(AND(BJ$3&gt;=VALUE(t_Parts[[SOP]:[SOP]]),BJ$3&lt;=VALUE(t_Parts[[EOP]:[EOP]])), t_Parts[[SetupHrsPerMo]:[SetupHrsPerMo]]+(t_Parts[[#This Row],[pv2016.12]]/t_Parts[[NetPPH]:[NetPPH]]),0)</f>
        <v>0</v>
      </c>
      <c r="DQ57" s="39">
        <f>SUM(t_Parts[[#This Row],[hp2016.01]:[hp2016.12]])</f>
        <v>69.956876456876458</v>
      </c>
      <c r="DR57" s="39">
        <f>IF(AND(BL$3&gt;=VALUE(t_Parts[[SOP]:[SOP]]),BL$3&lt;=VALUE(t_Parts[[EOP]:[EOP]])), 12*t_Parts[[SetupHrsPerMo]:[SetupHrsPerMo]]+(t_Parts[[#This Row],[pv2017]]/t_Parts[[NetPPH]:[NetPPH]]),0)</f>
        <v>0</v>
      </c>
      <c r="DS57" s="39">
        <f>IF(AND(BM$3&gt;=VALUE(t_Parts[[SOP]:[SOP]]),BM$3&lt;=VALUE(t_Parts[[EOP]:[EOP]])), 12*t_Parts[[SetupHrsPerMo]:[SetupHrsPerMo]]+(t_Parts[[#This Row],[pv2018]]/t_Parts[[NetPPH]:[NetPPH]]),0)</f>
        <v>0</v>
      </c>
      <c r="DT57" s="39">
        <f>IF(AND(BN$3&gt;=VALUE(t_Parts[[SOP]:[SOP]]),BN$3&lt;=VALUE(t_Parts[[EOP]:[EOP]])), 12*t_Parts[[SetupHrsPerMo]:[SetupHrsPerMo]]+(t_Parts[[#This Row],[pv2019]]/t_Parts[[NetPPH]:[NetPPH]]),0)</f>
        <v>0</v>
      </c>
      <c r="DU57" s="47">
        <f>t_Parts[[#This Row],[hp2015.01]]/t_Parts[[#This Row],[ha2015.01]]</f>
        <v>3.426517926517926E-2</v>
      </c>
      <c r="DV57" s="47">
        <f>t_Parts[[#This Row],[hp2015.02]]/t_Parts[[#This Row],[ha2015.02]]</f>
        <v>3.426517926517926E-2</v>
      </c>
      <c r="DW57" s="47">
        <f>t_Parts[[#This Row],[hp2015.03]]/t_Parts[[#This Row],[ha2015.03]]</f>
        <v>3.1408036408036404E-2</v>
      </c>
      <c r="DX57" s="47">
        <f>t_Parts[[#This Row],[hp2015.04]]/t_Parts[[#This Row],[ha2015.04]]</f>
        <v>3.426517926517926E-2</v>
      </c>
      <c r="DY57" s="47">
        <f>t_Parts[[#This Row],[hp2015.05]]/t_Parts[[#This Row],[ha2015.05]]</f>
        <v>3.426517926517926E-2</v>
      </c>
      <c r="DZ57" s="47">
        <f>t_Parts[[#This Row],[hp2015.06]]/t_Parts[[#This Row],[ha2015.06]]</f>
        <v>3.1408036408036404E-2</v>
      </c>
      <c r="EA57" s="47">
        <f>t_Parts[[#This Row],[hp2015.07]]/t_Parts[[#This Row],[ha2015.07]]</f>
        <v>3.426517926517926E-2</v>
      </c>
      <c r="EB57" s="47">
        <f>t_Parts[[#This Row],[hp2015.08]]/t_Parts[[#This Row],[ha2015.08]]</f>
        <v>3.426517926517926E-2</v>
      </c>
      <c r="EC57" s="47">
        <f>t_Parts[[#This Row],[hp2015.09]]/t_Parts[[#This Row],[ha2015.09]]</f>
        <v>3.1408036408036404E-2</v>
      </c>
      <c r="ED57" s="47">
        <f>t_Parts[[#This Row],[hp2015.10]]/t_Parts[[#This Row],[ha2015.10]]</f>
        <v>3.426517926517926E-2</v>
      </c>
      <c r="EE57" s="47">
        <f>t_Parts[[#This Row],[hp2015.11]]/t_Parts[[#This Row],[ha2015.11]]</f>
        <v>3.426517926517926E-2</v>
      </c>
      <c r="EF57" s="47">
        <f>t_Parts[[#This Row],[hp2015.12]]/t_Parts[[#This Row],[ha2015.12]]</f>
        <v>3.1408036408036404E-2</v>
      </c>
      <c r="EG57" s="47">
        <f>t_Parts[[#This Row],[hp2015.FY]]/t_Parts[[#This Row],[ha2015.FY]]</f>
        <v>3.3166278166278165E-2</v>
      </c>
      <c r="EH57" s="47">
        <f>t_Parts[[#This Row],[hp2016.01]]/t_Parts[[#This Row],[ha2016.01]]</f>
        <v>3.426517926517926E-2</v>
      </c>
      <c r="EI57" s="47">
        <f>t_Parts[[#This Row],[hp2016.02]]/t_Parts[[#This Row],[ha2016.02]]</f>
        <v>3.426517926517926E-2</v>
      </c>
      <c r="EJ57" s="47">
        <f>t_Parts[[#This Row],[hp2016.03]]/t_Parts[[#This Row],[ha2016.03]]</f>
        <v>3.1408036408036404E-2</v>
      </c>
      <c r="EK57" s="47">
        <f>t_Parts[[#This Row],[hp2016.04]]/t_Parts[[#This Row],[ha2016.04]]</f>
        <v>3.426517926517926E-2</v>
      </c>
      <c r="EL57" s="47">
        <f>t_Parts[[#This Row],[hp2016.05]]/t_Parts[[#This Row],[ha2016.05]]</f>
        <v>3.426517926517926E-2</v>
      </c>
      <c r="EM57" s="47">
        <f>t_Parts[[#This Row],[hp2016.06]]/t_Parts[[#This Row],[ha2016.06]]</f>
        <v>3.1408036408036404E-2</v>
      </c>
      <c r="EN57" s="47">
        <f>t_Parts[[#This Row],[hp2016.07]]/t_Parts[[#This Row],[ha2016.07]]</f>
        <v>3.426517926517926E-2</v>
      </c>
      <c r="EO57" s="47">
        <f>t_Parts[[#This Row],[hp2016.08]]/t_Parts[[#This Row],[ha2016.08]]</f>
        <v>0</v>
      </c>
      <c r="EP57" s="47">
        <f>t_Parts[[#This Row],[hp2016.09]]/t_Parts[[#This Row],[ha2016.09]]</f>
        <v>0</v>
      </c>
      <c r="EQ57" s="47">
        <f>t_Parts[[#This Row],[hp2016.10]]/t_Parts[[#This Row],[ha2016.10]]</f>
        <v>0</v>
      </c>
      <c r="ER57" s="47">
        <f>t_Parts[[#This Row],[hp2016.11]]/t_Parts[[#This Row],[ha2016.11]]</f>
        <v>0</v>
      </c>
      <c r="ES57" s="47">
        <f>t_Parts[[#This Row],[hp2016.12]]/t_Parts[[#This Row],[ha2016.12]]</f>
        <v>0</v>
      </c>
      <c r="ET57" s="47">
        <f>t_Parts[[#This Row],[hp2016.FY]]/t_Parts[[#This Row],[ha2016.FY]]</f>
        <v>1.9218922103537487E-2</v>
      </c>
      <c r="EU57" s="47">
        <f>t_Parts[[#This Row],[hp2017]]/t_Parts[[#This Row],[ha2017]]</f>
        <v>0</v>
      </c>
      <c r="EV57" s="47">
        <f>t_Parts[[#This Row],[hp2018]]/t_Parts[[#This Row],[ha2018]]</f>
        <v>0</v>
      </c>
      <c r="EW57" s="47">
        <f>t_Parts[[#This Row],[hp2019]]/t_Parts[[#This Row],[hp2015.01]]</f>
        <v>0</v>
      </c>
      <c r="EX57" s="58">
        <f>(t_Parts[[#This Row],[ha2015.01]]-t_Parts[[#This Row],[hp2015.01]])*t_Parts[[NetPPH]:[NetPPH]]</f>
        <v>401552.5384615385</v>
      </c>
      <c r="EY57" s="58">
        <f>(t_Parts[[#This Row],[ha2015.02]]-t_Parts[[#This Row],[hp2015.02]])*t_Parts[[NetPPH]:[NetPPH]]</f>
        <v>401552.5384615385</v>
      </c>
      <c r="EZ57" s="58">
        <f>(t_Parts[[#This Row],[ha2015.03]]-t_Parts[[#This Row],[hp2015.03]])*t_Parts[[NetPPH]:[NetPPH]]</f>
        <v>503425.67307692312</v>
      </c>
      <c r="FA57" s="58">
        <f>(t_Parts[[#This Row],[ha2015.04]]-t_Parts[[#This Row],[hp2015.04]])*t_Parts[[NetPPH]:[NetPPH]]</f>
        <v>401552.5384615385</v>
      </c>
      <c r="FB57" s="58">
        <f>(t_Parts[[#This Row],[ha2015.05]]-t_Parts[[#This Row],[hp2015.05]])*t_Parts[[NetPPH]:[NetPPH]]</f>
        <v>401552.5384615385</v>
      </c>
      <c r="FC57" s="58">
        <f>(t_Parts[[#This Row],[ha2015.06]]-t_Parts[[#This Row],[hp2015.06]])*t_Parts[[NetPPH]:[NetPPH]]</f>
        <v>503425.67307692312</v>
      </c>
      <c r="FD57" s="58">
        <f>(t_Parts[[#This Row],[ha2015.07]]-t_Parts[[#This Row],[hp2015.07]])*t_Parts[[NetPPH]:[NetPPH]]</f>
        <v>401552.5384615385</v>
      </c>
      <c r="FE57" s="58">
        <f>(t_Parts[[#This Row],[ha2015.08]]-t_Parts[[#This Row],[hp2015.08]])*t_Parts[[NetPPH]:[NetPPH]]</f>
        <v>401552.5384615385</v>
      </c>
      <c r="FF57" s="58">
        <f>(t_Parts[[#This Row],[ha2015.09]]-t_Parts[[#This Row],[hp2015.09]])*t_Parts[[NetPPH]:[NetPPH]]</f>
        <v>503425.67307692312</v>
      </c>
      <c r="FG57" s="58">
        <f>(t_Parts[[#This Row],[ha2015.10]]-t_Parts[[#This Row],[hp2015.10]])*t_Parts[[NetPPH]:[NetPPH]]</f>
        <v>401552.5384615385</v>
      </c>
      <c r="FH57" s="58">
        <f>(t_Parts[[#This Row],[ha2015.11]]-t_Parts[[#This Row],[hp2015.11]])*t_Parts[[NetPPH]:[NetPPH]]</f>
        <v>401552.5384615385</v>
      </c>
      <c r="FI57" s="58">
        <f>(t_Parts[[#This Row],[ha2015.12]]-t_Parts[[#This Row],[hp2015.12]])*t_Parts[[NetPPH]:[NetPPH]]</f>
        <v>503425.67307692312</v>
      </c>
      <c r="FJ57" s="58">
        <f>(t_Parts[[#This Row],[ha2015.FY]]-t_Parts[[#This Row],[hp2015.FY]])*t_Parts[[NetPPH]:[NetPPH]]</f>
        <v>5226123.0000000009</v>
      </c>
      <c r="FK57" s="58">
        <f>(t_Parts[[#This Row],[ha2016.01]]-t_Parts[[#This Row],[hp2016.01]])*t_Parts[[NetPPH]:[NetPPH]]</f>
        <v>401552.5384615385</v>
      </c>
      <c r="FL57" s="58">
        <f>(t_Parts[[#This Row],[ha2016.02]]-t_Parts[[#This Row],[hp2016.02]])*t_Parts[[NetPPH]:[NetPPH]]</f>
        <v>401552.5384615385</v>
      </c>
      <c r="FM57" s="58">
        <f>(t_Parts[[#This Row],[ha2016.03]]-t_Parts[[#This Row],[hp2016.03]])*t_Parts[[NetPPH]:[NetPPH]]</f>
        <v>503425.67307692312</v>
      </c>
      <c r="FN57" s="58">
        <f>(t_Parts[[#This Row],[ha2016.04]]-t_Parts[[#This Row],[hp2016.04]])*t_Parts[[NetPPH]:[NetPPH]]</f>
        <v>401552.5384615385</v>
      </c>
      <c r="FO57" s="58">
        <f>(t_Parts[[#This Row],[ha2016.05]]-t_Parts[[#This Row],[hp2016.05]])*t_Parts[[NetPPH]:[NetPPH]]</f>
        <v>401552.5384615385</v>
      </c>
      <c r="FP57" s="58">
        <f>(t_Parts[[#This Row],[ha2016.06]]-t_Parts[[#This Row],[hp2016.06]])*t_Parts[[NetPPH]:[NetPPH]]</f>
        <v>503425.67307692312</v>
      </c>
      <c r="FQ57" s="58">
        <f>(t_Parts[[#This Row],[ha2016.07]]-t_Parts[[#This Row],[hp2016.07]])*t_Parts[[NetPPH]:[NetPPH]]</f>
        <v>401552.5384615385</v>
      </c>
      <c r="FR57" s="58">
        <f>(t_Parts[[#This Row],[ha2016.08]]-t_Parts[[#This Row],[hp2016.08]])*t_Parts[[NetPPH]:[NetPPH]]</f>
        <v>415800.00000000006</v>
      </c>
      <c r="FS57" s="58">
        <f>(t_Parts[[#This Row],[ha2016.09]]-t_Parts[[#This Row],[hp2016.09]])*t_Parts[[NetPPH]:[NetPPH]]</f>
        <v>519750.00000000006</v>
      </c>
      <c r="FT57" s="58">
        <f>(t_Parts[[#This Row],[ha2016.10]]-t_Parts[[#This Row],[hp2016.10]])*t_Parts[[NetPPH]:[NetPPH]]</f>
        <v>415800.00000000006</v>
      </c>
      <c r="FU57" s="58">
        <f>(t_Parts[[#This Row],[ha2016.11]]-t_Parts[[#This Row],[hp2016.11]])*t_Parts[[NetPPH]:[NetPPH]]</f>
        <v>415800.00000000006</v>
      </c>
      <c r="FV57" s="58">
        <f>(t_Parts[[#This Row],[ha2016.12]]-t_Parts[[#This Row],[hp2016.12]])*t_Parts[[NetPPH]:[NetPPH]]</f>
        <v>519750.00000000006</v>
      </c>
      <c r="FW57" s="58">
        <f>(t_Parts[[#This Row],[ha2016.FY]]-t_Parts[[#This Row],[hp2016.FY]])*t_Parts[[NetPPH]:[NetPPH]]</f>
        <v>5301514.038461539</v>
      </c>
      <c r="FX57" s="58">
        <f>(t_Parts[[#This Row],[ha2017]]-t_Parts[[#This Row],[hp2017]])*t_Parts[[NetPPH]:[NetPPH]]</f>
        <v>5405400.0000000009</v>
      </c>
      <c r="FY57" s="58">
        <f>(t_Parts[[#This Row],[ha2018]]-t_Parts[[#This Row],[hp2018]])*t_Parts[[NetPPH]:[NetPPH]]</f>
        <v>5405400.0000000009</v>
      </c>
      <c r="FZ57" s="58">
        <f>(t_Parts[[#This Row],[ha2019]]-t_Parts[[#This Row],[hp2019]])*t_Parts[[NetPPH]:[NetPPH]]</f>
        <v>5405400.0000000009</v>
      </c>
    </row>
    <row r="58" spans="1:182" s="14" customFormat="1" x14ac:dyDescent="0.25">
      <c r="A58" s="74" t="s">
        <v>602</v>
      </c>
      <c r="B58" s="74"/>
      <c r="C58" s="74">
        <v>21002</v>
      </c>
      <c r="D58" s="75">
        <v>1</v>
      </c>
      <c r="E58" s="73">
        <v>1800</v>
      </c>
      <c r="F58" s="76">
        <v>1</v>
      </c>
      <c r="G58" s="77">
        <v>4</v>
      </c>
      <c r="H58" s="16">
        <v>2015.01</v>
      </c>
      <c r="I58" s="16" t="s">
        <v>327</v>
      </c>
      <c r="J58" s="73">
        <v>107997</v>
      </c>
      <c r="K58" s="73">
        <v>107997</v>
      </c>
      <c r="L58" s="73">
        <v>107997</v>
      </c>
      <c r="M58" s="73">
        <v>107997</v>
      </c>
      <c r="N58" s="73">
        <v>107997</v>
      </c>
      <c r="O58" s="78">
        <v>41</v>
      </c>
      <c r="P58" s="78">
        <v>107</v>
      </c>
      <c r="Q58" s="79">
        <v>25.77</v>
      </c>
      <c r="R58" s="79"/>
      <c r="S58" s="78">
        <v>413</v>
      </c>
      <c r="T58" s="80">
        <v>14</v>
      </c>
      <c r="U58" s="80" t="s">
        <v>121</v>
      </c>
      <c r="V58" s="81" t="s">
        <v>603</v>
      </c>
      <c r="W58" s="82">
        <v>3.46</v>
      </c>
      <c r="X58" s="82" t="s">
        <v>495</v>
      </c>
      <c r="Y58" s="82" t="s">
        <v>604</v>
      </c>
      <c r="Z58" s="82"/>
      <c r="AA58" s="82"/>
      <c r="AB58" s="82"/>
      <c r="AC58" s="83" t="s">
        <v>110</v>
      </c>
      <c r="AD58" s="40" t="str">
        <f>VLOOKUP(t_Parts[[#This Row],[Press]],t_Presses[],Press!B$1,FALSE)</f>
        <v>Plainfield</v>
      </c>
      <c r="AE58" s="40" t="str">
        <f>VLOOKUP(t_Parts[[#This Row],[Press]],t_Presses[],Press!E$1,FALSE)</f>
        <v>600-899</v>
      </c>
      <c r="AF58" s="47">
        <f>VLOOKUP(t_Parts[[#This Row],[Plant]],t_Plants[],Plants!C$1,FALSE)</f>
        <v>0.55000000000000004</v>
      </c>
      <c r="AG58" s="47">
        <f>VLOOKUP(t_Parts[[#This Row],[Press]],t_Presses[],Press!F$1,FALSE)</f>
        <v>0</v>
      </c>
      <c r="AH58" s="84"/>
      <c r="AI58" s="47">
        <f>IF(ISBLANK(t_Parts[[#This Row],[PartOEE]])=FALSE,t_Parts[[#This Row],[PartOEE]], IF(t_Parts[[#This Row],[PressOEE]]&gt;0, t_Parts[[#This Row],[PressOEE]], t_Parts[[#This Row],[PlantOEE]] ))</f>
        <v>0.55000000000000004</v>
      </c>
      <c r="AJ58" s="70">
        <f>t_Parts[[#This Row],[SetupsPerMo]]*t_Parts[[#This Row],[SetupHrs]]</f>
        <v>4</v>
      </c>
      <c r="AK58" s="39">
        <f>(t_Parts[[#This Row],[PartsPerStroke]]*t_Parts[[#This Row],[StrokesPerHr]])*t_Parts[[#This Row],[UseOEE]]</f>
        <v>990.00000000000011</v>
      </c>
      <c r="AL5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8307.461538461539</v>
      </c>
      <c r="AM5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8307.461538461539</v>
      </c>
      <c r="AN5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10384.326923076924</v>
      </c>
      <c r="AO5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8307.461538461539</v>
      </c>
      <c r="AP5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8307.461538461539</v>
      </c>
      <c r="AQ5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10384.326923076924</v>
      </c>
      <c r="AR5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8307.461538461539</v>
      </c>
      <c r="AS5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8307.461538461539</v>
      </c>
      <c r="AT5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10384.326923076924</v>
      </c>
      <c r="AU5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8307.461538461539</v>
      </c>
      <c r="AV5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8307.461538461539</v>
      </c>
      <c r="AW5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10384.326923076924</v>
      </c>
      <c r="AX58" s="39">
        <f>SUM(t_Parts[[#This Row],[pv2015.01]:[pv2015.12]])</f>
        <v>107996.99999999999</v>
      </c>
      <c r="AY5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8307.461538461539</v>
      </c>
      <c r="AZ5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8307.461538461539</v>
      </c>
      <c r="BA5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10384.326923076924</v>
      </c>
      <c r="BB5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8307.461538461539</v>
      </c>
      <c r="BC5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8307.461538461539</v>
      </c>
      <c r="BD5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10384.326923076924</v>
      </c>
      <c r="BE5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8307.461538461539</v>
      </c>
      <c r="BF5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8" s="39">
        <f>SUM(t_Parts[[#This Row],[pv2016.01]:[pv2016.12]])</f>
        <v>62305.961538461539</v>
      </c>
      <c r="BL58" s="39">
        <f>t_Parts[[#This Row],[2017vol]]</f>
        <v>107997</v>
      </c>
      <c r="BM58" s="39">
        <f>t_Parts[[#This Row],[2018vol]]</f>
        <v>107997</v>
      </c>
      <c r="BN58" s="39">
        <f>t_Parts[[#This Row],[2019vol]]</f>
        <v>107997</v>
      </c>
      <c r="BO58" s="40">
        <f>VLOOKUP(t_Parts[[Plant]:[Plant]],t_Plants[],Plants!CN$1,FALSE)</f>
        <v>280</v>
      </c>
      <c r="BP58" s="14">
        <f>VLOOKUP(t_Parts[[Plant]:[Plant]],t_Plants[],Plants!CO$1,FALSE)</f>
        <v>280</v>
      </c>
      <c r="BQ58" s="14">
        <f>VLOOKUP(t_Parts[[Plant]:[Plant]],t_Plants[],Plants!CP$1,FALSE)</f>
        <v>350</v>
      </c>
      <c r="BR58" s="14">
        <f>VLOOKUP(t_Parts[[Plant]:[Plant]],t_Plants[],Plants!CQ$1,FALSE)</f>
        <v>280</v>
      </c>
      <c r="BS58" s="14">
        <f>VLOOKUP(t_Parts[[Plant]:[Plant]],t_Plants[],Plants!CR$1,FALSE)</f>
        <v>280</v>
      </c>
      <c r="BT58" s="14">
        <f>VLOOKUP(t_Parts[[Plant]:[Plant]],t_Plants[],Plants!CS$1,FALSE)</f>
        <v>350</v>
      </c>
      <c r="BU58" s="14">
        <f>VLOOKUP(t_Parts[[Plant]:[Plant]],t_Plants[],Plants!CT$1,FALSE)</f>
        <v>280</v>
      </c>
      <c r="BV58" s="14">
        <f>VLOOKUP(t_Parts[[Plant]:[Plant]],t_Plants[],Plants!CU$1,FALSE)</f>
        <v>280</v>
      </c>
      <c r="BW58" s="14">
        <f>VLOOKUP(t_Parts[[Plant]:[Plant]],t_Plants[],Plants!CV$1,FALSE)</f>
        <v>350</v>
      </c>
      <c r="BX58" s="14">
        <f>VLOOKUP(t_Parts[[Plant]:[Plant]],t_Plants[],Plants!CW$1,FALSE)</f>
        <v>280</v>
      </c>
      <c r="BY58" s="14">
        <f>VLOOKUP(t_Parts[[Plant]:[Plant]],t_Plants[],Plants!CX$1,FALSE)</f>
        <v>280</v>
      </c>
      <c r="BZ58" s="14">
        <f>VLOOKUP(t_Parts[[Plant]:[Plant]],t_Plants[],Plants!CY$1,FALSE)</f>
        <v>350</v>
      </c>
      <c r="CA58" s="40">
        <f>SUM(t_Parts[[#This Row],[ha2015.01]:[ha2015.12]])</f>
        <v>3640</v>
      </c>
      <c r="CB58" s="14">
        <f>VLOOKUP(t_Parts[[Plant]:[Plant]],t_Plants[],Plants!DA$1,FALSE)</f>
        <v>280</v>
      </c>
      <c r="CC58" s="14">
        <f>VLOOKUP(t_Parts[[Plant]:[Plant]],t_Plants[],Plants!DB$1,FALSE)</f>
        <v>280</v>
      </c>
      <c r="CD58" s="14">
        <f>VLOOKUP(t_Parts[[Plant]:[Plant]],t_Plants[],Plants!DC$1,FALSE)</f>
        <v>350</v>
      </c>
      <c r="CE58" s="14">
        <f>VLOOKUP(t_Parts[[Plant]:[Plant]],t_Plants[],Plants!DD$1,FALSE)</f>
        <v>280</v>
      </c>
      <c r="CF58" s="14">
        <f>VLOOKUP(t_Parts[[Plant]:[Plant]],t_Plants[],Plants!DE$1,FALSE)</f>
        <v>280</v>
      </c>
      <c r="CG58" s="14">
        <f>VLOOKUP(t_Parts[[Plant]:[Plant]],t_Plants[],Plants!DF$1,FALSE)</f>
        <v>350</v>
      </c>
      <c r="CH58" s="14">
        <f>VLOOKUP(t_Parts[[Plant]:[Plant]],t_Plants[],Plants!DG$1,FALSE)</f>
        <v>280</v>
      </c>
      <c r="CI58" s="14">
        <f>VLOOKUP(t_Parts[[Plant]:[Plant]],t_Plants[],Plants!DH$1,FALSE)</f>
        <v>280</v>
      </c>
      <c r="CJ58" s="14">
        <f>VLOOKUP(t_Parts[[Plant]:[Plant]],t_Plants[],Plants!DI$1,FALSE)</f>
        <v>350</v>
      </c>
      <c r="CK58" s="14">
        <f>VLOOKUP(t_Parts[[Plant]:[Plant]],t_Plants[],Plants!DJ$1,FALSE)</f>
        <v>280</v>
      </c>
      <c r="CL58" s="14">
        <f>VLOOKUP(t_Parts[[Plant]:[Plant]],t_Plants[],Plants!DK$1,FALSE)</f>
        <v>280</v>
      </c>
      <c r="CM58" s="14">
        <f>VLOOKUP(t_Parts[[Plant]:[Plant]],t_Plants[],Plants!DL$1,FALSE)</f>
        <v>350</v>
      </c>
      <c r="CN58" s="14">
        <f>VLOOKUP(t_Parts[[Plant]:[Plant]],t_Plants[],Plants!DM$1,FALSE)</f>
        <v>3640</v>
      </c>
      <c r="CO58" s="14">
        <f>VLOOKUP(t_Parts[[Plant]:[Plant]],t_Plants[],Plants!DN$1,FALSE)</f>
        <v>3640</v>
      </c>
      <c r="CP58" s="14">
        <f>VLOOKUP(t_Parts[[Plant]:[Plant]],t_Plants[],Plants!DO$1,FALSE)</f>
        <v>3640</v>
      </c>
      <c r="CQ58" s="14">
        <f>VLOOKUP(t_Parts[[Plant]:[Plant]],t_Plants[],Plants!DP$1,FALSE)</f>
        <v>3640</v>
      </c>
      <c r="CR58" s="39">
        <f>IF(AND(AL$3&gt;=VALUE(t_Parts[[SOP]:[SOP]]),AL$3&lt;=VALUE(t_Parts[[EOP]:[EOP]])), t_Parts[[SetupHrsPerMo]:[SetupHrsPerMo]]+(t_Parts[[#This Row],[pv2015.01]]/t_Parts[[NetPPH]:[NetPPH]]),0)</f>
        <v>12.39137529137529</v>
      </c>
      <c r="CS58" s="39">
        <f>IF(AND(AM$3&gt;=VALUE(t_Parts[[SOP]:[SOP]]),AM$3&lt;=VALUE(t_Parts[[EOP]:[EOP]])), t_Parts[[SetupHrsPerMo]:[SetupHrsPerMo]]+(t_Parts[[#This Row],[pv2015.02]]/t_Parts[[NetPPH]:[NetPPH]]),0)</f>
        <v>12.39137529137529</v>
      </c>
      <c r="CT58" s="39">
        <f>IF(AND(AN$3&gt;=VALUE(t_Parts[[SOP]:[SOP]]),AN$3&lt;=VALUE(t_Parts[[EOP]:[EOP]])), t_Parts[[SetupHrsPerMo]:[SetupHrsPerMo]]+(t_Parts[[#This Row],[pv2015.03]]/t_Parts[[NetPPH]:[NetPPH]]),0)</f>
        <v>14.489219114219114</v>
      </c>
      <c r="CU58" s="39">
        <f>IF(AND(AO$3&gt;=VALUE(t_Parts[[SOP]:[SOP]]),AO$3&lt;=VALUE(t_Parts[[EOP]:[EOP]])), t_Parts[[SetupHrsPerMo]:[SetupHrsPerMo]]+(t_Parts[[#This Row],[pv2015.04]]/t_Parts[[NetPPH]:[NetPPH]]),0)</f>
        <v>12.39137529137529</v>
      </c>
      <c r="CV58" s="39">
        <f>IF(AND(AP$3&gt;=VALUE(t_Parts[[SOP]:[SOP]]),AP$3&lt;=VALUE(t_Parts[[EOP]:[EOP]])), t_Parts[[SetupHrsPerMo]:[SetupHrsPerMo]]+(t_Parts[[#This Row],[pv2015.05]]/t_Parts[[NetPPH]:[NetPPH]]),0)</f>
        <v>12.39137529137529</v>
      </c>
      <c r="CW58" s="39">
        <f>IF(AND(AQ$3&gt;=VALUE(t_Parts[[SOP]:[SOP]]),AQ$3&lt;=VALUE(t_Parts[[EOP]:[EOP]])), t_Parts[[SetupHrsPerMo]:[SetupHrsPerMo]]+(t_Parts[[#This Row],[pv2015.06]]/t_Parts[[NetPPH]:[NetPPH]]),0)</f>
        <v>14.489219114219114</v>
      </c>
      <c r="CX58" s="39">
        <f>IF(AND(AR$3&gt;=VALUE(t_Parts[[SOP]:[SOP]]),AR$3&lt;=VALUE(t_Parts[[EOP]:[EOP]])), t_Parts[[SetupHrsPerMo]:[SetupHrsPerMo]]+(t_Parts[[#This Row],[pv2015.07]]/t_Parts[[NetPPH]:[NetPPH]]),0)</f>
        <v>12.39137529137529</v>
      </c>
      <c r="CY58" s="39">
        <f>IF(AND(AS$3&gt;=VALUE(t_Parts[[SOP]:[SOP]]),AS$3&lt;=VALUE(t_Parts[[EOP]:[EOP]])), t_Parts[[SetupHrsPerMo]:[SetupHrsPerMo]]+(t_Parts[[#This Row],[pv2015.08]]/t_Parts[[NetPPH]:[NetPPH]]),0)</f>
        <v>12.39137529137529</v>
      </c>
      <c r="CZ58" s="39">
        <f>IF(AND(AT$3&gt;=VALUE(t_Parts[[SOP]:[SOP]]),AT$3&lt;=VALUE(t_Parts[[EOP]:[EOP]])), t_Parts[[SetupHrsPerMo]:[SetupHrsPerMo]]+(t_Parts[[#This Row],[pv2015.09]]/t_Parts[[NetPPH]:[NetPPH]]),0)</f>
        <v>14.489219114219114</v>
      </c>
      <c r="DA58" s="39">
        <f>IF(AND(AU$3&gt;=VALUE(t_Parts[[SOP]:[SOP]]),AU$3&lt;=VALUE(t_Parts[[EOP]:[EOP]])), t_Parts[[SetupHrsPerMo]:[SetupHrsPerMo]]+(t_Parts[[#This Row],[pv2015.10]]/t_Parts[[NetPPH]:[NetPPH]]),0)</f>
        <v>12.39137529137529</v>
      </c>
      <c r="DB58" s="39">
        <f>IF(AND(AV$3&gt;=VALUE(t_Parts[[SOP]:[SOP]]),AV$3&lt;=VALUE(t_Parts[[EOP]:[EOP]])), t_Parts[[SetupHrsPerMo]:[SetupHrsPerMo]]+(t_Parts[[#This Row],[pv2015.11]]/t_Parts[[NetPPH]:[NetPPH]]),0)</f>
        <v>12.39137529137529</v>
      </c>
      <c r="DC58" s="39">
        <f>IF(AND(AW$3&gt;=VALUE(t_Parts[[SOP]:[SOP]]),AW$3&lt;=VALUE(t_Parts[[EOP]:[EOP]])), t_Parts[[SetupHrsPerMo]:[SetupHrsPerMo]]+(t_Parts[[#This Row],[pv2015.12]]/t_Parts[[NetPPH]:[NetPPH]]),0)</f>
        <v>14.489219114219114</v>
      </c>
      <c r="DD58" s="39">
        <f>SUM(t_Parts[[#This Row],[hp2015.01]:[hp2015.12]])</f>
        <v>157.08787878787874</v>
      </c>
      <c r="DE58" s="39">
        <f>IF(AND(AY$3&gt;=VALUE(t_Parts[[SOP]:[SOP]]),AY$3&lt;=VALUE(t_Parts[[EOP]:[EOP]])), t_Parts[[SetupHrsPerMo]:[SetupHrsPerMo]]+(t_Parts[[#This Row],[pv2016.01]]/t_Parts[[NetPPH]:[NetPPH]]),0)</f>
        <v>12.39137529137529</v>
      </c>
      <c r="DF58" s="39">
        <f>IF(AND(AZ$3&gt;=VALUE(t_Parts[[SOP]:[SOP]]),AZ$3&lt;=VALUE(t_Parts[[EOP]:[EOP]])), t_Parts[[SetupHrsPerMo]:[SetupHrsPerMo]]+(t_Parts[[#This Row],[pv2016.02]]/t_Parts[[NetPPH]:[NetPPH]]),0)</f>
        <v>12.39137529137529</v>
      </c>
      <c r="DG58" s="39">
        <f>IF(AND(BA$3&gt;=VALUE(t_Parts[[SOP]:[SOP]]),BA$3&lt;=VALUE(t_Parts[[EOP]:[EOP]])), t_Parts[[SetupHrsPerMo]:[SetupHrsPerMo]]+(t_Parts[[#This Row],[pv2016.03]]/t_Parts[[NetPPH]:[NetPPH]]),0)</f>
        <v>14.489219114219114</v>
      </c>
      <c r="DH58" s="39">
        <f>IF(AND(BB$3&gt;=VALUE(t_Parts[[SOP]:[SOP]]),BB$3&lt;=VALUE(t_Parts[[EOP]:[EOP]])), t_Parts[[SetupHrsPerMo]:[SetupHrsPerMo]]+(t_Parts[[#This Row],[pv2016.04]]/t_Parts[[NetPPH]:[NetPPH]]),0)</f>
        <v>12.39137529137529</v>
      </c>
      <c r="DI58" s="39">
        <f>IF(AND(BC$3&gt;=VALUE(t_Parts[[SOP]:[SOP]]),BC$3&lt;=VALUE(t_Parts[[EOP]:[EOP]])), t_Parts[[SetupHrsPerMo]:[SetupHrsPerMo]]+(t_Parts[[#This Row],[pv2016.05]]/t_Parts[[NetPPH]:[NetPPH]]),0)</f>
        <v>12.39137529137529</v>
      </c>
      <c r="DJ58" s="39">
        <f>IF(AND(BD$3&gt;=VALUE(t_Parts[[SOP]:[SOP]]),BD$3&lt;=VALUE(t_Parts[[EOP]:[EOP]])), t_Parts[[SetupHrsPerMo]:[SetupHrsPerMo]]+(t_Parts[[#This Row],[pv2016.06]]/t_Parts[[NetPPH]:[NetPPH]]),0)</f>
        <v>14.489219114219114</v>
      </c>
      <c r="DK58" s="39">
        <f>IF(AND(BE$3&gt;=VALUE(t_Parts[[SOP]:[SOP]]),BE$3&lt;=VALUE(t_Parts[[EOP]:[EOP]])), t_Parts[[SetupHrsPerMo]:[SetupHrsPerMo]]+(t_Parts[[#This Row],[pv2016.07]]/t_Parts[[NetPPH]:[NetPPH]]),0)</f>
        <v>12.39137529137529</v>
      </c>
      <c r="DL58" s="39">
        <f>IF(AND(BF$3&gt;=VALUE(t_Parts[[SOP]:[SOP]]),BF$3&lt;=VALUE(t_Parts[[EOP]:[EOP]])), t_Parts[[SetupHrsPerMo]:[SetupHrsPerMo]]+(t_Parts[[#This Row],[pv2016.08]]/t_Parts[[NetPPH]:[NetPPH]]),0)</f>
        <v>0</v>
      </c>
      <c r="DM58" s="39">
        <f>IF(AND(BG$3&gt;=VALUE(t_Parts[[SOP]:[SOP]]),BG$3&lt;=VALUE(t_Parts[[EOP]:[EOP]])), t_Parts[[SetupHrsPerMo]:[SetupHrsPerMo]]+(t_Parts[[#This Row],[pv2016.09]]/t_Parts[[NetPPH]:[NetPPH]]),0)</f>
        <v>0</v>
      </c>
      <c r="DN58" s="39">
        <f>IF(AND(BH$3&gt;=VALUE(t_Parts[[SOP]:[SOP]]),BH$3&lt;=VALUE(t_Parts[[EOP]:[EOP]])), t_Parts[[SetupHrsPerMo]:[SetupHrsPerMo]]+(t_Parts[[#This Row],[pv2016.10]]/t_Parts[[NetPPH]:[NetPPH]]),0)</f>
        <v>0</v>
      </c>
      <c r="DO58" s="39">
        <f>IF(AND(BI$3&gt;=VALUE(t_Parts[[SOP]:[SOP]]),BI$3&lt;=VALUE(t_Parts[[EOP]:[EOP]])), t_Parts[[SetupHrsPerMo]:[SetupHrsPerMo]]+(t_Parts[[#This Row],[pv2016.11]]/t_Parts[[NetPPH]:[NetPPH]]),0)</f>
        <v>0</v>
      </c>
      <c r="DP58" s="39">
        <f>IF(AND(BJ$3&gt;=VALUE(t_Parts[[SOP]:[SOP]]),BJ$3&lt;=VALUE(t_Parts[[EOP]:[EOP]])), t_Parts[[SetupHrsPerMo]:[SetupHrsPerMo]]+(t_Parts[[#This Row],[pv2016.12]]/t_Parts[[NetPPH]:[NetPPH]]),0)</f>
        <v>0</v>
      </c>
      <c r="DQ58" s="39">
        <f>SUM(t_Parts[[#This Row],[hp2016.01]:[hp2016.12]])</f>
        <v>90.935314685314665</v>
      </c>
      <c r="DR58" s="39">
        <f>IF(AND(BL$3&gt;=VALUE(t_Parts[[SOP]:[SOP]]),BL$3&lt;=VALUE(t_Parts[[EOP]:[EOP]])), 12*t_Parts[[SetupHrsPerMo]:[SetupHrsPerMo]]+(t_Parts[[#This Row],[pv2017]]/t_Parts[[NetPPH]:[NetPPH]]),0)</f>
        <v>0</v>
      </c>
      <c r="DS58" s="39">
        <f>IF(AND(BM$3&gt;=VALUE(t_Parts[[SOP]:[SOP]]),BM$3&lt;=VALUE(t_Parts[[EOP]:[EOP]])), 12*t_Parts[[SetupHrsPerMo]:[SetupHrsPerMo]]+(t_Parts[[#This Row],[pv2018]]/t_Parts[[NetPPH]:[NetPPH]]),0)</f>
        <v>0</v>
      </c>
      <c r="DT58" s="39">
        <f>IF(AND(BN$3&gt;=VALUE(t_Parts[[SOP]:[SOP]]),BN$3&lt;=VALUE(t_Parts[[EOP]:[EOP]])), 12*t_Parts[[SetupHrsPerMo]:[SetupHrsPerMo]]+(t_Parts[[#This Row],[pv2019]]/t_Parts[[NetPPH]:[NetPPH]]),0)</f>
        <v>0</v>
      </c>
      <c r="DU58" s="47">
        <f>t_Parts[[#This Row],[hp2015.01]]/t_Parts[[#This Row],[ha2015.01]]</f>
        <v>4.4254911754911752E-2</v>
      </c>
      <c r="DV58" s="47">
        <f>t_Parts[[#This Row],[hp2015.02]]/t_Parts[[#This Row],[ha2015.02]]</f>
        <v>4.4254911754911752E-2</v>
      </c>
      <c r="DW58" s="47">
        <f>t_Parts[[#This Row],[hp2015.03]]/t_Parts[[#This Row],[ha2015.03]]</f>
        <v>4.1397768897768895E-2</v>
      </c>
      <c r="DX58" s="47">
        <f>t_Parts[[#This Row],[hp2015.04]]/t_Parts[[#This Row],[ha2015.04]]</f>
        <v>4.4254911754911752E-2</v>
      </c>
      <c r="DY58" s="47">
        <f>t_Parts[[#This Row],[hp2015.05]]/t_Parts[[#This Row],[ha2015.05]]</f>
        <v>4.4254911754911752E-2</v>
      </c>
      <c r="DZ58" s="47">
        <f>t_Parts[[#This Row],[hp2015.06]]/t_Parts[[#This Row],[ha2015.06]]</f>
        <v>4.1397768897768895E-2</v>
      </c>
      <c r="EA58" s="47">
        <f>t_Parts[[#This Row],[hp2015.07]]/t_Parts[[#This Row],[ha2015.07]]</f>
        <v>4.4254911754911752E-2</v>
      </c>
      <c r="EB58" s="47">
        <f>t_Parts[[#This Row],[hp2015.08]]/t_Parts[[#This Row],[ha2015.08]]</f>
        <v>4.4254911754911752E-2</v>
      </c>
      <c r="EC58" s="47">
        <f>t_Parts[[#This Row],[hp2015.09]]/t_Parts[[#This Row],[ha2015.09]]</f>
        <v>4.1397768897768895E-2</v>
      </c>
      <c r="ED58" s="47">
        <f>t_Parts[[#This Row],[hp2015.10]]/t_Parts[[#This Row],[ha2015.10]]</f>
        <v>4.4254911754911752E-2</v>
      </c>
      <c r="EE58" s="47">
        <f>t_Parts[[#This Row],[hp2015.11]]/t_Parts[[#This Row],[ha2015.11]]</f>
        <v>4.4254911754911752E-2</v>
      </c>
      <c r="EF58" s="47">
        <f>t_Parts[[#This Row],[hp2015.12]]/t_Parts[[#This Row],[ha2015.12]]</f>
        <v>4.1397768897768895E-2</v>
      </c>
      <c r="EG58" s="47">
        <f>t_Parts[[#This Row],[hp2015.FY]]/t_Parts[[#This Row],[ha2015.FY]]</f>
        <v>4.3156010656010643E-2</v>
      </c>
      <c r="EH58" s="47">
        <f>t_Parts[[#This Row],[hp2016.01]]/t_Parts[[#This Row],[ha2016.01]]</f>
        <v>4.4254911754911752E-2</v>
      </c>
      <c r="EI58" s="47">
        <f>t_Parts[[#This Row],[hp2016.02]]/t_Parts[[#This Row],[ha2016.02]]</f>
        <v>4.4254911754911752E-2</v>
      </c>
      <c r="EJ58" s="47">
        <f>t_Parts[[#This Row],[hp2016.03]]/t_Parts[[#This Row],[ha2016.03]]</f>
        <v>4.1397768897768895E-2</v>
      </c>
      <c r="EK58" s="47">
        <f>t_Parts[[#This Row],[hp2016.04]]/t_Parts[[#This Row],[ha2016.04]]</f>
        <v>4.4254911754911752E-2</v>
      </c>
      <c r="EL58" s="47">
        <f>t_Parts[[#This Row],[hp2016.05]]/t_Parts[[#This Row],[ha2016.05]]</f>
        <v>4.4254911754911752E-2</v>
      </c>
      <c r="EM58" s="47">
        <f>t_Parts[[#This Row],[hp2016.06]]/t_Parts[[#This Row],[ha2016.06]]</f>
        <v>4.1397768897768895E-2</v>
      </c>
      <c r="EN58" s="47">
        <f>t_Parts[[#This Row],[hp2016.07]]/t_Parts[[#This Row],[ha2016.07]]</f>
        <v>4.4254911754911752E-2</v>
      </c>
      <c r="EO58" s="47">
        <f>t_Parts[[#This Row],[hp2016.08]]/t_Parts[[#This Row],[ha2016.08]]</f>
        <v>0</v>
      </c>
      <c r="EP58" s="47">
        <f>t_Parts[[#This Row],[hp2016.09]]/t_Parts[[#This Row],[ha2016.09]]</f>
        <v>0</v>
      </c>
      <c r="EQ58" s="47">
        <f>t_Parts[[#This Row],[hp2016.10]]/t_Parts[[#This Row],[ha2016.10]]</f>
        <v>0</v>
      </c>
      <c r="ER58" s="47">
        <f>t_Parts[[#This Row],[hp2016.11]]/t_Parts[[#This Row],[ha2016.11]]</f>
        <v>0</v>
      </c>
      <c r="ES58" s="47">
        <f>t_Parts[[#This Row],[hp2016.12]]/t_Parts[[#This Row],[ha2016.12]]</f>
        <v>0</v>
      </c>
      <c r="ET58" s="47">
        <f>t_Parts[[#This Row],[hp2016.FY]]/t_Parts[[#This Row],[ha2016.FY]]</f>
        <v>2.4982229309152379E-2</v>
      </c>
      <c r="EU58" s="47">
        <f>t_Parts[[#This Row],[hp2017]]/t_Parts[[#This Row],[ha2017]]</f>
        <v>0</v>
      </c>
      <c r="EV58" s="47">
        <f>t_Parts[[#This Row],[hp2018]]/t_Parts[[#This Row],[ha2018]]</f>
        <v>0</v>
      </c>
      <c r="EW58" s="47">
        <f>t_Parts[[#This Row],[hp2019]]/t_Parts[[#This Row],[hp2015.01]]</f>
        <v>0</v>
      </c>
      <c r="EX58" s="58">
        <f>(t_Parts[[#This Row],[ha2015.01]]-t_Parts[[#This Row],[hp2015.01]])*t_Parts[[NetPPH]:[NetPPH]]</f>
        <v>264932.5384615385</v>
      </c>
      <c r="EY58" s="58">
        <f>(t_Parts[[#This Row],[ha2015.02]]-t_Parts[[#This Row],[hp2015.02]])*t_Parts[[NetPPH]:[NetPPH]]</f>
        <v>264932.5384615385</v>
      </c>
      <c r="EZ58" s="58">
        <f>(t_Parts[[#This Row],[ha2015.03]]-t_Parts[[#This Row],[hp2015.03]])*t_Parts[[NetPPH]:[NetPPH]]</f>
        <v>332155.67307692312</v>
      </c>
      <c r="FA58" s="58">
        <f>(t_Parts[[#This Row],[ha2015.04]]-t_Parts[[#This Row],[hp2015.04]])*t_Parts[[NetPPH]:[NetPPH]]</f>
        <v>264932.5384615385</v>
      </c>
      <c r="FB58" s="58">
        <f>(t_Parts[[#This Row],[ha2015.05]]-t_Parts[[#This Row],[hp2015.05]])*t_Parts[[NetPPH]:[NetPPH]]</f>
        <v>264932.5384615385</v>
      </c>
      <c r="FC58" s="58">
        <f>(t_Parts[[#This Row],[ha2015.06]]-t_Parts[[#This Row],[hp2015.06]])*t_Parts[[NetPPH]:[NetPPH]]</f>
        <v>332155.67307692312</v>
      </c>
      <c r="FD58" s="58">
        <f>(t_Parts[[#This Row],[ha2015.07]]-t_Parts[[#This Row],[hp2015.07]])*t_Parts[[NetPPH]:[NetPPH]]</f>
        <v>264932.5384615385</v>
      </c>
      <c r="FE58" s="58">
        <f>(t_Parts[[#This Row],[ha2015.08]]-t_Parts[[#This Row],[hp2015.08]])*t_Parts[[NetPPH]:[NetPPH]]</f>
        <v>264932.5384615385</v>
      </c>
      <c r="FF58" s="58">
        <f>(t_Parts[[#This Row],[ha2015.09]]-t_Parts[[#This Row],[hp2015.09]])*t_Parts[[NetPPH]:[NetPPH]]</f>
        <v>332155.67307692312</v>
      </c>
      <c r="FG58" s="58">
        <f>(t_Parts[[#This Row],[ha2015.10]]-t_Parts[[#This Row],[hp2015.10]])*t_Parts[[NetPPH]:[NetPPH]]</f>
        <v>264932.5384615385</v>
      </c>
      <c r="FH58" s="58">
        <f>(t_Parts[[#This Row],[ha2015.11]]-t_Parts[[#This Row],[hp2015.11]])*t_Parts[[NetPPH]:[NetPPH]]</f>
        <v>264932.5384615385</v>
      </c>
      <c r="FI58" s="58">
        <f>(t_Parts[[#This Row],[ha2015.12]]-t_Parts[[#This Row],[hp2015.12]])*t_Parts[[NetPPH]:[NetPPH]]</f>
        <v>332155.67307692312</v>
      </c>
      <c r="FJ58" s="58">
        <f>(t_Parts[[#This Row],[ha2015.FY]]-t_Parts[[#This Row],[hp2015.FY]])*t_Parts[[NetPPH]:[NetPPH]]</f>
        <v>3448083.0000000005</v>
      </c>
      <c r="FK58" s="58">
        <f>(t_Parts[[#This Row],[ha2016.01]]-t_Parts[[#This Row],[hp2016.01]])*t_Parts[[NetPPH]:[NetPPH]]</f>
        <v>264932.5384615385</v>
      </c>
      <c r="FL58" s="58">
        <f>(t_Parts[[#This Row],[ha2016.02]]-t_Parts[[#This Row],[hp2016.02]])*t_Parts[[NetPPH]:[NetPPH]]</f>
        <v>264932.5384615385</v>
      </c>
      <c r="FM58" s="58">
        <f>(t_Parts[[#This Row],[ha2016.03]]-t_Parts[[#This Row],[hp2016.03]])*t_Parts[[NetPPH]:[NetPPH]]</f>
        <v>332155.67307692312</v>
      </c>
      <c r="FN58" s="58">
        <f>(t_Parts[[#This Row],[ha2016.04]]-t_Parts[[#This Row],[hp2016.04]])*t_Parts[[NetPPH]:[NetPPH]]</f>
        <v>264932.5384615385</v>
      </c>
      <c r="FO58" s="58">
        <f>(t_Parts[[#This Row],[ha2016.05]]-t_Parts[[#This Row],[hp2016.05]])*t_Parts[[NetPPH]:[NetPPH]]</f>
        <v>264932.5384615385</v>
      </c>
      <c r="FP58" s="58">
        <f>(t_Parts[[#This Row],[ha2016.06]]-t_Parts[[#This Row],[hp2016.06]])*t_Parts[[NetPPH]:[NetPPH]]</f>
        <v>332155.67307692312</v>
      </c>
      <c r="FQ58" s="58">
        <f>(t_Parts[[#This Row],[ha2016.07]]-t_Parts[[#This Row],[hp2016.07]])*t_Parts[[NetPPH]:[NetPPH]]</f>
        <v>264932.5384615385</v>
      </c>
      <c r="FR58" s="58">
        <f>(t_Parts[[#This Row],[ha2016.08]]-t_Parts[[#This Row],[hp2016.08]])*t_Parts[[NetPPH]:[NetPPH]]</f>
        <v>277200.00000000006</v>
      </c>
      <c r="FS58" s="58">
        <f>(t_Parts[[#This Row],[ha2016.09]]-t_Parts[[#This Row],[hp2016.09]])*t_Parts[[NetPPH]:[NetPPH]]</f>
        <v>346500.00000000006</v>
      </c>
      <c r="FT58" s="58">
        <f>(t_Parts[[#This Row],[ha2016.10]]-t_Parts[[#This Row],[hp2016.10]])*t_Parts[[NetPPH]:[NetPPH]]</f>
        <v>277200.00000000006</v>
      </c>
      <c r="FU58" s="58">
        <f>(t_Parts[[#This Row],[ha2016.11]]-t_Parts[[#This Row],[hp2016.11]])*t_Parts[[NetPPH]:[NetPPH]]</f>
        <v>277200.00000000006</v>
      </c>
      <c r="FV58" s="58">
        <f>(t_Parts[[#This Row],[ha2016.12]]-t_Parts[[#This Row],[hp2016.12]])*t_Parts[[NetPPH]:[NetPPH]]</f>
        <v>346500.00000000006</v>
      </c>
      <c r="FW58" s="58">
        <f>(t_Parts[[#This Row],[ha2016.FY]]-t_Parts[[#This Row],[hp2016.FY]])*t_Parts[[NetPPH]:[NetPPH]]</f>
        <v>3513574.038461539</v>
      </c>
      <c r="FX58" s="58">
        <f>(t_Parts[[#This Row],[ha2017]]-t_Parts[[#This Row],[hp2017]])*t_Parts[[NetPPH]:[NetPPH]]</f>
        <v>3603600.0000000005</v>
      </c>
      <c r="FY58" s="58">
        <f>(t_Parts[[#This Row],[ha2018]]-t_Parts[[#This Row],[hp2018]])*t_Parts[[NetPPH]:[NetPPH]]</f>
        <v>3603600.0000000005</v>
      </c>
      <c r="FZ58" s="58">
        <f>(t_Parts[[#This Row],[ha2019]]-t_Parts[[#This Row],[hp2019]])*t_Parts[[NetPPH]:[NetPPH]]</f>
        <v>3603600.0000000005</v>
      </c>
    </row>
    <row r="59" spans="1:182" s="14" customFormat="1" x14ac:dyDescent="0.25">
      <c r="A59" s="74" t="s">
        <v>644</v>
      </c>
      <c r="B59" s="74"/>
      <c r="C59" s="74">
        <v>21014</v>
      </c>
      <c r="D59" s="75">
        <v>2</v>
      </c>
      <c r="E59" s="73">
        <v>4200</v>
      </c>
      <c r="F59" s="76">
        <v>1</v>
      </c>
      <c r="G59" s="77">
        <v>4</v>
      </c>
      <c r="H59" s="16">
        <v>2015.01</v>
      </c>
      <c r="I59" s="16" t="s">
        <v>81</v>
      </c>
      <c r="J59" s="73">
        <v>272199</v>
      </c>
      <c r="K59" s="73">
        <v>272199</v>
      </c>
      <c r="L59" s="73">
        <v>272199</v>
      </c>
      <c r="M59" s="73">
        <v>272199</v>
      </c>
      <c r="N59" s="73">
        <v>272199</v>
      </c>
      <c r="O59" s="78"/>
      <c r="P59" s="78"/>
      <c r="Q59" s="79">
        <v>21.856000000000002</v>
      </c>
      <c r="R59" s="79"/>
      <c r="S59" s="78"/>
      <c r="T59" s="80"/>
      <c r="U59" s="80" t="s">
        <v>121</v>
      </c>
      <c r="V59" s="81" t="s">
        <v>645</v>
      </c>
      <c r="W59" s="82">
        <v>0.252</v>
      </c>
      <c r="X59" s="82" t="s">
        <v>495</v>
      </c>
      <c r="Y59" s="82"/>
      <c r="Z59" s="82"/>
      <c r="AA59" s="82"/>
      <c r="AB59" s="82"/>
      <c r="AC59" s="83" t="s">
        <v>667</v>
      </c>
      <c r="AD59" s="40" t="str">
        <f>VLOOKUP(t_Parts[[#This Row],[Press]],t_Presses[],Press!B$1,FALSE)</f>
        <v>Plainfield</v>
      </c>
      <c r="AE59" s="40" t="str">
        <f>VLOOKUP(t_Parts[[#This Row],[Press]],t_Presses[],Press!E$1,FALSE)</f>
        <v>300-599</v>
      </c>
      <c r="AF59" s="47">
        <f>VLOOKUP(t_Parts[[#This Row],[Plant]],t_Plants[],Plants!C$1,FALSE)</f>
        <v>0.55000000000000004</v>
      </c>
      <c r="AG59" s="47">
        <f>VLOOKUP(t_Parts[[#This Row],[Press]],t_Presses[],Press!F$1,FALSE)</f>
        <v>0</v>
      </c>
      <c r="AH59" s="84"/>
      <c r="AI59" s="47">
        <f>IF(ISBLANK(t_Parts[[#This Row],[PartOEE]])=FALSE,t_Parts[[#This Row],[PartOEE]], IF(t_Parts[[#This Row],[PressOEE]]&gt;0, t_Parts[[#This Row],[PressOEE]], t_Parts[[#This Row],[PlantOEE]] ))</f>
        <v>0.55000000000000004</v>
      </c>
      <c r="AJ59" s="70">
        <f>t_Parts[[#This Row],[SetupsPerMo]]*t_Parts[[#This Row],[SetupHrs]]</f>
        <v>4</v>
      </c>
      <c r="AK59" s="39">
        <f>(t_Parts[[#This Row],[PartsPerStroke]]*t_Parts[[#This Row],[StrokesPerHr]])*t_Parts[[#This Row],[UseOEE]]</f>
        <v>4620</v>
      </c>
      <c r="AL5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20938.384615384613</v>
      </c>
      <c r="AM5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20938.384615384613</v>
      </c>
      <c r="AN5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26172.98076923077</v>
      </c>
      <c r="AO5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20938.384615384613</v>
      </c>
      <c r="AP5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20938.384615384613</v>
      </c>
      <c r="AQ5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26172.98076923077</v>
      </c>
      <c r="AR5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20938.384615384613</v>
      </c>
      <c r="AS5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20938.384615384613</v>
      </c>
      <c r="AT5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26172.98076923077</v>
      </c>
      <c r="AU5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20938.384615384613</v>
      </c>
      <c r="AV5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20938.384615384613</v>
      </c>
      <c r="AW5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26172.98076923077</v>
      </c>
      <c r="AX59" s="39">
        <f>SUM(t_Parts[[#This Row],[pv2015.01]:[pv2015.12]])</f>
        <v>272199.00000000006</v>
      </c>
      <c r="AY5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20938.384615384613</v>
      </c>
      <c r="AZ5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20938.384615384613</v>
      </c>
      <c r="BA5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26172.98076923077</v>
      </c>
      <c r="BB5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20938.384615384613</v>
      </c>
      <c r="BC5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20938.384615384613</v>
      </c>
      <c r="BD5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26172.98076923077</v>
      </c>
      <c r="BE5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20938.384615384613</v>
      </c>
      <c r="BF5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20938.384615384613</v>
      </c>
      <c r="BG5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26172.98076923077</v>
      </c>
      <c r="BH5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20938.384615384613</v>
      </c>
      <c r="BI5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20938.384615384613</v>
      </c>
      <c r="BJ5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26172.98076923077</v>
      </c>
      <c r="BK59" s="39">
        <f>SUM(t_Parts[[#This Row],[pv2016.01]:[pv2016.12]])</f>
        <v>272199.00000000006</v>
      </c>
      <c r="BL59" s="39">
        <f>t_Parts[[#This Row],[2017vol]]</f>
        <v>272199</v>
      </c>
      <c r="BM59" s="39">
        <f>t_Parts[[#This Row],[2018vol]]</f>
        <v>272199</v>
      </c>
      <c r="BN59" s="39">
        <f>t_Parts[[#This Row],[2019vol]]</f>
        <v>272199</v>
      </c>
      <c r="BO59" s="40">
        <f>VLOOKUP(t_Parts[[Plant]:[Plant]],t_Plants[],Plants!CN$1,FALSE)</f>
        <v>280</v>
      </c>
      <c r="BP59" s="14">
        <f>VLOOKUP(t_Parts[[Plant]:[Plant]],t_Plants[],Plants!CO$1,FALSE)</f>
        <v>280</v>
      </c>
      <c r="BQ59" s="14">
        <f>VLOOKUP(t_Parts[[Plant]:[Plant]],t_Plants[],Plants!CP$1,FALSE)</f>
        <v>350</v>
      </c>
      <c r="BR59" s="14">
        <f>VLOOKUP(t_Parts[[Plant]:[Plant]],t_Plants[],Plants!CQ$1,FALSE)</f>
        <v>280</v>
      </c>
      <c r="BS59" s="14">
        <f>VLOOKUP(t_Parts[[Plant]:[Plant]],t_Plants[],Plants!CR$1,FALSE)</f>
        <v>280</v>
      </c>
      <c r="BT59" s="14">
        <f>VLOOKUP(t_Parts[[Plant]:[Plant]],t_Plants[],Plants!CS$1,FALSE)</f>
        <v>350</v>
      </c>
      <c r="BU59" s="14">
        <f>VLOOKUP(t_Parts[[Plant]:[Plant]],t_Plants[],Plants!CT$1,FALSE)</f>
        <v>280</v>
      </c>
      <c r="BV59" s="14">
        <f>VLOOKUP(t_Parts[[Plant]:[Plant]],t_Plants[],Plants!CU$1,FALSE)</f>
        <v>280</v>
      </c>
      <c r="BW59" s="14">
        <f>VLOOKUP(t_Parts[[Plant]:[Plant]],t_Plants[],Plants!CV$1,FALSE)</f>
        <v>350</v>
      </c>
      <c r="BX59" s="14">
        <f>VLOOKUP(t_Parts[[Plant]:[Plant]],t_Plants[],Plants!CW$1,FALSE)</f>
        <v>280</v>
      </c>
      <c r="BY59" s="14">
        <f>VLOOKUP(t_Parts[[Plant]:[Plant]],t_Plants[],Plants!CX$1,FALSE)</f>
        <v>280</v>
      </c>
      <c r="BZ59" s="14">
        <f>VLOOKUP(t_Parts[[Plant]:[Plant]],t_Plants[],Plants!CY$1,FALSE)</f>
        <v>350</v>
      </c>
      <c r="CA59" s="40">
        <f>SUM(t_Parts[[#This Row],[ha2015.01]:[ha2015.12]])</f>
        <v>3640</v>
      </c>
      <c r="CB59" s="14">
        <f>VLOOKUP(t_Parts[[Plant]:[Plant]],t_Plants[],Plants!DA$1,FALSE)</f>
        <v>280</v>
      </c>
      <c r="CC59" s="14">
        <f>VLOOKUP(t_Parts[[Plant]:[Plant]],t_Plants[],Plants!DB$1,FALSE)</f>
        <v>280</v>
      </c>
      <c r="CD59" s="14">
        <f>VLOOKUP(t_Parts[[Plant]:[Plant]],t_Plants[],Plants!DC$1,FALSE)</f>
        <v>350</v>
      </c>
      <c r="CE59" s="14">
        <f>VLOOKUP(t_Parts[[Plant]:[Plant]],t_Plants[],Plants!DD$1,FALSE)</f>
        <v>280</v>
      </c>
      <c r="CF59" s="14">
        <f>VLOOKUP(t_Parts[[Plant]:[Plant]],t_Plants[],Plants!DE$1,FALSE)</f>
        <v>280</v>
      </c>
      <c r="CG59" s="14">
        <f>VLOOKUP(t_Parts[[Plant]:[Plant]],t_Plants[],Plants!DF$1,FALSE)</f>
        <v>350</v>
      </c>
      <c r="CH59" s="14">
        <f>VLOOKUP(t_Parts[[Plant]:[Plant]],t_Plants[],Plants!DG$1,FALSE)</f>
        <v>280</v>
      </c>
      <c r="CI59" s="14">
        <f>VLOOKUP(t_Parts[[Plant]:[Plant]],t_Plants[],Plants!DH$1,FALSE)</f>
        <v>280</v>
      </c>
      <c r="CJ59" s="14">
        <f>VLOOKUP(t_Parts[[Plant]:[Plant]],t_Plants[],Plants!DI$1,FALSE)</f>
        <v>350</v>
      </c>
      <c r="CK59" s="14">
        <f>VLOOKUP(t_Parts[[Plant]:[Plant]],t_Plants[],Plants!DJ$1,FALSE)</f>
        <v>280</v>
      </c>
      <c r="CL59" s="14">
        <f>VLOOKUP(t_Parts[[Plant]:[Plant]],t_Plants[],Plants!DK$1,FALSE)</f>
        <v>280</v>
      </c>
      <c r="CM59" s="14">
        <f>VLOOKUP(t_Parts[[Plant]:[Plant]],t_Plants[],Plants!DL$1,FALSE)</f>
        <v>350</v>
      </c>
      <c r="CN59" s="14">
        <f>VLOOKUP(t_Parts[[Plant]:[Plant]],t_Plants[],Plants!DM$1,FALSE)</f>
        <v>3640</v>
      </c>
      <c r="CO59" s="14">
        <f>VLOOKUP(t_Parts[[Plant]:[Plant]],t_Plants[],Plants!DN$1,FALSE)</f>
        <v>3640</v>
      </c>
      <c r="CP59" s="14">
        <f>VLOOKUP(t_Parts[[Plant]:[Plant]],t_Plants[],Plants!DO$1,FALSE)</f>
        <v>3640</v>
      </c>
      <c r="CQ59" s="14">
        <f>VLOOKUP(t_Parts[[Plant]:[Plant]],t_Plants[],Plants!DP$1,FALSE)</f>
        <v>3640</v>
      </c>
      <c r="CR59" s="39">
        <f>IF(AND(AL$3&gt;=VALUE(t_Parts[[SOP]:[SOP]]),AL$3&lt;=VALUE(t_Parts[[EOP]:[EOP]])), t_Parts[[SetupHrsPerMo]:[SetupHrsPerMo]]+(t_Parts[[#This Row],[pv2015.01]]/t_Parts[[NetPPH]:[NetPPH]]),0)</f>
        <v>8.5321178821178805</v>
      </c>
      <c r="CS59" s="39">
        <f>IF(AND(AM$3&gt;=VALUE(t_Parts[[SOP]:[SOP]]),AM$3&lt;=VALUE(t_Parts[[EOP]:[EOP]])), t_Parts[[SetupHrsPerMo]:[SetupHrsPerMo]]+(t_Parts[[#This Row],[pv2015.02]]/t_Parts[[NetPPH]:[NetPPH]]),0)</f>
        <v>8.5321178821178805</v>
      </c>
      <c r="CT59" s="39">
        <f>IF(AND(AN$3&gt;=VALUE(t_Parts[[SOP]:[SOP]]),AN$3&lt;=VALUE(t_Parts[[EOP]:[EOP]])), t_Parts[[SetupHrsPerMo]:[SetupHrsPerMo]]+(t_Parts[[#This Row],[pv2015.03]]/t_Parts[[NetPPH]:[NetPPH]]),0)</f>
        <v>9.6651473526473524</v>
      </c>
      <c r="CU59" s="39">
        <f>IF(AND(AO$3&gt;=VALUE(t_Parts[[SOP]:[SOP]]),AO$3&lt;=VALUE(t_Parts[[EOP]:[EOP]])), t_Parts[[SetupHrsPerMo]:[SetupHrsPerMo]]+(t_Parts[[#This Row],[pv2015.04]]/t_Parts[[NetPPH]:[NetPPH]]),0)</f>
        <v>8.5321178821178805</v>
      </c>
      <c r="CV59" s="39">
        <f>IF(AND(AP$3&gt;=VALUE(t_Parts[[SOP]:[SOP]]),AP$3&lt;=VALUE(t_Parts[[EOP]:[EOP]])), t_Parts[[SetupHrsPerMo]:[SetupHrsPerMo]]+(t_Parts[[#This Row],[pv2015.05]]/t_Parts[[NetPPH]:[NetPPH]]),0)</f>
        <v>8.5321178821178805</v>
      </c>
      <c r="CW59" s="39">
        <f>IF(AND(AQ$3&gt;=VALUE(t_Parts[[SOP]:[SOP]]),AQ$3&lt;=VALUE(t_Parts[[EOP]:[EOP]])), t_Parts[[SetupHrsPerMo]:[SetupHrsPerMo]]+(t_Parts[[#This Row],[pv2015.06]]/t_Parts[[NetPPH]:[NetPPH]]),0)</f>
        <v>9.6651473526473524</v>
      </c>
      <c r="CX59" s="39">
        <f>IF(AND(AR$3&gt;=VALUE(t_Parts[[SOP]:[SOP]]),AR$3&lt;=VALUE(t_Parts[[EOP]:[EOP]])), t_Parts[[SetupHrsPerMo]:[SetupHrsPerMo]]+(t_Parts[[#This Row],[pv2015.07]]/t_Parts[[NetPPH]:[NetPPH]]),0)</f>
        <v>8.5321178821178805</v>
      </c>
      <c r="CY59" s="39">
        <f>IF(AND(AS$3&gt;=VALUE(t_Parts[[SOP]:[SOP]]),AS$3&lt;=VALUE(t_Parts[[EOP]:[EOP]])), t_Parts[[SetupHrsPerMo]:[SetupHrsPerMo]]+(t_Parts[[#This Row],[pv2015.08]]/t_Parts[[NetPPH]:[NetPPH]]),0)</f>
        <v>8.5321178821178805</v>
      </c>
      <c r="CZ59" s="39">
        <f>IF(AND(AT$3&gt;=VALUE(t_Parts[[SOP]:[SOP]]),AT$3&lt;=VALUE(t_Parts[[EOP]:[EOP]])), t_Parts[[SetupHrsPerMo]:[SetupHrsPerMo]]+(t_Parts[[#This Row],[pv2015.09]]/t_Parts[[NetPPH]:[NetPPH]]),0)</f>
        <v>9.6651473526473524</v>
      </c>
      <c r="DA59" s="39">
        <f>IF(AND(AU$3&gt;=VALUE(t_Parts[[SOP]:[SOP]]),AU$3&lt;=VALUE(t_Parts[[EOP]:[EOP]])), t_Parts[[SetupHrsPerMo]:[SetupHrsPerMo]]+(t_Parts[[#This Row],[pv2015.10]]/t_Parts[[NetPPH]:[NetPPH]]),0)</f>
        <v>8.5321178821178805</v>
      </c>
      <c r="DB59" s="39">
        <f>IF(AND(AV$3&gt;=VALUE(t_Parts[[SOP]:[SOP]]),AV$3&lt;=VALUE(t_Parts[[EOP]:[EOP]])), t_Parts[[SetupHrsPerMo]:[SetupHrsPerMo]]+(t_Parts[[#This Row],[pv2015.11]]/t_Parts[[NetPPH]:[NetPPH]]),0)</f>
        <v>8.5321178821178805</v>
      </c>
      <c r="DC59" s="39">
        <f>IF(AND(AW$3&gt;=VALUE(t_Parts[[SOP]:[SOP]]),AW$3&lt;=VALUE(t_Parts[[EOP]:[EOP]])), t_Parts[[SetupHrsPerMo]:[SetupHrsPerMo]]+(t_Parts[[#This Row],[pv2015.12]]/t_Parts[[NetPPH]:[NetPPH]]),0)</f>
        <v>9.6651473526473524</v>
      </c>
      <c r="DD59" s="39">
        <f>SUM(t_Parts[[#This Row],[hp2015.01]:[hp2015.12]])</f>
        <v>106.91753246753245</v>
      </c>
      <c r="DE59" s="39">
        <f>IF(AND(AY$3&gt;=VALUE(t_Parts[[SOP]:[SOP]]),AY$3&lt;=VALUE(t_Parts[[EOP]:[EOP]])), t_Parts[[SetupHrsPerMo]:[SetupHrsPerMo]]+(t_Parts[[#This Row],[pv2016.01]]/t_Parts[[NetPPH]:[NetPPH]]),0)</f>
        <v>8.5321178821178805</v>
      </c>
      <c r="DF59" s="39">
        <f>IF(AND(AZ$3&gt;=VALUE(t_Parts[[SOP]:[SOP]]),AZ$3&lt;=VALUE(t_Parts[[EOP]:[EOP]])), t_Parts[[SetupHrsPerMo]:[SetupHrsPerMo]]+(t_Parts[[#This Row],[pv2016.02]]/t_Parts[[NetPPH]:[NetPPH]]),0)</f>
        <v>8.5321178821178805</v>
      </c>
      <c r="DG59" s="39">
        <f>IF(AND(BA$3&gt;=VALUE(t_Parts[[SOP]:[SOP]]),BA$3&lt;=VALUE(t_Parts[[EOP]:[EOP]])), t_Parts[[SetupHrsPerMo]:[SetupHrsPerMo]]+(t_Parts[[#This Row],[pv2016.03]]/t_Parts[[NetPPH]:[NetPPH]]),0)</f>
        <v>9.6651473526473524</v>
      </c>
      <c r="DH59" s="39">
        <f>IF(AND(BB$3&gt;=VALUE(t_Parts[[SOP]:[SOP]]),BB$3&lt;=VALUE(t_Parts[[EOP]:[EOP]])), t_Parts[[SetupHrsPerMo]:[SetupHrsPerMo]]+(t_Parts[[#This Row],[pv2016.04]]/t_Parts[[NetPPH]:[NetPPH]]),0)</f>
        <v>8.5321178821178805</v>
      </c>
      <c r="DI59" s="39">
        <f>IF(AND(BC$3&gt;=VALUE(t_Parts[[SOP]:[SOP]]),BC$3&lt;=VALUE(t_Parts[[EOP]:[EOP]])), t_Parts[[SetupHrsPerMo]:[SetupHrsPerMo]]+(t_Parts[[#This Row],[pv2016.05]]/t_Parts[[NetPPH]:[NetPPH]]),0)</f>
        <v>8.5321178821178805</v>
      </c>
      <c r="DJ59" s="39">
        <f>IF(AND(BD$3&gt;=VALUE(t_Parts[[SOP]:[SOP]]),BD$3&lt;=VALUE(t_Parts[[EOP]:[EOP]])), t_Parts[[SetupHrsPerMo]:[SetupHrsPerMo]]+(t_Parts[[#This Row],[pv2016.06]]/t_Parts[[NetPPH]:[NetPPH]]),0)</f>
        <v>9.6651473526473524</v>
      </c>
      <c r="DK59" s="39">
        <f>IF(AND(BE$3&gt;=VALUE(t_Parts[[SOP]:[SOP]]),BE$3&lt;=VALUE(t_Parts[[EOP]:[EOP]])), t_Parts[[SetupHrsPerMo]:[SetupHrsPerMo]]+(t_Parts[[#This Row],[pv2016.07]]/t_Parts[[NetPPH]:[NetPPH]]),0)</f>
        <v>8.5321178821178805</v>
      </c>
      <c r="DL59" s="39">
        <f>IF(AND(BF$3&gt;=VALUE(t_Parts[[SOP]:[SOP]]),BF$3&lt;=VALUE(t_Parts[[EOP]:[EOP]])), t_Parts[[SetupHrsPerMo]:[SetupHrsPerMo]]+(t_Parts[[#This Row],[pv2016.08]]/t_Parts[[NetPPH]:[NetPPH]]),0)</f>
        <v>8.5321178821178805</v>
      </c>
      <c r="DM59" s="39">
        <f>IF(AND(BG$3&gt;=VALUE(t_Parts[[SOP]:[SOP]]),BG$3&lt;=VALUE(t_Parts[[EOP]:[EOP]])), t_Parts[[SetupHrsPerMo]:[SetupHrsPerMo]]+(t_Parts[[#This Row],[pv2016.09]]/t_Parts[[NetPPH]:[NetPPH]]),0)</f>
        <v>9.6651473526473524</v>
      </c>
      <c r="DN59" s="39">
        <f>IF(AND(BH$3&gt;=VALUE(t_Parts[[SOP]:[SOP]]),BH$3&lt;=VALUE(t_Parts[[EOP]:[EOP]])), t_Parts[[SetupHrsPerMo]:[SetupHrsPerMo]]+(t_Parts[[#This Row],[pv2016.10]]/t_Parts[[NetPPH]:[NetPPH]]),0)</f>
        <v>8.5321178821178805</v>
      </c>
      <c r="DO59" s="39">
        <f>IF(AND(BI$3&gt;=VALUE(t_Parts[[SOP]:[SOP]]),BI$3&lt;=VALUE(t_Parts[[EOP]:[EOP]])), t_Parts[[SetupHrsPerMo]:[SetupHrsPerMo]]+(t_Parts[[#This Row],[pv2016.11]]/t_Parts[[NetPPH]:[NetPPH]]),0)</f>
        <v>8.5321178821178805</v>
      </c>
      <c r="DP59" s="39">
        <f>IF(AND(BJ$3&gt;=VALUE(t_Parts[[SOP]:[SOP]]),BJ$3&lt;=VALUE(t_Parts[[EOP]:[EOP]])), t_Parts[[SetupHrsPerMo]:[SetupHrsPerMo]]+(t_Parts[[#This Row],[pv2016.12]]/t_Parts[[NetPPH]:[NetPPH]]),0)</f>
        <v>9.6651473526473524</v>
      </c>
      <c r="DQ59" s="39">
        <f>SUM(t_Parts[[#This Row],[hp2016.01]:[hp2016.12]])</f>
        <v>106.91753246753245</v>
      </c>
      <c r="DR59" s="39">
        <f>IF(AND(BL$3&gt;=VALUE(t_Parts[[SOP]:[SOP]]),BL$3&lt;=VALUE(t_Parts[[EOP]:[EOP]])), 12*t_Parts[[SetupHrsPerMo]:[SetupHrsPerMo]]+(t_Parts[[#This Row],[pv2017]]/t_Parts[[NetPPH]:[NetPPH]]),0)</f>
        <v>106.91753246753247</v>
      </c>
      <c r="DS59" s="39">
        <f>IF(AND(BM$3&gt;=VALUE(t_Parts[[SOP]:[SOP]]),BM$3&lt;=VALUE(t_Parts[[EOP]:[EOP]])), 12*t_Parts[[SetupHrsPerMo]:[SetupHrsPerMo]]+(t_Parts[[#This Row],[pv2018]]/t_Parts[[NetPPH]:[NetPPH]]),0)</f>
        <v>0</v>
      </c>
      <c r="DT59" s="39">
        <f>IF(AND(BN$3&gt;=VALUE(t_Parts[[SOP]:[SOP]]),BN$3&lt;=VALUE(t_Parts[[EOP]:[EOP]])), 12*t_Parts[[SetupHrsPerMo]:[SetupHrsPerMo]]+(t_Parts[[#This Row],[pv2019]]/t_Parts[[NetPPH]:[NetPPH]]),0)</f>
        <v>0</v>
      </c>
      <c r="DU59" s="47">
        <f>t_Parts[[#This Row],[hp2015.01]]/t_Parts[[#This Row],[ha2015.01]]</f>
        <v>3.0471849578992429E-2</v>
      </c>
      <c r="DV59" s="47">
        <f>t_Parts[[#This Row],[hp2015.02]]/t_Parts[[#This Row],[ha2015.02]]</f>
        <v>3.0471849578992429E-2</v>
      </c>
      <c r="DW59" s="47">
        <f>t_Parts[[#This Row],[hp2015.03]]/t_Parts[[#This Row],[ha2015.03]]</f>
        <v>2.7614706721849579E-2</v>
      </c>
      <c r="DX59" s="47">
        <f>t_Parts[[#This Row],[hp2015.04]]/t_Parts[[#This Row],[ha2015.04]]</f>
        <v>3.0471849578992429E-2</v>
      </c>
      <c r="DY59" s="47">
        <f>t_Parts[[#This Row],[hp2015.05]]/t_Parts[[#This Row],[ha2015.05]]</f>
        <v>3.0471849578992429E-2</v>
      </c>
      <c r="DZ59" s="47">
        <f>t_Parts[[#This Row],[hp2015.06]]/t_Parts[[#This Row],[ha2015.06]]</f>
        <v>2.7614706721849579E-2</v>
      </c>
      <c r="EA59" s="47">
        <f>t_Parts[[#This Row],[hp2015.07]]/t_Parts[[#This Row],[ha2015.07]]</f>
        <v>3.0471849578992429E-2</v>
      </c>
      <c r="EB59" s="47">
        <f>t_Parts[[#This Row],[hp2015.08]]/t_Parts[[#This Row],[ha2015.08]]</f>
        <v>3.0471849578992429E-2</v>
      </c>
      <c r="EC59" s="47">
        <f>t_Parts[[#This Row],[hp2015.09]]/t_Parts[[#This Row],[ha2015.09]]</f>
        <v>2.7614706721849579E-2</v>
      </c>
      <c r="ED59" s="47">
        <f>t_Parts[[#This Row],[hp2015.10]]/t_Parts[[#This Row],[ha2015.10]]</f>
        <v>3.0471849578992429E-2</v>
      </c>
      <c r="EE59" s="47">
        <f>t_Parts[[#This Row],[hp2015.11]]/t_Parts[[#This Row],[ha2015.11]]</f>
        <v>3.0471849578992429E-2</v>
      </c>
      <c r="EF59" s="47">
        <f>t_Parts[[#This Row],[hp2015.12]]/t_Parts[[#This Row],[ha2015.12]]</f>
        <v>2.7614706721849579E-2</v>
      </c>
      <c r="EG59" s="47">
        <f>t_Parts[[#This Row],[hp2015.FY]]/t_Parts[[#This Row],[ha2015.FY]]</f>
        <v>2.9372948480091334E-2</v>
      </c>
      <c r="EH59" s="47">
        <f>t_Parts[[#This Row],[hp2016.01]]/t_Parts[[#This Row],[ha2016.01]]</f>
        <v>3.0471849578992429E-2</v>
      </c>
      <c r="EI59" s="47">
        <f>t_Parts[[#This Row],[hp2016.02]]/t_Parts[[#This Row],[ha2016.02]]</f>
        <v>3.0471849578992429E-2</v>
      </c>
      <c r="EJ59" s="47">
        <f>t_Parts[[#This Row],[hp2016.03]]/t_Parts[[#This Row],[ha2016.03]]</f>
        <v>2.7614706721849579E-2</v>
      </c>
      <c r="EK59" s="47">
        <f>t_Parts[[#This Row],[hp2016.04]]/t_Parts[[#This Row],[ha2016.04]]</f>
        <v>3.0471849578992429E-2</v>
      </c>
      <c r="EL59" s="47">
        <f>t_Parts[[#This Row],[hp2016.05]]/t_Parts[[#This Row],[ha2016.05]]</f>
        <v>3.0471849578992429E-2</v>
      </c>
      <c r="EM59" s="47">
        <f>t_Parts[[#This Row],[hp2016.06]]/t_Parts[[#This Row],[ha2016.06]]</f>
        <v>2.7614706721849579E-2</v>
      </c>
      <c r="EN59" s="47">
        <f>t_Parts[[#This Row],[hp2016.07]]/t_Parts[[#This Row],[ha2016.07]]</f>
        <v>3.0471849578992429E-2</v>
      </c>
      <c r="EO59" s="47">
        <f>t_Parts[[#This Row],[hp2016.08]]/t_Parts[[#This Row],[ha2016.08]]</f>
        <v>3.0471849578992429E-2</v>
      </c>
      <c r="EP59" s="47">
        <f>t_Parts[[#This Row],[hp2016.09]]/t_Parts[[#This Row],[ha2016.09]]</f>
        <v>2.7614706721849579E-2</v>
      </c>
      <c r="EQ59" s="47">
        <f>t_Parts[[#This Row],[hp2016.10]]/t_Parts[[#This Row],[ha2016.10]]</f>
        <v>3.0471849578992429E-2</v>
      </c>
      <c r="ER59" s="47">
        <f>t_Parts[[#This Row],[hp2016.11]]/t_Parts[[#This Row],[ha2016.11]]</f>
        <v>3.0471849578992429E-2</v>
      </c>
      <c r="ES59" s="47">
        <f>t_Parts[[#This Row],[hp2016.12]]/t_Parts[[#This Row],[ha2016.12]]</f>
        <v>2.7614706721849579E-2</v>
      </c>
      <c r="ET59" s="47">
        <f>t_Parts[[#This Row],[hp2016.FY]]/t_Parts[[#This Row],[ha2016.FY]]</f>
        <v>2.9372948480091334E-2</v>
      </c>
      <c r="EU59" s="47">
        <f>t_Parts[[#This Row],[hp2017]]/t_Parts[[#This Row],[ha2017]]</f>
        <v>2.9372948480091338E-2</v>
      </c>
      <c r="EV59" s="47">
        <f>t_Parts[[#This Row],[hp2018]]/t_Parts[[#This Row],[ha2018]]</f>
        <v>0</v>
      </c>
      <c r="EW59" s="47">
        <f>t_Parts[[#This Row],[hp2019]]/t_Parts[[#This Row],[hp2015.01]]</f>
        <v>0</v>
      </c>
      <c r="EX59" s="58">
        <f>(t_Parts[[#This Row],[ha2015.01]]-t_Parts[[#This Row],[hp2015.01]])*t_Parts[[NetPPH]:[NetPPH]]</f>
        <v>1254181.6153846155</v>
      </c>
      <c r="EY59" s="58">
        <f>(t_Parts[[#This Row],[ha2015.02]]-t_Parts[[#This Row],[hp2015.02]])*t_Parts[[NetPPH]:[NetPPH]]</f>
        <v>1254181.6153846155</v>
      </c>
      <c r="EZ59" s="58">
        <f>(t_Parts[[#This Row],[ha2015.03]]-t_Parts[[#This Row],[hp2015.03]])*t_Parts[[NetPPH]:[NetPPH]]</f>
        <v>1572347.0192307692</v>
      </c>
      <c r="FA59" s="58">
        <f>(t_Parts[[#This Row],[ha2015.04]]-t_Parts[[#This Row],[hp2015.04]])*t_Parts[[NetPPH]:[NetPPH]]</f>
        <v>1254181.6153846155</v>
      </c>
      <c r="FB59" s="58">
        <f>(t_Parts[[#This Row],[ha2015.05]]-t_Parts[[#This Row],[hp2015.05]])*t_Parts[[NetPPH]:[NetPPH]]</f>
        <v>1254181.6153846155</v>
      </c>
      <c r="FC59" s="58">
        <f>(t_Parts[[#This Row],[ha2015.06]]-t_Parts[[#This Row],[hp2015.06]])*t_Parts[[NetPPH]:[NetPPH]]</f>
        <v>1572347.0192307692</v>
      </c>
      <c r="FD59" s="58">
        <f>(t_Parts[[#This Row],[ha2015.07]]-t_Parts[[#This Row],[hp2015.07]])*t_Parts[[NetPPH]:[NetPPH]]</f>
        <v>1254181.6153846155</v>
      </c>
      <c r="FE59" s="58">
        <f>(t_Parts[[#This Row],[ha2015.08]]-t_Parts[[#This Row],[hp2015.08]])*t_Parts[[NetPPH]:[NetPPH]]</f>
        <v>1254181.6153846155</v>
      </c>
      <c r="FF59" s="58">
        <f>(t_Parts[[#This Row],[ha2015.09]]-t_Parts[[#This Row],[hp2015.09]])*t_Parts[[NetPPH]:[NetPPH]]</f>
        <v>1572347.0192307692</v>
      </c>
      <c r="FG59" s="58">
        <f>(t_Parts[[#This Row],[ha2015.10]]-t_Parts[[#This Row],[hp2015.10]])*t_Parts[[NetPPH]:[NetPPH]]</f>
        <v>1254181.6153846155</v>
      </c>
      <c r="FH59" s="58">
        <f>(t_Parts[[#This Row],[ha2015.11]]-t_Parts[[#This Row],[hp2015.11]])*t_Parts[[NetPPH]:[NetPPH]]</f>
        <v>1254181.6153846155</v>
      </c>
      <c r="FI59" s="58">
        <f>(t_Parts[[#This Row],[ha2015.12]]-t_Parts[[#This Row],[hp2015.12]])*t_Parts[[NetPPH]:[NetPPH]]</f>
        <v>1572347.0192307692</v>
      </c>
      <c r="FJ59" s="58">
        <f>(t_Parts[[#This Row],[ha2015.FY]]-t_Parts[[#This Row],[hp2015.FY]])*t_Parts[[NetPPH]:[NetPPH]]</f>
        <v>16322841</v>
      </c>
      <c r="FK59" s="58">
        <f>(t_Parts[[#This Row],[ha2016.01]]-t_Parts[[#This Row],[hp2016.01]])*t_Parts[[NetPPH]:[NetPPH]]</f>
        <v>1254181.6153846155</v>
      </c>
      <c r="FL59" s="58">
        <f>(t_Parts[[#This Row],[ha2016.02]]-t_Parts[[#This Row],[hp2016.02]])*t_Parts[[NetPPH]:[NetPPH]]</f>
        <v>1254181.6153846155</v>
      </c>
      <c r="FM59" s="58">
        <f>(t_Parts[[#This Row],[ha2016.03]]-t_Parts[[#This Row],[hp2016.03]])*t_Parts[[NetPPH]:[NetPPH]]</f>
        <v>1572347.0192307692</v>
      </c>
      <c r="FN59" s="58">
        <f>(t_Parts[[#This Row],[ha2016.04]]-t_Parts[[#This Row],[hp2016.04]])*t_Parts[[NetPPH]:[NetPPH]]</f>
        <v>1254181.6153846155</v>
      </c>
      <c r="FO59" s="58">
        <f>(t_Parts[[#This Row],[ha2016.05]]-t_Parts[[#This Row],[hp2016.05]])*t_Parts[[NetPPH]:[NetPPH]]</f>
        <v>1254181.6153846155</v>
      </c>
      <c r="FP59" s="58">
        <f>(t_Parts[[#This Row],[ha2016.06]]-t_Parts[[#This Row],[hp2016.06]])*t_Parts[[NetPPH]:[NetPPH]]</f>
        <v>1572347.0192307692</v>
      </c>
      <c r="FQ59" s="58">
        <f>(t_Parts[[#This Row],[ha2016.07]]-t_Parts[[#This Row],[hp2016.07]])*t_Parts[[NetPPH]:[NetPPH]]</f>
        <v>1254181.6153846155</v>
      </c>
      <c r="FR59" s="58">
        <f>(t_Parts[[#This Row],[ha2016.08]]-t_Parts[[#This Row],[hp2016.08]])*t_Parts[[NetPPH]:[NetPPH]]</f>
        <v>1254181.6153846155</v>
      </c>
      <c r="FS59" s="58">
        <f>(t_Parts[[#This Row],[ha2016.09]]-t_Parts[[#This Row],[hp2016.09]])*t_Parts[[NetPPH]:[NetPPH]]</f>
        <v>1572347.0192307692</v>
      </c>
      <c r="FT59" s="58">
        <f>(t_Parts[[#This Row],[ha2016.10]]-t_Parts[[#This Row],[hp2016.10]])*t_Parts[[NetPPH]:[NetPPH]]</f>
        <v>1254181.6153846155</v>
      </c>
      <c r="FU59" s="58">
        <f>(t_Parts[[#This Row],[ha2016.11]]-t_Parts[[#This Row],[hp2016.11]])*t_Parts[[NetPPH]:[NetPPH]]</f>
        <v>1254181.6153846155</v>
      </c>
      <c r="FV59" s="58">
        <f>(t_Parts[[#This Row],[ha2016.12]]-t_Parts[[#This Row],[hp2016.12]])*t_Parts[[NetPPH]:[NetPPH]]</f>
        <v>1572347.0192307692</v>
      </c>
      <c r="FW59" s="58">
        <f>(t_Parts[[#This Row],[ha2016.FY]]-t_Parts[[#This Row],[hp2016.FY]])*t_Parts[[NetPPH]:[NetPPH]]</f>
        <v>16322841</v>
      </c>
      <c r="FX59" s="58">
        <f>(t_Parts[[#This Row],[ha2017]]-t_Parts[[#This Row],[hp2017]])*t_Parts[[NetPPH]:[NetPPH]]</f>
        <v>16322841</v>
      </c>
      <c r="FY59" s="58">
        <f>(t_Parts[[#This Row],[ha2018]]-t_Parts[[#This Row],[hp2018]])*t_Parts[[NetPPH]:[NetPPH]]</f>
        <v>16816800</v>
      </c>
      <c r="FZ59" s="58">
        <f>(t_Parts[[#This Row],[ha2019]]-t_Parts[[#This Row],[hp2019]])*t_Parts[[NetPPH]:[NetPPH]]</f>
        <v>16816800</v>
      </c>
    </row>
    <row r="60" spans="1:182" s="14" customFormat="1" x14ac:dyDescent="0.25">
      <c r="A60" s="74">
        <v>97056</v>
      </c>
      <c r="B60" s="74"/>
      <c r="C60" s="74">
        <v>21013</v>
      </c>
      <c r="D60" s="75">
        <v>1</v>
      </c>
      <c r="E60" s="73">
        <v>3000</v>
      </c>
      <c r="F60" s="76">
        <v>1</v>
      </c>
      <c r="G60" s="77">
        <v>4</v>
      </c>
      <c r="H60" s="16">
        <v>2015.01</v>
      </c>
      <c r="I60" s="16" t="s">
        <v>83</v>
      </c>
      <c r="J60" s="73">
        <v>229077</v>
      </c>
      <c r="K60" s="73">
        <v>229077</v>
      </c>
      <c r="L60" s="73">
        <v>229077</v>
      </c>
      <c r="M60" s="73">
        <v>229077</v>
      </c>
      <c r="N60" s="73">
        <v>229077</v>
      </c>
      <c r="O60" s="78">
        <v>25</v>
      </c>
      <c r="P60" s="78">
        <v>41</v>
      </c>
      <c r="Q60" s="79">
        <v>20.925000000000001</v>
      </c>
      <c r="R60" s="79"/>
      <c r="S60" s="78">
        <v>86</v>
      </c>
      <c r="T60" s="80">
        <v>16</v>
      </c>
      <c r="U60" s="80" t="s">
        <v>121</v>
      </c>
      <c r="V60" s="81" t="s">
        <v>638</v>
      </c>
      <c r="W60" s="82">
        <v>0.441</v>
      </c>
      <c r="X60" s="82" t="s">
        <v>608</v>
      </c>
      <c r="Y60" s="82"/>
      <c r="Z60" s="82"/>
      <c r="AA60" s="82"/>
      <c r="AB60" s="82"/>
      <c r="AC60" s="83" t="s">
        <v>667</v>
      </c>
      <c r="AD60" s="40" t="str">
        <f>VLOOKUP(t_Parts[[#This Row],[Press]],t_Presses[],Press!B$1,FALSE)</f>
        <v>Plainfield</v>
      </c>
      <c r="AE60" s="40" t="str">
        <f>VLOOKUP(t_Parts[[#This Row],[Press]],t_Presses[],Press!E$1,FALSE)</f>
        <v>0-299</v>
      </c>
      <c r="AF60" s="47">
        <f>VLOOKUP(t_Parts[[#This Row],[Plant]],t_Plants[],Plants!C$1,FALSE)</f>
        <v>0.55000000000000004</v>
      </c>
      <c r="AG60" s="47">
        <f>VLOOKUP(t_Parts[[#This Row],[Press]],t_Presses[],Press!F$1,FALSE)</f>
        <v>0</v>
      </c>
      <c r="AH60" s="84"/>
      <c r="AI60" s="47">
        <f>IF(ISBLANK(t_Parts[[#This Row],[PartOEE]])=FALSE,t_Parts[[#This Row],[PartOEE]], IF(t_Parts[[#This Row],[PressOEE]]&gt;0, t_Parts[[#This Row],[PressOEE]], t_Parts[[#This Row],[PlantOEE]] ))</f>
        <v>0.55000000000000004</v>
      </c>
      <c r="AJ60" s="70">
        <f>t_Parts[[#This Row],[SetupsPerMo]]*t_Parts[[#This Row],[SetupHrs]]</f>
        <v>4</v>
      </c>
      <c r="AK60" s="39">
        <f>(t_Parts[[#This Row],[PartsPerStroke]]*t_Parts[[#This Row],[StrokesPerHr]])*t_Parts[[#This Row],[UseOEE]]</f>
        <v>1650.0000000000002</v>
      </c>
      <c r="AL6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17621.307692307695</v>
      </c>
      <c r="AM6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17621.307692307695</v>
      </c>
      <c r="AN6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22026.634615384617</v>
      </c>
      <c r="AO6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17621.307692307695</v>
      </c>
      <c r="AP6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17621.307692307695</v>
      </c>
      <c r="AQ6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22026.634615384617</v>
      </c>
      <c r="AR6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17621.307692307695</v>
      </c>
      <c r="AS6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17621.307692307695</v>
      </c>
      <c r="AT6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22026.634615384617</v>
      </c>
      <c r="AU6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17621.307692307695</v>
      </c>
      <c r="AV6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17621.307692307695</v>
      </c>
      <c r="AW6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22026.634615384617</v>
      </c>
      <c r="AX60" s="39">
        <f>SUM(t_Parts[[#This Row],[pv2015.01]:[pv2015.12]])</f>
        <v>229077.00000000003</v>
      </c>
      <c r="AY6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17621.307692307695</v>
      </c>
      <c r="AZ6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17621.307692307695</v>
      </c>
      <c r="BA6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22026.634615384617</v>
      </c>
      <c r="BB6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17621.307692307695</v>
      </c>
      <c r="BC6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17621.307692307695</v>
      </c>
      <c r="BD6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22026.634615384617</v>
      </c>
      <c r="BE6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17621.307692307695</v>
      </c>
      <c r="BF6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17621.307692307695</v>
      </c>
      <c r="BG6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22026.634615384617</v>
      </c>
      <c r="BH6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17621.307692307695</v>
      </c>
      <c r="BI6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17621.307692307695</v>
      </c>
      <c r="BJ6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22026.634615384617</v>
      </c>
      <c r="BK60" s="39">
        <f>SUM(t_Parts[[#This Row],[pv2016.01]:[pv2016.12]])</f>
        <v>229077.00000000003</v>
      </c>
      <c r="BL60" s="39">
        <f>t_Parts[[#This Row],[2017vol]]</f>
        <v>229077</v>
      </c>
      <c r="BM60" s="39">
        <f>t_Parts[[#This Row],[2018vol]]</f>
        <v>229077</v>
      </c>
      <c r="BN60" s="39">
        <f>t_Parts[[#This Row],[2019vol]]</f>
        <v>229077</v>
      </c>
      <c r="BO60" s="40">
        <f>VLOOKUP(t_Parts[[Plant]:[Plant]],t_Plants[],Plants!CN$1,FALSE)</f>
        <v>280</v>
      </c>
      <c r="BP60" s="14">
        <f>VLOOKUP(t_Parts[[Plant]:[Plant]],t_Plants[],Plants!CO$1,FALSE)</f>
        <v>280</v>
      </c>
      <c r="BQ60" s="14">
        <f>VLOOKUP(t_Parts[[Plant]:[Plant]],t_Plants[],Plants!CP$1,FALSE)</f>
        <v>350</v>
      </c>
      <c r="BR60" s="14">
        <f>VLOOKUP(t_Parts[[Plant]:[Plant]],t_Plants[],Plants!CQ$1,FALSE)</f>
        <v>280</v>
      </c>
      <c r="BS60" s="14">
        <f>VLOOKUP(t_Parts[[Plant]:[Plant]],t_Plants[],Plants!CR$1,FALSE)</f>
        <v>280</v>
      </c>
      <c r="BT60" s="14">
        <f>VLOOKUP(t_Parts[[Plant]:[Plant]],t_Plants[],Plants!CS$1,FALSE)</f>
        <v>350</v>
      </c>
      <c r="BU60" s="14">
        <f>VLOOKUP(t_Parts[[Plant]:[Plant]],t_Plants[],Plants!CT$1,FALSE)</f>
        <v>280</v>
      </c>
      <c r="BV60" s="14">
        <f>VLOOKUP(t_Parts[[Plant]:[Plant]],t_Plants[],Plants!CU$1,FALSE)</f>
        <v>280</v>
      </c>
      <c r="BW60" s="14">
        <f>VLOOKUP(t_Parts[[Plant]:[Plant]],t_Plants[],Plants!CV$1,FALSE)</f>
        <v>350</v>
      </c>
      <c r="BX60" s="14">
        <f>VLOOKUP(t_Parts[[Plant]:[Plant]],t_Plants[],Plants!CW$1,FALSE)</f>
        <v>280</v>
      </c>
      <c r="BY60" s="14">
        <f>VLOOKUP(t_Parts[[Plant]:[Plant]],t_Plants[],Plants!CX$1,FALSE)</f>
        <v>280</v>
      </c>
      <c r="BZ60" s="14">
        <f>VLOOKUP(t_Parts[[Plant]:[Plant]],t_Plants[],Plants!CY$1,FALSE)</f>
        <v>350</v>
      </c>
      <c r="CA60" s="40">
        <f>SUM(t_Parts[[#This Row],[ha2015.01]:[ha2015.12]])</f>
        <v>3640</v>
      </c>
      <c r="CB60" s="14">
        <f>VLOOKUP(t_Parts[[Plant]:[Plant]],t_Plants[],Plants!DA$1,FALSE)</f>
        <v>280</v>
      </c>
      <c r="CC60" s="14">
        <f>VLOOKUP(t_Parts[[Plant]:[Plant]],t_Plants[],Plants!DB$1,FALSE)</f>
        <v>280</v>
      </c>
      <c r="CD60" s="14">
        <f>VLOOKUP(t_Parts[[Plant]:[Plant]],t_Plants[],Plants!DC$1,FALSE)</f>
        <v>350</v>
      </c>
      <c r="CE60" s="14">
        <f>VLOOKUP(t_Parts[[Plant]:[Plant]],t_Plants[],Plants!DD$1,FALSE)</f>
        <v>280</v>
      </c>
      <c r="CF60" s="14">
        <f>VLOOKUP(t_Parts[[Plant]:[Plant]],t_Plants[],Plants!DE$1,FALSE)</f>
        <v>280</v>
      </c>
      <c r="CG60" s="14">
        <f>VLOOKUP(t_Parts[[Plant]:[Plant]],t_Plants[],Plants!DF$1,FALSE)</f>
        <v>350</v>
      </c>
      <c r="CH60" s="14">
        <f>VLOOKUP(t_Parts[[Plant]:[Plant]],t_Plants[],Plants!DG$1,FALSE)</f>
        <v>280</v>
      </c>
      <c r="CI60" s="14">
        <f>VLOOKUP(t_Parts[[Plant]:[Plant]],t_Plants[],Plants!DH$1,FALSE)</f>
        <v>280</v>
      </c>
      <c r="CJ60" s="14">
        <f>VLOOKUP(t_Parts[[Plant]:[Plant]],t_Plants[],Plants!DI$1,FALSE)</f>
        <v>350</v>
      </c>
      <c r="CK60" s="14">
        <f>VLOOKUP(t_Parts[[Plant]:[Plant]],t_Plants[],Plants!DJ$1,FALSE)</f>
        <v>280</v>
      </c>
      <c r="CL60" s="14">
        <f>VLOOKUP(t_Parts[[Plant]:[Plant]],t_Plants[],Plants!DK$1,FALSE)</f>
        <v>280</v>
      </c>
      <c r="CM60" s="14">
        <f>VLOOKUP(t_Parts[[Plant]:[Plant]],t_Plants[],Plants!DL$1,FALSE)</f>
        <v>350</v>
      </c>
      <c r="CN60" s="14">
        <f>VLOOKUP(t_Parts[[Plant]:[Plant]],t_Plants[],Plants!DM$1,FALSE)</f>
        <v>3640</v>
      </c>
      <c r="CO60" s="14">
        <f>VLOOKUP(t_Parts[[Plant]:[Plant]],t_Plants[],Plants!DN$1,FALSE)</f>
        <v>3640</v>
      </c>
      <c r="CP60" s="14">
        <f>VLOOKUP(t_Parts[[Plant]:[Plant]],t_Plants[],Plants!DO$1,FALSE)</f>
        <v>3640</v>
      </c>
      <c r="CQ60" s="14">
        <f>VLOOKUP(t_Parts[[Plant]:[Plant]],t_Plants[],Plants!DP$1,FALSE)</f>
        <v>3640</v>
      </c>
      <c r="CR60" s="39">
        <f>IF(AND(AL$3&gt;=VALUE(t_Parts[[SOP]:[SOP]]),AL$3&lt;=VALUE(t_Parts[[EOP]:[EOP]])), t_Parts[[SetupHrsPerMo]:[SetupHrsPerMo]]+(t_Parts[[#This Row],[pv2015.01]]/t_Parts[[NetPPH]:[NetPPH]]),0)</f>
        <v>14.67958041958042</v>
      </c>
      <c r="CS60" s="39">
        <f>IF(AND(AM$3&gt;=VALUE(t_Parts[[SOP]:[SOP]]),AM$3&lt;=VALUE(t_Parts[[EOP]:[EOP]])), t_Parts[[SetupHrsPerMo]:[SetupHrsPerMo]]+(t_Parts[[#This Row],[pv2015.02]]/t_Parts[[NetPPH]:[NetPPH]]),0)</f>
        <v>14.67958041958042</v>
      </c>
      <c r="CT60" s="39">
        <f>IF(AND(AN$3&gt;=VALUE(t_Parts[[SOP]:[SOP]]),AN$3&lt;=VALUE(t_Parts[[EOP]:[EOP]])), t_Parts[[SetupHrsPerMo]:[SetupHrsPerMo]]+(t_Parts[[#This Row],[pv2015.03]]/t_Parts[[NetPPH]:[NetPPH]]),0)</f>
        <v>17.349475524475523</v>
      </c>
      <c r="CU60" s="39">
        <f>IF(AND(AO$3&gt;=VALUE(t_Parts[[SOP]:[SOP]]),AO$3&lt;=VALUE(t_Parts[[EOP]:[EOP]])), t_Parts[[SetupHrsPerMo]:[SetupHrsPerMo]]+(t_Parts[[#This Row],[pv2015.04]]/t_Parts[[NetPPH]:[NetPPH]]),0)</f>
        <v>14.67958041958042</v>
      </c>
      <c r="CV60" s="39">
        <f>IF(AND(AP$3&gt;=VALUE(t_Parts[[SOP]:[SOP]]),AP$3&lt;=VALUE(t_Parts[[EOP]:[EOP]])), t_Parts[[SetupHrsPerMo]:[SetupHrsPerMo]]+(t_Parts[[#This Row],[pv2015.05]]/t_Parts[[NetPPH]:[NetPPH]]),0)</f>
        <v>14.67958041958042</v>
      </c>
      <c r="CW60" s="39">
        <f>IF(AND(AQ$3&gt;=VALUE(t_Parts[[SOP]:[SOP]]),AQ$3&lt;=VALUE(t_Parts[[EOP]:[EOP]])), t_Parts[[SetupHrsPerMo]:[SetupHrsPerMo]]+(t_Parts[[#This Row],[pv2015.06]]/t_Parts[[NetPPH]:[NetPPH]]),0)</f>
        <v>17.349475524475523</v>
      </c>
      <c r="CX60" s="39">
        <f>IF(AND(AR$3&gt;=VALUE(t_Parts[[SOP]:[SOP]]),AR$3&lt;=VALUE(t_Parts[[EOP]:[EOP]])), t_Parts[[SetupHrsPerMo]:[SetupHrsPerMo]]+(t_Parts[[#This Row],[pv2015.07]]/t_Parts[[NetPPH]:[NetPPH]]),0)</f>
        <v>14.67958041958042</v>
      </c>
      <c r="CY60" s="39">
        <f>IF(AND(AS$3&gt;=VALUE(t_Parts[[SOP]:[SOP]]),AS$3&lt;=VALUE(t_Parts[[EOP]:[EOP]])), t_Parts[[SetupHrsPerMo]:[SetupHrsPerMo]]+(t_Parts[[#This Row],[pv2015.08]]/t_Parts[[NetPPH]:[NetPPH]]),0)</f>
        <v>14.67958041958042</v>
      </c>
      <c r="CZ60" s="39">
        <f>IF(AND(AT$3&gt;=VALUE(t_Parts[[SOP]:[SOP]]),AT$3&lt;=VALUE(t_Parts[[EOP]:[EOP]])), t_Parts[[SetupHrsPerMo]:[SetupHrsPerMo]]+(t_Parts[[#This Row],[pv2015.09]]/t_Parts[[NetPPH]:[NetPPH]]),0)</f>
        <v>17.349475524475523</v>
      </c>
      <c r="DA60" s="39">
        <f>IF(AND(AU$3&gt;=VALUE(t_Parts[[SOP]:[SOP]]),AU$3&lt;=VALUE(t_Parts[[EOP]:[EOP]])), t_Parts[[SetupHrsPerMo]:[SetupHrsPerMo]]+(t_Parts[[#This Row],[pv2015.10]]/t_Parts[[NetPPH]:[NetPPH]]),0)</f>
        <v>14.67958041958042</v>
      </c>
      <c r="DB60" s="39">
        <f>IF(AND(AV$3&gt;=VALUE(t_Parts[[SOP]:[SOP]]),AV$3&lt;=VALUE(t_Parts[[EOP]:[EOP]])), t_Parts[[SetupHrsPerMo]:[SetupHrsPerMo]]+(t_Parts[[#This Row],[pv2015.11]]/t_Parts[[NetPPH]:[NetPPH]]),0)</f>
        <v>14.67958041958042</v>
      </c>
      <c r="DC60" s="39">
        <f>IF(AND(AW$3&gt;=VALUE(t_Parts[[SOP]:[SOP]]),AW$3&lt;=VALUE(t_Parts[[EOP]:[EOP]])), t_Parts[[SetupHrsPerMo]:[SetupHrsPerMo]]+(t_Parts[[#This Row],[pv2015.12]]/t_Parts[[NetPPH]:[NetPPH]]),0)</f>
        <v>17.349475524475523</v>
      </c>
      <c r="DD60" s="39">
        <f>SUM(t_Parts[[#This Row],[hp2015.01]:[hp2015.12]])</f>
        <v>186.83454545454543</v>
      </c>
      <c r="DE60" s="39">
        <f>IF(AND(AY$3&gt;=VALUE(t_Parts[[SOP]:[SOP]]),AY$3&lt;=VALUE(t_Parts[[EOP]:[EOP]])), t_Parts[[SetupHrsPerMo]:[SetupHrsPerMo]]+(t_Parts[[#This Row],[pv2016.01]]/t_Parts[[NetPPH]:[NetPPH]]),0)</f>
        <v>14.67958041958042</v>
      </c>
      <c r="DF60" s="39">
        <f>IF(AND(AZ$3&gt;=VALUE(t_Parts[[SOP]:[SOP]]),AZ$3&lt;=VALUE(t_Parts[[EOP]:[EOP]])), t_Parts[[SetupHrsPerMo]:[SetupHrsPerMo]]+(t_Parts[[#This Row],[pv2016.02]]/t_Parts[[NetPPH]:[NetPPH]]),0)</f>
        <v>14.67958041958042</v>
      </c>
      <c r="DG60" s="39">
        <f>IF(AND(BA$3&gt;=VALUE(t_Parts[[SOP]:[SOP]]),BA$3&lt;=VALUE(t_Parts[[EOP]:[EOP]])), t_Parts[[SetupHrsPerMo]:[SetupHrsPerMo]]+(t_Parts[[#This Row],[pv2016.03]]/t_Parts[[NetPPH]:[NetPPH]]),0)</f>
        <v>17.349475524475523</v>
      </c>
      <c r="DH60" s="39">
        <f>IF(AND(BB$3&gt;=VALUE(t_Parts[[SOP]:[SOP]]),BB$3&lt;=VALUE(t_Parts[[EOP]:[EOP]])), t_Parts[[SetupHrsPerMo]:[SetupHrsPerMo]]+(t_Parts[[#This Row],[pv2016.04]]/t_Parts[[NetPPH]:[NetPPH]]),0)</f>
        <v>14.67958041958042</v>
      </c>
      <c r="DI60" s="39">
        <f>IF(AND(BC$3&gt;=VALUE(t_Parts[[SOP]:[SOP]]),BC$3&lt;=VALUE(t_Parts[[EOP]:[EOP]])), t_Parts[[SetupHrsPerMo]:[SetupHrsPerMo]]+(t_Parts[[#This Row],[pv2016.05]]/t_Parts[[NetPPH]:[NetPPH]]),0)</f>
        <v>14.67958041958042</v>
      </c>
      <c r="DJ60" s="39">
        <f>IF(AND(BD$3&gt;=VALUE(t_Parts[[SOP]:[SOP]]),BD$3&lt;=VALUE(t_Parts[[EOP]:[EOP]])), t_Parts[[SetupHrsPerMo]:[SetupHrsPerMo]]+(t_Parts[[#This Row],[pv2016.06]]/t_Parts[[NetPPH]:[NetPPH]]),0)</f>
        <v>17.349475524475523</v>
      </c>
      <c r="DK60" s="39">
        <f>IF(AND(BE$3&gt;=VALUE(t_Parts[[SOP]:[SOP]]),BE$3&lt;=VALUE(t_Parts[[EOP]:[EOP]])), t_Parts[[SetupHrsPerMo]:[SetupHrsPerMo]]+(t_Parts[[#This Row],[pv2016.07]]/t_Parts[[NetPPH]:[NetPPH]]),0)</f>
        <v>14.67958041958042</v>
      </c>
      <c r="DL60" s="39">
        <f>IF(AND(BF$3&gt;=VALUE(t_Parts[[SOP]:[SOP]]),BF$3&lt;=VALUE(t_Parts[[EOP]:[EOP]])), t_Parts[[SetupHrsPerMo]:[SetupHrsPerMo]]+(t_Parts[[#This Row],[pv2016.08]]/t_Parts[[NetPPH]:[NetPPH]]),0)</f>
        <v>14.67958041958042</v>
      </c>
      <c r="DM60" s="39">
        <f>IF(AND(BG$3&gt;=VALUE(t_Parts[[SOP]:[SOP]]),BG$3&lt;=VALUE(t_Parts[[EOP]:[EOP]])), t_Parts[[SetupHrsPerMo]:[SetupHrsPerMo]]+(t_Parts[[#This Row],[pv2016.09]]/t_Parts[[NetPPH]:[NetPPH]]),0)</f>
        <v>17.349475524475523</v>
      </c>
      <c r="DN60" s="39">
        <f>IF(AND(BH$3&gt;=VALUE(t_Parts[[SOP]:[SOP]]),BH$3&lt;=VALUE(t_Parts[[EOP]:[EOP]])), t_Parts[[SetupHrsPerMo]:[SetupHrsPerMo]]+(t_Parts[[#This Row],[pv2016.10]]/t_Parts[[NetPPH]:[NetPPH]]),0)</f>
        <v>14.67958041958042</v>
      </c>
      <c r="DO60" s="39">
        <f>IF(AND(BI$3&gt;=VALUE(t_Parts[[SOP]:[SOP]]),BI$3&lt;=VALUE(t_Parts[[EOP]:[EOP]])), t_Parts[[SetupHrsPerMo]:[SetupHrsPerMo]]+(t_Parts[[#This Row],[pv2016.11]]/t_Parts[[NetPPH]:[NetPPH]]),0)</f>
        <v>14.67958041958042</v>
      </c>
      <c r="DP60" s="39">
        <f>IF(AND(BJ$3&gt;=VALUE(t_Parts[[SOP]:[SOP]]),BJ$3&lt;=VALUE(t_Parts[[EOP]:[EOP]])), t_Parts[[SetupHrsPerMo]:[SetupHrsPerMo]]+(t_Parts[[#This Row],[pv2016.12]]/t_Parts[[NetPPH]:[NetPPH]]),0)</f>
        <v>17.349475524475523</v>
      </c>
      <c r="DQ60" s="39">
        <f>SUM(t_Parts[[#This Row],[hp2016.01]:[hp2016.12]])</f>
        <v>186.83454545454543</v>
      </c>
      <c r="DR60" s="39">
        <f>IF(AND(BL$3&gt;=VALUE(t_Parts[[SOP]:[SOP]]),BL$3&lt;=VALUE(t_Parts[[EOP]:[EOP]])), 12*t_Parts[[SetupHrsPerMo]:[SetupHrsPerMo]]+(t_Parts[[#This Row],[pv2017]]/t_Parts[[NetPPH]:[NetPPH]]),0)</f>
        <v>186.83454545454543</v>
      </c>
      <c r="DS60" s="39">
        <f>IF(AND(BM$3&gt;=VALUE(t_Parts[[SOP]:[SOP]]),BM$3&lt;=VALUE(t_Parts[[EOP]:[EOP]])), 12*t_Parts[[SetupHrsPerMo]:[SetupHrsPerMo]]+(t_Parts[[#This Row],[pv2018]]/t_Parts[[NetPPH]:[NetPPH]]),0)</f>
        <v>186.83454545454543</v>
      </c>
      <c r="DT60" s="39">
        <f>IF(AND(BN$3&gt;=VALUE(t_Parts[[SOP]:[SOP]]),BN$3&lt;=VALUE(t_Parts[[EOP]:[EOP]])), 12*t_Parts[[SetupHrsPerMo]:[SetupHrsPerMo]]+(t_Parts[[#This Row],[pv2019]]/t_Parts[[NetPPH]:[NetPPH]]),0)</f>
        <v>186.83454545454543</v>
      </c>
      <c r="DU60" s="47">
        <f>t_Parts[[#This Row],[hp2015.01]]/t_Parts[[#This Row],[ha2015.01]]</f>
        <v>5.242707292707293E-2</v>
      </c>
      <c r="DV60" s="47">
        <f>t_Parts[[#This Row],[hp2015.02]]/t_Parts[[#This Row],[ha2015.02]]</f>
        <v>5.242707292707293E-2</v>
      </c>
      <c r="DW60" s="47">
        <f>t_Parts[[#This Row],[hp2015.03]]/t_Parts[[#This Row],[ha2015.03]]</f>
        <v>4.9569930069930067E-2</v>
      </c>
      <c r="DX60" s="47">
        <f>t_Parts[[#This Row],[hp2015.04]]/t_Parts[[#This Row],[ha2015.04]]</f>
        <v>5.242707292707293E-2</v>
      </c>
      <c r="DY60" s="47">
        <f>t_Parts[[#This Row],[hp2015.05]]/t_Parts[[#This Row],[ha2015.05]]</f>
        <v>5.242707292707293E-2</v>
      </c>
      <c r="DZ60" s="47">
        <f>t_Parts[[#This Row],[hp2015.06]]/t_Parts[[#This Row],[ha2015.06]]</f>
        <v>4.9569930069930067E-2</v>
      </c>
      <c r="EA60" s="47">
        <f>t_Parts[[#This Row],[hp2015.07]]/t_Parts[[#This Row],[ha2015.07]]</f>
        <v>5.242707292707293E-2</v>
      </c>
      <c r="EB60" s="47">
        <f>t_Parts[[#This Row],[hp2015.08]]/t_Parts[[#This Row],[ha2015.08]]</f>
        <v>5.242707292707293E-2</v>
      </c>
      <c r="EC60" s="47">
        <f>t_Parts[[#This Row],[hp2015.09]]/t_Parts[[#This Row],[ha2015.09]]</f>
        <v>4.9569930069930067E-2</v>
      </c>
      <c r="ED60" s="47">
        <f>t_Parts[[#This Row],[hp2015.10]]/t_Parts[[#This Row],[ha2015.10]]</f>
        <v>5.242707292707293E-2</v>
      </c>
      <c r="EE60" s="47">
        <f>t_Parts[[#This Row],[hp2015.11]]/t_Parts[[#This Row],[ha2015.11]]</f>
        <v>5.242707292707293E-2</v>
      </c>
      <c r="EF60" s="47">
        <f>t_Parts[[#This Row],[hp2015.12]]/t_Parts[[#This Row],[ha2015.12]]</f>
        <v>4.9569930069930067E-2</v>
      </c>
      <c r="EG60" s="47">
        <f>t_Parts[[#This Row],[hp2015.FY]]/t_Parts[[#This Row],[ha2015.FY]]</f>
        <v>5.1328171828171822E-2</v>
      </c>
      <c r="EH60" s="47">
        <f>t_Parts[[#This Row],[hp2016.01]]/t_Parts[[#This Row],[ha2016.01]]</f>
        <v>5.242707292707293E-2</v>
      </c>
      <c r="EI60" s="47">
        <f>t_Parts[[#This Row],[hp2016.02]]/t_Parts[[#This Row],[ha2016.02]]</f>
        <v>5.242707292707293E-2</v>
      </c>
      <c r="EJ60" s="47">
        <f>t_Parts[[#This Row],[hp2016.03]]/t_Parts[[#This Row],[ha2016.03]]</f>
        <v>4.9569930069930067E-2</v>
      </c>
      <c r="EK60" s="47">
        <f>t_Parts[[#This Row],[hp2016.04]]/t_Parts[[#This Row],[ha2016.04]]</f>
        <v>5.242707292707293E-2</v>
      </c>
      <c r="EL60" s="47">
        <f>t_Parts[[#This Row],[hp2016.05]]/t_Parts[[#This Row],[ha2016.05]]</f>
        <v>5.242707292707293E-2</v>
      </c>
      <c r="EM60" s="47">
        <f>t_Parts[[#This Row],[hp2016.06]]/t_Parts[[#This Row],[ha2016.06]]</f>
        <v>4.9569930069930067E-2</v>
      </c>
      <c r="EN60" s="47">
        <f>t_Parts[[#This Row],[hp2016.07]]/t_Parts[[#This Row],[ha2016.07]]</f>
        <v>5.242707292707293E-2</v>
      </c>
      <c r="EO60" s="47">
        <f>t_Parts[[#This Row],[hp2016.08]]/t_Parts[[#This Row],[ha2016.08]]</f>
        <v>5.242707292707293E-2</v>
      </c>
      <c r="EP60" s="47">
        <f>t_Parts[[#This Row],[hp2016.09]]/t_Parts[[#This Row],[ha2016.09]]</f>
        <v>4.9569930069930067E-2</v>
      </c>
      <c r="EQ60" s="47">
        <f>t_Parts[[#This Row],[hp2016.10]]/t_Parts[[#This Row],[ha2016.10]]</f>
        <v>5.242707292707293E-2</v>
      </c>
      <c r="ER60" s="47">
        <f>t_Parts[[#This Row],[hp2016.11]]/t_Parts[[#This Row],[ha2016.11]]</f>
        <v>5.242707292707293E-2</v>
      </c>
      <c r="ES60" s="47">
        <f>t_Parts[[#This Row],[hp2016.12]]/t_Parts[[#This Row],[ha2016.12]]</f>
        <v>4.9569930069930067E-2</v>
      </c>
      <c r="ET60" s="47">
        <f>t_Parts[[#This Row],[hp2016.FY]]/t_Parts[[#This Row],[ha2016.FY]]</f>
        <v>5.1328171828171822E-2</v>
      </c>
      <c r="EU60" s="47">
        <f>t_Parts[[#This Row],[hp2017]]/t_Parts[[#This Row],[ha2017]]</f>
        <v>5.1328171828171822E-2</v>
      </c>
      <c r="EV60" s="47">
        <f>t_Parts[[#This Row],[hp2018]]/t_Parts[[#This Row],[ha2018]]</f>
        <v>5.1328171828171822E-2</v>
      </c>
      <c r="EW60" s="47">
        <f>t_Parts[[#This Row],[hp2019]]/t_Parts[[#This Row],[hp2015.01]]</f>
        <v>12.727512647795804</v>
      </c>
      <c r="EX60" s="58">
        <f>(t_Parts[[#This Row],[ha2015.01]]-t_Parts[[#This Row],[hp2015.01]])*t_Parts[[NetPPH]:[NetPPH]]</f>
        <v>437778.69230769237</v>
      </c>
      <c r="EY60" s="58">
        <f>(t_Parts[[#This Row],[ha2015.02]]-t_Parts[[#This Row],[hp2015.02]])*t_Parts[[NetPPH]:[NetPPH]]</f>
        <v>437778.69230769237</v>
      </c>
      <c r="EZ60" s="58">
        <f>(t_Parts[[#This Row],[ha2015.03]]-t_Parts[[#This Row],[hp2015.03]])*t_Parts[[NetPPH]:[NetPPH]]</f>
        <v>548873.36538461549</v>
      </c>
      <c r="FA60" s="58">
        <f>(t_Parts[[#This Row],[ha2015.04]]-t_Parts[[#This Row],[hp2015.04]])*t_Parts[[NetPPH]:[NetPPH]]</f>
        <v>437778.69230769237</v>
      </c>
      <c r="FB60" s="58">
        <f>(t_Parts[[#This Row],[ha2015.05]]-t_Parts[[#This Row],[hp2015.05]])*t_Parts[[NetPPH]:[NetPPH]]</f>
        <v>437778.69230769237</v>
      </c>
      <c r="FC60" s="58">
        <f>(t_Parts[[#This Row],[ha2015.06]]-t_Parts[[#This Row],[hp2015.06]])*t_Parts[[NetPPH]:[NetPPH]]</f>
        <v>548873.36538461549</v>
      </c>
      <c r="FD60" s="58">
        <f>(t_Parts[[#This Row],[ha2015.07]]-t_Parts[[#This Row],[hp2015.07]])*t_Parts[[NetPPH]:[NetPPH]]</f>
        <v>437778.69230769237</v>
      </c>
      <c r="FE60" s="58">
        <f>(t_Parts[[#This Row],[ha2015.08]]-t_Parts[[#This Row],[hp2015.08]])*t_Parts[[NetPPH]:[NetPPH]]</f>
        <v>437778.69230769237</v>
      </c>
      <c r="FF60" s="58">
        <f>(t_Parts[[#This Row],[ha2015.09]]-t_Parts[[#This Row],[hp2015.09]])*t_Parts[[NetPPH]:[NetPPH]]</f>
        <v>548873.36538461549</v>
      </c>
      <c r="FG60" s="58">
        <f>(t_Parts[[#This Row],[ha2015.10]]-t_Parts[[#This Row],[hp2015.10]])*t_Parts[[NetPPH]:[NetPPH]]</f>
        <v>437778.69230769237</v>
      </c>
      <c r="FH60" s="58">
        <f>(t_Parts[[#This Row],[ha2015.11]]-t_Parts[[#This Row],[hp2015.11]])*t_Parts[[NetPPH]:[NetPPH]]</f>
        <v>437778.69230769237</v>
      </c>
      <c r="FI60" s="58">
        <f>(t_Parts[[#This Row],[ha2015.12]]-t_Parts[[#This Row],[hp2015.12]])*t_Parts[[NetPPH]:[NetPPH]]</f>
        <v>548873.36538461549</v>
      </c>
      <c r="FJ60" s="58">
        <f>(t_Parts[[#This Row],[ha2015.FY]]-t_Parts[[#This Row],[hp2015.FY]])*t_Parts[[NetPPH]:[NetPPH]]</f>
        <v>5697723.0000000009</v>
      </c>
      <c r="FK60" s="58">
        <f>(t_Parts[[#This Row],[ha2016.01]]-t_Parts[[#This Row],[hp2016.01]])*t_Parts[[NetPPH]:[NetPPH]]</f>
        <v>437778.69230769237</v>
      </c>
      <c r="FL60" s="58">
        <f>(t_Parts[[#This Row],[ha2016.02]]-t_Parts[[#This Row],[hp2016.02]])*t_Parts[[NetPPH]:[NetPPH]]</f>
        <v>437778.69230769237</v>
      </c>
      <c r="FM60" s="58">
        <f>(t_Parts[[#This Row],[ha2016.03]]-t_Parts[[#This Row],[hp2016.03]])*t_Parts[[NetPPH]:[NetPPH]]</f>
        <v>548873.36538461549</v>
      </c>
      <c r="FN60" s="58">
        <f>(t_Parts[[#This Row],[ha2016.04]]-t_Parts[[#This Row],[hp2016.04]])*t_Parts[[NetPPH]:[NetPPH]]</f>
        <v>437778.69230769237</v>
      </c>
      <c r="FO60" s="58">
        <f>(t_Parts[[#This Row],[ha2016.05]]-t_Parts[[#This Row],[hp2016.05]])*t_Parts[[NetPPH]:[NetPPH]]</f>
        <v>437778.69230769237</v>
      </c>
      <c r="FP60" s="58">
        <f>(t_Parts[[#This Row],[ha2016.06]]-t_Parts[[#This Row],[hp2016.06]])*t_Parts[[NetPPH]:[NetPPH]]</f>
        <v>548873.36538461549</v>
      </c>
      <c r="FQ60" s="58">
        <f>(t_Parts[[#This Row],[ha2016.07]]-t_Parts[[#This Row],[hp2016.07]])*t_Parts[[NetPPH]:[NetPPH]]</f>
        <v>437778.69230769237</v>
      </c>
      <c r="FR60" s="58">
        <f>(t_Parts[[#This Row],[ha2016.08]]-t_Parts[[#This Row],[hp2016.08]])*t_Parts[[NetPPH]:[NetPPH]]</f>
        <v>437778.69230769237</v>
      </c>
      <c r="FS60" s="58">
        <f>(t_Parts[[#This Row],[ha2016.09]]-t_Parts[[#This Row],[hp2016.09]])*t_Parts[[NetPPH]:[NetPPH]]</f>
        <v>548873.36538461549</v>
      </c>
      <c r="FT60" s="58">
        <f>(t_Parts[[#This Row],[ha2016.10]]-t_Parts[[#This Row],[hp2016.10]])*t_Parts[[NetPPH]:[NetPPH]]</f>
        <v>437778.69230769237</v>
      </c>
      <c r="FU60" s="58">
        <f>(t_Parts[[#This Row],[ha2016.11]]-t_Parts[[#This Row],[hp2016.11]])*t_Parts[[NetPPH]:[NetPPH]]</f>
        <v>437778.69230769237</v>
      </c>
      <c r="FV60" s="58">
        <f>(t_Parts[[#This Row],[ha2016.12]]-t_Parts[[#This Row],[hp2016.12]])*t_Parts[[NetPPH]:[NetPPH]]</f>
        <v>548873.36538461549</v>
      </c>
      <c r="FW60" s="58">
        <f>(t_Parts[[#This Row],[ha2016.FY]]-t_Parts[[#This Row],[hp2016.FY]])*t_Parts[[NetPPH]:[NetPPH]]</f>
        <v>5697723.0000000009</v>
      </c>
      <c r="FX60" s="58">
        <f>(t_Parts[[#This Row],[ha2017]]-t_Parts[[#This Row],[hp2017]])*t_Parts[[NetPPH]:[NetPPH]]</f>
        <v>5697723.0000000009</v>
      </c>
      <c r="FY60" s="58">
        <f>(t_Parts[[#This Row],[ha2018]]-t_Parts[[#This Row],[hp2018]])*t_Parts[[NetPPH]:[NetPPH]]</f>
        <v>5697723.0000000009</v>
      </c>
      <c r="FZ60" s="58">
        <f>(t_Parts[[#This Row],[ha2019]]-t_Parts[[#This Row],[hp2019]])*t_Parts[[NetPPH]:[NetPPH]]</f>
        <v>5697723.0000000009</v>
      </c>
    </row>
    <row r="61" spans="1:182" s="14" customFormat="1" x14ac:dyDescent="0.25">
      <c r="A61" s="74">
        <v>97054</v>
      </c>
      <c r="B61" s="74"/>
      <c r="C61" s="74">
        <v>21013</v>
      </c>
      <c r="D61" s="75">
        <v>1</v>
      </c>
      <c r="E61" s="73">
        <v>2700</v>
      </c>
      <c r="F61" s="76">
        <v>1</v>
      </c>
      <c r="G61" s="77">
        <v>4</v>
      </c>
      <c r="H61" s="16">
        <v>2015.01</v>
      </c>
      <c r="I61" s="16" t="s">
        <v>83</v>
      </c>
      <c r="J61" s="73">
        <v>114523</v>
      </c>
      <c r="K61" s="73">
        <v>114523</v>
      </c>
      <c r="L61" s="73">
        <v>114523</v>
      </c>
      <c r="M61" s="73">
        <v>114523</v>
      </c>
      <c r="N61" s="73">
        <v>114523</v>
      </c>
      <c r="O61" s="78">
        <v>33</v>
      </c>
      <c r="P61" s="78">
        <v>57</v>
      </c>
      <c r="Q61" s="79">
        <v>20.934999999999999</v>
      </c>
      <c r="R61" s="79"/>
      <c r="S61" s="78">
        <v>63</v>
      </c>
      <c r="T61" s="80">
        <v>13</v>
      </c>
      <c r="U61" s="80" t="s">
        <v>121</v>
      </c>
      <c r="V61" s="81" t="s">
        <v>607</v>
      </c>
      <c r="W61" s="82">
        <v>0.61399999999999999</v>
      </c>
      <c r="X61" s="82" t="s">
        <v>608</v>
      </c>
      <c r="Y61" s="82"/>
      <c r="Z61" s="82"/>
      <c r="AA61" s="82"/>
      <c r="AB61" s="82"/>
      <c r="AC61" s="83" t="s">
        <v>667</v>
      </c>
      <c r="AD61" s="40" t="str">
        <f>VLOOKUP(t_Parts[[#This Row],[Press]],t_Presses[],Press!B$1,FALSE)</f>
        <v>Plainfield</v>
      </c>
      <c r="AE61" s="40" t="str">
        <f>VLOOKUP(t_Parts[[#This Row],[Press]],t_Presses[],Press!E$1,FALSE)</f>
        <v>0-299</v>
      </c>
      <c r="AF61" s="47">
        <f>VLOOKUP(t_Parts[[#This Row],[Plant]],t_Plants[],Plants!C$1,FALSE)</f>
        <v>0.55000000000000004</v>
      </c>
      <c r="AG61" s="47">
        <f>VLOOKUP(t_Parts[[#This Row],[Press]],t_Presses[],Press!F$1,FALSE)</f>
        <v>0</v>
      </c>
      <c r="AH61" s="84"/>
      <c r="AI61" s="47">
        <f>IF(ISBLANK(t_Parts[[#This Row],[PartOEE]])=FALSE,t_Parts[[#This Row],[PartOEE]], IF(t_Parts[[#This Row],[PressOEE]]&gt;0, t_Parts[[#This Row],[PressOEE]], t_Parts[[#This Row],[PlantOEE]] ))</f>
        <v>0.55000000000000004</v>
      </c>
      <c r="AJ61" s="70">
        <f>t_Parts[[#This Row],[SetupsPerMo]]*t_Parts[[#This Row],[SetupHrs]]</f>
        <v>4</v>
      </c>
      <c r="AK61" s="39">
        <f>(t_Parts[[#This Row],[PartsPerStroke]]*t_Parts[[#This Row],[StrokesPerHr]])*t_Parts[[#This Row],[UseOEE]]</f>
        <v>1485.0000000000002</v>
      </c>
      <c r="AL6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8809.461538461539</v>
      </c>
      <c r="AM6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8809.461538461539</v>
      </c>
      <c r="AN6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11011.826923076924</v>
      </c>
      <c r="AO6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8809.461538461539</v>
      </c>
      <c r="AP6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8809.461538461539</v>
      </c>
      <c r="AQ6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11011.826923076924</v>
      </c>
      <c r="AR6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8809.461538461539</v>
      </c>
      <c r="AS6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8809.461538461539</v>
      </c>
      <c r="AT6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11011.826923076924</v>
      </c>
      <c r="AU6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8809.461538461539</v>
      </c>
      <c r="AV6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8809.461538461539</v>
      </c>
      <c r="AW6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11011.826923076924</v>
      </c>
      <c r="AX61" s="39">
        <f>SUM(t_Parts[[#This Row],[pv2015.01]:[pv2015.12]])</f>
        <v>114522.99999999999</v>
      </c>
      <c r="AY6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8809.461538461539</v>
      </c>
      <c r="AZ6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8809.461538461539</v>
      </c>
      <c r="BA6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11011.826923076924</v>
      </c>
      <c r="BB6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8809.461538461539</v>
      </c>
      <c r="BC6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8809.461538461539</v>
      </c>
      <c r="BD6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11011.826923076924</v>
      </c>
      <c r="BE6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8809.461538461539</v>
      </c>
      <c r="BF6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8809.461538461539</v>
      </c>
      <c r="BG6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11011.826923076924</v>
      </c>
      <c r="BH6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8809.461538461539</v>
      </c>
      <c r="BI6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8809.461538461539</v>
      </c>
      <c r="BJ6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11011.826923076924</v>
      </c>
      <c r="BK61" s="39">
        <f>SUM(t_Parts[[#This Row],[pv2016.01]:[pv2016.12]])</f>
        <v>114522.99999999999</v>
      </c>
      <c r="BL61" s="39">
        <f>t_Parts[[#This Row],[2017vol]]</f>
        <v>114523</v>
      </c>
      <c r="BM61" s="39">
        <f>t_Parts[[#This Row],[2018vol]]</f>
        <v>114523</v>
      </c>
      <c r="BN61" s="39">
        <f>t_Parts[[#This Row],[2019vol]]</f>
        <v>114523</v>
      </c>
      <c r="BO61" s="40">
        <f>VLOOKUP(t_Parts[[Plant]:[Plant]],t_Plants[],Plants!CN$1,FALSE)</f>
        <v>280</v>
      </c>
      <c r="BP61" s="14">
        <f>VLOOKUP(t_Parts[[Plant]:[Plant]],t_Plants[],Plants!CO$1,FALSE)</f>
        <v>280</v>
      </c>
      <c r="BQ61" s="14">
        <f>VLOOKUP(t_Parts[[Plant]:[Plant]],t_Plants[],Plants!CP$1,FALSE)</f>
        <v>350</v>
      </c>
      <c r="BR61" s="14">
        <f>VLOOKUP(t_Parts[[Plant]:[Plant]],t_Plants[],Plants!CQ$1,FALSE)</f>
        <v>280</v>
      </c>
      <c r="BS61" s="14">
        <f>VLOOKUP(t_Parts[[Plant]:[Plant]],t_Plants[],Plants!CR$1,FALSE)</f>
        <v>280</v>
      </c>
      <c r="BT61" s="14">
        <f>VLOOKUP(t_Parts[[Plant]:[Plant]],t_Plants[],Plants!CS$1,FALSE)</f>
        <v>350</v>
      </c>
      <c r="BU61" s="14">
        <f>VLOOKUP(t_Parts[[Plant]:[Plant]],t_Plants[],Plants!CT$1,FALSE)</f>
        <v>280</v>
      </c>
      <c r="BV61" s="14">
        <f>VLOOKUP(t_Parts[[Plant]:[Plant]],t_Plants[],Plants!CU$1,FALSE)</f>
        <v>280</v>
      </c>
      <c r="BW61" s="14">
        <f>VLOOKUP(t_Parts[[Plant]:[Plant]],t_Plants[],Plants!CV$1,FALSE)</f>
        <v>350</v>
      </c>
      <c r="BX61" s="14">
        <f>VLOOKUP(t_Parts[[Plant]:[Plant]],t_Plants[],Plants!CW$1,FALSE)</f>
        <v>280</v>
      </c>
      <c r="BY61" s="14">
        <f>VLOOKUP(t_Parts[[Plant]:[Plant]],t_Plants[],Plants!CX$1,FALSE)</f>
        <v>280</v>
      </c>
      <c r="BZ61" s="14">
        <f>VLOOKUP(t_Parts[[Plant]:[Plant]],t_Plants[],Plants!CY$1,FALSE)</f>
        <v>350</v>
      </c>
      <c r="CA61" s="40">
        <f>SUM(t_Parts[[#This Row],[ha2015.01]:[ha2015.12]])</f>
        <v>3640</v>
      </c>
      <c r="CB61" s="14">
        <f>VLOOKUP(t_Parts[[Plant]:[Plant]],t_Plants[],Plants!DA$1,FALSE)</f>
        <v>280</v>
      </c>
      <c r="CC61" s="14">
        <f>VLOOKUP(t_Parts[[Plant]:[Plant]],t_Plants[],Plants!DB$1,FALSE)</f>
        <v>280</v>
      </c>
      <c r="CD61" s="14">
        <f>VLOOKUP(t_Parts[[Plant]:[Plant]],t_Plants[],Plants!DC$1,FALSE)</f>
        <v>350</v>
      </c>
      <c r="CE61" s="14">
        <f>VLOOKUP(t_Parts[[Plant]:[Plant]],t_Plants[],Plants!DD$1,FALSE)</f>
        <v>280</v>
      </c>
      <c r="CF61" s="14">
        <f>VLOOKUP(t_Parts[[Plant]:[Plant]],t_Plants[],Plants!DE$1,FALSE)</f>
        <v>280</v>
      </c>
      <c r="CG61" s="14">
        <f>VLOOKUP(t_Parts[[Plant]:[Plant]],t_Plants[],Plants!DF$1,FALSE)</f>
        <v>350</v>
      </c>
      <c r="CH61" s="14">
        <f>VLOOKUP(t_Parts[[Plant]:[Plant]],t_Plants[],Plants!DG$1,FALSE)</f>
        <v>280</v>
      </c>
      <c r="CI61" s="14">
        <f>VLOOKUP(t_Parts[[Plant]:[Plant]],t_Plants[],Plants!DH$1,FALSE)</f>
        <v>280</v>
      </c>
      <c r="CJ61" s="14">
        <f>VLOOKUP(t_Parts[[Plant]:[Plant]],t_Plants[],Plants!DI$1,FALSE)</f>
        <v>350</v>
      </c>
      <c r="CK61" s="14">
        <f>VLOOKUP(t_Parts[[Plant]:[Plant]],t_Plants[],Plants!DJ$1,FALSE)</f>
        <v>280</v>
      </c>
      <c r="CL61" s="14">
        <f>VLOOKUP(t_Parts[[Plant]:[Plant]],t_Plants[],Plants!DK$1,FALSE)</f>
        <v>280</v>
      </c>
      <c r="CM61" s="14">
        <f>VLOOKUP(t_Parts[[Plant]:[Plant]],t_Plants[],Plants!DL$1,FALSE)</f>
        <v>350</v>
      </c>
      <c r="CN61" s="14">
        <f>VLOOKUP(t_Parts[[Plant]:[Plant]],t_Plants[],Plants!DM$1,FALSE)</f>
        <v>3640</v>
      </c>
      <c r="CO61" s="14">
        <f>VLOOKUP(t_Parts[[Plant]:[Plant]],t_Plants[],Plants!DN$1,FALSE)</f>
        <v>3640</v>
      </c>
      <c r="CP61" s="14">
        <f>VLOOKUP(t_Parts[[Plant]:[Plant]],t_Plants[],Plants!DO$1,FALSE)</f>
        <v>3640</v>
      </c>
      <c r="CQ61" s="14">
        <f>VLOOKUP(t_Parts[[Plant]:[Plant]],t_Plants[],Plants!DP$1,FALSE)</f>
        <v>3640</v>
      </c>
      <c r="CR61" s="39">
        <f>IF(AND(AL$3&gt;=VALUE(t_Parts[[SOP]:[SOP]]),AL$3&lt;=VALUE(t_Parts[[EOP]:[EOP]])), t_Parts[[SetupHrsPerMo]:[SetupHrsPerMo]]+(t_Parts[[#This Row],[pv2015.01]]/t_Parts[[NetPPH]:[NetPPH]]),0)</f>
        <v>9.9322973322973311</v>
      </c>
      <c r="CS61" s="39">
        <f>IF(AND(AM$3&gt;=VALUE(t_Parts[[SOP]:[SOP]]),AM$3&lt;=VALUE(t_Parts[[EOP]:[EOP]])), t_Parts[[SetupHrsPerMo]:[SetupHrsPerMo]]+(t_Parts[[#This Row],[pv2015.02]]/t_Parts[[NetPPH]:[NetPPH]]),0)</f>
        <v>9.9322973322973311</v>
      </c>
      <c r="CT61" s="39">
        <f>IF(AND(AN$3&gt;=VALUE(t_Parts[[SOP]:[SOP]]),AN$3&lt;=VALUE(t_Parts[[EOP]:[EOP]])), t_Parts[[SetupHrsPerMo]:[SetupHrsPerMo]]+(t_Parts[[#This Row],[pv2015.03]]/t_Parts[[NetPPH]:[NetPPH]]),0)</f>
        <v>11.415371665371666</v>
      </c>
      <c r="CU61" s="39">
        <f>IF(AND(AO$3&gt;=VALUE(t_Parts[[SOP]:[SOP]]),AO$3&lt;=VALUE(t_Parts[[EOP]:[EOP]])), t_Parts[[SetupHrsPerMo]:[SetupHrsPerMo]]+(t_Parts[[#This Row],[pv2015.04]]/t_Parts[[NetPPH]:[NetPPH]]),0)</f>
        <v>9.9322973322973311</v>
      </c>
      <c r="CV61" s="39">
        <f>IF(AND(AP$3&gt;=VALUE(t_Parts[[SOP]:[SOP]]),AP$3&lt;=VALUE(t_Parts[[EOP]:[EOP]])), t_Parts[[SetupHrsPerMo]:[SetupHrsPerMo]]+(t_Parts[[#This Row],[pv2015.05]]/t_Parts[[NetPPH]:[NetPPH]]),0)</f>
        <v>9.9322973322973311</v>
      </c>
      <c r="CW61" s="39">
        <f>IF(AND(AQ$3&gt;=VALUE(t_Parts[[SOP]:[SOP]]),AQ$3&lt;=VALUE(t_Parts[[EOP]:[EOP]])), t_Parts[[SetupHrsPerMo]:[SetupHrsPerMo]]+(t_Parts[[#This Row],[pv2015.06]]/t_Parts[[NetPPH]:[NetPPH]]),0)</f>
        <v>11.415371665371666</v>
      </c>
      <c r="CX61" s="39">
        <f>IF(AND(AR$3&gt;=VALUE(t_Parts[[SOP]:[SOP]]),AR$3&lt;=VALUE(t_Parts[[EOP]:[EOP]])), t_Parts[[SetupHrsPerMo]:[SetupHrsPerMo]]+(t_Parts[[#This Row],[pv2015.07]]/t_Parts[[NetPPH]:[NetPPH]]),0)</f>
        <v>9.9322973322973311</v>
      </c>
      <c r="CY61" s="39">
        <f>IF(AND(AS$3&gt;=VALUE(t_Parts[[SOP]:[SOP]]),AS$3&lt;=VALUE(t_Parts[[EOP]:[EOP]])), t_Parts[[SetupHrsPerMo]:[SetupHrsPerMo]]+(t_Parts[[#This Row],[pv2015.08]]/t_Parts[[NetPPH]:[NetPPH]]),0)</f>
        <v>9.9322973322973311</v>
      </c>
      <c r="CZ61" s="39">
        <f>IF(AND(AT$3&gt;=VALUE(t_Parts[[SOP]:[SOP]]),AT$3&lt;=VALUE(t_Parts[[EOP]:[EOP]])), t_Parts[[SetupHrsPerMo]:[SetupHrsPerMo]]+(t_Parts[[#This Row],[pv2015.09]]/t_Parts[[NetPPH]:[NetPPH]]),0)</f>
        <v>11.415371665371666</v>
      </c>
      <c r="DA61" s="39">
        <f>IF(AND(AU$3&gt;=VALUE(t_Parts[[SOP]:[SOP]]),AU$3&lt;=VALUE(t_Parts[[EOP]:[EOP]])), t_Parts[[SetupHrsPerMo]:[SetupHrsPerMo]]+(t_Parts[[#This Row],[pv2015.10]]/t_Parts[[NetPPH]:[NetPPH]]),0)</f>
        <v>9.9322973322973311</v>
      </c>
      <c r="DB61" s="39">
        <f>IF(AND(AV$3&gt;=VALUE(t_Parts[[SOP]:[SOP]]),AV$3&lt;=VALUE(t_Parts[[EOP]:[EOP]])), t_Parts[[SetupHrsPerMo]:[SetupHrsPerMo]]+(t_Parts[[#This Row],[pv2015.11]]/t_Parts[[NetPPH]:[NetPPH]]),0)</f>
        <v>9.9322973322973311</v>
      </c>
      <c r="DC61" s="39">
        <f>IF(AND(AW$3&gt;=VALUE(t_Parts[[SOP]:[SOP]]),AW$3&lt;=VALUE(t_Parts[[EOP]:[EOP]])), t_Parts[[SetupHrsPerMo]:[SetupHrsPerMo]]+(t_Parts[[#This Row],[pv2015.12]]/t_Parts[[NetPPH]:[NetPPH]]),0)</f>
        <v>11.415371665371666</v>
      </c>
      <c r="DD61" s="39">
        <f>SUM(t_Parts[[#This Row],[hp2015.01]:[hp2015.12]])</f>
        <v>125.11986531986533</v>
      </c>
      <c r="DE61" s="39">
        <f>IF(AND(AY$3&gt;=VALUE(t_Parts[[SOP]:[SOP]]),AY$3&lt;=VALUE(t_Parts[[EOP]:[EOP]])), t_Parts[[SetupHrsPerMo]:[SetupHrsPerMo]]+(t_Parts[[#This Row],[pv2016.01]]/t_Parts[[NetPPH]:[NetPPH]]),0)</f>
        <v>9.9322973322973311</v>
      </c>
      <c r="DF61" s="39">
        <f>IF(AND(AZ$3&gt;=VALUE(t_Parts[[SOP]:[SOP]]),AZ$3&lt;=VALUE(t_Parts[[EOP]:[EOP]])), t_Parts[[SetupHrsPerMo]:[SetupHrsPerMo]]+(t_Parts[[#This Row],[pv2016.02]]/t_Parts[[NetPPH]:[NetPPH]]),0)</f>
        <v>9.9322973322973311</v>
      </c>
      <c r="DG61" s="39">
        <f>IF(AND(BA$3&gt;=VALUE(t_Parts[[SOP]:[SOP]]),BA$3&lt;=VALUE(t_Parts[[EOP]:[EOP]])), t_Parts[[SetupHrsPerMo]:[SetupHrsPerMo]]+(t_Parts[[#This Row],[pv2016.03]]/t_Parts[[NetPPH]:[NetPPH]]),0)</f>
        <v>11.415371665371666</v>
      </c>
      <c r="DH61" s="39">
        <f>IF(AND(BB$3&gt;=VALUE(t_Parts[[SOP]:[SOP]]),BB$3&lt;=VALUE(t_Parts[[EOP]:[EOP]])), t_Parts[[SetupHrsPerMo]:[SetupHrsPerMo]]+(t_Parts[[#This Row],[pv2016.04]]/t_Parts[[NetPPH]:[NetPPH]]),0)</f>
        <v>9.9322973322973311</v>
      </c>
      <c r="DI61" s="39">
        <f>IF(AND(BC$3&gt;=VALUE(t_Parts[[SOP]:[SOP]]),BC$3&lt;=VALUE(t_Parts[[EOP]:[EOP]])), t_Parts[[SetupHrsPerMo]:[SetupHrsPerMo]]+(t_Parts[[#This Row],[pv2016.05]]/t_Parts[[NetPPH]:[NetPPH]]),0)</f>
        <v>9.9322973322973311</v>
      </c>
      <c r="DJ61" s="39">
        <f>IF(AND(BD$3&gt;=VALUE(t_Parts[[SOP]:[SOP]]),BD$3&lt;=VALUE(t_Parts[[EOP]:[EOP]])), t_Parts[[SetupHrsPerMo]:[SetupHrsPerMo]]+(t_Parts[[#This Row],[pv2016.06]]/t_Parts[[NetPPH]:[NetPPH]]),0)</f>
        <v>11.415371665371666</v>
      </c>
      <c r="DK61" s="39">
        <f>IF(AND(BE$3&gt;=VALUE(t_Parts[[SOP]:[SOP]]),BE$3&lt;=VALUE(t_Parts[[EOP]:[EOP]])), t_Parts[[SetupHrsPerMo]:[SetupHrsPerMo]]+(t_Parts[[#This Row],[pv2016.07]]/t_Parts[[NetPPH]:[NetPPH]]),0)</f>
        <v>9.9322973322973311</v>
      </c>
      <c r="DL61" s="39">
        <f>IF(AND(BF$3&gt;=VALUE(t_Parts[[SOP]:[SOP]]),BF$3&lt;=VALUE(t_Parts[[EOP]:[EOP]])), t_Parts[[SetupHrsPerMo]:[SetupHrsPerMo]]+(t_Parts[[#This Row],[pv2016.08]]/t_Parts[[NetPPH]:[NetPPH]]),0)</f>
        <v>9.9322973322973311</v>
      </c>
      <c r="DM61" s="39">
        <f>IF(AND(BG$3&gt;=VALUE(t_Parts[[SOP]:[SOP]]),BG$3&lt;=VALUE(t_Parts[[EOP]:[EOP]])), t_Parts[[SetupHrsPerMo]:[SetupHrsPerMo]]+(t_Parts[[#This Row],[pv2016.09]]/t_Parts[[NetPPH]:[NetPPH]]),0)</f>
        <v>11.415371665371666</v>
      </c>
      <c r="DN61" s="39">
        <f>IF(AND(BH$3&gt;=VALUE(t_Parts[[SOP]:[SOP]]),BH$3&lt;=VALUE(t_Parts[[EOP]:[EOP]])), t_Parts[[SetupHrsPerMo]:[SetupHrsPerMo]]+(t_Parts[[#This Row],[pv2016.10]]/t_Parts[[NetPPH]:[NetPPH]]),0)</f>
        <v>9.9322973322973311</v>
      </c>
      <c r="DO61" s="39">
        <f>IF(AND(BI$3&gt;=VALUE(t_Parts[[SOP]:[SOP]]),BI$3&lt;=VALUE(t_Parts[[EOP]:[EOP]])), t_Parts[[SetupHrsPerMo]:[SetupHrsPerMo]]+(t_Parts[[#This Row],[pv2016.11]]/t_Parts[[NetPPH]:[NetPPH]]),0)</f>
        <v>9.9322973322973311</v>
      </c>
      <c r="DP61" s="39">
        <f>IF(AND(BJ$3&gt;=VALUE(t_Parts[[SOP]:[SOP]]),BJ$3&lt;=VALUE(t_Parts[[EOP]:[EOP]])), t_Parts[[SetupHrsPerMo]:[SetupHrsPerMo]]+(t_Parts[[#This Row],[pv2016.12]]/t_Parts[[NetPPH]:[NetPPH]]),0)</f>
        <v>11.415371665371666</v>
      </c>
      <c r="DQ61" s="39">
        <f>SUM(t_Parts[[#This Row],[hp2016.01]:[hp2016.12]])</f>
        <v>125.11986531986533</v>
      </c>
      <c r="DR61" s="39">
        <f>IF(AND(BL$3&gt;=VALUE(t_Parts[[SOP]:[SOP]]),BL$3&lt;=VALUE(t_Parts[[EOP]:[EOP]])), 12*t_Parts[[SetupHrsPerMo]:[SetupHrsPerMo]]+(t_Parts[[#This Row],[pv2017]]/t_Parts[[NetPPH]:[NetPPH]]),0)</f>
        <v>125.11986531986531</v>
      </c>
      <c r="DS61" s="39">
        <f>IF(AND(BM$3&gt;=VALUE(t_Parts[[SOP]:[SOP]]),BM$3&lt;=VALUE(t_Parts[[EOP]:[EOP]])), 12*t_Parts[[SetupHrsPerMo]:[SetupHrsPerMo]]+(t_Parts[[#This Row],[pv2018]]/t_Parts[[NetPPH]:[NetPPH]]),0)</f>
        <v>125.11986531986531</v>
      </c>
      <c r="DT61" s="39">
        <f>IF(AND(BN$3&gt;=VALUE(t_Parts[[SOP]:[SOP]]),BN$3&lt;=VALUE(t_Parts[[EOP]:[EOP]])), 12*t_Parts[[SetupHrsPerMo]:[SetupHrsPerMo]]+(t_Parts[[#This Row],[pv2019]]/t_Parts[[NetPPH]:[NetPPH]]),0)</f>
        <v>125.11986531986531</v>
      </c>
      <c r="DU61" s="47">
        <f>t_Parts[[#This Row],[hp2015.01]]/t_Parts[[#This Row],[ha2015.01]]</f>
        <v>3.5472490472490466E-2</v>
      </c>
      <c r="DV61" s="47">
        <f>t_Parts[[#This Row],[hp2015.02]]/t_Parts[[#This Row],[ha2015.02]]</f>
        <v>3.5472490472490466E-2</v>
      </c>
      <c r="DW61" s="47">
        <f>t_Parts[[#This Row],[hp2015.03]]/t_Parts[[#This Row],[ha2015.03]]</f>
        <v>3.2615347615347616E-2</v>
      </c>
      <c r="DX61" s="47">
        <f>t_Parts[[#This Row],[hp2015.04]]/t_Parts[[#This Row],[ha2015.04]]</f>
        <v>3.5472490472490466E-2</v>
      </c>
      <c r="DY61" s="47">
        <f>t_Parts[[#This Row],[hp2015.05]]/t_Parts[[#This Row],[ha2015.05]]</f>
        <v>3.5472490472490466E-2</v>
      </c>
      <c r="DZ61" s="47">
        <f>t_Parts[[#This Row],[hp2015.06]]/t_Parts[[#This Row],[ha2015.06]]</f>
        <v>3.2615347615347616E-2</v>
      </c>
      <c r="EA61" s="47">
        <f>t_Parts[[#This Row],[hp2015.07]]/t_Parts[[#This Row],[ha2015.07]]</f>
        <v>3.5472490472490466E-2</v>
      </c>
      <c r="EB61" s="47">
        <f>t_Parts[[#This Row],[hp2015.08]]/t_Parts[[#This Row],[ha2015.08]]</f>
        <v>3.5472490472490466E-2</v>
      </c>
      <c r="EC61" s="47">
        <f>t_Parts[[#This Row],[hp2015.09]]/t_Parts[[#This Row],[ha2015.09]]</f>
        <v>3.2615347615347616E-2</v>
      </c>
      <c r="ED61" s="47">
        <f>t_Parts[[#This Row],[hp2015.10]]/t_Parts[[#This Row],[ha2015.10]]</f>
        <v>3.5472490472490466E-2</v>
      </c>
      <c r="EE61" s="47">
        <f>t_Parts[[#This Row],[hp2015.11]]/t_Parts[[#This Row],[ha2015.11]]</f>
        <v>3.5472490472490466E-2</v>
      </c>
      <c r="EF61" s="47">
        <f>t_Parts[[#This Row],[hp2015.12]]/t_Parts[[#This Row],[ha2015.12]]</f>
        <v>3.2615347615347616E-2</v>
      </c>
      <c r="EG61" s="47">
        <f>t_Parts[[#This Row],[hp2015.FY]]/t_Parts[[#This Row],[ha2015.FY]]</f>
        <v>3.4373589373589378E-2</v>
      </c>
      <c r="EH61" s="47">
        <f>t_Parts[[#This Row],[hp2016.01]]/t_Parts[[#This Row],[ha2016.01]]</f>
        <v>3.5472490472490466E-2</v>
      </c>
      <c r="EI61" s="47">
        <f>t_Parts[[#This Row],[hp2016.02]]/t_Parts[[#This Row],[ha2016.02]]</f>
        <v>3.5472490472490466E-2</v>
      </c>
      <c r="EJ61" s="47">
        <f>t_Parts[[#This Row],[hp2016.03]]/t_Parts[[#This Row],[ha2016.03]]</f>
        <v>3.2615347615347616E-2</v>
      </c>
      <c r="EK61" s="47">
        <f>t_Parts[[#This Row],[hp2016.04]]/t_Parts[[#This Row],[ha2016.04]]</f>
        <v>3.5472490472490466E-2</v>
      </c>
      <c r="EL61" s="47">
        <f>t_Parts[[#This Row],[hp2016.05]]/t_Parts[[#This Row],[ha2016.05]]</f>
        <v>3.5472490472490466E-2</v>
      </c>
      <c r="EM61" s="47">
        <f>t_Parts[[#This Row],[hp2016.06]]/t_Parts[[#This Row],[ha2016.06]]</f>
        <v>3.2615347615347616E-2</v>
      </c>
      <c r="EN61" s="47">
        <f>t_Parts[[#This Row],[hp2016.07]]/t_Parts[[#This Row],[ha2016.07]]</f>
        <v>3.5472490472490466E-2</v>
      </c>
      <c r="EO61" s="47">
        <f>t_Parts[[#This Row],[hp2016.08]]/t_Parts[[#This Row],[ha2016.08]]</f>
        <v>3.5472490472490466E-2</v>
      </c>
      <c r="EP61" s="47">
        <f>t_Parts[[#This Row],[hp2016.09]]/t_Parts[[#This Row],[ha2016.09]]</f>
        <v>3.2615347615347616E-2</v>
      </c>
      <c r="EQ61" s="47">
        <f>t_Parts[[#This Row],[hp2016.10]]/t_Parts[[#This Row],[ha2016.10]]</f>
        <v>3.5472490472490466E-2</v>
      </c>
      <c r="ER61" s="47">
        <f>t_Parts[[#This Row],[hp2016.11]]/t_Parts[[#This Row],[ha2016.11]]</f>
        <v>3.5472490472490466E-2</v>
      </c>
      <c r="ES61" s="47">
        <f>t_Parts[[#This Row],[hp2016.12]]/t_Parts[[#This Row],[ha2016.12]]</f>
        <v>3.2615347615347616E-2</v>
      </c>
      <c r="ET61" s="47">
        <f>t_Parts[[#This Row],[hp2016.FY]]/t_Parts[[#This Row],[ha2016.FY]]</f>
        <v>3.4373589373589378E-2</v>
      </c>
      <c r="EU61" s="47">
        <f>t_Parts[[#This Row],[hp2017]]/t_Parts[[#This Row],[ha2017]]</f>
        <v>3.4373589373589371E-2</v>
      </c>
      <c r="EV61" s="47">
        <f>t_Parts[[#This Row],[hp2018]]/t_Parts[[#This Row],[ha2018]]</f>
        <v>3.4373589373589371E-2</v>
      </c>
      <c r="EW61" s="47">
        <f>t_Parts[[#This Row],[hp2019]]/t_Parts[[#This Row],[hp2015.01]]</f>
        <v>12.597273433710749</v>
      </c>
      <c r="EX61" s="58">
        <f>(t_Parts[[#This Row],[ha2015.01]]-t_Parts[[#This Row],[hp2015.01]])*t_Parts[[NetPPH]:[NetPPH]]</f>
        <v>401050.53846153856</v>
      </c>
      <c r="EY61" s="58">
        <f>(t_Parts[[#This Row],[ha2015.02]]-t_Parts[[#This Row],[hp2015.02]])*t_Parts[[NetPPH]:[NetPPH]]</f>
        <v>401050.53846153856</v>
      </c>
      <c r="EZ61" s="58">
        <f>(t_Parts[[#This Row],[ha2015.03]]-t_Parts[[#This Row],[hp2015.03]])*t_Parts[[NetPPH]:[NetPPH]]</f>
        <v>502798.17307692318</v>
      </c>
      <c r="FA61" s="58">
        <f>(t_Parts[[#This Row],[ha2015.04]]-t_Parts[[#This Row],[hp2015.04]])*t_Parts[[NetPPH]:[NetPPH]]</f>
        <v>401050.53846153856</v>
      </c>
      <c r="FB61" s="58">
        <f>(t_Parts[[#This Row],[ha2015.05]]-t_Parts[[#This Row],[hp2015.05]])*t_Parts[[NetPPH]:[NetPPH]]</f>
        <v>401050.53846153856</v>
      </c>
      <c r="FC61" s="58">
        <f>(t_Parts[[#This Row],[ha2015.06]]-t_Parts[[#This Row],[hp2015.06]])*t_Parts[[NetPPH]:[NetPPH]]</f>
        <v>502798.17307692318</v>
      </c>
      <c r="FD61" s="58">
        <f>(t_Parts[[#This Row],[ha2015.07]]-t_Parts[[#This Row],[hp2015.07]])*t_Parts[[NetPPH]:[NetPPH]]</f>
        <v>401050.53846153856</v>
      </c>
      <c r="FE61" s="58">
        <f>(t_Parts[[#This Row],[ha2015.08]]-t_Parts[[#This Row],[hp2015.08]])*t_Parts[[NetPPH]:[NetPPH]]</f>
        <v>401050.53846153856</v>
      </c>
      <c r="FF61" s="58">
        <f>(t_Parts[[#This Row],[ha2015.09]]-t_Parts[[#This Row],[hp2015.09]])*t_Parts[[NetPPH]:[NetPPH]]</f>
        <v>502798.17307692318</v>
      </c>
      <c r="FG61" s="58">
        <f>(t_Parts[[#This Row],[ha2015.10]]-t_Parts[[#This Row],[hp2015.10]])*t_Parts[[NetPPH]:[NetPPH]]</f>
        <v>401050.53846153856</v>
      </c>
      <c r="FH61" s="58">
        <f>(t_Parts[[#This Row],[ha2015.11]]-t_Parts[[#This Row],[hp2015.11]])*t_Parts[[NetPPH]:[NetPPH]]</f>
        <v>401050.53846153856</v>
      </c>
      <c r="FI61" s="58">
        <f>(t_Parts[[#This Row],[ha2015.12]]-t_Parts[[#This Row],[hp2015.12]])*t_Parts[[NetPPH]:[NetPPH]]</f>
        <v>502798.17307692318</v>
      </c>
      <c r="FJ61" s="58">
        <f>(t_Parts[[#This Row],[ha2015.FY]]-t_Parts[[#This Row],[hp2015.FY]])*t_Parts[[NetPPH]:[NetPPH]]</f>
        <v>5219597.0000000009</v>
      </c>
      <c r="FK61" s="58">
        <f>(t_Parts[[#This Row],[ha2016.01]]-t_Parts[[#This Row],[hp2016.01]])*t_Parts[[NetPPH]:[NetPPH]]</f>
        <v>401050.53846153856</v>
      </c>
      <c r="FL61" s="58">
        <f>(t_Parts[[#This Row],[ha2016.02]]-t_Parts[[#This Row],[hp2016.02]])*t_Parts[[NetPPH]:[NetPPH]]</f>
        <v>401050.53846153856</v>
      </c>
      <c r="FM61" s="58">
        <f>(t_Parts[[#This Row],[ha2016.03]]-t_Parts[[#This Row],[hp2016.03]])*t_Parts[[NetPPH]:[NetPPH]]</f>
        <v>502798.17307692318</v>
      </c>
      <c r="FN61" s="58">
        <f>(t_Parts[[#This Row],[ha2016.04]]-t_Parts[[#This Row],[hp2016.04]])*t_Parts[[NetPPH]:[NetPPH]]</f>
        <v>401050.53846153856</v>
      </c>
      <c r="FO61" s="58">
        <f>(t_Parts[[#This Row],[ha2016.05]]-t_Parts[[#This Row],[hp2016.05]])*t_Parts[[NetPPH]:[NetPPH]]</f>
        <v>401050.53846153856</v>
      </c>
      <c r="FP61" s="58">
        <f>(t_Parts[[#This Row],[ha2016.06]]-t_Parts[[#This Row],[hp2016.06]])*t_Parts[[NetPPH]:[NetPPH]]</f>
        <v>502798.17307692318</v>
      </c>
      <c r="FQ61" s="58">
        <f>(t_Parts[[#This Row],[ha2016.07]]-t_Parts[[#This Row],[hp2016.07]])*t_Parts[[NetPPH]:[NetPPH]]</f>
        <v>401050.53846153856</v>
      </c>
      <c r="FR61" s="58">
        <f>(t_Parts[[#This Row],[ha2016.08]]-t_Parts[[#This Row],[hp2016.08]])*t_Parts[[NetPPH]:[NetPPH]]</f>
        <v>401050.53846153856</v>
      </c>
      <c r="FS61" s="58">
        <f>(t_Parts[[#This Row],[ha2016.09]]-t_Parts[[#This Row],[hp2016.09]])*t_Parts[[NetPPH]:[NetPPH]]</f>
        <v>502798.17307692318</v>
      </c>
      <c r="FT61" s="58">
        <f>(t_Parts[[#This Row],[ha2016.10]]-t_Parts[[#This Row],[hp2016.10]])*t_Parts[[NetPPH]:[NetPPH]]</f>
        <v>401050.53846153856</v>
      </c>
      <c r="FU61" s="58">
        <f>(t_Parts[[#This Row],[ha2016.11]]-t_Parts[[#This Row],[hp2016.11]])*t_Parts[[NetPPH]:[NetPPH]]</f>
        <v>401050.53846153856</v>
      </c>
      <c r="FV61" s="58">
        <f>(t_Parts[[#This Row],[ha2016.12]]-t_Parts[[#This Row],[hp2016.12]])*t_Parts[[NetPPH]:[NetPPH]]</f>
        <v>502798.17307692318</v>
      </c>
      <c r="FW61" s="58">
        <f>(t_Parts[[#This Row],[ha2016.FY]]-t_Parts[[#This Row],[hp2016.FY]])*t_Parts[[NetPPH]:[NetPPH]]</f>
        <v>5219597.0000000009</v>
      </c>
      <c r="FX61" s="58">
        <f>(t_Parts[[#This Row],[ha2017]]-t_Parts[[#This Row],[hp2017]])*t_Parts[[NetPPH]:[NetPPH]]</f>
        <v>5219597.0000000009</v>
      </c>
      <c r="FY61" s="58">
        <f>(t_Parts[[#This Row],[ha2018]]-t_Parts[[#This Row],[hp2018]])*t_Parts[[NetPPH]:[NetPPH]]</f>
        <v>5219597.0000000009</v>
      </c>
      <c r="FZ61" s="58">
        <f>(t_Parts[[#This Row],[ha2019]]-t_Parts[[#This Row],[hp2019]])*t_Parts[[NetPPH]:[NetPPH]]</f>
        <v>5219597.0000000009</v>
      </c>
    </row>
    <row r="62" spans="1:182" s="14" customFormat="1" x14ac:dyDescent="0.25">
      <c r="A62" s="74">
        <v>97051</v>
      </c>
      <c r="B62" s="74"/>
      <c r="C62" s="74">
        <v>21014</v>
      </c>
      <c r="D62" s="75">
        <v>1</v>
      </c>
      <c r="E62" s="73">
        <v>2700</v>
      </c>
      <c r="F62" s="76">
        <v>1</v>
      </c>
      <c r="G62" s="77">
        <v>4</v>
      </c>
      <c r="H62" s="16">
        <v>2015.01</v>
      </c>
      <c r="I62" s="16" t="s">
        <v>83</v>
      </c>
      <c r="J62" s="73">
        <v>655221</v>
      </c>
      <c r="K62" s="73">
        <v>655221</v>
      </c>
      <c r="L62" s="73">
        <v>655221</v>
      </c>
      <c r="M62" s="73">
        <v>655221</v>
      </c>
      <c r="N62" s="73">
        <v>655221</v>
      </c>
      <c r="O62" s="78">
        <v>28</v>
      </c>
      <c r="P62" s="78">
        <v>51</v>
      </c>
      <c r="Q62" s="79">
        <v>20.995999999999999</v>
      </c>
      <c r="R62" s="79"/>
      <c r="S62" s="78">
        <v>211</v>
      </c>
      <c r="T62" s="80">
        <v>13</v>
      </c>
      <c r="U62" s="80" t="s">
        <v>121</v>
      </c>
      <c r="V62" s="81" t="s">
        <v>663</v>
      </c>
      <c r="W62" s="82">
        <v>0.68</v>
      </c>
      <c r="X62" s="82" t="s">
        <v>608</v>
      </c>
      <c r="Y62" s="82"/>
      <c r="Z62" s="82"/>
      <c r="AA62" s="82"/>
      <c r="AB62" s="82"/>
      <c r="AC62" s="83" t="s">
        <v>667</v>
      </c>
      <c r="AD62" s="40" t="str">
        <f>VLOOKUP(t_Parts[[#This Row],[Press]],t_Presses[],Press!B$1,FALSE)</f>
        <v>Plainfield</v>
      </c>
      <c r="AE62" s="40" t="str">
        <f>VLOOKUP(t_Parts[[#This Row],[Press]],t_Presses[],Press!E$1,FALSE)</f>
        <v>300-599</v>
      </c>
      <c r="AF62" s="47">
        <f>VLOOKUP(t_Parts[[#This Row],[Plant]],t_Plants[],Plants!C$1,FALSE)</f>
        <v>0.55000000000000004</v>
      </c>
      <c r="AG62" s="47">
        <f>VLOOKUP(t_Parts[[#This Row],[Press]],t_Presses[],Press!F$1,FALSE)</f>
        <v>0</v>
      </c>
      <c r="AH62" s="84"/>
      <c r="AI62" s="47">
        <f>IF(ISBLANK(t_Parts[[#This Row],[PartOEE]])=FALSE,t_Parts[[#This Row],[PartOEE]], IF(t_Parts[[#This Row],[PressOEE]]&gt;0, t_Parts[[#This Row],[PressOEE]], t_Parts[[#This Row],[PlantOEE]] ))</f>
        <v>0.55000000000000004</v>
      </c>
      <c r="AJ62" s="70">
        <f>t_Parts[[#This Row],[SetupsPerMo]]*t_Parts[[#This Row],[SetupHrs]]</f>
        <v>4</v>
      </c>
      <c r="AK62" s="39">
        <f>(t_Parts[[#This Row],[PartsPerStroke]]*t_Parts[[#This Row],[StrokesPerHr]])*t_Parts[[#This Row],[UseOEE]]</f>
        <v>1485.0000000000002</v>
      </c>
      <c r="AL6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50401.61538461539</v>
      </c>
      <c r="AM6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50401.61538461539</v>
      </c>
      <c r="AN6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63002.019230769234</v>
      </c>
      <c r="AO6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50401.61538461539</v>
      </c>
      <c r="AP6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50401.61538461539</v>
      </c>
      <c r="AQ6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63002.019230769234</v>
      </c>
      <c r="AR6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50401.61538461539</v>
      </c>
      <c r="AS6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50401.61538461539</v>
      </c>
      <c r="AT6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63002.019230769234</v>
      </c>
      <c r="AU6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50401.61538461539</v>
      </c>
      <c r="AV6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50401.61538461539</v>
      </c>
      <c r="AW6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63002.019230769234</v>
      </c>
      <c r="AX62" s="39">
        <f>SUM(t_Parts[[#This Row],[pv2015.01]:[pv2015.12]])</f>
        <v>655221</v>
      </c>
      <c r="AY6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50401.61538461539</v>
      </c>
      <c r="AZ6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50401.61538461539</v>
      </c>
      <c r="BA6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63002.019230769234</v>
      </c>
      <c r="BB6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50401.61538461539</v>
      </c>
      <c r="BC6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50401.61538461539</v>
      </c>
      <c r="BD6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63002.019230769234</v>
      </c>
      <c r="BE6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50401.61538461539</v>
      </c>
      <c r="BF6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50401.61538461539</v>
      </c>
      <c r="BG6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63002.019230769234</v>
      </c>
      <c r="BH6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50401.61538461539</v>
      </c>
      <c r="BI6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50401.61538461539</v>
      </c>
      <c r="BJ6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63002.019230769234</v>
      </c>
      <c r="BK62" s="39">
        <f>SUM(t_Parts[[#This Row],[pv2016.01]:[pv2016.12]])</f>
        <v>655221</v>
      </c>
      <c r="BL62" s="39">
        <f>t_Parts[[#This Row],[2017vol]]</f>
        <v>655221</v>
      </c>
      <c r="BM62" s="39">
        <f>t_Parts[[#This Row],[2018vol]]</f>
        <v>655221</v>
      </c>
      <c r="BN62" s="39">
        <f>t_Parts[[#This Row],[2019vol]]</f>
        <v>655221</v>
      </c>
      <c r="BO62" s="40">
        <f>VLOOKUP(t_Parts[[Plant]:[Plant]],t_Plants[],Plants!CN$1,FALSE)</f>
        <v>280</v>
      </c>
      <c r="BP62" s="14">
        <f>VLOOKUP(t_Parts[[Plant]:[Plant]],t_Plants[],Plants!CO$1,FALSE)</f>
        <v>280</v>
      </c>
      <c r="BQ62" s="14">
        <f>VLOOKUP(t_Parts[[Plant]:[Plant]],t_Plants[],Plants!CP$1,FALSE)</f>
        <v>350</v>
      </c>
      <c r="BR62" s="14">
        <f>VLOOKUP(t_Parts[[Plant]:[Plant]],t_Plants[],Plants!CQ$1,FALSE)</f>
        <v>280</v>
      </c>
      <c r="BS62" s="14">
        <f>VLOOKUP(t_Parts[[Plant]:[Plant]],t_Plants[],Plants!CR$1,FALSE)</f>
        <v>280</v>
      </c>
      <c r="BT62" s="14">
        <f>VLOOKUP(t_Parts[[Plant]:[Plant]],t_Plants[],Plants!CS$1,FALSE)</f>
        <v>350</v>
      </c>
      <c r="BU62" s="14">
        <f>VLOOKUP(t_Parts[[Plant]:[Plant]],t_Plants[],Plants!CT$1,FALSE)</f>
        <v>280</v>
      </c>
      <c r="BV62" s="14">
        <f>VLOOKUP(t_Parts[[Plant]:[Plant]],t_Plants[],Plants!CU$1,FALSE)</f>
        <v>280</v>
      </c>
      <c r="BW62" s="14">
        <f>VLOOKUP(t_Parts[[Plant]:[Plant]],t_Plants[],Plants!CV$1,FALSE)</f>
        <v>350</v>
      </c>
      <c r="BX62" s="14">
        <f>VLOOKUP(t_Parts[[Plant]:[Plant]],t_Plants[],Plants!CW$1,FALSE)</f>
        <v>280</v>
      </c>
      <c r="BY62" s="14">
        <f>VLOOKUP(t_Parts[[Plant]:[Plant]],t_Plants[],Plants!CX$1,FALSE)</f>
        <v>280</v>
      </c>
      <c r="BZ62" s="14">
        <f>VLOOKUP(t_Parts[[Plant]:[Plant]],t_Plants[],Plants!CY$1,FALSE)</f>
        <v>350</v>
      </c>
      <c r="CA62" s="40">
        <f>SUM(t_Parts[[#This Row],[ha2015.01]:[ha2015.12]])</f>
        <v>3640</v>
      </c>
      <c r="CB62" s="14">
        <f>VLOOKUP(t_Parts[[Plant]:[Plant]],t_Plants[],Plants!DA$1,FALSE)</f>
        <v>280</v>
      </c>
      <c r="CC62" s="14">
        <f>VLOOKUP(t_Parts[[Plant]:[Plant]],t_Plants[],Plants!DB$1,FALSE)</f>
        <v>280</v>
      </c>
      <c r="CD62" s="14">
        <f>VLOOKUP(t_Parts[[Plant]:[Plant]],t_Plants[],Plants!DC$1,FALSE)</f>
        <v>350</v>
      </c>
      <c r="CE62" s="14">
        <f>VLOOKUP(t_Parts[[Plant]:[Plant]],t_Plants[],Plants!DD$1,FALSE)</f>
        <v>280</v>
      </c>
      <c r="CF62" s="14">
        <f>VLOOKUP(t_Parts[[Plant]:[Plant]],t_Plants[],Plants!DE$1,FALSE)</f>
        <v>280</v>
      </c>
      <c r="CG62" s="14">
        <f>VLOOKUP(t_Parts[[Plant]:[Plant]],t_Plants[],Plants!DF$1,FALSE)</f>
        <v>350</v>
      </c>
      <c r="CH62" s="14">
        <f>VLOOKUP(t_Parts[[Plant]:[Plant]],t_Plants[],Plants!DG$1,FALSE)</f>
        <v>280</v>
      </c>
      <c r="CI62" s="14">
        <f>VLOOKUP(t_Parts[[Plant]:[Plant]],t_Plants[],Plants!DH$1,FALSE)</f>
        <v>280</v>
      </c>
      <c r="CJ62" s="14">
        <f>VLOOKUP(t_Parts[[Plant]:[Plant]],t_Plants[],Plants!DI$1,FALSE)</f>
        <v>350</v>
      </c>
      <c r="CK62" s="14">
        <f>VLOOKUP(t_Parts[[Plant]:[Plant]],t_Plants[],Plants!DJ$1,FALSE)</f>
        <v>280</v>
      </c>
      <c r="CL62" s="14">
        <f>VLOOKUP(t_Parts[[Plant]:[Plant]],t_Plants[],Plants!DK$1,FALSE)</f>
        <v>280</v>
      </c>
      <c r="CM62" s="14">
        <f>VLOOKUP(t_Parts[[Plant]:[Plant]],t_Plants[],Plants!DL$1,FALSE)</f>
        <v>350</v>
      </c>
      <c r="CN62" s="14">
        <f>VLOOKUP(t_Parts[[Plant]:[Plant]],t_Plants[],Plants!DM$1,FALSE)</f>
        <v>3640</v>
      </c>
      <c r="CO62" s="14">
        <f>VLOOKUP(t_Parts[[Plant]:[Plant]],t_Plants[],Plants!DN$1,FALSE)</f>
        <v>3640</v>
      </c>
      <c r="CP62" s="14">
        <f>VLOOKUP(t_Parts[[Plant]:[Plant]],t_Plants[],Plants!DO$1,FALSE)</f>
        <v>3640</v>
      </c>
      <c r="CQ62" s="14">
        <f>VLOOKUP(t_Parts[[Plant]:[Plant]],t_Plants[],Plants!DP$1,FALSE)</f>
        <v>3640</v>
      </c>
      <c r="CR62" s="39">
        <f>IF(AND(AL$3&gt;=VALUE(t_Parts[[SOP]:[SOP]]),AL$3&lt;=VALUE(t_Parts[[EOP]:[EOP]])), t_Parts[[SetupHrsPerMo]:[SetupHrsPerMo]]+(t_Parts[[#This Row],[pv2015.01]]/t_Parts[[NetPPH]:[NetPPH]]),0)</f>
        <v>37.940481740481736</v>
      </c>
      <c r="CS62" s="39">
        <f>IF(AND(AM$3&gt;=VALUE(t_Parts[[SOP]:[SOP]]),AM$3&lt;=VALUE(t_Parts[[EOP]:[EOP]])), t_Parts[[SetupHrsPerMo]:[SetupHrsPerMo]]+(t_Parts[[#This Row],[pv2015.02]]/t_Parts[[NetPPH]:[NetPPH]]),0)</f>
        <v>37.940481740481736</v>
      </c>
      <c r="CT62" s="39">
        <f>IF(AND(AN$3&gt;=VALUE(t_Parts[[SOP]:[SOP]]),AN$3&lt;=VALUE(t_Parts[[EOP]:[EOP]])), t_Parts[[SetupHrsPerMo]:[SetupHrsPerMo]]+(t_Parts[[#This Row],[pv2015.03]]/t_Parts[[NetPPH]:[NetPPH]]),0)</f>
        <v>46.425602175602172</v>
      </c>
      <c r="CU62" s="39">
        <f>IF(AND(AO$3&gt;=VALUE(t_Parts[[SOP]:[SOP]]),AO$3&lt;=VALUE(t_Parts[[EOP]:[EOP]])), t_Parts[[SetupHrsPerMo]:[SetupHrsPerMo]]+(t_Parts[[#This Row],[pv2015.04]]/t_Parts[[NetPPH]:[NetPPH]]),0)</f>
        <v>37.940481740481736</v>
      </c>
      <c r="CV62" s="39">
        <f>IF(AND(AP$3&gt;=VALUE(t_Parts[[SOP]:[SOP]]),AP$3&lt;=VALUE(t_Parts[[EOP]:[EOP]])), t_Parts[[SetupHrsPerMo]:[SetupHrsPerMo]]+(t_Parts[[#This Row],[pv2015.05]]/t_Parts[[NetPPH]:[NetPPH]]),0)</f>
        <v>37.940481740481736</v>
      </c>
      <c r="CW62" s="39">
        <f>IF(AND(AQ$3&gt;=VALUE(t_Parts[[SOP]:[SOP]]),AQ$3&lt;=VALUE(t_Parts[[EOP]:[EOP]])), t_Parts[[SetupHrsPerMo]:[SetupHrsPerMo]]+(t_Parts[[#This Row],[pv2015.06]]/t_Parts[[NetPPH]:[NetPPH]]),0)</f>
        <v>46.425602175602172</v>
      </c>
      <c r="CX62" s="39">
        <f>IF(AND(AR$3&gt;=VALUE(t_Parts[[SOP]:[SOP]]),AR$3&lt;=VALUE(t_Parts[[EOP]:[EOP]])), t_Parts[[SetupHrsPerMo]:[SetupHrsPerMo]]+(t_Parts[[#This Row],[pv2015.07]]/t_Parts[[NetPPH]:[NetPPH]]),0)</f>
        <v>37.940481740481736</v>
      </c>
      <c r="CY62" s="39">
        <f>IF(AND(AS$3&gt;=VALUE(t_Parts[[SOP]:[SOP]]),AS$3&lt;=VALUE(t_Parts[[EOP]:[EOP]])), t_Parts[[SetupHrsPerMo]:[SetupHrsPerMo]]+(t_Parts[[#This Row],[pv2015.08]]/t_Parts[[NetPPH]:[NetPPH]]),0)</f>
        <v>37.940481740481736</v>
      </c>
      <c r="CZ62" s="39">
        <f>IF(AND(AT$3&gt;=VALUE(t_Parts[[SOP]:[SOP]]),AT$3&lt;=VALUE(t_Parts[[EOP]:[EOP]])), t_Parts[[SetupHrsPerMo]:[SetupHrsPerMo]]+(t_Parts[[#This Row],[pv2015.09]]/t_Parts[[NetPPH]:[NetPPH]]),0)</f>
        <v>46.425602175602172</v>
      </c>
      <c r="DA62" s="39">
        <f>IF(AND(AU$3&gt;=VALUE(t_Parts[[SOP]:[SOP]]),AU$3&lt;=VALUE(t_Parts[[EOP]:[EOP]])), t_Parts[[SetupHrsPerMo]:[SetupHrsPerMo]]+(t_Parts[[#This Row],[pv2015.10]]/t_Parts[[NetPPH]:[NetPPH]]),0)</f>
        <v>37.940481740481736</v>
      </c>
      <c r="DB62" s="39">
        <f>IF(AND(AV$3&gt;=VALUE(t_Parts[[SOP]:[SOP]]),AV$3&lt;=VALUE(t_Parts[[EOP]:[EOP]])), t_Parts[[SetupHrsPerMo]:[SetupHrsPerMo]]+(t_Parts[[#This Row],[pv2015.11]]/t_Parts[[NetPPH]:[NetPPH]]),0)</f>
        <v>37.940481740481736</v>
      </c>
      <c r="DC62" s="39">
        <f>IF(AND(AW$3&gt;=VALUE(t_Parts[[SOP]:[SOP]]),AW$3&lt;=VALUE(t_Parts[[EOP]:[EOP]])), t_Parts[[SetupHrsPerMo]:[SetupHrsPerMo]]+(t_Parts[[#This Row],[pv2015.12]]/t_Parts[[NetPPH]:[NetPPH]]),0)</f>
        <v>46.425602175602172</v>
      </c>
      <c r="DD62" s="39">
        <f>SUM(t_Parts[[#This Row],[hp2015.01]:[hp2015.12]])</f>
        <v>489.22626262626267</v>
      </c>
      <c r="DE62" s="39">
        <f>IF(AND(AY$3&gt;=VALUE(t_Parts[[SOP]:[SOP]]),AY$3&lt;=VALUE(t_Parts[[EOP]:[EOP]])), t_Parts[[SetupHrsPerMo]:[SetupHrsPerMo]]+(t_Parts[[#This Row],[pv2016.01]]/t_Parts[[NetPPH]:[NetPPH]]),0)</f>
        <v>37.940481740481736</v>
      </c>
      <c r="DF62" s="39">
        <f>IF(AND(AZ$3&gt;=VALUE(t_Parts[[SOP]:[SOP]]),AZ$3&lt;=VALUE(t_Parts[[EOP]:[EOP]])), t_Parts[[SetupHrsPerMo]:[SetupHrsPerMo]]+(t_Parts[[#This Row],[pv2016.02]]/t_Parts[[NetPPH]:[NetPPH]]),0)</f>
        <v>37.940481740481736</v>
      </c>
      <c r="DG62" s="39">
        <f>IF(AND(BA$3&gt;=VALUE(t_Parts[[SOP]:[SOP]]),BA$3&lt;=VALUE(t_Parts[[EOP]:[EOP]])), t_Parts[[SetupHrsPerMo]:[SetupHrsPerMo]]+(t_Parts[[#This Row],[pv2016.03]]/t_Parts[[NetPPH]:[NetPPH]]),0)</f>
        <v>46.425602175602172</v>
      </c>
      <c r="DH62" s="39">
        <f>IF(AND(BB$3&gt;=VALUE(t_Parts[[SOP]:[SOP]]),BB$3&lt;=VALUE(t_Parts[[EOP]:[EOP]])), t_Parts[[SetupHrsPerMo]:[SetupHrsPerMo]]+(t_Parts[[#This Row],[pv2016.04]]/t_Parts[[NetPPH]:[NetPPH]]),0)</f>
        <v>37.940481740481736</v>
      </c>
      <c r="DI62" s="39">
        <f>IF(AND(BC$3&gt;=VALUE(t_Parts[[SOP]:[SOP]]),BC$3&lt;=VALUE(t_Parts[[EOP]:[EOP]])), t_Parts[[SetupHrsPerMo]:[SetupHrsPerMo]]+(t_Parts[[#This Row],[pv2016.05]]/t_Parts[[NetPPH]:[NetPPH]]),0)</f>
        <v>37.940481740481736</v>
      </c>
      <c r="DJ62" s="39">
        <f>IF(AND(BD$3&gt;=VALUE(t_Parts[[SOP]:[SOP]]),BD$3&lt;=VALUE(t_Parts[[EOP]:[EOP]])), t_Parts[[SetupHrsPerMo]:[SetupHrsPerMo]]+(t_Parts[[#This Row],[pv2016.06]]/t_Parts[[NetPPH]:[NetPPH]]),0)</f>
        <v>46.425602175602172</v>
      </c>
      <c r="DK62" s="39">
        <f>IF(AND(BE$3&gt;=VALUE(t_Parts[[SOP]:[SOP]]),BE$3&lt;=VALUE(t_Parts[[EOP]:[EOP]])), t_Parts[[SetupHrsPerMo]:[SetupHrsPerMo]]+(t_Parts[[#This Row],[pv2016.07]]/t_Parts[[NetPPH]:[NetPPH]]),0)</f>
        <v>37.940481740481736</v>
      </c>
      <c r="DL62" s="39">
        <f>IF(AND(BF$3&gt;=VALUE(t_Parts[[SOP]:[SOP]]),BF$3&lt;=VALUE(t_Parts[[EOP]:[EOP]])), t_Parts[[SetupHrsPerMo]:[SetupHrsPerMo]]+(t_Parts[[#This Row],[pv2016.08]]/t_Parts[[NetPPH]:[NetPPH]]),0)</f>
        <v>37.940481740481736</v>
      </c>
      <c r="DM62" s="39">
        <f>IF(AND(BG$3&gt;=VALUE(t_Parts[[SOP]:[SOP]]),BG$3&lt;=VALUE(t_Parts[[EOP]:[EOP]])), t_Parts[[SetupHrsPerMo]:[SetupHrsPerMo]]+(t_Parts[[#This Row],[pv2016.09]]/t_Parts[[NetPPH]:[NetPPH]]),0)</f>
        <v>46.425602175602172</v>
      </c>
      <c r="DN62" s="39">
        <f>IF(AND(BH$3&gt;=VALUE(t_Parts[[SOP]:[SOP]]),BH$3&lt;=VALUE(t_Parts[[EOP]:[EOP]])), t_Parts[[SetupHrsPerMo]:[SetupHrsPerMo]]+(t_Parts[[#This Row],[pv2016.10]]/t_Parts[[NetPPH]:[NetPPH]]),0)</f>
        <v>37.940481740481736</v>
      </c>
      <c r="DO62" s="39">
        <f>IF(AND(BI$3&gt;=VALUE(t_Parts[[SOP]:[SOP]]),BI$3&lt;=VALUE(t_Parts[[EOP]:[EOP]])), t_Parts[[SetupHrsPerMo]:[SetupHrsPerMo]]+(t_Parts[[#This Row],[pv2016.11]]/t_Parts[[NetPPH]:[NetPPH]]),0)</f>
        <v>37.940481740481736</v>
      </c>
      <c r="DP62" s="39">
        <f>IF(AND(BJ$3&gt;=VALUE(t_Parts[[SOP]:[SOP]]),BJ$3&lt;=VALUE(t_Parts[[EOP]:[EOP]])), t_Parts[[SetupHrsPerMo]:[SetupHrsPerMo]]+(t_Parts[[#This Row],[pv2016.12]]/t_Parts[[NetPPH]:[NetPPH]]),0)</f>
        <v>46.425602175602172</v>
      </c>
      <c r="DQ62" s="39">
        <f>SUM(t_Parts[[#This Row],[hp2016.01]:[hp2016.12]])</f>
        <v>489.22626262626267</v>
      </c>
      <c r="DR62" s="39">
        <f>IF(AND(BL$3&gt;=VALUE(t_Parts[[SOP]:[SOP]]),BL$3&lt;=VALUE(t_Parts[[EOP]:[EOP]])), 12*t_Parts[[SetupHrsPerMo]:[SetupHrsPerMo]]+(t_Parts[[#This Row],[pv2017]]/t_Parts[[NetPPH]:[NetPPH]]),0)</f>
        <v>489.22626262626255</v>
      </c>
      <c r="DS62" s="39">
        <f>IF(AND(BM$3&gt;=VALUE(t_Parts[[SOP]:[SOP]]),BM$3&lt;=VALUE(t_Parts[[EOP]:[EOP]])), 12*t_Parts[[SetupHrsPerMo]:[SetupHrsPerMo]]+(t_Parts[[#This Row],[pv2018]]/t_Parts[[NetPPH]:[NetPPH]]),0)</f>
        <v>489.22626262626255</v>
      </c>
      <c r="DT62" s="39">
        <f>IF(AND(BN$3&gt;=VALUE(t_Parts[[SOP]:[SOP]]),BN$3&lt;=VALUE(t_Parts[[EOP]:[EOP]])), 12*t_Parts[[SetupHrsPerMo]:[SetupHrsPerMo]]+(t_Parts[[#This Row],[pv2019]]/t_Parts[[NetPPH]:[NetPPH]]),0)</f>
        <v>489.22626262626255</v>
      </c>
      <c r="DU62" s="47">
        <f>t_Parts[[#This Row],[hp2015.01]]/t_Parts[[#This Row],[ha2015.01]]</f>
        <v>0.13550172050172049</v>
      </c>
      <c r="DV62" s="47">
        <f>t_Parts[[#This Row],[hp2015.02]]/t_Parts[[#This Row],[ha2015.02]]</f>
        <v>0.13550172050172049</v>
      </c>
      <c r="DW62" s="47">
        <f>t_Parts[[#This Row],[hp2015.03]]/t_Parts[[#This Row],[ha2015.03]]</f>
        <v>0.13264457764457763</v>
      </c>
      <c r="DX62" s="47">
        <f>t_Parts[[#This Row],[hp2015.04]]/t_Parts[[#This Row],[ha2015.04]]</f>
        <v>0.13550172050172049</v>
      </c>
      <c r="DY62" s="47">
        <f>t_Parts[[#This Row],[hp2015.05]]/t_Parts[[#This Row],[ha2015.05]]</f>
        <v>0.13550172050172049</v>
      </c>
      <c r="DZ62" s="47">
        <f>t_Parts[[#This Row],[hp2015.06]]/t_Parts[[#This Row],[ha2015.06]]</f>
        <v>0.13264457764457763</v>
      </c>
      <c r="EA62" s="47">
        <f>t_Parts[[#This Row],[hp2015.07]]/t_Parts[[#This Row],[ha2015.07]]</f>
        <v>0.13550172050172049</v>
      </c>
      <c r="EB62" s="47">
        <f>t_Parts[[#This Row],[hp2015.08]]/t_Parts[[#This Row],[ha2015.08]]</f>
        <v>0.13550172050172049</v>
      </c>
      <c r="EC62" s="47">
        <f>t_Parts[[#This Row],[hp2015.09]]/t_Parts[[#This Row],[ha2015.09]]</f>
        <v>0.13264457764457763</v>
      </c>
      <c r="ED62" s="47">
        <f>t_Parts[[#This Row],[hp2015.10]]/t_Parts[[#This Row],[ha2015.10]]</f>
        <v>0.13550172050172049</v>
      </c>
      <c r="EE62" s="47">
        <f>t_Parts[[#This Row],[hp2015.11]]/t_Parts[[#This Row],[ha2015.11]]</f>
        <v>0.13550172050172049</v>
      </c>
      <c r="EF62" s="47">
        <f>t_Parts[[#This Row],[hp2015.12]]/t_Parts[[#This Row],[ha2015.12]]</f>
        <v>0.13264457764457763</v>
      </c>
      <c r="EG62" s="47">
        <f>t_Parts[[#This Row],[hp2015.FY]]/t_Parts[[#This Row],[ha2015.FY]]</f>
        <v>0.13440281940281942</v>
      </c>
      <c r="EH62" s="47">
        <f>t_Parts[[#This Row],[hp2016.01]]/t_Parts[[#This Row],[ha2016.01]]</f>
        <v>0.13550172050172049</v>
      </c>
      <c r="EI62" s="47">
        <f>t_Parts[[#This Row],[hp2016.02]]/t_Parts[[#This Row],[ha2016.02]]</f>
        <v>0.13550172050172049</v>
      </c>
      <c r="EJ62" s="47">
        <f>t_Parts[[#This Row],[hp2016.03]]/t_Parts[[#This Row],[ha2016.03]]</f>
        <v>0.13264457764457763</v>
      </c>
      <c r="EK62" s="47">
        <f>t_Parts[[#This Row],[hp2016.04]]/t_Parts[[#This Row],[ha2016.04]]</f>
        <v>0.13550172050172049</v>
      </c>
      <c r="EL62" s="47">
        <f>t_Parts[[#This Row],[hp2016.05]]/t_Parts[[#This Row],[ha2016.05]]</f>
        <v>0.13550172050172049</v>
      </c>
      <c r="EM62" s="47">
        <f>t_Parts[[#This Row],[hp2016.06]]/t_Parts[[#This Row],[ha2016.06]]</f>
        <v>0.13264457764457763</v>
      </c>
      <c r="EN62" s="47">
        <f>t_Parts[[#This Row],[hp2016.07]]/t_Parts[[#This Row],[ha2016.07]]</f>
        <v>0.13550172050172049</v>
      </c>
      <c r="EO62" s="47">
        <f>t_Parts[[#This Row],[hp2016.08]]/t_Parts[[#This Row],[ha2016.08]]</f>
        <v>0.13550172050172049</v>
      </c>
      <c r="EP62" s="47">
        <f>t_Parts[[#This Row],[hp2016.09]]/t_Parts[[#This Row],[ha2016.09]]</f>
        <v>0.13264457764457763</v>
      </c>
      <c r="EQ62" s="47">
        <f>t_Parts[[#This Row],[hp2016.10]]/t_Parts[[#This Row],[ha2016.10]]</f>
        <v>0.13550172050172049</v>
      </c>
      <c r="ER62" s="47">
        <f>t_Parts[[#This Row],[hp2016.11]]/t_Parts[[#This Row],[ha2016.11]]</f>
        <v>0.13550172050172049</v>
      </c>
      <c r="ES62" s="47">
        <f>t_Parts[[#This Row],[hp2016.12]]/t_Parts[[#This Row],[ha2016.12]]</f>
        <v>0.13264457764457763</v>
      </c>
      <c r="ET62" s="47">
        <f>t_Parts[[#This Row],[hp2016.FY]]/t_Parts[[#This Row],[ha2016.FY]]</f>
        <v>0.13440281940281942</v>
      </c>
      <c r="EU62" s="47">
        <f>t_Parts[[#This Row],[hp2017]]/t_Parts[[#This Row],[ha2017]]</f>
        <v>0.1344028194028194</v>
      </c>
      <c r="EV62" s="47">
        <f>t_Parts[[#This Row],[hp2018]]/t_Parts[[#This Row],[ha2018]]</f>
        <v>0.1344028194028194</v>
      </c>
      <c r="EW62" s="47">
        <f>t_Parts[[#This Row],[hp2019]]/t_Parts[[#This Row],[hp2015.01]]</f>
        <v>12.894571712943431</v>
      </c>
      <c r="EX62" s="58">
        <f>(t_Parts[[#This Row],[ha2015.01]]-t_Parts[[#This Row],[hp2015.01]])*t_Parts[[NetPPH]:[NetPPH]]</f>
        <v>359458.38461538468</v>
      </c>
      <c r="EY62" s="58">
        <f>(t_Parts[[#This Row],[ha2015.02]]-t_Parts[[#This Row],[hp2015.02]])*t_Parts[[NetPPH]:[NetPPH]]</f>
        <v>359458.38461538468</v>
      </c>
      <c r="EZ62" s="58">
        <f>(t_Parts[[#This Row],[ha2015.03]]-t_Parts[[#This Row],[hp2015.03]])*t_Parts[[NetPPH]:[NetPPH]]</f>
        <v>450807.98076923081</v>
      </c>
      <c r="FA62" s="58">
        <f>(t_Parts[[#This Row],[ha2015.04]]-t_Parts[[#This Row],[hp2015.04]])*t_Parts[[NetPPH]:[NetPPH]]</f>
        <v>359458.38461538468</v>
      </c>
      <c r="FB62" s="58">
        <f>(t_Parts[[#This Row],[ha2015.05]]-t_Parts[[#This Row],[hp2015.05]])*t_Parts[[NetPPH]:[NetPPH]]</f>
        <v>359458.38461538468</v>
      </c>
      <c r="FC62" s="58">
        <f>(t_Parts[[#This Row],[ha2015.06]]-t_Parts[[#This Row],[hp2015.06]])*t_Parts[[NetPPH]:[NetPPH]]</f>
        <v>450807.98076923081</v>
      </c>
      <c r="FD62" s="58">
        <f>(t_Parts[[#This Row],[ha2015.07]]-t_Parts[[#This Row],[hp2015.07]])*t_Parts[[NetPPH]:[NetPPH]]</f>
        <v>359458.38461538468</v>
      </c>
      <c r="FE62" s="58">
        <f>(t_Parts[[#This Row],[ha2015.08]]-t_Parts[[#This Row],[hp2015.08]])*t_Parts[[NetPPH]:[NetPPH]]</f>
        <v>359458.38461538468</v>
      </c>
      <c r="FF62" s="58">
        <f>(t_Parts[[#This Row],[ha2015.09]]-t_Parts[[#This Row],[hp2015.09]])*t_Parts[[NetPPH]:[NetPPH]]</f>
        <v>450807.98076923081</v>
      </c>
      <c r="FG62" s="58">
        <f>(t_Parts[[#This Row],[ha2015.10]]-t_Parts[[#This Row],[hp2015.10]])*t_Parts[[NetPPH]:[NetPPH]]</f>
        <v>359458.38461538468</v>
      </c>
      <c r="FH62" s="58">
        <f>(t_Parts[[#This Row],[ha2015.11]]-t_Parts[[#This Row],[hp2015.11]])*t_Parts[[NetPPH]:[NetPPH]]</f>
        <v>359458.38461538468</v>
      </c>
      <c r="FI62" s="58">
        <f>(t_Parts[[#This Row],[ha2015.12]]-t_Parts[[#This Row],[hp2015.12]])*t_Parts[[NetPPH]:[NetPPH]]</f>
        <v>450807.98076923081</v>
      </c>
      <c r="FJ62" s="58">
        <f>(t_Parts[[#This Row],[ha2015.FY]]-t_Parts[[#This Row],[hp2015.FY]])*t_Parts[[NetPPH]:[NetPPH]]</f>
        <v>4678899.0000000009</v>
      </c>
      <c r="FK62" s="58">
        <f>(t_Parts[[#This Row],[ha2016.01]]-t_Parts[[#This Row],[hp2016.01]])*t_Parts[[NetPPH]:[NetPPH]]</f>
        <v>359458.38461538468</v>
      </c>
      <c r="FL62" s="58">
        <f>(t_Parts[[#This Row],[ha2016.02]]-t_Parts[[#This Row],[hp2016.02]])*t_Parts[[NetPPH]:[NetPPH]]</f>
        <v>359458.38461538468</v>
      </c>
      <c r="FM62" s="58">
        <f>(t_Parts[[#This Row],[ha2016.03]]-t_Parts[[#This Row],[hp2016.03]])*t_Parts[[NetPPH]:[NetPPH]]</f>
        <v>450807.98076923081</v>
      </c>
      <c r="FN62" s="58">
        <f>(t_Parts[[#This Row],[ha2016.04]]-t_Parts[[#This Row],[hp2016.04]])*t_Parts[[NetPPH]:[NetPPH]]</f>
        <v>359458.38461538468</v>
      </c>
      <c r="FO62" s="58">
        <f>(t_Parts[[#This Row],[ha2016.05]]-t_Parts[[#This Row],[hp2016.05]])*t_Parts[[NetPPH]:[NetPPH]]</f>
        <v>359458.38461538468</v>
      </c>
      <c r="FP62" s="58">
        <f>(t_Parts[[#This Row],[ha2016.06]]-t_Parts[[#This Row],[hp2016.06]])*t_Parts[[NetPPH]:[NetPPH]]</f>
        <v>450807.98076923081</v>
      </c>
      <c r="FQ62" s="58">
        <f>(t_Parts[[#This Row],[ha2016.07]]-t_Parts[[#This Row],[hp2016.07]])*t_Parts[[NetPPH]:[NetPPH]]</f>
        <v>359458.38461538468</v>
      </c>
      <c r="FR62" s="58">
        <f>(t_Parts[[#This Row],[ha2016.08]]-t_Parts[[#This Row],[hp2016.08]])*t_Parts[[NetPPH]:[NetPPH]]</f>
        <v>359458.38461538468</v>
      </c>
      <c r="FS62" s="58">
        <f>(t_Parts[[#This Row],[ha2016.09]]-t_Parts[[#This Row],[hp2016.09]])*t_Parts[[NetPPH]:[NetPPH]]</f>
        <v>450807.98076923081</v>
      </c>
      <c r="FT62" s="58">
        <f>(t_Parts[[#This Row],[ha2016.10]]-t_Parts[[#This Row],[hp2016.10]])*t_Parts[[NetPPH]:[NetPPH]]</f>
        <v>359458.38461538468</v>
      </c>
      <c r="FU62" s="58">
        <f>(t_Parts[[#This Row],[ha2016.11]]-t_Parts[[#This Row],[hp2016.11]])*t_Parts[[NetPPH]:[NetPPH]]</f>
        <v>359458.38461538468</v>
      </c>
      <c r="FV62" s="58">
        <f>(t_Parts[[#This Row],[ha2016.12]]-t_Parts[[#This Row],[hp2016.12]])*t_Parts[[NetPPH]:[NetPPH]]</f>
        <v>450807.98076923081</v>
      </c>
      <c r="FW62" s="58">
        <f>(t_Parts[[#This Row],[ha2016.FY]]-t_Parts[[#This Row],[hp2016.FY]])*t_Parts[[NetPPH]:[NetPPH]]</f>
        <v>4678899.0000000009</v>
      </c>
      <c r="FX62" s="58">
        <f>(t_Parts[[#This Row],[ha2017]]-t_Parts[[#This Row],[hp2017]])*t_Parts[[NetPPH]:[NetPPH]]</f>
        <v>4678899.0000000009</v>
      </c>
      <c r="FY62" s="58">
        <f>(t_Parts[[#This Row],[ha2018]]-t_Parts[[#This Row],[hp2018]])*t_Parts[[NetPPH]:[NetPPH]]</f>
        <v>4678899.0000000009</v>
      </c>
      <c r="FZ62" s="58">
        <f>(t_Parts[[#This Row],[ha2019]]-t_Parts[[#This Row],[hp2019]])*t_Parts[[NetPPH]:[NetPPH]]</f>
        <v>4678899.0000000009</v>
      </c>
    </row>
    <row r="63" spans="1:182" s="14" customFormat="1" x14ac:dyDescent="0.25">
      <c r="A63" s="74">
        <v>97046</v>
      </c>
      <c r="B63" s="74"/>
      <c r="C63" s="74">
        <v>21002</v>
      </c>
      <c r="D63" s="75">
        <v>1</v>
      </c>
      <c r="E63" s="73">
        <v>1500</v>
      </c>
      <c r="F63" s="76">
        <v>1</v>
      </c>
      <c r="G63" s="77">
        <v>4</v>
      </c>
      <c r="H63" s="16">
        <v>2015.01</v>
      </c>
      <c r="I63" s="16" t="s">
        <v>83</v>
      </c>
      <c r="J63" s="73">
        <v>718673</v>
      </c>
      <c r="K63" s="73">
        <v>718673</v>
      </c>
      <c r="L63" s="73">
        <v>718673</v>
      </c>
      <c r="M63" s="73">
        <v>718673</v>
      </c>
      <c r="N63" s="73">
        <v>718673</v>
      </c>
      <c r="O63" s="78">
        <v>44</v>
      </c>
      <c r="P63" s="78">
        <v>102</v>
      </c>
      <c r="Q63" s="79">
        <v>25</v>
      </c>
      <c r="R63" s="79"/>
      <c r="S63" s="78">
        <v>371</v>
      </c>
      <c r="T63" s="80">
        <v>15.25</v>
      </c>
      <c r="U63" s="80" t="s">
        <v>121</v>
      </c>
      <c r="V63" s="81" t="s">
        <v>665</v>
      </c>
      <c r="W63" s="82">
        <v>2.08</v>
      </c>
      <c r="X63" s="82" t="s">
        <v>608</v>
      </c>
      <c r="Y63" s="82"/>
      <c r="Z63" s="82"/>
      <c r="AA63" s="82"/>
      <c r="AB63" s="82"/>
      <c r="AC63" s="83" t="s">
        <v>667</v>
      </c>
      <c r="AD63" s="40" t="str">
        <f>VLOOKUP(t_Parts[[#This Row],[Press]],t_Presses[],Press!B$1,FALSE)</f>
        <v>Plainfield</v>
      </c>
      <c r="AE63" s="40" t="str">
        <f>VLOOKUP(t_Parts[[#This Row],[Press]],t_Presses[],Press!E$1,FALSE)</f>
        <v>600-899</v>
      </c>
      <c r="AF63" s="47">
        <f>VLOOKUP(t_Parts[[#This Row],[Plant]],t_Plants[],Plants!C$1,FALSE)</f>
        <v>0.55000000000000004</v>
      </c>
      <c r="AG63" s="47">
        <f>VLOOKUP(t_Parts[[#This Row],[Press]],t_Presses[],Press!F$1,FALSE)</f>
        <v>0</v>
      </c>
      <c r="AH63" s="84"/>
      <c r="AI63" s="47">
        <f>IF(ISBLANK(t_Parts[[#This Row],[PartOEE]])=FALSE,t_Parts[[#This Row],[PartOEE]], IF(t_Parts[[#This Row],[PressOEE]]&gt;0, t_Parts[[#This Row],[PressOEE]], t_Parts[[#This Row],[PlantOEE]] ))</f>
        <v>0.55000000000000004</v>
      </c>
      <c r="AJ63" s="70">
        <f>t_Parts[[#This Row],[SetupsPerMo]]*t_Parts[[#This Row],[SetupHrs]]</f>
        <v>4</v>
      </c>
      <c r="AK63" s="39">
        <f>(t_Parts[[#This Row],[PartsPerStroke]]*t_Parts[[#This Row],[StrokesPerHr]])*t_Parts[[#This Row],[UseOEE]]</f>
        <v>825.00000000000011</v>
      </c>
      <c r="AL6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55282.538461538461</v>
      </c>
      <c r="AM6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55282.538461538461</v>
      </c>
      <c r="AN6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69103.173076923078</v>
      </c>
      <c r="AO6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55282.538461538461</v>
      </c>
      <c r="AP6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55282.538461538461</v>
      </c>
      <c r="AQ6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69103.173076923078</v>
      </c>
      <c r="AR6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55282.538461538461</v>
      </c>
      <c r="AS6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55282.538461538461</v>
      </c>
      <c r="AT6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69103.173076923078</v>
      </c>
      <c r="AU6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55282.538461538461</v>
      </c>
      <c r="AV6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55282.538461538461</v>
      </c>
      <c r="AW6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69103.173076923078</v>
      </c>
      <c r="AX63" s="39">
        <f>SUM(t_Parts[[#This Row],[pv2015.01]:[pv2015.12]])</f>
        <v>718673.00000000012</v>
      </c>
      <c r="AY6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55282.538461538461</v>
      </c>
      <c r="AZ6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55282.538461538461</v>
      </c>
      <c r="BA6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69103.173076923078</v>
      </c>
      <c r="BB6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55282.538461538461</v>
      </c>
      <c r="BC6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55282.538461538461</v>
      </c>
      <c r="BD6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69103.173076923078</v>
      </c>
      <c r="BE6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55282.538461538461</v>
      </c>
      <c r="BF6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55282.538461538461</v>
      </c>
      <c r="BG6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69103.173076923078</v>
      </c>
      <c r="BH6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55282.538461538461</v>
      </c>
      <c r="BI6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55282.538461538461</v>
      </c>
      <c r="BJ6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69103.173076923078</v>
      </c>
      <c r="BK63" s="39">
        <f>SUM(t_Parts[[#This Row],[pv2016.01]:[pv2016.12]])</f>
        <v>718673.00000000012</v>
      </c>
      <c r="BL63" s="39">
        <f>t_Parts[[#This Row],[2017vol]]</f>
        <v>718673</v>
      </c>
      <c r="BM63" s="39">
        <f>t_Parts[[#This Row],[2018vol]]</f>
        <v>718673</v>
      </c>
      <c r="BN63" s="39">
        <f>t_Parts[[#This Row],[2019vol]]</f>
        <v>718673</v>
      </c>
      <c r="BO63" s="40">
        <f>VLOOKUP(t_Parts[[Plant]:[Plant]],t_Plants[],Plants!CN$1,FALSE)</f>
        <v>280</v>
      </c>
      <c r="BP63" s="14">
        <f>VLOOKUP(t_Parts[[Plant]:[Plant]],t_Plants[],Plants!CO$1,FALSE)</f>
        <v>280</v>
      </c>
      <c r="BQ63" s="14">
        <f>VLOOKUP(t_Parts[[Plant]:[Plant]],t_Plants[],Plants!CP$1,FALSE)</f>
        <v>350</v>
      </c>
      <c r="BR63" s="14">
        <f>VLOOKUP(t_Parts[[Plant]:[Plant]],t_Plants[],Plants!CQ$1,FALSE)</f>
        <v>280</v>
      </c>
      <c r="BS63" s="14">
        <f>VLOOKUP(t_Parts[[Plant]:[Plant]],t_Plants[],Plants!CR$1,FALSE)</f>
        <v>280</v>
      </c>
      <c r="BT63" s="14">
        <f>VLOOKUP(t_Parts[[Plant]:[Plant]],t_Plants[],Plants!CS$1,FALSE)</f>
        <v>350</v>
      </c>
      <c r="BU63" s="14">
        <f>VLOOKUP(t_Parts[[Plant]:[Plant]],t_Plants[],Plants!CT$1,FALSE)</f>
        <v>280</v>
      </c>
      <c r="BV63" s="14">
        <f>VLOOKUP(t_Parts[[Plant]:[Plant]],t_Plants[],Plants!CU$1,FALSE)</f>
        <v>280</v>
      </c>
      <c r="BW63" s="14">
        <f>VLOOKUP(t_Parts[[Plant]:[Plant]],t_Plants[],Plants!CV$1,FALSE)</f>
        <v>350</v>
      </c>
      <c r="BX63" s="14">
        <f>VLOOKUP(t_Parts[[Plant]:[Plant]],t_Plants[],Plants!CW$1,FALSE)</f>
        <v>280</v>
      </c>
      <c r="BY63" s="14">
        <f>VLOOKUP(t_Parts[[Plant]:[Plant]],t_Plants[],Plants!CX$1,FALSE)</f>
        <v>280</v>
      </c>
      <c r="BZ63" s="14">
        <f>VLOOKUP(t_Parts[[Plant]:[Plant]],t_Plants[],Plants!CY$1,FALSE)</f>
        <v>350</v>
      </c>
      <c r="CA63" s="40">
        <f>SUM(t_Parts[[#This Row],[ha2015.01]:[ha2015.12]])</f>
        <v>3640</v>
      </c>
      <c r="CB63" s="14">
        <f>VLOOKUP(t_Parts[[Plant]:[Plant]],t_Plants[],Plants!DA$1,FALSE)</f>
        <v>280</v>
      </c>
      <c r="CC63" s="14">
        <f>VLOOKUP(t_Parts[[Plant]:[Plant]],t_Plants[],Plants!DB$1,FALSE)</f>
        <v>280</v>
      </c>
      <c r="CD63" s="14">
        <f>VLOOKUP(t_Parts[[Plant]:[Plant]],t_Plants[],Plants!DC$1,FALSE)</f>
        <v>350</v>
      </c>
      <c r="CE63" s="14">
        <f>VLOOKUP(t_Parts[[Plant]:[Plant]],t_Plants[],Plants!DD$1,FALSE)</f>
        <v>280</v>
      </c>
      <c r="CF63" s="14">
        <f>VLOOKUP(t_Parts[[Plant]:[Plant]],t_Plants[],Plants!DE$1,FALSE)</f>
        <v>280</v>
      </c>
      <c r="CG63" s="14">
        <f>VLOOKUP(t_Parts[[Plant]:[Plant]],t_Plants[],Plants!DF$1,FALSE)</f>
        <v>350</v>
      </c>
      <c r="CH63" s="14">
        <f>VLOOKUP(t_Parts[[Plant]:[Plant]],t_Plants[],Plants!DG$1,FALSE)</f>
        <v>280</v>
      </c>
      <c r="CI63" s="14">
        <f>VLOOKUP(t_Parts[[Plant]:[Plant]],t_Plants[],Plants!DH$1,FALSE)</f>
        <v>280</v>
      </c>
      <c r="CJ63" s="14">
        <f>VLOOKUP(t_Parts[[Plant]:[Plant]],t_Plants[],Plants!DI$1,FALSE)</f>
        <v>350</v>
      </c>
      <c r="CK63" s="14">
        <f>VLOOKUP(t_Parts[[Plant]:[Plant]],t_Plants[],Plants!DJ$1,FALSE)</f>
        <v>280</v>
      </c>
      <c r="CL63" s="14">
        <f>VLOOKUP(t_Parts[[Plant]:[Plant]],t_Plants[],Plants!DK$1,FALSE)</f>
        <v>280</v>
      </c>
      <c r="CM63" s="14">
        <f>VLOOKUP(t_Parts[[Plant]:[Plant]],t_Plants[],Plants!DL$1,FALSE)</f>
        <v>350</v>
      </c>
      <c r="CN63" s="14">
        <f>VLOOKUP(t_Parts[[Plant]:[Plant]],t_Plants[],Plants!DM$1,FALSE)</f>
        <v>3640</v>
      </c>
      <c r="CO63" s="14">
        <f>VLOOKUP(t_Parts[[Plant]:[Plant]],t_Plants[],Plants!DN$1,FALSE)</f>
        <v>3640</v>
      </c>
      <c r="CP63" s="14">
        <f>VLOOKUP(t_Parts[[Plant]:[Plant]],t_Plants[],Plants!DO$1,FALSE)</f>
        <v>3640</v>
      </c>
      <c r="CQ63" s="14">
        <f>VLOOKUP(t_Parts[[Plant]:[Plant]],t_Plants[],Plants!DP$1,FALSE)</f>
        <v>3640</v>
      </c>
      <c r="CR63" s="39">
        <f>IF(AND(AL$3&gt;=VALUE(t_Parts[[SOP]:[SOP]]),AL$3&lt;=VALUE(t_Parts[[EOP]:[EOP]])), t_Parts[[SetupHrsPerMo]:[SetupHrsPerMo]]+(t_Parts[[#This Row],[pv2015.01]]/t_Parts[[NetPPH]:[NetPPH]]),0)</f>
        <v>71.009137529137519</v>
      </c>
      <c r="CS63" s="39">
        <f>IF(AND(AM$3&gt;=VALUE(t_Parts[[SOP]:[SOP]]),AM$3&lt;=VALUE(t_Parts[[EOP]:[EOP]])), t_Parts[[SetupHrsPerMo]:[SetupHrsPerMo]]+(t_Parts[[#This Row],[pv2015.02]]/t_Parts[[NetPPH]:[NetPPH]]),0)</f>
        <v>71.009137529137519</v>
      </c>
      <c r="CT63" s="39">
        <f>IF(AND(AN$3&gt;=VALUE(t_Parts[[SOP]:[SOP]]),AN$3&lt;=VALUE(t_Parts[[EOP]:[EOP]])), t_Parts[[SetupHrsPerMo]:[SetupHrsPerMo]]+(t_Parts[[#This Row],[pv2015.03]]/t_Parts[[NetPPH]:[NetPPH]]),0)</f>
        <v>87.761421911421905</v>
      </c>
      <c r="CU63" s="39">
        <f>IF(AND(AO$3&gt;=VALUE(t_Parts[[SOP]:[SOP]]),AO$3&lt;=VALUE(t_Parts[[EOP]:[EOP]])), t_Parts[[SetupHrsPerMo]:[SetupHrsPerMo]]+(t_Parts[[#This Row],[pv2015.04]]/t_Parts[[NetPPH]:[NetPPH]]),0)</f>
        <v>71.009137529137519</v>
      </c>
      <c r="CV63" s="39">
        <f>IF(AND(AP$3&gt;=VALUE(t_Parts[[SOP]:[SOP]]),AP$3&lt;=VALUE(t_Parts[[EOP]:[EOP]])), t_Parts[[SetupHrsPerMo]:[SetupHrsPerMo]]+(t_Parts[[#This Row],[pv2015.05]]/t_Parts[[NetPPH]:[NetPPH]]),0)</f>
        <v>71.009137529137519</v>
      </c>
      <c r="CW63" s="39">
        <f>IF(AND(AQ$3&gt;=VALUE(t_Parts[[SOP]:[SOP]]),AQ$3&lt;=VALUE(t_Parts[[EOP]:[EOP]])), t_Parts[[SetupHrsPerMo]:[SetupHrsPerMo]]+(t_Parts[[#This Row],[pv2015.06]]/t_Parts[[NetPPH]:[NetPPH]]),0)</f>
        <v>87.761421911421905</v>
      </c>
      <c r="CX63" s="39">
        <f>IF(AND(AR$3&gt;=VALUE(t_Parts[[SOP]:[SOP]]),AR$3&lt;=VALUE(t_Parts[[EOP]:[EOP]])), t_Parts[[SetupHrsPerMo]:[SetupHrsPerMo]]+(t_Parts[[#This Row],[pv2015.07]]/t_Parts[[NetPPH]:[NetPPH]]),0)</f>
        <v>71.009137529137519</v>
      </c>
      <c r="CY63" s="39">
        <f>IF(AND(AS$3&gt;=VALUE(t_Parts[[SOP]:[SOP]]),AS$3&lt;=VALUE(t_Parts[[EOP]:[EOP]])), t_Parts[[SetupHrsPerMo]:[SetupHrsPerMo]]+(t_Parts[[#This Row],[pv2015.08]]/t_Parts[[NetPPH]:[NetPPH]]),0)</f>
        <v>71.009137529137519</v>
      </c>
      <c r="CZ63" s="39">
        <f>IF(AND(AT$3&gt;=VALUE(t_Parts[[SOP]:[SOP]]),AT$3&lt;=VALUE(t_Parts[[EOP]:[EOP]])), t_Parts[[SetupHrsPerMo]:[SetupHrsPerMo]]+(t_Parts[[#This Row],[pv2015.09]]/t_Parts[[NetPPH]:[NetPPH]]),0)</f>
        <v>87.761421911421905</v>
      </c>
      <c r="DA63" s="39">
        <f>IF(AND(AU$3&gt;=VALUE(t_Parts[[SOP]:[SOP]]),AU$3&lt;=VALUE(t_Parts[[EOP]:[EOP]])), t_Parts[[SetupHrsPerMo]:[SetupHrsPerMo]]+(t_Parts[[#This Row],[pv2015.10]]/t_Parts[[NetPPH]:[NetPPH]]),0)</f>
        <v>71.009137529137519</v>
      </c>
      <c r="DB63" s="39">
        <f>IF(AND(AV$3&gt;=VALUE(t_Parts[[SOP]:[SOP]]),AV$3&lt;=VALUE(t_Parts[[EOP]:[EOP]])), t_Parts[[SetupHrsPerMo]:[SetupHrsPerMo]]+(t_Parts[[#This Row],[pv2015.11]]/t_Parts[[NetPPH]:[NetPPH]]),0)</f>
        <v>71.009137529137519</v>
      </c>
      <c r="DC63" s="39">
        <f>IF(AND(AW$3&gt;=VALUE(t_Parts[[SOP]:[SOP]]),AW$3&lt;=VALUE(t_Parts[[EOP]:[EOP]])), t_Parts[[SetupHrsPerMo]:[SetupHrsPerMo]]+(t_Parts[[#This Row],[pv2015.12]]/t_Parts[[NetPPH]:[NetPPH]]),0)</f>
        <v>87.761421911421905</v>
      </c>
      <c r="DD63" s="39">
        <f>SUM(t_Parts[[#This Row],[hp2015.01]:[hp2015.12]])</f>
        <v>919.11878787878777</v>
      </c>
      <c r="DE63" s="39">
        <f>IF(AND(AY$3&gt;=VALUE(t_Parts[[SOP]:[SOP]]),AY$3&lt;=VALUE(t_Parts[[EOP]:[EOP]])), t_Parts[[SetupHrsPerMo]:[SetupHrsPerMo]]+(t_Parts[[#This Row],[pv2016.01]]/t_Parts[[NetPPH]:[NetPPH]]),0)</f>
        <v>71.009137529137519</v>
      </c>
      <c r="DF63" s="39">
        <f>IF(AND(AZ$3&gt;=VALUE(t_Parts[[SOP]:[SOP]]),AZ$3&lt;=VALUE(t_Parts[[EOP]:[EOP]])), t_Parts[[SetupHrsPerMo]:[SetupHrsPerMo]]+(t_Parts[[#This Row],[pv2016.02]]/t_Parts[[NetPPH]:[NetPPH]]),0)</f>
        <v>71.009137529137519</v>
      </c>
      <c r="DG63" s="39">
        <f>IF(AND(BA$3&gt;=VALUE(t_Parts[[SOP]:[SOP]]),BA$3&lt;=VALUE(t_Parts[[EOP]:[EOP]])), t_Parts[[SetupHrsPerMo]:[SetupHrsPerMo]]+(t_Parts[[#This Row],[pv2016.03]]/t_Parts[[NetPPH]:[NetPPH]]),0)</f>
        <v>87.761421911421905</v>
      </c>
      <c r="DH63" s="39">
        <f>IF(AND(BB$3&gt;=VALUE(t_Parts[[SOP]:[SOP]]),BB$3&lt;=VALUE(t_Parts[[EOP]:[EOP]])), t_Parts[[SetupHrsPerMo]:[SetupHrsPerMo]]+(t_Parts[[#This Row],[pv2016.04]]/t_Parts[[NetPPH]:[NetPPH]]),0)</f>
        <v>71.009137529137519</v>
      </c>
      <c r="DI63" s="39">
        <f>IF(AND(BC$3&gt;=VALUE(t_Parts[[SOP]:[SOP]]),BC$3&lt;=VALUE(t_Parts[[EOP]:[EOP]])), t_Parts[[SetupHrsPerMo]:[SetupHrsPerMo]]+(t_Parts[[#This Row],[pv2016.05]]/t_Parts[[NetPPH]:[NetPPH]]),0)</f>
        <v>71.009137529137519</v>
      </c>
      <c r="DJ63" s="39">
        <f>IF(AND(BD$3&gt;=VALUE(t_Parts[[SOP]:[SOP]]),BD$3&lt;=VALUE(t_Parts[[EOP]:[EOP]])), t_Parts[[SetupHrsPerMo]:[SetupHrsPerMo]]+(t_Parts[[#This Row],[pv2016.06]]/t_Parts[[NetPPH]:[NetPPH]]),0)</f>
        <v>87.761421911421905</v>
      </c>
      <c r="DK63" s="39">
        <f>IF(AND(BE$3&gt;=VALUE(t_Parts[[SOP]:[SOP]]),BE$3&lt;=VALUE(t_Parts[[EOP]:[EOP]])), t_Parts[[SetupHrsPerMo]:[SetupHrsPerMo]]+(t_Parts[[#This Row],[pv2016.07]]/t_Parts[[NetPPH]:[NetPPH]]),0)</f>
        <v>71.009137529137519</v>
      </c>
      <c r="DL63" s="39">
        <f>IF(AND(BF$3&gt;=VALUE(t_Parts[[SOP]:[SOP]]),BF$3&lt;=VALUE(t_Parts[[EOP]:[EOP]])), t_Parts[[SetupHrsPerMo]:[SetupHrsPerMo]]+(t_Parts[[#This Row],[pv2016.08]]/t_Parts[[NetPPH]:[NetPPH]]),0)</f>
        <v>71.009137529137519</v>
      </c>
      <c r="DM63" s="39">
        <f>IF(AND(BG$3&gt;=VALUE(t_Parts[[SOP]:[SOP]]),BG$3&lt;=VALUE(t_Parts[[EOP]:[EOP]])), t_Parts[[SetupHrsPerMo]:[SetupHrsPerMo]]+(t_Parts[[#This Row],[pv2016.09]]/t_Parts[[NetPPH]:[NetPPH]]),0)</f>
        <v>87.761421911421905</v>
      </c>
      <c r="DN63" s="39">
        <f>IF(AND(BH$3&gt;=VALUE(t_Parts[[SOP]:[SOP]]),BH$3&lt;=VALUE(t_Parts[[EOP]:[EOP]])), t_Parts[[SetupHrsPerMo]:[SetupHrsPerMo]]+(t_Parts[[#This Row],[pv2016.10]]/t_Parts[[NetPPH]:[NetPPH]]),0)</f>
        <v>71.009137529137519</v>
      </c>
      <c r="DO63" s="39">
        <f>IF(AND(BI$3&gt;=VALUE(t_Parts[[SOP]:[SOP]]),BI$3&lt;=VALUE(t_Parts[[EOP]:[EOP]])), t_Parts[[SetupHrsPerMo]:[SetupHrsPerMo]]+(t_Parts[[#This Row],[pv2016.11]]/t_Parts[[NetPPH]:[NetPPH]]),0)</f>
        <v>71.009137529137519</v>
      </c>
      <c r="DP63" s="39">
        <f>IF(AND(BJ$3&gt;=VALUE(t_Parts[[SOP]:[SOP]]),BJ$3&lt;=VALUE(t_Parts[[EOP]:[EOP]])), t_Parts[[SetupHrsPerMo]:[SetupHrsPerMo]]+(t_Parts[[#This Row],[pv2016.12]]/t_Parts[[NetPPH]:[NetPPH]]),0)</f>
        <v>87.761421911421905</v>
      </c>
      <c r="DQ63" s="39">
        <f>SUM(t_Parts[[#This Row],[hp2016.01]:[hp2016.12]])</f>
        <v>919.11878787878777</v>
      </c>
      <c r="DR63" s="39">
        <f>IF(AND(BL$3&gt;=VALUE(t_Parts[[SOP]:[SOP]]),BL$3&lt;=VALUE(t_Parts[[EOP]:[EOP]])), 12*t_Parts[[SetupHrsPerMo]:[SetupHrsPerMo]]+(t_Parts[[#This Row],[pv2017]]/t_Parts[[NetPPH]:[NetPPH]]),0)</f>
        <v>919.11878787878777</v>
      </c>
      <c r="DS63" s="39">
        <f>IF(AND(BM$3&gt;=VALUE(t_Parts[[SOP]:[SOP]]),BM$3&lt;=VALUE(t_Parts[[EOP]:[EOP]])), 12*t_Parts[[SetupHrsPerMo]:[SetupHrsPerMo]]+(t_Parts[[#This Row],[pv2018]]/t_Parts[[NetPPH]:[NetPPH]]),0)</f>
        <v>919.11878787878777</v>
      </c>
      <c r="DT63" s="39">
        <f>IF(AND(BN$3&gt;=VALUE(t_Parts[[SOP]:[SOP]]),BN$3&lt;=VALUE(t_Parts[[EOP]:[EOP]])), 12*t_Parts[[SetupHrsPerMo]:[SetupHrsPerMo]]+(t_Parts[[#This Row],[pv2019]]/t_Parts[[NetPPH]:[NetPPH]]),0)</f>
        <v>919.11878787878777</v>
      </c>
      <c r="DU63" s="47">
        <f>t_Parts[[#This Row],[hp2015.01]]/t_Parts[[#This Row],[ha2015.01]]</f>
        <v>0.25360406260406254</v>
      </c>
      <c r="DV63" s="47">
        <f>t_Parts[[#This Row],[hp2015.02]]/t_Parts[[#This Row],[ha2015.02]]</f>
        <v>0.25360406260406254</v>
      </c>
      <c r="DW63" s="47">
        <f>t_Parts[[#This Row],[hp2015.03]]/t_Parts[[#This Row],[ha2015.03]]</f>
        <v>0.25074691974691971</v>
      </c>
      <c r="DX63" s="47">
        <f>t_Parts[[#This Row],[hp2015.04]]/t_Parts[[#This Row],[ha2015.04]]</f>
        <v>0.25360406260406254</v>
      </c>
      <c r="DY63" s="47">
        <f>t_Parts[[#This Row],[hp2015.05]]/t_Parts[[#This Row],[ha2015.05]]</f>
        <v>0.25360406260406254</v>
      </c>
      <c r="DZ63" s="47">
        <f>t_Parts[[#This Row],[hp2015.06]]/t_Parts[[#This Row],[ha2015.06]]</f>
        <v>0.25074691974691971</v>
      </c>
      <c r="EA63" s="47">
        <f>t_Parts[[#This Row],[hp2015.07]]/t_Parts[[#This Row],[ha2015.07]]</f>
        <v>0.25360406260406254</v>
      </c>
      <c r="EB63" s="47">
        <f>t_Parts[[#This Row],[hp2015.08]]/t_Parts[[#This Row],[ha2015.08]]</f>
        <v>0.25360406260406254</v>
      </c>
      <c r="EC63" s="47">
        <f>t_Parts[[#This Row],[hp2015.09]]/t_Parts[[#This Row],[ha2015.09]]</f>
        <v>0.25074691974691971</v>
      </c>
      <c r="ED63" s="47">
        <f>t_Parts[[#This Row],[hp2015.10]]/t_Parts[[#This Row],[ha2015.10]]</f>
        <v>0.25360406260406254</v>
      </c>
      <c r="EE63" s="47">
        <f>t_Parts[[#This Row],[hp2015.11]]/t_Parts[[#This Row],[ha2015.11]]</f>
        <v>0.25360406260406254</v>
      </c>
      <c r="EF63" s="47">
        <f>t_Parts[[#This Row],[hp2015.12]]/t_Parts[[#This Row],[ha2015.12]]</f>
        <v>0.25074691974691971</v>
      </c>
      <c r="EG63" s="47">
        <f>t_Parts[[#This Row],[hp2015.FY]]/t_Parts[[#This Row],[ha2015.FY]]</f>
        <v>0.2525051615051615</v>
      </c>
      <c r="EH63" s="47">
        <f>t_Parts[[#This Row],[hp2016.01]]/t_Parts[[#This Row],[ha2016.01]]</f>
        <v>0.25360406260406254</v>
      </c>
      <c r="EI63" s="47">
        <f>t_Parts[[#This Row],[hp2016.02]]/t_Parts[[#This Row],[ha2016.02]]</f>
        <v>0.25360406260406254</v>
      </c>
      <c r="EJ63" s="47">
        <f>t_Parts[[#This Row],[hp2016.03]]/t_Parts[[#This Row],[ha2016.03]]</f>
        <v>0.25074691974691971</v>
      </c>
      <c r="EK63" s="47">
        <f>t_Parts[[#This Row],[hp2016.04]]/t_Parts[[#This Row],[ha2016.04]]</f>
        <v>0.25360406260406254</v>
      </c>
      <c r="EL63" s="47">
        <f>t_Parts[[#This Row],[hp2016.05]]/t_Parts[[#This Row],[ha2016.05]]</f>
        <v>0.25360406260406254</v>
      </c>
      <c r="EM63" s="47">
        <f>t_Parts[[#This Row],[hp2016.06]]/t_Parts[[#This Row],[ha2016.06]]</f>
        <v>0.25074691974691971</v>
      </c>
      <c r="EN63" s="47">
        <f>t_Parts[[#This Row],[hp2016.07]]/t_Parts[[#This Row],[ha2016.07]]</f>
        <v>0.25360406260406254</v>
      </c>
      <c r="EO63" s="47">
        <f>t_Parts[[#This Row],[hp2016.08]]/t_Parts[[#This Row],[ha2016.08]]</f>
        <v>0.25360406260406254</v>
      </c>
      <c r="EP63" s="47">
        <f>t_Parts[[#This Row],[hp2016.09]]/t_Parts[[#This Row],[ha2016.09]]</f>
        <v>0.25074691974691971</v>
      </c>
      <c r="EQ63" s="47">
        <f>t_Parts[[#This Row],[hp2016.10]]/t_Parts[[#This Row],[ha2016.10]]</f>
        <v>0.25360406260406254</v>
      </c>
      <c r="ER63" s="47">
        <f>t_Parts[[#This Row],[hp2016.11]]/t_Parts[[#This Row],[ha2016.11]]</f>
        <v>0.25360406260406254</v>
      </c>
      <c r="ES63" s="47">
        <f>t_Parts[[#This Row],[hp2016.12]]/t_Parts[[#This Row],[ha2016.12]]</f>
        <v>0.25074691974691971</v>
      </c>
      <c r="ET63" s="47">
        <f>t_Parts[[#This Row],[hp2016.FY]]/t_Parts[[#This Row],[ha2016.FY]]</f>
        <v>0.2525051615051615</v>
      </c>
      <c r="EU63" s="47">
        <f>t_Parts[[#This Row],[hp2017]]/t_Parts[[#This Row],[ha2017]]</f>
        <v>0.2525051615051615</v>
      </c>
      <c r="EV63" s="47">
        <f>t_Parts[[#This Row],[hp2018]]/t_Parts[[#This Row],[ha2018]]</f>
        <v>0.2525051615051615</v>
      </c>
      <c r="EW63" s="47">
        <f>t_Parts[[#This Row],[hp2019]]/t_Parts[[#This Row],[hp2015.01]]</f>
        <v>12.943669221466623</v>
      </c>
      <c r="EX63" s="58">
        <f>(t_Parts[[#This Row],[ha2015.01]]-t_Parts[[#This Row],[hp2015.01]])*t_Parts[[NetPPH]:[NetPPH]]</f>
        <v>172417.46153846156</v>
      </c>
      <c r="EY63" s="58">
        <f>(t_Parts[[#This Row],[ha2015.02]]-t_Parts[[#This Row],[hp2015.02]])*t_Parts[[NetPPH]:[NetPPH]]</f>
        <v>172417.46153846156</v>
      </c>
      <c r="EZ63" s="58">
        <f>(t_Parts[[#This Row],[ha2015.03]]-t_Parts[[#This Row],[hp2015.03]])*t_Parts[[NetPPH]:[NetPPH]]</f>
        <v>216346.82692307697</v>
      </c>
      <c r="FA63" s="58">
        <f>(t_Parts[[#This Row],[ha2015.04]]-t_Parts[[#This Row],[hp2015.04]])*t_Parts[[NetPPH]:[NetPPH]]</f>
        <v>172417.46153846156</v>
      </c>
      <c r="FB63" s="58">
        <f>(t_Parts[[#This Row],[ha2015.05]]-t_Parts[[#This Row],[hp2015.05]])*t_Parts[[NetPPH]:[NetPPH]]</f>
        <v>172417.46153846156</v>
      </c>
      <c r="FC63" s="58">
        <f>(t_Parts[[#This Row],[ha2015.06]]-t_Parts[[#This Row],[hp2015.06]])*t_Parts[[NetPPH]:[NetPPH]]</f>
        <v>216346.82692307697</v>
      </c>
      <c r="FD63" s="58">
        <f>(t_Parts[[#This Row],[ha2015.07]]-t_Parts[[#This Row],[hp2015.07]])*t_Parts[[NetPPH]:[NetPPH]]</f>
        <v>172417.46153846156</v>
      </c>
      <c r="FE63" s="58">
        <f>(t_Parts[[#This Row],[ha2015.08]]-t_Parts[[#This Row],[hp2015.08]])*t_Parts[[NetPPH]:[NetPPH]]</f>
        <v>172417.46153846156</v>
      </c>
      <c r="FF63" s="58">
        <f>(t_Parts[[#This Row],[ha2015.09]]-t_Parts[[#This Row],[hp2015.09]])*t_Parts[[NetPPH]:[NetPPH]]</f>
        <v>216346.82692307697</v>
      </c>
      <c r="FG63" s="58">
        <f>(t_Parts[[#This Row],[ha2015.10]]-t_Parts[[#This Row],[hp2015.10]])*t_Parts[[NetPPH]:[NetPPH]]</f>
        <v>172417.46153846156</v>
      </c>
      <c r="FH63" s="58">
        <f>(t_Parts[[#This Row],[ha2015.11]]-t_Parts[[#This Row],[hp2015.11]])*t_Parts[[NetPPH]:[NetPPH]]</f>
        <v>172417.46153846156</v>
      </c>
      <c r="FI63" s="58">
        <f>(t_Parts[[#This Row],[ha2015.12]]-t_Parts[[#This Row],[hp2015.12]])*t_Parts[[NetPPH]:[NetPPH]]</f>
        <v>216346.82692307697</v>
      </c>
      <c r="FJ63" s="58">
        <f>(t_Parts[[#This Row],[ha2015.FY]]-t_Parts[[#This Row],[hp2015.FY]])*t_Parts[[NetPPH]:[NetPPH]]</f>
        <v>2244727.0000000005</v>
      </c>
      <c r="FK63" s="58">
        <f>(t_Parts[[#This Row],[ha2016.01]]-t_Parts[[#This Row],[hp2016.01]])*t_Parts[[NetPPH]:[NetPPH]]</f>
        <v>172417.46153846156</v>
      </c>
      <c r="FL63" s="58">
        <f>(t_Parts[[#This Row],[ha2016.02]]-t_Parts[[#This Row],[hp2016.02]])*t_Parts[[NetPPH]:[NetPPH]]</f>
        <v>172417.46153846156</v>
      </c>
      <c r="FM63" s="58">
        <f>(t_Parts[[#This Row],[ha2016.03]]-t_Parts[[#This Row],[hp2016.03]])*t_Parts[[NetPPH]:[NetPPH]]</f>
        <v>216346.82692307697</v>
      </c>
      <c r="FN63" s="58">
        <f>(t_Parts[[#This Row],[ha2016.04]]-t_Parts[[#This Row],[hp2016.04]])*t_Parts[[NetPPH]:[NetPPH]]</f>
        <v>172417.46153846156</v>
      </c>
      <c r="FO63" s="58">
        <f>(t_Parts[[#This Row],[ha2016.05]]-t_Parts[[#This Row],[hp2016.05]])*t_Parts[[NetPPH]:[NetPPH]]</f>
        <v>172417.46153846156</v>
      </c>
      <c r="FP63" s="58">
        <f>(t_Parts[[#This Row],[ha2016.06]]-t_Parts[[#This Row],[hp2016.06]])*t_Parts[[NetPPH]:[NetPPH]]</f>
        <v>216346.82692307697</v>
      </c>
      <c r="FQ63" s="58">
        <f>(t_Parts[[#This Row],[ha2016.07]]-t_Parts[[#This Row],[hp2016.07]])*t_Parts[[NetPPH]:[NetPPH]]</f>
        <v>172417.46153846156</v>
      </c>
      <c r="FR63" s="58">
        <f>(t_Parts[[#This Row],[ha2016.08]]-t_Parts[[#This Row],[hp2016.08]])*t_Parts[[NetPPH]:[NetPPH]]</f>
        <v>172417.46153846156</v>
      </c>
      <c r="FS63" s="58">
        <f>(t_Parts[[#This Row],[ha2016.09]]-t_Parts[[#This Row],[hp2016.09]])*t_Parts[[NetPPH]:[NetPPH]]</f>
        <v>216346.82692307697</v>
      </c>
      <c r="FT63" s="58">
        <f>(t_Parts[[#This Row],[ha2016.10]]-t_Parts[[#This Row],[hp2016.10]])*t_Parts[[NetPPH]:[NetPPH]]</f>
        <v>172417.46153846156</v>
      </c>
      <c r="FU63" s="58">
        <f>(t_Parts[[#This Row],[ha2016.11]]-t_Parts[[#This Row],[hp2016.11]])*t_Parts[[NetPPH]:[NetPPH]]</f>
        <v>172417.46153846156</v>
      </c>
      <c r="FV63" s="58">
        <f>(t_Parts[[#This Row],[ha2016.12]]-t_Parts[[#This Row],[hp2016.12]])*t_Parts[[NetPPH]:[NetPPH]]</f>
        <v>216346.82692307697</v>
      </c>
      <c r="FW63" s="58">
        <f>(t_Parts[[#This Row],[ha2016.FY]]-t_Parts[[#This Row],[hp2016.FY]])*t_Parts[[NetPPH]:[NetPPH]]</f>
        <v>2244727.0000000005</v>
      </c>
      <c r="FX63" s="58">
        <f>(t_Parts[[#This Row],[ha2017]]-t_Parts[[#This Row],[hp2017]])*t_Parts[[NetPPH]:[NetPPH]]</f>
        <v>2244727.0000000005</v>
      </c>
      <c r="FY63" s="58">
        <f>(t_Parts[[#This Row],[ha2018]]-t_Parts[[#This Row],[hp2018]])*t_Parts[[NetPPH]:[NetPPH]]</f>
        <v>2244727.0000000005</v>
      </c>
      <c r="FZ63" s="58">
        <f>(t_Parts[[#This Row],[ha2019]]-t_Parts[[#This Row],[hp2019]])*t_Parts[[NetPPH]:[NetPPH]]</f>
        <v>2244727.0000000005</v>
      </c>
    </row>
    <row r="64" spans="1:182" s="14" customFormat="1" x14ac:dyDescent="0.25">
      <c r="A64" s="74">
        <v>97044</v>
      </c>
      <c r="B64" s="74"/>
      <c r="C64" s="74">
        <v>21015</v>
      </c>
      <c r="D64" s="75">
        <v>1</v>
      </c>
      <c r="E64" s="73">
        <v>960</v>
      </c>
      <c r="F64" s="76">
        <v>1</v>
      </c>
      <c r="G64" s="77">
        <v>4</v>
      </c>
      <c r="H64" s="16">
        <v>2015.01</v>
      </c>
      <c r="I64" s="16" t="s">
        <v>96</v>
      </c>
      <c r="J64" s="73">
        <v>718673</v>
      </c>
      <c r="K64" s="73">
        <v>718673</v>
      </c>
      <c r="L64" s="73">
        <v>718673</v>
      </c>
      <c r="M64" s="73">
        <v>718673</v>
      </c>
      <c r="N64" s="73">
        <v>718673</v>
      </c>
      <c r="O64" s="78">
        <v>72</v>
      </c>
      <c r="P64" s="78">
        <v>140</v>
      </c>
      <c r="Q64" s="79">
        <v>34</v>
      </c>
      <c r="R64" s="79"/>
      <c r="S64" s="78">
        <v>550</v>
      </c>
      <c r="T64" s="80">
        <v>28</v>
      </c>
      <c r="U64" s="80" t="s">
        <v>121</v>
      </c>
      <c r="V64" s="81" t="s">
        <v>666</v>
      </c>
      <c r="W64" s="82">
        <v>6.64</v>
      </c>
      <c r="X64" s="82" t="s">
        <v>608</v>
      </c>
      <c r="Y64" s="82"/>
      <c r="Z64" s="82"/>
      <c r="AA64" s="82"/>
      <c r="AB64" s="82"/>
      <c r="AC64" s="83" t="s">
        <v>667</v>
      </c>
      <c r="AD64" s="40" t="str">
        <f>VLOOKUP(t_Parts[[#This Row],[Press]],t_Presses[],Press!B$1,FALSE)</f>
        <v>Plainfield</v>
      </c>
      <c r="AE64" s="40" t="str">
        <f>VLOOKUP(t_Parts[[#This Row],[Press]],t_Presses[],Press!E$1,FALSE)</f>
        <v>900-1199</v>
      </c>
      <c r="AF64" s="47">
        <f>VLOOKUP(t_Parts[[#This Row],[Plant]],t_Plants[],Plants!C$1,FALSE)</f>
        <v>0.55000000000000004</v>
      </c>
      <c r="AG64" s="47">
        <f>VLOOKUP(t_Parts[[#This Row],[Press]],t_Presses[],Press!F$1,FALSE)</f>
        <v>0</v>
      </c>
      <c r="AH64" s="84"/>
      <c r="AI64" s="47">
        <f>IF(ISBLANK(t_Parts[[#This Row],[PartOEE]])=FALSE,t_Parts[[#This Row],[PartOEE]], IF(t_Parts[[#This Row],[PressOEE]]&gt;0, t_Parts[[#This Row],[PressOEE]], t_Parts[[#This Row],[PlantOEE]] ))</f>
        <v>0.55000000000000004</v>
      </c>
      <c r="AJ64" s="70">
        <f>t_Parts[[#This Row],[SetupsPerMo]]*t_Parts[[#This Row],[SetupHrs]]</f>
        <v>4</v>
      </c>
      <c r="AK64" s="39">
        <f>(t_Parts[[#This Row],[PartsPerStroke]]*t_Parts[[#This Row],[StrokesPerHr]])*t_Parts[[#This Row],[UseOEE]]</f>
        <v>528</v>
      </c>
      <c r="AL6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55282.538461538461</v>
      </c>
      <c r="AM6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55282.538461538461</v>
      </c>
      <c r="AN6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69103.173076923078</v>
      </c>
      <c r="AO6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55282.538461538461</v>
      </c>
      <c r="AP6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55282.538461538461</v>
      </c>
      <c r="AQ6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69103.173076923078</v>
      </c>
      <c r="AR6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55282.538461538461</v>
      </c>
      <c r="AS6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55282.538461538461</v>
      </c>
      <c r="AT6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69103.173076923078</v>
      </c>
      <c r="AU6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55282.538461538461</v>
      </c>
      <c r="AV6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6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64" s="39">
        <f>SUM(t_Parts[[#This Row],[pv2015.01]:[pv2015.12]])</f>
        <v>594287.2884615385</v>
      </c>
      <c r="AY6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6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6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6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6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6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6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6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6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6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6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6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64" s="39">
        <f>SUM(t_Parts[[#This Row],[pv2016.01]:[pv2016.12]])</f>
        <v>0</v>
      </c>
      <c r="BL64" s="39">
        <f>t_Parts[[#This Row],[2017vol]]</f>
        <v>718673</v>
      </c>
      <c r="BM64" s="39">
        <f>t_Parts[[#This Row],[2018vol]]</f>
        <v>718673</v>
      </c>
      <c r="BN64" s="39">
        <f>t_Parts[[#This Row],[2019vol]]</f>
        <v>718673</v>
      </c>
      <c r="BO64" s="40">
        <f>VLOOKUP(t_Parts[[Plant]:[Plant]],t_Plants[],Plants!CN$1,FALSE)</f>
        <v>280</v>
      </c>
      <c r="BP64" s="14">
        <f>VLOOKUP(t_Parts[[Plant]:[Plant]],t_Plants[],Plants!CO$1,FALSE)</f>
        <v>280</v>
      </c>
      <c r="BQ64" s="14">
        <f>VLOOKUP(t_Parts[[Plant]:[Plant]],t_Plants[],Plants!CP$1,FALSE)</f>
        <v>350</v>
      </c>
      <c r="BR64" s="14">
        <f>VLOOKUP(t_Parts[[Plant]:[Plant]],t_Plants[],Plants!CQ$1,FALSE)</f>
        <v>280</v>
      </c>
      <c r="BS64" s="14">
        <f>VLOOKUP(t_Parts[[Plant]:[Plant]],t_Plants[],Plants!CR$1,FALSE)</f>
        <v>280</v>
      </c>
      <c r="BT64" s="14">
        <f>VLOOKUP(t_Parts[[Plant]:[Plant]],t_Plants[],Plants!CS$1,FALSE)</f>
        <v>350</v>
      </c>
      <c r="BU64" s="14">
        <f>VLOOKUP(t_Parts[[Plant]:[Plant]],t_Plants[],Plants!CT$1,FALSE)</f>
        <v>280</v>
      </c>
      <c r="BV64" s="14">
        <f>VLOOKUP(t_Parts[[Plant]:[Plant]],t_Plants[],Plants!CU$1,FALSE)</f>
        <v>280</v>
      </c>
      <c r="BW64" s="14">
        <f>VLOOKUP(t_Parts[[Plant]:[Plant]],t_Plants[],Plants!CV$1,FALSE)</f>
        <v>350</v>
      </c>
      <c r="BX64" s="14">
        <f>VLOOKUP(t_Parts[[Plant]:[Plant]],t_Plants[],Plants!CW$1,FALSE)</f>
        <v>280</v>
      </c>
      <c r="BY64" s="14">
        <f>VLOOKUP(t_Parts[[Plant]:[Plant]],t_Plants[],Plants!CX$1,FALSE)</f>
        <v>280</v>
      </c>
      <c r="BZ64" s="14">
        <f>VLOOKUP(t_Parts[[Plant]:[Plant]],t_Plants[],Plants!CY$1,FALSE)</f>
        <v>350</v>
      </c>
      <c r="CA64" s="40">
        <f>SUM(t_Parts[[#This Row],[ha2015.01]:[ha2015.12]])</f>
        <v>3640</v>
      </c>
      <c r="CB64" s="14">
        <f>VLOOKUP(t_Parts[[Plant]:[Plant]],t_Plants[],Plants!DA$1,FALSE)</f>
        <v>280</v>
      </c>
      <c r="CC64" s="14">
        <f>VLOOKUP(t_Parts[[Plant]:[Plant]],t_Plants[],Plants!DB$1,FALSE)</f>
        <v>280</v>
      </c>
      <c r="CD64" s="14">
        <f>VLOOKUP(t_Parts[[Plant]:[Plant]],t_Plants[],Plants!DC$1,FALSE)</f>
        <v>350</v>
      </c>
      <c r="CE64" s="14">
        <f>VLOOKUP(t_Parts[[Plant]:[Plant]],t_Plants[],Plants!DD$1,FALSE)</f>
        <v>280</v>
      </c>
      <c r="CF64" s="14">
        <f>VLOOKUP(t_Parts[[Plant]:[Plant]],t_Plants[],Plants!DE$1,FALSE)</f>
        <v>280</v>
      </c>
      <c r="CG64" s="14">
        <f>VLOOKUP(t_Parts[[Plant]:[Plant]],t_Plants[],Plants!DF$1,FALSE)</f>
        <v>350</v>
      </c>
      <c r="CH64" s="14">
        <f>VLOOKUP(t_Parts[[Plant]:[Plant]],t_Plants[],Plants!DG$1,FALSE)</f>
        <v>280</v>
      </c>
      <c r="CI64" s="14">
        <f>VLOOKUP(t_Parts[[Plant]:[Plant]],t_Plants[],Plants!DH$1,FALSE)</f>
        <v>280</v>
      </c>
      <c r="CJ64" s="14">
        <f>VLOOKUP(t_Parts[[Plant]:[Plant]],t_Plants[],Plants!DI$1,FALSE)</f>
        <v>350</v>
      </c>
      <c r="CK64" s="14">
        <f>VLOOKUP(t_Parts[[Plant]:[Plant]],t_Plants[],Plants!DJ$1,FALSE)</f>
        <v>280</v>
      </c>
      <c r="CL64" s="14">
        <f>VLOOKUP(t_Parts[[Plant]:[Plant]],t_Plants[],Plants!DK$1,FALSE)</f>
        <v>280</v>
      </c>
      <c r="CM64" s="14">
        <f>VLOOKUP(t_Parts[[Plant]:[Plant]],t_Plants[],Plants!DL$1,FALSE)</f>
        <v>350</v>
      </c>
      <c r="CN64" s="14">
        <f>VLOOKUP(t_Parts[[Plant]:[Plant]],t_Plants[],Plants!DM$1,FALSE)</f>
        <v>3640</v>
      </c>
      <c r="CO64" s="14">
        <f>VLOOKUP(t_Parts[[Plant]:[Plant]],t_Plants[],Plants!DN$1,FALSE)</f>
        <v>3640</v>
      </c>
      <c r="CP64" s="14">
        <f>VLOOKUP(t_Parts[[Plant]:[Plant]],t_Plants[],Plants!DO$1,FALSE)</f>
        <v>3640</v>
      </c>
      <c r="CQ64" s="14">
        <f>VLOOKUP(t_Parts[[Plant]:[Plant]],t_Plants[],Plants!DP$1,FALSE)</f>
        <v>3640</v>
      </c>
      <c r="CR64" s="39">
        <f>IF(AND(AL$3&gt;=VALUE(t_Parts[[SOP]:[SOP]]),AL$3&lt;=VALUE(t_Parts[[EOP]:[EOP]])), t_Parts[[SetupHrsPerMo]:[SetupHrsPerMo]]+(t_Parts[[#This Row],[pv2015.01]]/t_Parts[[NetPPH]:[NetPPH]]),0)</f>
        <v>108.70177738927738</v>
      </c>
      <c r="CS64" s="39">
        <f>IF(AND(AM$3&gt;=VALUE(t_Parts[[SOP]:[SOP]]),AM$3&lt;=VALUE(t_Parts[[EOP]:[EOP]])), t_Parts[[SetupHrsPerMo]:[SetupHrsPerMo]]+(t_Parts[[#This Row],[pv2015.02]]/t_Parts[[NetPPH]:[NetPPH]]),0)</f>
        <v>108.70177738927738</v>
      </c>
      <c r="CT64" s="39">
        <f>IF(AND(AN$3&gt;=VALUE(t_Parts[[SOP]:[SOP]]),AN$3&lt;=VALUE(t_Parts[[EOP]:[EOP]])), t_Parts[[SetupHrsPerMo]:[SetupHrsPerMo]]+(t_Parts[[#This Row],[pv2015.03]]/t_Parts[[NetPPH]:[NetPPH]]),0)</f>
        <v>134.87722173659674</v>
      </c>
      <c r="CU64" s="39">
        <f>IF(AND(AO$3&gt;=VALUE(t_Parts[[SOP]:[SOP]]),AO$3&lt;=VALUE(t_Parts[[EOP]:[EOP]])), t_Parts[[SetupHrsPerMo]:[SetupHrsPerMo]]+(t_Parts[[#This Row],[pv2015.04]]/t_Parts[[NetPPH]:[NetPPH]]),0)</f>
        <v>108.70177738927738</v>
      </c>
      <c r="CV64" s="39">
        <f>IF(AND(AP$3&gt;=VALUE(t_Parts[[SOP]:[SOP]]),AP$3&lt;=VALUE(t_Parts[[EOP]:[EOP]])), t_Parts[[SetupHrsPerMo]:[SetupHrsPerMo]]+(t_Parts[[#This Row],[pv2015.05]]/t_Parts[[NetPPH]:[NetPPH]]),0)</f>
        <v>108.70177738927738</v>
      </c>
      <c r="CW64" s="39">
        <f>IF(AND(AQ$3&gt;=VALUE(t_Parts[[SOP]:[SOP]]),AQ$3&lt;=VALUE(t_Parts[[EOP]:[EOP]])), t_Parts[[SetupHrsPerMo]:[SetupHrsPerMo]]+(t_Parts[[#This Row],[pv2015.06]]/t_Parts[[NetPPH]:[NetPPH]]),0)</f>
        <v>134.87722173659674</v>
      </c>
      <c r="CX64" s="39">
        <f>IF(AND(AR$3&gt;=VALUE(t_Parts[[SOP]:[SOP]]),AR$3&lt;=VALUE(t_Parts[[EOP]:[EOP]])), t_Parts[[SetupHrsPerMo]:[SetupHrsPerMo]]+(t_Parts[[#This Row],[pv2015.07]]/t_Parts[[NetPPH]:[NetPPH]]),0)</f>
        <v>108.70177738927738</v>
      </c>
      <c r="CY64" s="39">
        <f>IF(AND(AS$3&gt;=VALUE(t_Parts[[SOP]:[SOP]]),AS$3&lt;=VALUE(t_Parts[[EOP]:[EOP]])), t_Parts[[SetupHrsPerMo]:[SetupHrsPerMo]]+(t_Parts[[#This Row],[pv2015.08]]/t_Parts[[NetPPH]:[NetPPH]]),0)</f>
        <v>108.70177738927738</v>
      </c>
      <c r="CZ64" s="39">
        <f>IF(AND(AT$3&gt;=VALUE(t_Parts[[SOP]:[SOP]]),AT$3&lt;=VALUE(t_Parts[[EOP]:[EOP]])), t_Parts[[SetupHrsPerMo]:[SetupHrsPerMo]]+(t_Parts[[#This Row],[pv2015.09]]/t_Parts[[NetPPH]:[NetPPH]]),0)</f>
        <v>134.87722173659674</v>
      </c>
      <c r="DA64" s="39">
        <f>IF(AND(AU$3&gt;=VALUE(t_Parts[[SOP]:[SOP]]),AU$3&lt;=VALUE(t_Parts[[EOP]:[EOP]])), t_Parts[[SetupHrsPerMo]:[SetupHrsPerMo]]+(t_Parts[[#This Row],[pv2015.10]]/t_Parts[[NetPPH]:[NetPPH]]),0)</f>
        <v>108.70177738927738</v>
      </c>
      <c r="DB64" s="39">
        <f>IF(AND(AV$3&gt;=VALUE(t_Parts[[SOP]:[SOP]]),AV$3&lt;=VALUE(t_Parts[[EOP]:[EOP]])), t_Parts[[SetupHrsPerMo]:[SetupHrsPerMo]]+(t_Parts[[#This Row],[pv2015.11]]/t_Parts[[NetPPH]:[NetPPH]]),0)</f>
        <v>0</v>
      </c>
      <c r="DC64" s="39">
        <f>IF(AND(AW$3&gt;=VALUE(t_Parts[[SOP]:[SOP]]),AW$3&lt;=VALUE(t_Parts[[EOP]:[EOP]])), t_Parts[[SetupHrsPerMo]:[SetupHrsPerMo]]+(t_Parts[[#This Row],[pv2015.12]]/t_Parts[[NetPPH]:[NetPPH]]),0)</f>
        <v>0</v>
      </c>
      <c r="DD64" s="39">
        <f>SUM(t_Parts[[#This Row],[hp2015.01]:[hp2015.12]])</f>
        <v>1165.5441069347319</v>
      </c>
      <c r="DE64" s="39">
        <f>IF(AND(AY$3&gt;=VALUE(t_Parts[[SOP]:[SOP]]),AY$3&lt;=VALUE(t_Parts[[EOP]:[EOP]])), t_Parts[[SetupHrsPerMo]:[SetupHrsPerMo]]+(t_Parts[[#This Row],[pv2016.01]]/t_Parts[[NetPPH]:[NetPPH]]),0)</f>
        <v>0</v>
      </c>
      <c r="DF64" s="39">
        <f>IF(AND(AZ$3&gt;=VALUE(t_Parts[[SOP]:[SOP]]),AZ$3&lt;=VALUE(t_Parts[[EOP]:[EOP]])), t_Parts[[SetupHrsPerMo]:[SetupHrsPerMo]]+(t_Parts[[#This Row],[pv2016.02]]/t_Parts[[NetPPH]:[NetPPH]]),0)</f>
        <v>0</v>
      </c>
      <c r="DG64" s="39">
        <f>IF(AND(BA$3&gt;=VALUE(t_Parts[[SOP]:[SOP]]),BA$3&lt;=VALUE(t_Parts[[EOP]:[EOP]])), t_Parts[[SetupHrsPerMo]:[SetupHrsPerMo]]+(t_Parts[[#This Row],[pv2016.03]]/t_Parts[[NetPPH]:[NetPPH]]),0)</f>
        <v>0</v>
      </c>
      <c r="DH64" s="39">
        <f>IF(AND(BB$3&gt;=VALUE(t_Parts[[SOP]:[SOP]]),BB$3&lt;=VALUE(t_Parts[[EOP]:[EOP]])), t_Parts[[SetupHrsPerMo]:[SetupHrsPerMo]]+(t_Parts[[#This Row],[pv2016.04]]/t_Parts[[NetPPH]:[NetPPH]]),0)</f>
        <v>0</v>
      </c>
      <c r="DI64" s="39">
        <f>IF(AND(BC$3&gt;=VALUE(t_Parts[[SOP]:[SOP]]),BC$3&lt;=VALUE(t_Parts[[EOP]:[EOP]])), t_Parts[[SetupHrsPerMo]:[SetupHrsPerMo]]+(t_Parts[[#This Row],[pv2016.05]]/t_Parts[[NetPPH]:[NetPPH]]),0)</f>
        <v>0</v>
      </c>
      <c r="DJ64" s="39">
        <f>IF(AND(BD$3&gt;=VALUE(t_Parts[[SOP]:[SOP]]),BD$3&lt;=VALUE(t_Parts[[EOP]:[EOP]])), t_Parts[[SetupHrsPerMo]:[SetupHrsPerMo]]+(t_Parts[[#This Row],[pv2016.06]]/t_Parts[[NetPPH]:[NetPPH]]),0)</f>
        <v>0</v>
      </c>
      <c r="DK64" s="39">
        <f>IF(AND(BE$3&gt;=VALUE(t_Parts[[SOP]:[SOP]]),BE$3&lt;=VALUE(t_Parts[[EOP]:[EOP]])), t_Parts[[SetupHrsPerMo]:[SetupHrsPerMo]]+(t_Parts[[#This Row],[pv2016.07]]/t_Parts[[NetPPH]:[NetPPH]]),0)</f>
        <v>0</v>
      </c>
      <c r="DL64" s="39">
        <f>IF(AND(BF$3&gt;=VALUE(t_Parts[[SOP]:[SOP]]),BF$3&lt;=VALUE(t_Parts[[EOP]:[EOP]])), t_Parts[[SetupHrsPerMo]:[SetupHrsPerMo]]+(t_Parts[[#This Row],[pv2016.08]]/t_Parts[[NetPPH]:[NetPPH]]),0)</f>
        <v>0</v>
      </c>
      <c r="DM64" s="39">
        <f>IF(AND(BG$3&gt;=VALUE(t_Parts[[SOP]:[SOP]]),BG$3&lt;=VALUE(t_Parts[[EOP]:[EOP]])), t_Parts[[SetupHrsPerMo]:[SetupHrsPerMo]]+(t_Parts[[#This Row],[pv2016.09]]/t_Parts[[NetPPH]:[NetPPH]]),0)</f>
        <v>0</v>
      </c>
      <c r="DN64" s="39">
        <f>IF(AND(BH$3&gt;=VALUE(t_Parts[[SOP]:[SOP]]),BH$3&lt;=VALUE(t_Parts[[EOP]:[EOP]])), t_Parts[[SetupHrsPerMo]:[SetupHrsPerMo]]+(t_Parts[[#This Row],[pv2016.10]]/t_Parts[[NetPPH]:[NetPPH]]),0)</f>
        <v>0</v>
      </c>
      <c r="DO64" s="39">
        <f>IF(AND(BI$3&gt;=VALUE(t_Parts[[SOP]:[SOP]]),BI$3&lt;=VALUE(t_Parts[[EOP]:[EOP]])), t_Parts[[SetupHrsPerMo]:[SetupHrsPerMo]]+(t_Parts[[#This Row],[pv2016.11]]/t_Parts[[NetPPH]:[NetPPH]]),0)</f>
        <v>0</v>
      </c>
      <c r="DP64" s="39">
        <f>IF(AND(BJ$3&gt;=VALUE(t_Parts[[SOP]:[SOP]]),BJ$3&lt;=VALUE(t_Parts[[EOP]:[EOP]])), t_Parts[[SetupHrsPerMo]:[SetupHrsPerMo]]+(t_Parts[[#This Row],[pv2016.12]]/t_Parts[[NetPPH]:[NetPPH]]),0)</f>
        <v>0</v>
      </c>
      <c r="DQ64" s="39">
        <f>SUM(t_Parts[[#This Row],[hp2016.01]:[hp2016.12]])</f>
        <v>0</v>
      </c>
      <c r="DR64" s="39">
        <f>IF(AND(BL$3&gt;=VALUE(t_Parts[[SOP]:[SOP]]),BL$3&lt;=VALUE(t_Parts[[EOP]:[EOP]])), 12*t_Parts[[SetupHrsPerMo]:[SetupHrsPerMo]]+(t_Parts[[#This Row],[pv2017]]/t_Parts[[NetPPH]:[NetPPH]]),0)</f>
        <v>0</v>
      </c>
      <c r="DS64" s="39">
        <f>IF(AND(BM$3&gt;=VALUE(t_Parts[[SOP]:[SOP]]),BM$3&lt;=VALUE(t_Parts[[EOP]:[EOP]])), 12*t_Parts[[SetupHrsPerMo]:[SetupHrsPerMo]]+(t_Parts[[#This Row],[pv2018]]/t_Parts[[NetPPH]:[NetPPH]]),0)</f>
        <v>0</v>
      </c>
      <c r="DT64" s="39">
        <f>IF(AND(BN$3&gt;=VALUE(t_Parts[[SOP]:[SOP]]),BN$3&lt;=VALUE(t_Parts[[EOP]:[EOP]])), 12*t_Parts[[SetupHrsPerMo]:[SetupHrsPerMo]]+(t_Parts[[#This Row],[pv2019]]/t_Parts[[NetPPH]:[NetPPH]]),0)</f>
        <v>0</v>
      </c>
      <c r="DU64" s="47">
        <f>t_Parts[[#This Row],[hp2015.01]]/t_Parts[[#This Row],[ha2015.01]]</f>
        <v>0.38822063353313352</v>
      </c>
      <c r="DV64" s="47">
        <f>t_Parts[[#This Row],[hp2015.02]]/t_Parts[[#This Row],[ha2015.02]]</f>
        <v>0.38822063353313352</v>
      </c>
      <c r="DW64" s="47">
        <f>t_Parts[[#This Row],[hp2015.03]]/t_Parts[[#This Row],[ha2015.03]]</f>
        <v>0.38536349067599068</v>
      </c>
      <c r="DX64" s="47">
        <f>t_Parts[[#This Row],[hp2015.04]]/t_Parts[[#This Row],[ha2015.04]]</f>
        <v>0.38822063353313352</v>
      </c>
      <c r="DY64" s="47">
        <f>t_Parts[[#This Row],[hp2015.05]]/t_Parts[[#This Row],[ha2015.05]]</f>
        <v>0.38822063353313352</v>
      </c>
      <c r="DZ64" s="47">
        <f>t_Parts[[#This Row],[hp2015.06]]/t_Parts[[#This Row],[ha2015.06]]</f>
        <v>0.38536349067599068</v>
      </c>
      <c r="EA64" s="47">
        <f>t_Parts[[#This Row],[hp2015.07]]/t_Parts[[#This Row],[ha2015.07]]</f>
        <v>0.38822063353313352</v>
      </c>
      <c r="EB64" s="47">
        <f>t_Parts[[#This Row],[hp2015.08]]/t_Parts[[#This Row],[ha2015.08]]</f>
        <v>0.38822063353313352</v>
      </c>
      <c r="EC64" s="47">
        <f>t_Parts[[#This Row],[hp2015.09]]/t_Parts[[#This Row],[ha2015.09]]</f>
        <v>0.38536349067599068</v>
      </c>
      <c r="ED64" s="47">
        <f>t_Parts[[#This Row],[hp2015.10]]/t_Parts[[#This Row],[ha2015.10]]</f>
        <v>0.38822063353313352</v>
      </c>
      <c r="EE64" s="47">
        <f>t_Parts[[#This Row],[hp2015.11]]/t_Parts[[#This Row],[ha2015.11]]</f>
        <v>0</v>
      </c>
      <c r="EF64" s="47">
        <f>t_Parts[[#This Row],[hp2015.12]]/t_Parts[[#This Row],[ha2015.12]]</f>
        <v>0</v>
      </c>
      <c r="EG64" s="47">
        <f>t_Parts[[#This Row],[hp2015.FY]]/t_Parts[[#This Row],[ha2015.FY]]</f>
        <v>0.32020442498206919</v>
      </c>
      <c r="EH64" s="47">
        <f>t_Parts[[#This Row],[hp2016.01]]/t_Parts[[#This Row],[ha2016.01]]</f>
        <v>0</v>
      </c>
      <c r="EI64" s="47">
        <f>t_Parts[[#This Row],[hp2016.02]]/t_Parts[[#This Row],[ha2016.02]]</f>
        <v>0</v>
      </c>
      <c r="EJ64" s="47">
        <f>t_Parts[[#This Row],[hp2016.03]]/t_Parts[[#This Row],[ha2016.03]]</f>
        <v>0</v>
      </c>
      <c r="EK64" s="47">
        <f>t_Parts[[#This Row],[hp2016.04]]/t_Parts[[#This Row],[ha2016.04]]</f>
        <v>0</v>
      </c>
      <c r="EL64" s="47">
        <f>t_Parts[[#This Row],[hp2016.05]]/t_Parts[[#This Row],[ha2016.05]]</f>
        <v>0</v>
      </c>
      <c r="EM64" s="47">
        <f>t_Parts[[#This Row],[hp2016.06]]/t_Parts[[#This Row],[ha2016.06]]</f>
        <v>0</v>
      </c>
      <c r="EN64" s="47">
        <f>t_Parts[[#This Row],[hp2016.07]]/t_Parts[[#This Row],[ha2016.07]]</f>
        <v>0</v>
      </c>
      <c r="EO64" s="47">
        <f>t_Parts[[#This Row],[hp2016.08]]/t_Parts[[#This Row],[ha2016.08]]</f>
        <v>0</v>
      </c>
      <c r="EP64" s="47">
        <f>t_Parts[[#This Row],[hp2016.09]]/t_Parts[[#This Row],[ha2016.09]]</f>
        <v>0</v>
      </c>
      <c r="EQ64" s="47">
        <f>t_Parts[[#This Row],[hp2016.10]]/t_Parts[[#This Row],[ha2016.10]]</f>
        <v>0</v>
      </c>
      <c r="ER64" s="47">
        <f>t_Parts[[#This Row],[hp2016.11]]/t_Parts[[#This Row],[ha2016.11]]</f>
        <v>0</v>
      </c>
      <c r="ES64" s="47">
        <f>t_Parts[[#This Row],[hp2016.12]]/t_Parts[[#This Row],[ha2016.12]]</f>
        <v>0</v>
      </c>
      <c r="ET64" s="47">
        <f>t_Parts[[#This Row],[hp2016.FY]]/t_Parts[[#This Row],[ha2016.FY]]</f>
        <v>0</v>
      </c>
      <c r="EU64" s="47">
        <f>t_Parts[[#This Row],[hp2017]]/t_Parts[[#This Row],[ha2017]]</f>
        <v>0</v>
      </c>
      <c r="EV64" s="47">
        <f>t_Parts[[#This Row],[hp2018]]/t_Parts[[#This Row],[ha2018]]</f>
        <v>0</v>
      </c>
      <c r="EW64" s="47">
        <f>t_Parts[[#This Row],[hp2019]]/t_Parts[[#This Row],[hp2015.01]]</f>
        <v>0</v>
      </c>
      <c r="EX64" s="58">
        <f>(t_Parts[[#This Row],[ha2015.01]]-t_Parts[[#This Row],[hp2015.01]])*t_Parts[[NetPPH]:[NetPPH]]</f>
        <v>90445.461538461546</v>
      </c>
      <c r="EY64" s="58">
        <f>(t_Parts[[#This Row],[ha2015.02]]-t_Parts[[#This Row],[hp2015.02]])*t_Parts[[NetPPH]:[NetPPH]]</f>
        <v>90445.461538461546</v>
      </c>
      <c r="EZ64" s="58">
        <f>(t_Parts[[#This Row],[ha2015.03]]-t_Parts[[#This Row],[hp2015.03]])*t_Parts[[NetPPH]:[NetPPH]]</f>
        <v>113584.82692307692</v>
      </c>
      <c r="FA64" s="58">
        <f>(t_Parts[[#This Row],[ha2015.04]]-t_Parts[[#This Row],[hp2015.04]])*t_Parts[[NetPPH]:[NetPPH]]</f>
        <v>90445.461538461546</v>
      </c>
      <c r="FB64" s="58">
        <f>(t_Parts[[#This Row],[ha2015.05]]-t_Parts[[#This Row],[hp2015.05]])*t_Parts[[NetPPH]:[NetPPH]]</f>
        <v>90445.461538461546</v>
      </c>
      <c r="FC64" s="58">
        <f>(t_Parts[[#This Row],[ha2015.06]]-t_Parts[[#This Row],[hp2015.06]])*t_Parts[[NetPPH]:[NetPPH]]</f>
        <v>113584.82692307692</v>
      </c>
      <c r="FD64" s="58">
        <f>(t_Parts[[#This Row],[ha2015.07]]-t_Parts[[#This Row],[hp2015.07]])*t_Parts[[NetPPH]:[NetPPH]]</f>
        <v>90445.461538461546</v>
      </c>
      <c r="FE64" s="58">
        <f>(t_Parts[[#This Row],[ha2015.08]]-t_Parts[[#This Row],[hp2015.08]])*t_Parts[[NetPPH]:[NetPPH]]</f>
        <v>90445.461538461546</v>
      </c>
      <c r="FF64" s="58">
        <f>(t_Parts[[#This Row],[ha2015.09]]-t_Parts[[#This Row],[hp2015.09]])*t_Parts[[NetPPH]:[NetPPH]]</f>
        <v>113584.82692307692</v>
      </c>
      <c r="FG64" s="58">
        <f>(t_Parts[[#This Row],[ha2015.10]]-t_Parts[[#This Row],[hp2015.10]])*t_Parts[[NetPPH]:[NetPPH]]</f>
        <v>90445.461538461546</v>
      </c>
      <c r="FH64" s="58">
        <f>(t_Parts[[#This Row],[ha2015.11]]-t_Parts[[#This Row],[hp2015.11]])*t_Parts[[NetPPH]:[NetPPH]]</f>
        <v>147840</v>
      </c>
      <c r="FI64" s="58">
        <f>(t_Parts[[#This Row],[ha2015.12]]-t_Parts[[#This Row],[hp2015.12]])*t_Parts[[NetPPH]:[NetPPH]]</f>
        <v>184800</v>
      </c>
      <c r="FJ64" s="58">
        <f>(t_Parts[[#This Row],[ha2015.FY]]-t_Parts[[#This Row],[hp2015.FY]])*t_Parts[[NetPPH]:[NetPPH]]</f>
        <v>1306512.7115384617</v>
      </c>
      <c r="FK64" s="58">
        <f>(t_Parts[[#This Row],[ha2016.01]]-t_Parts[[#This Row],[hp2016.01]])*t_Parts[[NetPPH]:[NetPPH]]</f>
        <v>147840</v>
      </c>
      <c r="FL64" s="58">
        <f>(t_Parts[[#This Row],[ha2016.02]]-t_Parts[[#This Row],[hp2016.02]])*t_Parts[[NetPPH]:[NetPPH]]</f>
        <v>147840</v>
      </c>
      <c r="FM64" s="58">
        <f>(t_Parts[[#This Row],[ha2016.03]]-t_Parts[[#This Row],[hp2016.03]])*t_Parts[[NetPPH]:[NetPPH]]</f>
        <v>184800</v>
      </c>
      <c r="FN64" s="58">
        <f>(t_Parts[[#This Row],[ha2016.04]]-t_Parts[[#This Row],[hp2016.04]])*t_Parts[[NetPPH]:[NetPPH]]</f>
        <v>147840</v>
      </c>
      <c r="FO64" s="58">
        <f>(t_Parts[[#This Row],[ha2016.05]]-t_Parts[[#This Row],[hp2016.05]])*t_Parts[[NetPPH]:[NetPPH]]</f>
        <v>147840</v>
      </c>
      <c r="FP64" s="58">
        <f>(t_Parts[[#This Row],[ha2016.06]]-t_Parts[[#This Row],[hp2016.06]])*t_Parts[[NetPPH]:[NetPPH]]</f>
        <v>184800</v>
      </c>
      <c r="FQ64" s="58">
        <f>(t_Parts[[#This Row],[ha2016.07]]-t_Parts[[#This Row],[hp2016.07]])*t_Parts[[NetPPH]:[NetPPH]]</f>
        <v>147840</v>
      </c>
      <c r="FR64" s="58">
        <f>(t_Parts[[#This Row],[ha2016.08]]-t_Parts[[#This Row],[hp2016.08]])*t_Parts[[NetPPH]:[NetPPH]]</f>
        <v>147840</v>
      </c>
      <c r="FS64" s="58">
        <f>(t_Parts[[#This Row],[ha2016.09]]-t_Parts[[#This Row],[hp2016.09]])*t_Parts[[NetPPH]:[NetPPH]]</f>
        <v>184800</v>
      </c>
      <c r="FT64" s="58">
        <f>(t_Parts[[#This Row],[ha2016.10]]-t_Parts[[#This Row],[hp2016.10]])*t_Parts[[NetPPH]:[NetPPH]]</f>
        <v>147840</v>
      </c>
      <c r="FU64" s="58">
        <f>(t_Parts[[#This Row],[ha2016.11]]-t_Parts[[#This Row],[hp2016.11]])*t_Parts[[NetPPH]:[NetPPH]]</f>
        <v>147840</v>
      </c>
      <c r="FV64" s="58">
        <f>(t_Parts[[#This Row],[ha2016.12]]-t_Parts[[#This Row],[hp2016.12]])*t_Parts[[NetPPH]:[NetPPH]]</f>
        <v>184800</v>
      </c>
      <c r="FW64" s="58">
        <f>(t_Parts[[#This Row],[ha2016.FY]]-t_Parts[[#This Row],[hp2016.FY]])*t_Parts[[NetPPH]:[NetPPH]]</f>
        <v>1921920</v>
      </c>
      <c r="FX64" s="58">
        <f>(t_Parts[[#This Row],[ha2017]]-t_Parts[[#This Row],[hp2017]])*t_Parts[[NetPPH]:[NetPPH]]</f>
        <v>1921920</v>
      </c>
      <c r="FY64" s="58">
        <f>(t_Parts[[#This Row],[ha2018]]-t_Parts[[#This Row],[hp2018]])*t_Parts[[NetPPH]:[NetPPH]]</f>
        <v>1921920</v>
      </c>
      <c r="FZ64" s="58">
        <f>(t_Parts[[#This Row],[ha2019]]-t_Parts[[#This Row],[hp2019]])*t_Parts[[NetPPH]:[NetPPH]]</f>
        <v>1921920</v>
      </c>
    </row>
    <row r="65" spans="1:182" s="14" customFormat="1" x14ac:dyDescent="0.25">
      <c r="A65" s="74">
        <v>77041</v>
      </c>
      <c r="B65" s="74"/>
      <c r="C65" s="74">
        <v>21002</v>
      </c>
      <c r="D65" s="75">
        <v>1</v>
      </c>
      <c r="E65" s="73">
        <v>1500</v>
      </c>
      <c r="F65" s="76">
        <v>1</v>
      </c>
      <c r="G65" s="77">
        <v>2</v>
      </c>
      <c r="H65" s="16">
        <v>2015.01</v>
      </c>
      <c r="I65" s="16" t="s">
        <v>83</v>
      </c>
      <c r="J65" s="73">
        <v>37611</v>
      </c>
      <c r="K65" s="73">
        <v>37611</v>
      </c>
      <c r="L65" s="73">
        <v>37611</v>
      </c>
      <c r="M65" s="73">
        <v>37611</v>
      </c>
      <c r="N65" s="73">
        <v>37611</v>
      </c>
      <c r="O65" s="78">
        <v>46</v>
      </c>
      <c r="P65" s="78">
        <v>108</v>
      </c>
      <c r="Q65" s="79">
        <v>22.488</v>
      </c>
      <c r="R65" s="79"/>
      <c r="S65" s="78">
        <v>322</v>
      </c>
      <c r="T65" s="80">
        <v>14.5</v>
      </c>
      <c r="U65" s="80" t="s">
        <v>121</v>
      </c>
      <c r="V65" s="81" t="s">
        <v>553</v>
      </c>
      <c r="W65" s="82">
        <v>3.73</v>
      </c>
      <c r="X65" s="82" t="s">
        <v>551</v>
      </c>
      <c r="Y65" s="82"/>
      <c r="Z65" s="82"/>
      <c r="AA65" s="82"/>
      <c r="AB65" s="82"/>
      <c r="AC65" s="83" t="s">
        <v>667</v>
      </c>
      <c r="AD65" s="40" t="str">
        <f>VLOOKUP(t_Parts[[#This Row],[Press]],t_Presses[],Press!B$1,FALSE)</f>
        <v>Plainfield</v>
      </c>
      <c r="AE65" s="40" t="str">
        <f>VLOOKUP(t_Parts[[#This Row],[Press]],t_Presses[],Press!E$1,FALSE)</f>
        <v>600-899</v>
      </c>
      <c r="AF65" s="47">
        <f>VLOOKUP(t_Parts[[#This Row],[Plant]],t_Plants[],Plants!C$1,FALSE)</f>
        <v>0.55000000000000004</v>
      </c>
      <c r="AG65" s="47">
        <f>VLOOKUP(t_Parts[[#This Row],[Press]],t_Presses[],Press!F$1,FALSE)</f>
        <v>0</v>
      </c>
      <c r="AH65" s="84"/>
      <c r="AI65" s="47">
        <f>IF(ISBLANK(t_Parts[[#This Row],[PartOEE]])=FALSE,t_Parts[[#This Row],[PartOEE]], IF(t_Parts[[#This Row],[PressOEE]]&gt;0, t_Parts[[#This Row],[PressOEE]], t_Parts[[#This Row],[PlantOEE]] ))</f>
        <v>0.55000000000000004</v>
      </c>
      <c r="AJ65" s="70">
        <f>t_Parts[[#This Row],[SetupsPerMo]]*t_Parts[[#This Row],[SetupHrs]]</f>
        <v>2</v>
      </c>
      <c r="AK65" s="39">
        <f>(t_Parts[[#This Row],[PartsPerStroke]]*t_Parts[[#This Row],[StrokesPerHr]])*t_Parts[[#This Row],[UseOEE]]</f>
        <v>825.00000000000011</v>
      </c>
      <c r="AL6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3616.4423076923076</v>
      </c>
      <c r="AO6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3616.4423076923076</v>
      </c>
      <c r="AR6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3616.4423076923076</v>
      </c>
      <c r="AU6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3616.4423076923076</v>
      </c>
      <c r="AX65" s="39">
        <f>SUM(t_Parts[[#This Row],[pv2015.01]:[pv2015.12]])</f>
        <v>37611</v>
      </c>
      <c r="AY6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5" s="39">
        <f>SUM(t_Parts[[#This Row],[pv2016.01]:[pv2016.12]])</f>
        <v>37611</v>
      </c>
      <c r="BL65" s="39">
        <f>t_Parts[[#This Row],[2017vol]]</f>
        <v>37611</v>
      </c>
      <c r="BM65" s="39">
        <f>t_Parts[[#This Row],[2018vol]]</f>
        <v>37611</v>
      </c>
      <c r="BN65" s="39">
        <f>t_Parts[[#This Row],[2019vol]]</f>
        <v>37611</v>
      </c>
      <c r="BO65" s="40">
        <f>VLOOKUP(t_Parts[[Plant]:[Plant]],t_Plants[],Plants!CN$1,FALSE)</f>
        <v>280</v>
      </c>
      <c r="BP65" s="14">
        <f>VLOOKUP(t_Parts[[Plant]:[Plant]],t_Plants[],Plants!CO$1,FALSE)</f>
        <v>280</v>
      </c>
      <c r="BQ65" s="14">
        <f>VLOOKUP(t_Parts[[Plant]:[Plant]],t_Plants[],Plants!CP$1,FALSE)</f>
        <v>350</v>
      </c>
      <c r="BR65" s="14">
        <f>VLOOKUP(t_Parts[[Plant]:[Plant]],t_Plants[],Plants!CQ$1,FALSE)</f>
        <v>280</v>
      </c>
      <c r="BS65" s="14">
        <f>VLOOKUP(t_Parts[[Plant]:[Plant]],t_Plants[],Plants!CR$1,FALSE)</f>
        <v>280</v>
      </c>
      <c r="BT65" s="14">
        <f>VLOOKUP(t_Parts[[Plant]:[Plant]],t_Plants[],Plants!CS$1,FALSE)</f>
        <v>350</v>
      </c>
      <c r="BU65" s="14">
        <f>VLOOKUP(t_Parts[[Plant]:[Plant]],t_Plants[],Plants!CT$1,FALSE)</f>
        <v>280</v>
      </c>
      <c r="BV65" s="14">
        <f>VLOOKUP(t_Parts[[Plant]:[Plant]],t_Plants[],Plants!CU$1,FALSE)</f>
        <v>280</v>
      </c>
      <c r="BW65" s="14">
        <f>VLOOKUP(t_Parts[[Plant]:[Plant]],t_Plants[],Plants!CV$1,FALSE)</f>
        <v>350</v>
      </c>
      <c r="BX65" s="14">
        <f>VLOOKUP(t_Parts[[Plant]:[Plant]],t_Plants[],Plants!CW$1,FALSE)</f>
        <v>280</v>
      </c>
      <c r="BY65" s="14">
        <f>VLOOKUP(t_Parts[[Plant]:[Plant]],t_Plants[],Plants!CX$1,FALSE)</f>
        <v>280</v>
      </c>
      <c r="BZ65" s="14">
        <f>VLOOKUP(t_Parts[[Plant]:[Plant]],t_Plants[],Plants!CY$1,FALSE)</f>
        <v>350</v>
      </c>
      <c r="CA65" s="40">
        <f>SUM(t_Parts[[#This Row],[ha2015.01]:[ha2015.12]])</f>
        <v>3640</v>
      </c>
      <c r="CB65" s="14">
        <f>VLOOKUP(t_Parts[[Plant]:[Plant]],t_Plants[],Plants!DA$1,FALSE)</f>
        <v>280</v>
      </c>
      <c r="CC65" s="14">
        <f>VLOOKUP(t_Parts[[Plant]:[Plant]],t_Plants[],Plants!DB$1,FALSE)</f>
        <v>280</v>
      </c>
      <c r="CD65" s="14">
        <f>VLOOKUP(t_Parts[[Plant]:[Plant]],t_Plants[],Plants!DC$1,FALSE)</f>
        <v>350</v>
      </c>
      <c r="CE65" s="14">
        <f>VLOOKUP(t_Parts[[Plant]:[Plant]],t_Plants[],Plants!DD$1,FALSE)</f>
        <v>280</v>
      </c>
      <c r="CF65" s="14">
        <f>VLOOKUP(t_Parts[[Plant]:[Plant]],t_Plants[],Plants!DE$1,FALSE)</f>
        <v>280</v>
      </c>
      <c r="CG65" s="14">
        <f>VLOOKUP(t_Parts[[Plant]:[Plant]],t_Plants[],Plants!DF$1,FALSE)</f>
        <v>350</v>
      </c>
      <c r="CH65" s="14">
        <f>VLOOKUP(t_Parts[[Plant]:[Plant]],t_Plants[],Plants!DG$1,FALSE)</f>
        <v>280</v>
      </c>
      <c r="CI65" s="14">
        <f>VLOOKUP(t_Parts[[Plant]:[Plant]],t_Plants[],Plants!DH$1,FALSE)</f>
        <v>280</v>
      </c>
      <c r="CJ65" s="14">
        <f>VLOOKUP(t_Parts[[Plant]:[Plant]],t_Plants[],Plants!DI$1,FALSE)</f>
        <v>350</v>
      </c>
      <c r="CK65" s="14">
        <f>VLOOKUP(t_Parts[[Plant]:[Plant]],t_Plants[],Plants!DJ$1,FALSE)</f>
        <v>280</v>
      </c>
      <c r="CL65" s="14">
        <f>VLOOKUP(t_Parts[[Plant]:[Plant]],t_Plants[],Plants!DK$1,FALSE)</f>
        <v>280</v>
      </c>
      <c r="CM65" s="14">
        <f>VLOOKUP(t_Parts[[Plant]:[Plant]],t_Plants[],Plants!DL$1,FALSE)</f>
        <v>350</v>
      </c>
      <c r="CN65" s="14">
        <f>VLOOKUP(t_Parts[[Plant]:[Plant]],t_Plants[],Plants!DM$1,FALSE)</f>
        <v>3640</v>
      </c>
      <c r="CO65" s="14">
        <f>VLOOKUP(t_Parts[[Plant]:[Plant]],t_Plants[],Plants!DN$1,FALSE)</f>
        <v>3640</v>
      </c>
      <c r="CP65" s="14">
        <f>VLOOKUP(t_Parts[[Plant]:[Plant]],t_Plants[],Plants!DO$1,FALSE)</f>
        <v>3640</v>
      </c>
      <c r="CQ65" s="14">
        <f>VLOOKUP(t_Parts[[Plant]:[Plant]],t_Plants[],Plants!DP$1,FALSE)</f>
        <v>3640</v>
      </c>
      <c r="CR65" s="39">
        <f>IF(AND(AL$3&gt;=VALUE(t_Parts[[SOP]:[SOP]]),AL$3&lt;=VALUE(t_Parts[[EOP]:[EOP]])), t_Parts[[SetupHrsPerMo]:[SetupHrsPerMo]]+(t_Parts[[#This Row],[pv2015.01]]/t_Parts[[NetPPH]:[NetPPH]]),0)</f>
        <v>5.5068531468531461</v>
      </c>
      <c r="CS65" s="39">
        <f>IF(AND(AM$3&gt;=VALUE(t_Parts[[SOP]:[SOP]]),AM$3&lt;=VALUE(t_Parts[[EOP]:[EOP]])), t_Parts[[SetupHrsPerMo]:[SetupHrsPerMo]]+(t_Parts[[#This Row],[pv2015.02]]/t_Parts[[NetPPH]:[NetPPH]]),0)</f>
        <v>5.5068531468531461</v>
      </c>
      <c r="CT65" s="39">
        <f>IF(AND(AN$3&gt;=VALUE(t_Parts[[SOP]:[SOP]]),AN$3&lt;=VALUE(t_Parts[[EOP]:[EOP]])), t_Parts[[SetupHrsPerMo]:[SetupHrsPerMo]]+(t_Parts[[#This Row],[pv2015.03]]/t_Parts[[NetPPH]:[NetPPH]]),0)</f>
        <v>6.3835664335664326</v>
      </c>
      <c r="CU65" s="39">
        <f>IF(AND(AO$3&gt;=VALUE(t_Parts[[SOP]:[SOP]]),AO$3&lt;=VALUE(t_Parts[[EOP]:[EOP]])), t_Parts[[SetupHrsPerMo]:[SetupHrsPerMo]]+(t_Parts[[#This Row],[pv2015.04]]/t_Parts[[NetPPH]:[NetPPH]]),0)</f>
        <v>5.5068531468531461</v>
      </c>
      <c r="CV65" s="39">
        <f>IF(AND(AP$3&gt;=VALUE(t_Parts[[SOP]:[SOP]]),AP$3&lt;=VALUE(t_Parts[[EOP]:[EOP]])), t_Parts[[SetupHrsPerMo]:[SetupHrsPerMo]]+(t_Parts[[#This Row],[pv2015.05]]/t_Parts[[NetPPH]:[NetPPH]]),0)</f>
        <v>5.5068531468531461</v>
      </c>
      <c r="CW65" s="39">
        <f>IF(AND(AQ$3&gt;=VALUE(t_Parts[[SOP]:[SOP]]),AQ$3&lt;=VALUE(t_Parts[[EOP]:[EOP]])), t_Parts[[SetupHrsPerMo]:[SetupHrsPerMo]]+(t_Parts[[#This Row],[pv2015.06]]/t_Parts[[NetPPH]:[NetPPH]]),0)</f>
        <v>6.3835664335664326</v>
      </c>
      <c r="CX65" s="39">
        <f>IF(AND(AR$3&gt;=VALUE(t_Parts[[SOP]:[SOP]]),AR$3&lt;=VALUE(t_Parts[[EOP]:[EOP]])), t_Parts[[SetupHrsPerMo]:[SetupHrsPerMo]]+(t_Parts[[#This Row],[pv2015.07]]/t_Parts[[NetPPH]:[NetPPH]]),0)</f>
        <v>5.5068531468531461</v>
      </c>
      <c r="CY65" s="39">
        <f>IF(AND(AS$3&gt;=VALUE(t_Parts[[SOP]:[SOP]]),AS$3&lt;=VALUE(t_Parts[[EOP]:[EOP]])), t_Parts[[SetupHrsPerMo]:[SetupHrsPerMo]]+(t_Parts[[#This Row],[pv2015.08]]/t_Parts[[NetPPH]:[NetPPH]]),0)</f>
        <v>5.5068531468531461</v>
      </c>
      <c r="CZ65" s="39">
        <f>IF(AND(AT$3&gt;=VALUE(t_Parts[[SOP]:[SOP]]),AT$3&lt;=VALUE(t_Parts[[EOP]:[EOP]])), t_Parts[[SetupHrsPerMo]:[SetupHrsPerMo]]+(t_Parts[[#This Row],[pv2015.09]]/t_Parts[[NetPPH]:[NetPPH]]),0)</f>
        <v>6.3835664335664326</v>
      </c>
      <c r="DA65" s="39">
        <f>IF(AND(AU$3&gt;=VALUE(t_Parts[[SOP]:[SOP]]),AU$3&lt;=VALUE(t_Parts[[EOP]:[EOP]])), t_Parts[[SetupHrsPerMo]:[SetupHrsPerMo]]+(t_Parts[[#This Row],[pv2015.10]]/t_Parts[[NetPPH]:[NetPPH]]),0)</f>
        <v>5.5068531468531461</v>
      </c>
      <c r="DB65" s="39">
        <f>IF(AND(AV$3&gt;=VALUE(t_Parts[[SOP]:[SOP]]),AV$3&lt;=VALUE(t_Parts[[EOP]:[EOP]])), t_Parts[[SetupHrsPerMo]:[SetupHrsPerMo]]+(t_Parts[[#This Row],[pv2015.11]]/t_Parts[[NetPPH]:[NetPPH]]),0)</f>
        <v>5.5068531468531461</v>
      </c>
      <c r="DC65" s="39">
        <f>IF(AND(AW$3&gt;=VALUE(t_Parts[[SOP]:[SOP]]),AW$3&lt;=VALUE(t_Parts[[EOP]:[EOP]])), t_Parts[[SetupHrsPerMo]:[SetupHrsPerMo]]+(t_Parts[[#This Row],[pv2015.12]]/t_Parts[[NetPPH]:[NetPPH]]),0)</f>
        <v>6.3835664335664326</v>
      </c>
      <c r="DD65" s="39">
        <f>SUM(t_Parts[[#This Row],[hp2015.01]:[hp2015.12]])</f>
        <v>69.589090909090899</v>
      </c>
      <c r="DE65" s="39">
        <f>IF(AND(AY$3&gt;=VALUE(t_Parts[[SOP]:[SOP]]),AY$3&lt;=VALUE(t_Parts[[EOP]:[EOP]])), t_Parts[[SetupHrsPerMo]:[SetupHrsPerMo]]+(t_Parts[[#This Row],[pv2016.01]]/t_Parts[[NetPPH]:[NetPPH]]),0)</f>
        <v>5.5068531468531461</v>
      </c>
      <c r="DF65" s="39">
        <f>IF(AND(AZ$3&gt;=VALUE(t_Parts[[SOP]:[SOP]]),AZ$3&lt;=VALUE(t_Parts[[EOP]:[EOP]])), t_Parts[[SetupHrsPerMo]:[SetupHrsPerMo]]+(t_Parts[[#This Row],[pv2016.02]]/t_Parts[[NetPPH]:[NetPPH]]),0)</f>
        <v>5.5068531468531461</v>
      </c>
      <c r="DG65" s="39">
        <f>IF(AND(BA$3&gt;=VALUE(t_Parts[[SOP]:[SOP]]),BA$3&lt;=VALUE(t_Parts[[EOP]:[EOP]])), t_Parts[[SetupHrsPerMo]:[SetupHrsPerMo]]+(t_Parts[[#This Row],[pv2016.03]]/t_Parts[[NetPPH]:[NetPPH]]),0)</f>
        <v>6.3835664335664326</v>
      </c>
      <c r="DH65" s="39">
        <f>IF(AND(BB$3&gt;=VALUE(t_Parts[[SOP]:[SOP]]),BB$3&lt;=VALUE(t_Parts[[EOP]:[EOP]])), t_Parts[[SetupHrsPerMo]:[SetupHrsPerMo]]+(t_Parts[[#This Row],[pv2016.04]]/t_Parts[[NetPPH]:[NetPPH]]),0)</f>
        <v>5.5068531468531461</v>
      </c>
      <c r="DI65" s="39">
        <f>IF(AND(BC$3&gt;=VALUE(t_Parts[[SOP]:[SOP]]),BC$3&lt;=VALUE(t_Parts[[EOP]:[EOP]])), t_Parts[[SetupHrsPerMo]:[SetupHrsPerMo]]+(t_Parts[[#This Row],[pv2016.05]]/t_Parts[[NetPPH]:[NetPPH]]),0)</f>
        <v>5.5068531468531461</v>
      </c>
      <c r="DJ65" s="39">
        <f>IF(AND(BD$3&gt;=VALUE(t_Parts[[SOP]:[SOP]]),BD$3&lt;=VALUE(t_Parts[[EOP]:[EOP]])), t_Parts[[SetupHrsPerMo]:[SetupHrsPerMo]]+(t_Parts[[#This Row],[pv2016.06]]/t_Parts[[NetPPH]:[NetPPH]]),0)</f>
        <v>6.3835664335664326</v>
      </c>
      <c r="DK65" s="39">
        <f>IF(AND(BE$3&gt;=VALUE(t_Parts[[SOP]:[SOP]]),BE$3&lt;=VALUE(t_Parts[[EOP]:[EOP]])), t_Parts[[SetupHrsPerMo]:[SetupHrsPerMo]]+(t_Parts[[#This Row],[pv2016.07]]/t_Parts[[NetPPH]:[NetPPH]]),0)</f>
        <v>5.5068531468531461</v>
      </c>
      <c r="DL65" s="39">
        <f>IF(AND(BF$3&gt;=VALUE(t_Parts[[SOP]:[SOP]]),BF$3&lt;=VALUE(t_Parts[[EOP]:[EOP]])), t_Parts[[SetupHrsPerMo]:[SetupHrsPerMo]]+(t_Parts[[#This Row],[pv2016.08]]/t_Parts[[NetPPH]:[NetPPH]]),0)</f>
        <v>5.5068531468531461</v>
      </c>
      <c r="DM65" s="39">
        <f>IF(AND(BG$3&gt;=VALUE(t_Parts[[SOP]:[SOP]]),BG$3&lt;=VALUE(t_Parts[[EOP]:[EOP]])), t_Parts[[SetupHrsPerMo]:[SetupHrsPerMo]]+(t_Parts[[#This Row],[pv2016.09]]/t_Parts[[NetPPH]:[NetPPH]]),0)</f>
        <v>6.3835664335664326</v>
      </c>
      <c r="DN65" s="39">
        <f>IF(AND(BH$3&gt;=VALUE(t_Parts[[SOP]:[SOP]]),BH$3&lt;=VALUE(t_Parts[[EOP]:[EOP]])), t_Parts[[SetupHrsPerMo]:[SetupHrsPerMo]]+(t_Parts[[#This Row],[pv2016.10]]/t_Parts[[NetPPH]:[NetPPH]]),0)</f>
        <v>5.5068531468531461</v>
      </c>
      <c r="DO65" s="39">
        <f>IF(AND(BI$3&gt;=VALUE(t_Parts[[SOP]:[SOP]]),BI$3&lt;=VALUE(t_Parts[[EOP]:[EOP]])), t_Parts[[SetupHrsPerMo]:[SetupHrsPerMo]]+(t_Parts[[#This Row],[pv2016.11]]/t_Parts[[NetPPH]:[NetPPH]]),0)</f>
        <v>5.5068531468531461</v>
      </c>
      <c r="DP65" s="39">
        <f>IF(AND(BJ$3&gt;=VALUE(t_Parts[[SOP]:[SOP]]),BJ$3&lt;=VALUE(t_Parts[[EOP]:[EOP]])), t_Parts[[SetupHrsPerMo]:[SetupHrsPerMo]]+(t_Parts[[#This Row],[pv2016.12]]/t_Parts[[NetPPH]:[NetPPH]]),0)</f>
        <v>6.3835664335664326</v>
      </c>
      <c r="DQ65" s="39">
        <f>SUM(t_Parts[[#This Row],[hp2016.01]:[hp2016.12]])</f>
        <v>69.589090909090899</v>
      </c>
      <c r="DR65" s="39">
        <f>IF(AND(BL$3&gt;=VALUE(t_Parts[[SOP]:[SOP]]),BL$3&lt;=VALUE(t_Parts[[EOP]:[EOP]])), 12*t_Parts[[SetupHrsPerMo]:[SetupHrsPerMo]]+(t_Parts[[#This Row],[pv2017]]/t_Parts[[NetPPH]:[NetPPH]]),0)</f>
        <v>69.589090909090913</v>
      </c>
      <c r="DS65" s="39">
        <f>IF(AND(BM$3&gt;=VALUE(t_Parts[[SOP]:[SOP]]),BM$3&lt;=VALUE(t_Parts[[EOP]:[EOP]])), 12*t_Parts[[SetupHrsPerMo]:[SetupHrsPerMo]]+(t_Parts[[#This Row],[pv2018]]/t_Parts[[NetPPH]:[NetPPH]]),0)</f>
        <v>69.589090909090913</v>
      </c>
      <c r="DT65" s="39">
        <f>IF(AND(BN$3&gt;=VALUE(t_Parts[[SOP]:[SOP]]),BN$3&lt;=VALUE(t_Parts[[EOP]:[EOP]])), 12*t_Parts[[SetupHrsPerMo]:[SetupHrsPerMo]]+(t_Parts[[#This Row],[pv2019]]/t_Parts[[NetPPH]:[NetPPH]]),0)</f>
        <v>69.589090909090913</v>
      </c>
      <c r="DU65" s="47">
        <f>t_Parts[[#This Row],[hp2015.01]]/t_Parts[[#This Row],[ha2015.01]]</f>
        <v>1.9667332667332664E-2</v>
      </c>
      <c r="DV65" s="47">
        <f>t_Parts[[#This Row],[hp2015.02]]/t_Parts[[#This Row],[ha2015.02]]</f>
        <v>1.9667332667332664E-2</v>
      </c>
      <c r="DW65" s="47">
        <f>t_Parts[[#This Row],[hp2015.03]]/t_Parts[[#This Row],[ha2015.03]]</f>
        <v>1.8238761238761236E-2</v>
      </c>
      <c r="DX65" s="47">
        <f>t_Parts[[#This Row],[hp2015.04]]/t_Parts[[#This Row],[ha2015.04]]</f>
        <v>1.9667332667332664E-2</v>
      </c>
      <c r="DY65" s="47">
        <f>t_Parts[[#This Row],[hp2015.05]]/t_Parts[[#This Row],[ha2015.05]]</f>
        <v>1.9667332667332664E-2</v>
      </c>
      <c r="DZ65" s="47">
        <f>t_Parts[[#This Row],[hp2015.06]]/t_Parts[[#This Row],[ha2015.06]]</f>
        <v>1.8238761238761236E-2</v>
      </c>
      <c r="EA65" s="47">
        <f>t_Parts[[#This Row],[hp2015.07]]/t_Parts[[#This Row],[ha2015.07]]</f>
        <v>1.9667332667332664E-2</v>
      </c>
      <c r="EB65" s="47">
        <f>t_Parts[[#This Row],[hp2015.08]]/t_Parts[[#This Row],[ha2015.08]]</f>
        <v>1.9667332667332664E-2</v>
      </c>
      <c r="EC65" s="47">
        <f>t_Parts[[#This Row],[hp2015.09]]/t_Parts[[#This Row],[ha2015.09]]</f>
        <v>1.8238761238761236E-2</v>
      </c>
      <c r="ED65" s="47">
        <f>t_Parts[[#This Row],[hp2015.10]]/t_Parts[[#This Row],[ha2015.10]]</f>
        <v>1.9667332667332664E-2</v>
      </c>
      <c r="EE65" s="47">
        <f>t_Parts[[#This Row],[hp2015.11]]/t_Parts[[#This Row],[ha2015.11]]</f>
        <v>1.9667332667332664E-2</v>
      </c>
      <c r="EF65" s="47">
        <f>t_Parts[[#This Row],[hp2015.12]]/t_Parts[[#This Row],[ha2015.12]]</f>
        <v>1.8238761238761236E-2</v>
      </c>
      <c r="EG65" s="47">
        <f>t_Parts[[#This Row],[hp2015.FY]]/t_Parts[[#This Row],[ha2015.FY]]</f>
        <v>1.9117882117882116E-2</v>
      </c>
      <c r="EH65" s="47">
        <f>t_Parts[[#This Row],[hp2016.01]]/t_Parts[[#This Row],[ha2016.01]]</f>
        <v>1.9667332667332664E-2</v>
      </c>
      <c r="EI65" s="47">
        <f>t_Parts[[#This Row],[hp2016.02]]/t_Parts[[#This Row],[ha2016.02]]</f>
        <v>1.9667332667332664E-2</v>
      </c>
      <c r="EJ65" s="47">
        <f>t_Parts[[#This Row],[hp2016.03]]/t_Parts[[#This Row],[ha2016.03]]</f>
        <v>1.8238761238761236E-2</v>
      </c>
      <c r="EK65" s="47">
        <f>t_Parts[[#This Row],[hp2016.04]]/t_Parts[[#This Row],[ha2016.04]]</f>
        <v>1.9667332667332664E-2</v>
      </c>
      <c r="EL65" s="47">
        <f>t_Parts[[#This Row],[hp2016.05]]/t_Parts[[#This Row],[ha2016.05]]</f>
        <v>1.9667332667332664E-2</v>
      </c>
      <c r="EM65" s="47">
        <f>t_Parts[[#This Row],[hp2016.06]]/t_Parts[[#This Row],[ha2016.06]]</f>
        <v>1.8238761238761236E-2</v>
      </c>
      <c r="EN65" s="47">
        <f>t_Parts[[#This Row],[hp2016.07]]/t_Parts[[#This Row],[ha2016.07]]</f>
        <v>1.9667332667332664E-2</v>
      </c>
      <c r="EO65" s="47">
        <f>t_Parts[[#This Row],[hp2016.08]]/t_Parts[[#This Row],[ha2016.08]]</f>
        <v>1.9667332667332664E-2</v>
      </c>
      <c r="EP65" s="47">
        <f>t_Parts[[#This Row],[hp2016.09]]/t_Parts[[#This Row],[ha2016.09]]</f>
        <v>1.8238761238761236E-2</v>
      </c>
      <c r="EQ65" s="47">
        <f>t_Parts[[#This Row],[hp2016.10]]/t_Parts[[#This Row],[ha2016.10]]</f>
        <v>1.9667332667332664E-2</v>
      </c>
      <c r="ER65" s="47">
        <f>t_Parts[[#This Row],[hp2016.11]]/t_Parts[[#This Row],[ha2016.11]]</f>
        <v>1.9667332667332664E-2</v>
      </c>
      <c r="ES65" s="47">
        <f>t_Parts[[#This Row],[hp2016.12]]/t_Parts[[#This Row],[ha2016.12]]</f>
        <v>1.8238761238761236E-2</v>
      </c>
      <c r="ET65" s="47">
        <f>t_Parts[[#This Row],[hp2016.FY]]/t_Parts[[#This Row],[ha2016.FY]]</f>
        <v>1.9117882117882116E-2</v>
      </c>
      <c r="EU65" s="47">
        <f>t_Parts[[#This Row],[hp2017]]/t_Parts[[#This Row],[ha2017]]</f>
        <v>1.911788211788212E-2</v>
      </c>
      <c r="EV65" s="47">
        <f>t_Parts[[#This Row],[hp2018]]/t_Parts[[#This Row],[ha2018]]</f>
        <v>1.911788211788212E-2</v>
      </c>
      <c r="EW65" s="47">
        <f>t_Parts[[#This Row],[hp2019]]/t_Parts[[#This Row],[hp2015.01]]</f>
        <v>12.63681617310916</v>
      </c>
      <c r="EX65" s="58">
        <f>(t_Parts[[#This Row],[ha2015.01]]-t_Parts[[#This Row],[hp2015.01]])*t_Parts[[NetPPH]:[NetPPH]]</f>
        <v>226456.84615384619</v>
      </c>
      <c r="EY65" s="58">
        <f>(t_Parts[[#This Row],[ha2015.02]]-t_Parts[[#This Row],[hp2015.02]])*t_Parts[[NetPPH]:[NetPPH]]</f>
        <v>226456.84615384619</v>
      </c>
      <c r="EZ65" s="58">
        <f>(t_Parts[[#This Row],[ha2015.03]]-t_Parts[[#This Row],[hp2015.03]])*t_Parts[[NetPPH]:[NetPPH]]</f>
        <v>283483.55769230775</v>
      </c>
      <c r="FA65" s="58">
        <f>(t_Parts[[#This Row],[ha2015.04]]-t_Parts[[#This Row],[hp2015.04]])*t_Parts[[NetPPH]:[NetPPH]]</f>
        <v>226456.84615384619</v>
      </c>
      <c r="FB65" s="58">
        <f>(t_Parts[[#This Row],[ha2015.05]]-t_Parts[[#This Row],[hp2015.05]])*t_Parts[[NetPPH]:[NetPPH]]</f>
        <v>226456.84615384619</v>
      </c>
      <c r="FC65" s="58">
        <f>(t_Parts[[#This Row],[ha2015.06]]-t_Parts[[#This Row],[hp2015.06]])*t_Parts[[NetPPH]:[NetPPH]]</f>
        <v>283483.55769230775</v>
      </c>
      <c r="FD65" s="58">
        <f>(t_Parts[[#This Row],[ha2015.07]]-t_Parts[[#This Row],[hp2015.07]])*t_Parts[[NetPPH]:[NetPPH]]</f>
        <v>226456.84615384619</v>
      </c>
      <c r="FE65" s="58">
        <f>(t_Parts[[#This Row],[ha2015.08]]-t_Parts[[#This Row],[hp2015.08]])*t_Parts[[NetPPH]:[NetPPH]]</f>
        <v>226456.84615384619</v>
      </c>
      <c r="FF65" s="58">
        <f>(t_Parts[[#This Row],[ha2015.09]]-t_Parts[[#This Row],[hp2015.09]])*t_Parts[[NetPPH]:[NetPPH]]</f>
        <v>283483.55769230775</v>
      </c>
      <c r="FG65" s="58">
        <f>(t_Parts[[#This Row],[ha2015.10]]-t_Parts[[#This Row],[hp2015.10]])*t_Parts[[NetPPH]:[NetPPH]]</f>
        <v>226456.84615384619</v>
      </c>
      <c r="FH65" s="58">
        <f>(t_Parts[[#This Row],[ha2015.11]]-t_Parts[[#This Row],[hp2015.11]])*t_Parts[[NetPPH]:[NetPPH]]</f>
        <v>226456.84615384619</v>
      </c>
      <c r="FI65" s="58">
        <f>(t_Parts[[#This Row],[ha2015.12]]-t_Parts[[#This Row],[hp2015.12]])*t_Parts[[NetPPH]:[NetPPH]]</f>
        <v>283483.55769230775</v>
      </c>
      <c r="FJ65" s="58">
        <f>(t_Parts[[#This Row],[ha2015.FY]]-t_Parts[[#This Row],[hp2015.FY]])*t_Parts[[NetPPH]:[NetPPH]]</f>
        <v>2945589.0000000005</v>
      </c>
      <c r="FK65" s="58">
        <f>(t_Parts[[#This Row],[ha2016.01]]-t_Parts[[#This Row],[hp2016.01]])*t_Parts[[NetPPH]:[NetPPH]]</f>
        <v>226456.84615384619</v>
      </c>
      <c r="FL65" s="58">
        <f>(t_Parts[[#This Row],[ha2016.02]]-t_Parts[[#This Row],[hp2016.02]])*t_Parts[[NetPPH]:[NetPPH]]</f>
        <v>226456.84615384619</v>
      </c>
      <c r="FM65" s="58">
        <f>(t_Parts[[#This Row],[ha2016.03]]-t_Parts[[#This Row],[hp2016.03]])*t_Parts[[NetPPH]:[NetPPH]]</f>
        <v>283483.55769230775</v>
      </c>
      <c r="FN65" s="58">
        <f>(t_Parts[[#This Row],[ha2016.04]]-t_Parts[[#This Row],[hp2016.04]])*t_Parts[[NetPPH]:[NetPPH]]</f>
        <v>226456.84615384619</v>
      </c>
      <c r="FO65" s="58">
        <f>(t_Parts[[#This Row],[ha2016.05]]-t_Parts[[#This Row],[hp2016.05]])*t_Parts[[NetPPH]:[NetPPH]]</f>
        <v>226456.84615384619</v>
      </c>
      <c r="FP65" s="58">
        <f>(t_Parts[[#This Row],[ha2016.06]]-t_Parts[[#This Row],[hp2016.06]])*t_Parts[[NetPPH]:[NetPPH]]</f>
        <v>283483.55769230775</v>
      </c>
      <c r="FQ65" s="58">
        <f>(t_Parts[[#This Row],[ha2016.07]]-t_Parts[[#This Row],[hp2016.07]])*t_Parts[[NetPPH]:[NetPPH]]</f>
        <v>226456.84615384619</v>
      </c>
      <c r="FR65" s="58">
        <f>(t_Parts[[#This Row],[ha2016.08]]-t_Parts[[#This Row],[hp2016.08]])*t_Parts[[NetPPH]:[NetPPH]]</f>
        <v>226456.84615384619</v>
      </c>
      <c r="FS65" s="58">
        <f>(t_Parts[[#This Row],[ha2016.09]]-t_Parts[[#This Row],[hp2016.09]])*t_Parts[[NetPPH]:[NetPPH]]</f>
        <v>283483.55769230775</v>
      </c>
      <c r="FT65" s="58">
        <f>(t_Parts[[#This Row],[ha2016.10]]-t_Parts[[#This Row],[hp2016.10]])*t_Parts[[NetPPH]:[NetPPH]]</f>
        <v>226456.84615384619</v>
      </c>
      <c r="FU65" s="58">
        <f>(t_Parts[[#This Row],[ha2016.11]]-t_Parts[[#This Row],[hp2016.11]])*t_Parts[[NetPPH]:[NetPPH]]</f>
        <v>226456.84615384619</v>
      </c>
      <c r="FV65" s="58">
        <f>(t_Parts[[#This Row],[ha2016.12]]-t_Parts[[#This Row],[hp2016.12]])*t_Parts[[NetPPH]:[NetPPH]]</f>
        <v>283483.55769230775</v>
      </c>
      <c r="FW65" s="58">
        <f>(t_Parts[[#This Row],[ha2016.FY]]-t_Parts[[#This Row],[hp2016.FY]])*t_Parts[[NetPPH]:[NetPPH]]</f>
        <v>2945589.0000000005</v>
      </c>
      <c r="FX65" s="58">
        <f>(t_Parts[[#This Row],[ha2017]]-t_Parts[[#This Row],[hp2017]])*t_Parts[[NetPPH]:[NetPPH]]</f>
        <v>2945589.0000000005</v>
      </c>
      <c r="FY65" s="58">
        <f>(t_Parts[[#This Row],[ha2018]]-t_Parts[[#This Row],[hp2018]])*t_Parts[[NetPPH]:[NetPPH]]</f>
        <v>2945589.0000000005</v>
      </c>
      <c r="FZ65" s="58">
        <f>(t_Parts[[#This Row],[ha2019]]-t_Parts[[#This Row],[hp2019]])*t_Parts[[NetPPH]:[NetPPH]]</f>
        <v>2945589.0000000005</v>
      </c>
    </row>
    <row r="66" spans="1:182" s="14" customFormat="1" x14ac:dyDescent="0.25">
      <c r="A66" s="74">
        <v>77040</v>
      </c>
      <c r="B66" s="74"/>
      <c r="C66" s="74">
        <v>21012</v>
      </c>
      <c r="D66" s="75">
        <v>1</v>
      </c>
      <c r="E66" s="73">
        <v>720</v>
      </c>
      <c r="F66" s="76">
        <v>1</v>
      </c>
      <c r="G66" s="77">
        <v>2</v>
      </c>
      <c r="H66" s="16">
        <v>2015.01</v>
      </c>
      <c r="I66" s="16" t="s">
        <v>83</v>
      </c>
      <c r="J66" s="73">
        <v>37611</v>
      </c>
      <c r="K66" s="73">
        <v>37611</v>
      </c>
      <c r="L66" s="73">
        <v>37611</v>
      </c>
      <c r="M66" s="73">
        <v>37611</v>
      </c>
      <c r="N66" s="73">
        <v>37611</v>
      </c>
      <c r="O66" s="78">
        <v>48</v>
      </c>
      <c r="P66" s="78">
        <v>114</v>
      </c>
      <c r="Q66" s="79">
        <v>29.314</v>
      </c>
      <c r="R66" s="79"/>
      <c r="S66" s="78">
        <v>485</v>
      </c>
      <c r="T66" s="80">
        <v>21</v>
      </c>
      <c r="U66" s="80" t="s">
        <v>121</v>
      </c>
      <c r="V66" s="81" t="s">
        <v>556</v>
      </c>
      <c r="W66" s="82">
        <v>6.04</v>
      </c>
      <c r="X66" s="82" t="s">
        <v>551</v>
      </c>
      <c r="Y66" s="82"/>
      <c r="Z66" s="82"/>
      <c r="AA66" s="82"/>
      <c r="AB66" s="82"/>
      <c r="AC66" s="83" t="s">
        <v>667</v>
      </c>
      <c r="AD66" s="40" t="str">
        <f>VLOOKUP(t_Parts[[#This Row],[Press]],t_Presses[],Press!B$1,FALSE)</f>
        <v>Plainfield</v>
      </c>
      <c r="AE66" s="40" t="str">
        <f>VLOOKUP(t_Parts[[#This Row],[Press]],t_Presses[],Press!E$1,FALSE)</f>
        <v>600-899</v>
      </c>
      <c r="AF66" s="47">
        <f>VLOOKUP(t_Parts[[#This Row],[Plant]],t_Plants[],Plants!C$1,FALSE)</f>
        <v>0.55000000000000004</v>
      </c>
      <c r="AG66" s="47">
        <f>VLOOKUP(t_Parts[[#This Row],[Press]],t_Presses[],Press!F$1,FALSE)</f>
        <v>0</v>
      </c>
      <c r="AH66" s="84"/>
      <c r="AI66" s="47">
        <f>IF(ISBLANK(t_Parts[[#This Row],[PartOEE]])=FALSE,t_Parts[[#This Row],[PartOEE]], IF(t_Parts[[#This Row],[PressOEE]]&gt;0, t_Parts[[#This Row],[PressOEE]], t_Parts[[#This Row],[PlantOEE]] ))</f>
        <v>0.55000000000000004</v>
      </c>
      <c r="AJ66" s="70">
        <f>t_Parts[[#This Row],[SetupsPerMo]]*t_Parts[[#This Row],[SetupHrs]]</f>
        <v>2</v>
      </c>
      <c r="AK66" s="39">
        <f>(t_Parts[[#This Row],[PartsPerStroke]]*t_Parts[[#This Row],[StrokesPerHr]])*t_Parts[[#This Row],[UseOEE]]</f>
        <v>396.00000000000006</v>
      </c>
      <c r="AL6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3616.4423076923076</v>
      </c>
      <c r="AO6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3616.4423076923076</v>
      </c>
      <c r="AR6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3616.4423076923076</v>
      </c>
      <c r="AU6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3616.4423076923076</v>
      </c>
      <c r="AX66" s="39">
        <f>SUM(t_Parts[[#This Row],[pv2015.01]:[pv2015.12]])</f>
        <v>37611</v>
      </c>
      <c r="AY6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6" s="39">
        <f>SUM(t_Parts[[#This Row],[pv2016.01]:[pv2016.12]])</f>
        <v>37611</v>
      </c>
      <c r="BL66" s="39">
        <f>t_Parts[[#This Row],[2017vol]]</f>
        <v>37611</v>
      </c>
      <c r="BM66" s="39">
        <f>t_Parts[[#This Row],[2018vol]]</f>
        <v>37611</v>
      </c>
      <c r="BN66" s="39">
        <f>t_Parts[[#This Row],[2019vol]]</f>
        <v>37611</v>
      </c>
      <c r="BO66" s="40">
        <f>VLOOKUP(t_Parts[[Plant]:[Plant]],t_Plants[],Plants!CN$1,FALSE)</f>
        <v>280</v>
      </c>
      <c r="BP66" s="14">
        <f>VLOOKUP(t_Parts[[Plant]:[Plant]],t_Plants[],Plants!CO$1,FALSE)</f>
        <v>280</v>
      </c>
      <c r="BQ66" s="14">
        <f>VLOOKUP(t_Parts[[Plant]:[Plant]],t_Plants[],Plants!CP$1,FALSE)</f>
        <v>350</v>
      </c>
      <c r="BR66" s="14">
        <f>VLOOKUP(t_Parts[[Plant]:[Plant]],t_Plants[],Plants!CQ$1,FALSE)</f>
        <v>280</v>
      </c>
      <c r="BS66" s="14">
        <f>VLOOKUP(t_Parts[[Plant]:[Plant]],t_Plants[],Plants!CR$1,FALSE)</f>
        <v>280</v>
      </c>
      <c r="BT66" s="14">
        <f>VLOOKUP(t_Parts[[Plant]:[Plant]],t_Plants[],Plants!CS$1,FALSE)</f>
        <v>350</v>
      </c>
      <c r="BU66" s="14">
        <f>VLOOKUP(t_Parts[[Plant]:[Plant]],t_Plants[],Plants!CT$1,FALSE)</f>
        <v>280</v>
      </c>
      <c r="BV66" s="14">
        <f>VLOOKUP(t_Parts[[Plant]:[Plant]],t_Plants[],Plants!CU$1,FALSE)</f>
        <v>280</v>
      </c>
      <c r="BW66" s="14">
        <f>VLOOKUP(t_Parts[[Plant]:[Plant]],t_Plants[],Plants!CV$1,FALSE)</f>
        <v>350</v>
      </c>
      <c r="BX66" s="14">
        <f>VLOOKUP(t_Parts[[Plant]:[Plant]],t_Plants[],Plants!CW$1,FALSE)</f>
        <v>280</v>
      </c>
      <c r="BY66" s="14">
        <f>VLOOKUP(t_Parts[[Plant]:[Plant]],t_Plants[],Plants!CX$1,FALSE)</f>
        <v>280</v>
      </c>
      <c r="BZ66" s="14">
        <f>VLOOKUP(t_Parts[[Plant]:[Plant]],t_Plants[],Plants!CY$1,FALSE)</f>
        <v>350</v>
      </c>
      <c r="CA66" s="40">
        <f>SUM(t_Parts[[#This Row],[ha2015.01]:[ha2015.12]])</f>
        <v>3640</v>
      </c>
      <c r="CB66" s="14">
        <f>VLOOKUP(t_Parts[[Plant]:[Plant]],t_Plants[],Plants!DA$1,FALSE)</f>
        <v>280</v>
      </c>
      <c r="CC66" s="14">
        <f>VLOOKUP(t_Parts[[Plant]:[Plant]],t_Plants[],Plants!DB$1,FALSE)</f>
        <v>280</v>
      </c>
      <c r="CD66" s="14">
        <f>VLOOKUP(t_Parts[[Plant]:[Plant]],t_Plants[],Plants!DC$1,FALSE)</f>
        <v>350</v>
      </c>
      <c r="CE66" s="14">
        <f>VLOOKUP(t_Parts[[Plant]:[Plant]],t_Plants[],Plants!DD$1,FALSE)</f>
        <v>280</v>
      </c>
      <c r="CF66" s="14">
        <f>VLOOKUP(t_Parts[[Plant]:[Plant]],t_Plants[],Plants!DE$1,FALSE)</f>
        <v>280</v>
      </c>
      <c r="CG66" s="14">
        <f>VLOOKUP(t_Parts[[Plant]:[Plant]],t_Plants[],Plants!DF$1,FALSE)</f>
        <v>350</v>
      </c>
      <c r="CH66" s="14">
        <f>VLOOKUP(t_Parts[[Plant]:[Plant]],t_Plants[],Plants!DG$1,FALSE)</f>
        <v>280</v>
      </c>
      <c r="CI66" s="14">
        <f>VLOOKUP(t_Parts[[Plant]:[Plant]],t_Plants[],Plants!DH$1,FALSE)</f>
        <v>280</v>
      </c>
      <c r="CJ66" s="14">
        <f>VLOOKUP(t_Parts[[Plant]:[Plant]],t_Plants[],Plants!DI$1,FALSE)</f>
        <v>350</v>
      </c>
      <c r="CK66" s="14">
        <f>VLOOKUP(t_Parts[[Plant]:[Plant]],t_Plants[],Plants!DJ$1,FALSE)</f>
        <v>280</v>
      </c>
      <c r="CL66" s="14">
        <f>VLOOKUP(t_Parts[[Plant]:[Plant]],t_Plants[],Plants!DK$1,FALSE)</f>
        <v>280</v>
      </c>
      <c r="CM66" s="14">
        <f>VLOOKUP(t_Parts[[Plant]:[Plant]],t_Plants[],Plants!DL$1,FALSE)</f>
        <v>350</v>
      </c>
      <c r="CN66" s="14">
        <f>VLOOKUP(t_Parts[[Plant]:[Plant]],t_Plants[],Plants!DM$1,FALSE)</f>
        <v>3640</v>
      </c>
      <c r="CO66" s="14">
        <f>VLOOKUP(t_Parts[[Plant]:[Plant]],t_Plants[],Plants!DN$1,FALSE)</f>
        <v>3640</v>
      </c>
      <c r="CP66" s="14">
        <f>VLOOKUP(t_Parts[[Plant]:[Plant]],t_Plants[],Plants!DO$1,FALSE)</f>
        <v>3640</v>
      </c>
      <c r="CQ66" s="14">
        <f>VLOOKUP(t_Parts[[Plant]:[Plant]],t_Plants[],Plants!DP$1,FALSE)</f>
        <v>3640</v>
      </c>
      <c r="CR66" s="39">
        <f>IF(AND(AL$3&gt;=VALUE(t_Parts[[SOP]:[SOP]]),AL$3&lt;=VALUE(t_Parts[[EOP]:[EOP]])), t_Parts[[SetupHrsPerMo]:[SetupHrsPerMo]]+(t_Parts[[#This Row],[pv2015.01]]/t_Parts[[NetPPH]:[NetPPH]]),0)</f>
        <v>9.3059440559440549</v>
      </c>
      <c r="CS66" s="39">
        <f>IF(AND(AM$3&gt;=VALUE(t_Parts[[SOP]:[SOP]]),AM$3&lt;=VALUE(t_Parts[[EOP]:[EOP]])), t_Parts[[SetupHrsPerMo]:[SetupHrsPerMo]]+(t_Parts[[#This Row],[pv2015.02]]/t_Parts[[NetPPH]:[NetPPH]]),0)</f>
        <v>9.3059440559440549</v>
      </c>
      <c r="CT66" s="39">
        <f>IF(AND(AN$3&gt;=VALUE(t_Parts[[SOP]:[SOP]]),AN$3&lt;=VALUE(t_Parts[[EOP]:[EOP]])), t_Parts[[SetupHrsPerMo]:[SetupHrsPerMo]]+(t_Parts[[#This Row],[pv2015.03]]/t_Parts[[NetPPH]:[NetPPH]]),0)</f>
        <v>11.132430069930068</v>
      </c>
      <c r="CU66" s="39">
        <f>IF(AND(AO$3&gt;=VALUE(t_Parts[[SOP]:[SOP]]),AO$3&lt;=VALUE(t_Parts[[EOP]:[EOP]])), t_Parts[[SetupHrsPerMo]:[SetupHrsPerMo]]+(t_Parts[[#This Row],[pv2015.04]]/t_Parts[[NetPPH]:[NetPPH]]),0)</f>
        <v>9.3059440559440549</v>
      </c>
      <c r="CV66" s="39">
        <f>IF(AND(AP$3&gt;=VALUE(t_Parts[[SOP]:[SOP]]),AP$3&lt;=VALUE(t_Parts[[EOP]:[EOP]])), t_Parts[[SetupHrsPerMo]:[SetupHrsPerMo]]+(t_Parts[[#This Row],[pv2015.05]]/t_Parts[[NetPPH]:[NetPPH]]),0)</f>
        <v>9.3059440559440549</v>
      </c>
      <c r="CW66" s="39">
        <f>IF(AND(AQ$3&gt;=VALUE(t_Parts[[SOP]:[SOP]]),AQ$3&lt;=VALUE(t_Parts[[EOP]:[EOP]])), t_Parts[[SetupHrsPerMo]:[SetupHrsPerMo]]+(t_Parts[[#This Row],[pv2015.06]]/t_Parts[[NetPPH]:[NetPPH]]),0)</f>
        <v>11.132430069930068</v>
      </c>
      <c r="CX66" s="39">
        <f>IF(AND(AR$3&gt;=VALUE(t_Parts[[SOP]:[SOP]]),AR$3&lt;=VALUE(t_Parts[[EOP]:[EOP]])), t_Parts[[SetupHrsPerMo]:[SetupHrsPerMo]]+(t_Parts[[#This Row],[pv2015.07]]/t_Parts[[NetPPH]:[NetPPH]]),0)</f>
        <v>9.3059440559440549</v>
      </c>
      <c r="CY66" s="39">
        <f>IF(AND(AS$3&gt;=VALUE(t_Parts[[SOP]:[SOP]]),AS$3&lt;=VALUE(t_Parts[[EOP]:[EOP]])), t_Parts[[SetupHrsPerMo]:[SetupHrsPerMo]]+(t_Parts[[#This Row],[pv2015.08]]/t_Parts[[NetPPH]:[NetPPH]]),0)</f>
        <v>9.3059440559440549</v>
      </c>
      <c r="CZ66" s="39">
        <f>IF(AND(AT$3&gt;=VALUE(t_Parts[[SOP]:[SOP]]),AT$3&lt;=VALUE(t_Parts[[EOP]:[EOP]])), t_Parts[[SetupHrsPerMo]:[SetupHrsPerMo]]+(t_Parts[[#This Row],[pv2015.09]]/t_Parts[[NetPPH]:[NetPPH]]),0)</f>
        <v>11.132430069930068</v>
      </c>
      <c r="DA66" s="39">
        <f>IF(AND(AU$3&gt;=VALUE(t_Parts[[SOP]:[SOP]]),AU$3&lt;=VALUE(t_Parts[[EOP]:[EOP]])), t_Parts[[SetupHrsPerMo]:[SetupHrsPerMo]]+(t_Parts[[#This Row],[pv2015.10]]/t_Parts[[NetPPH]:[NetPPH]]),0)</f>
        <v>9.3059440559440549</v>
      </c>
      <c r="DB66" s="39">
        <f>IF(AND(AV$3&gt;=VALUE(t_Parts[[SOP]:[SOP]]),AV$3&lt;=VALUE(t_Parts[[EOP]:[EOP]])), t_Parts[[SetupHrsPerMo]:[SetupHrsPerMo]]+(t_Parts[[#This Row],[pv2015.11]]/t_Parts[[NetPPH]:[NetPPH]]),0)</f>
        <v>9.3059440559440549</v>
      </c>
      <c r="DC66" s="39">
        <f>IF(AND(AW$3&gt;=VALUE(t_Parts[[SOP]:[SOP]]),AW$3&lt;=VALUE(t_Parts[[EOP]:[EOP]])), t_Parts[[SetupHrsPerMo]:[SetupHrsPerMo]]+(t_Parts[[#This Row],[pv2015.12]]/t_Parts[[NetPPH]:[NetPPH]]),0)</f>
        <v>11.132430069930068</v>
      </c>
      <c r="DD66" s="39">
        <f>SUM(t_Parts[[#This Row],[hp2015.01]:[hp2015.12]])</f>
        <v>118.97727272727271</v>
      </c>
      <c r="DE66" s="39">
        <f>IF(AND(AY$3&gt;=VALUE(t_Parts[[SOP]:[SOP]]),AY$3&lt;=VALUE(t_Parts[[EOP]:[EOP]])), t_Parts[[SetupHrsPerMo]:[SetupHrsPerMo]]+(t_Parts[[#This Row],[pv2016.01]]/t_Parts[[NetPPH]:[NetPPH]]),0)</f>
        <v>9.3059440559440549</v>
      </c>
      <c r="DF66" s="39">
        <f>IF(AND(AZ$3&gt;=VALUE(t_Parts[[SOP]:[SOP]]),AZ$3&lt;=VALUE(t_Parts[[EOP]:[EOP]])), t_Parts[[SetupHrsPerMo]:[SetupHrsPerMo]]+(t_Parts[[#This Row],[pv2016.02]]/t_Parts[[NetPPH]:[NetPPH]]),0)</f>
        <v>9.3059440559440549</v>
      </c>
      <c r="DG66" s="39">
        <f>IF(AND(BA$3&gt;=VALUE(t_Parts[[SOP]:[SOP]]),BA$3&lt;=VALUE(t_Parts[[EOP]:[EOP]])), t_Parts[[SetupHrsPerMo]:[SetupHrsPerMo]]+(t_Parts[[#This Row],[pv2016.03]]/t_Parts[[NetPPH]:[NetPPH]]),0)</f>
        <v>11.132430069930068</v>
      </c>
      <c r="DH66" s="39">
        <f>IF(AND(BB$3&gt;=VALUE(t_Parts[[SOP]:[SOP]]),BB$3&lt;=VALUE(t_Parts[[EOP]:[EOP]])), t_Parts[[SetupHrsPerMo]:[SetupHrsPerMo]]+(t_Parts[[#This Row],[pv2016.04]]/t_Parts[[NetPPH]:[NetPPH]]),0)</f>
        <v>9.3059440559440549</v>
      </c>
      <c r="DI66" s="39">
        <f>IF(AND(BC$3&gt;=VALUE(t_Parts[[SOP]:[SOP]]),BC$3&lt;=VALUE(t_Parts[[EOP]:[EOP]])), t_Parts[[SetupHrsPerMo]:[SetupHrsPerMo]]+(t_Parts[[#This Row],[pv2016.05]]/t_Parts[[NetPPH]:[NetPPH]]),0)</f>
        <v>9.3059440559440549</v>
      </c>
      <c r="DJ66" s="39">
        <f>IF(AND(BD$3&gt;=VALUE(t_Parts[[SOP]:[SOP]]),BD$3&lt;=VALUE(t_Parts[[EOP]:[EOP]])), t_Parts[[SetupHrsPerMo]:[SetupHrsPerMo]]+(t_Parts[[#This Row],[pv2016.06]]/t_Parts[[NetPPH]:[NetPPH]]),0)</f>
        <v>11.132430069930068</v>
      </c>
      <c r="DK66" s="39">
        <f>IF(AND(BE$3&gt;=VALUE(t_Parts[[SOP]:[SOP]]),BE$3&lt;=VALUE(t_Parts[[EOP]:[EOP]])), t_Parts[[SetupHrsPerMo]:[SetupHrsPerMo]]+(t_Parts[[#This Row],[pv2016.07]]/t_Parts[[NetPPH]:[NetPPH]]),0)</f>
        <v>9.3059440559440549</v>
      </c>
      <c r="DL66" s="39">
        <f>IF(AND(BF$3&gt;=VALUE(t_Parts[[SOP]:[SOP]]),BF$3&lt;=VALUE(t_Parts[[EOP]:[EOP]])), t_Parts[[SetupHrsPerMo]:[SetupHrsPerMo]]+(t_Parts[[#This Row],[pv2016.08]]/t_Parts[[NetPPH]:[NetPPH]]),0)</f>
        <v>9.3059440559440549</v>
      </c>
      <c r="DM66" s="39">
        <f>IF(AND(BG$3&gt;=VALUE(t_Parts[[SOP]:[SOP]]),BG$3&lt;=VALUE(t_Parts[[EOP]:[EOP]])), t_Parts[[SetupHrsPerMo]:[SetupHrsPerMo]]+(t_Parts[[#This Row],[pv2016.09]]/t_Parts[[NetPPH]:[NetPPH]]),0)</f>
        <v>11.132430069930068</v>
      </c>
      <c r="DN66" s="39">
        <f>IF(AND(BH$3&gt;=VALUE(t_Parts[[SOP]:[SOP]]),BH$3&lt;=VALUE(t_Parts[[EOP]:[EOP]])), t_Parts[[SetupHrsPerMo]:[SetupHrsPerMo]]+(t_Parts[[#This Row],[pv2016.10]]/t_Parts[[NetPPH]:[NetPPH]]),0)</f>
        <v>9.3059440559440549</v>
      </c>
      <c r="DO66" s="39">
        <f>IF(AND(BI$3&gt;=VALUE(t_Parts[[SOP]:[SOP]]),BI$3&lt;=VALUE(t_Parts[[EOP]:[EOP]])), t_Parts[[SetupHrsPerMo]:[SetupHrsPerMo]]+(t_Parts[[#This Row],[pv2016.11]]/t_Parts[[NetPPH]:[NetPPH]]),0)</f>
        <v>9.3059440559440549</v>
      </c>
      <c r="DP66" s="39">
        <f>IF(AND(BJ$3&gt;=VALUE(t_Parts[[SOP]:[SOP]]),BJ$3&lt;=VALUE(t_Parts[[EOP]:[EOP]])), t_Parts[[SetupHrsPerMo]:[SetupHrsPerMo]]+(t_Parts[[#This Row],[pv2016.12]]/t_Parts[[NetPPH]:[NetPPH]]),0)</f>
        <v>11.132430069930068</v>
      </c>
      <c r="DQ66" s="39">
        <f>SUM(t_Parts[[#This Row],[hp2016.01]:[hp2016.12]])</f>
        <v>118.97727272727271</v>
      </c>
      <c r="DR66" s="39">
        <f>IF(AND(BL$3&gt;=VALUE(t_Parts[[SOP]:[SOP]]),BL$3&lt;=VALUE(t_Parts[[EOP]:[EOP]])), 12*t_Parts[[SetupHrsPerMo]:[SetupHrsPerMo]]+(t_Parts[[#This Row],[pv2017]]/t_Parts[[NetPPH]:[NetPPH]]),0)</f>
        <v>118.97727272727272</v>
      </c>
      <c r="DS66" s="39">
        <f>IF(AND(BM$3&gt;=VALUE(t_Parts[[SOP]:[SOP]]),BM$3&lt;=VALUE(t_Parts[[EOP]:[EOP]])), 12*t_Parts[[SetupHrsPerMo]:[SetupHrsPerMo]]+(t_Parts[[#This Row],[pv2018]]/t_Parts[[NetPPH]:[NetPPH]]),0)</f>
        <v>118.97727272727272</v>
      </c>
      <c r="DT66" s="39">
        <f>IF(AND(BN$3&gt;=VALUE(t_Parts[[SOP]:[SOP]]),BN$3&lt;=VALUE(t_Parts[[EOP]:[EOP]])), 12*t_Parts[[SetupHrsPerMo]:[SetupHrsPerMo]]+(t_Parts[[#This Row],[pv2019]]/t_Parts[[NetPPH]:[NetPPH]]),0)</f>
        <v>118.97727272727272</v>
      </c>
      <c r="DU66" s="47">
        <f>t_Parts[[#This Row],[hp2015.01]]/t_Parts[[#This Row],[ha2015.01]]</f>
        <v>3.3235514485514484E-2</v>
      </c>
      <c r="DV66" s="47">
        <f>t_Parts[[#This Row],[hp2015.02]]/t_Parts[[#This Row],[ha2015.02]]</f>
        <v>3.3235514485514484E-2</v>
      </c>
      <c r="DW66" s="47">
        <f>t_Parts[[#This Row],[hp2015.03]]/t_Parts[[#This Row],[ha2015.03]]</f>
        <v>3.1806943056943052E-2</v>
      </c>
      <c r="DX66" s="47">
        <f>t_Parts[[#This Row],[hp2015.04]]/t_Parts[[#This Row],[ha2015.04]]</f>
        <v>3.3235514485514484E-2</v>
      </c>
      <c r="DY66" s="47">
        <f>t_Parts[[#This Row],[hp2015.05]]/t_Parts[[#This Row],[ha2015.05]]</f>
        <v>3.3235514485514484E-2</v>
      </c>
      <c r="DZ66" s="47">
        <f>t_Parts[[#This Row],[hp2015.06]]/t_Parts[[#This Row],[ha2015.06]]</f>
        <v>3.1806943056943052E-2</v>
      </c>
      <c r="EA66" s="47">
        <f>t_Parts[[#This Row],[hp2015.07]]/t_Parts[[#This Row],[ha2015.07]]</f>
        <v>3.3235514485514484E-2</v>
      </c>
      <c r="EB66" s="47">
        <f>t_Parts[[#This Row],[hp2015.08]]/t_Parts[[#This Row],[ha2015.08]]</f>
        <v>3.3235514485514484E-2</v>
      </c>
      <c r="EC66" s="47">
        <f>t_Parts[[#This Row],[hp2015.09]]/t_Parts[[#This Row],[ha2015.09]]</f>
        <v>3.1806943056943052E-2</v>
      </c>
      <c r="ED66" s="47">
        <f>t_Parts[[#This Row],[hp2015.10]]/t_Parts[[#This Row],[ha2015.10]]</f>
        <v>3.3235514485514484E-2</v>
      </c>
      <c r="EE66" s="47">
        <f>t_Parts[[#This Row],[hp2015.11]]/t_Parts[[#This Row],[ha2015.11]]</f>
        <v>3.3235514485514484E-2</v>
      </c>
      <c r="EF66" s="47">
        <f>t_Parts[[#This Row],[hp2015.12]]/t_Parts[[#This Row],[ha2015.12]]</f>
        <v>3.1806943056943052E-2</v>
      </c>
      <c r="EG66" s="47">
        <f>t_Parts[[#This Row],[hp2015.FY]]/t_Parts[[#This Row],[ha2015.FY]]</f>
        <v>3.2686063936063929E-2</v>
      </c>
      <c r="EH66" s="47">
        <f>t_Parts[[#This Row],[hp2016.01]]/t_Parts[[#This Row],[ha2016.01]]</f>
        <v>3.3235514485514484E-2</v>
      </c>
      <c r="EI66" s="47">
        <f>t_Parts[[#This Row],[hp2016.02]]/t_Parts[[#This Row],[ha2016.02]]</f>
        <v>3.3235514485514484E-2</v>
      </c>
      <c r="EJ66" s="47">
        <f>t_Parts[[#This Row],[hp2016.03]]/t_Parts[[#This Row],[ha2016.03]]</f>
        <v>3.1806943056943052E-2</v>
      </c>
      <c r="EK66" s="47">
        <f>t_Parts[[#This Row],[hp2016.04]]/t_Parts[[#This Row],[ha2016.04]]</f>
        <v>3.3235514485514484E-2</v>
      </c>
      <c r="EL66" s="47">
        <f>t_Parts[[#This Row],[hp2016.05]]/t_Parts[[#This Row],[ha2016.05]]</f>
        <v>3.3235514485514484E-2</v>
      </c>
      <c r="EM66" s="47">
        <f>t_Parts[[#This Row],[hp2016.06]]/t_Parts[[#This Row],[ha2016.06]]</f>
        <v>3.1806943056943052E-2</v>
      </c>
      <c r="EN66" s="47">
        <f>t_Parts[[#This Row],[hp2016.07]]/t_Parts[[#This Row],[ha2016.07]]</f>
        <v>3.3235514485514484E-2</v>
      </c>
      <c r="EO66" s="47">
        <f>t_Parts[[#This Row],[hp2016.08]]/t_Parts[[#This Row],[ha2016.08]]</f>
        <v>3.3235514485514484E-2</v>
      </c>
      <c r="EP66" s="47">
        <f>t_Parts[[#This Row],[hp2016.09]]/t_Parts[[#This Row],[ha2016.09]]</f>
        <v>3.1806943056943052E-2</v>
      </c>
      <c r="EQ66" s="47">
        <f>t_Parts[[#This Row],[hp2016.10]]/t_Parts[[#This Row],[ha2016.10]]</f>
        <v>3.3235514485514484E-2</v>
      </c>
      <c r="ER66" s="47">
        <f>t_Parts[[#This Row],[hp2016.11]]/t_Parts[[#This Row],[ha2016.11]]</f>
        <v>3.3235514485514484E-2</v>
      </c>
      <c r="ES66" s="47">
        <f>t_Parts[[#This Row],[hp2016.12]]/t_Parts[[#This Row],[ha2016.12]]</f>
        <v>3.1806943056943052E-2</v>
      </c>
      <c r="ET66" s="47">
        <f>t_Parts[[#This Row],[hp2016.FY]]/t_Parts[[#This Row],[ha2016.FY]]</f>
        <v>3.2686063936063929E-2</v>
      </c>
      <c r="EU66" s="47">
        <f>t_Parts[[#This Row],[hp2017]]/t_Parts[[#This Row],[ha2017]]</f>
        <v>3.2686063936063936E-2</v>
      </c>
      <c r="EV66" s="47">
        <f>t_Parts[[#This Row],[hp2018]]/t_Parts[[#This Row],[ha2018]]</f>
        <v>3.2686063936063936E-2</v>
      </c>
      <c r="EW66" s="47">
        <f>t_Parts[[#This Row],[hp2019]]/t_Parts[[#This Row],[hp2015.01]]</f>
        <v>12.785083599473982</v>
      </c>
      <c r="EX66" s="58">
        <f>(t_Parts[[#This Row],[ha2015.01]]-t_Parts[[#This Row],[hp2015.01]])*t_Parts[[NetPPH]:[NetPPH]]</f>
        <v>107194.84615384617</v>
      </c>
      <c r="EY66" s="58">
        <f>(t_Parts[[#This Row],[ha2015.02]]-t_Parts[[#This Row],[hp2015.02]])*t_Parts[[NetPPH]:[NetPPH]]</f>
        <v>107194.84615384617</v>
      </c>
      <c r="EZ66" s="58">
        <f>(t_Parts[[#This Row],[ha2015.03]]-t_Parts[[#This Row],[hp2015.03]])*t_Parts[[NetPPH]:[NetPPH]]</f>
        <v>134191.55769230772</v>
      </c>
      <c r="FA66" s="58">
        <f>(t_Parts[[#This Row],[ha2015.04]]-t_Parts[[#This Row],[hp2015.04]])*t_Parts[[NetPPH]:[NetPPH]]</f>
        <v>107194.84615384617</v>
      </c>
      <c r="FB66" s="58">
        <f>(t_Parts[[#This Row],[ha2015.05]]-t_Parts[[#This Row],[hp2015.05]])*t_Parts[[NetPPH]:[NetPPH]]</f>
        <v>107194.84615384617</v>
      </c>
      <c r="FC66" s="58">
        <f>(t_Parts[[#This Row],[ha2015.06]]-t_Parts[[#This Row],[hp2015.06]])*t_Parts[[NetPPH]:[NetPPH]]</f>
        <v>134191.55769230772</v>
      </c>
      <c r="FD66" s="58">
        <f>(t_Parts[[#This Row],[ha2015.07]]-t_Parts[[#This Row],[hp2015.07]])*t_Parts[[NetPPH]:[NetPPH]]</f>
        <v>107194.84615384617</v>
      </c>
      <c r="FE66" s="58">
        <f>(t_Parts[[#This Row],[ha2015.08]]-t_Parts[[#This Row],[hp2015.08]])*t_Parts[[NetPPH]:[NetPPH]]</f>
        <v>107194.84615384617</v>
      </c>
      <c r="FF66" s="58">
        <f>(t_Parts[[#This Row],[ha2015.09]]-t_Parts[[#This Row],[hp2015.09]])*t_Parts[[NetPPH]:[NetPPH]]</f>
        <v>134191.55769230772</v>
      </c>
      <c r="FG66" s="58">
        <f>(t_Parts[[#This Row],[ha2015.10]]-t_Parts[[#This Row],[hp2015.10]])*t_Parts[[NetPPH]:[NetPPH]]</f>
        <v>107194.84615384617</v>
      </c>
      <c r="FH66" s="58">
        <f>(t_Parts[[#This Row],[ha2015.11]]-t_Parts[[#This Row],[hp2015.11]])*t_Parts[[NetPPH]:[NetPPH]]</f>
        <v>107194.84615384617</v>
      </c>
      <c r="FI66" s="58">
        <f>(t_Parts[[#This Row],[ha2015.12]]-t_Parts[[#This Row],[hp2015.12]])*t_Parts[[NetPPH]:[NetPPH]]</f>
        <v>134191.55769230772</v>
      </c>
      <c r="FJ66" s="58">
        <f>(t_Parts[[#This Row],[ha2015.FY]]-t_Parts[[#This Row],[hp2015.FY]])*t_Parts[[NetPPH]:[NetPPH]]</f>
        <v>1394325.0000000002</v>
      </c>
      <c r="FK66" s="58">
        <f>(t_Parts[[#This Row],[ha2016.01]]-t_Parts[[#This Row],[hp2016.01]])*t_Parts[[NetPPH]:[NetPPH]]</f>
        <v>107194.84615384617</v>
      </c>
      <c r="FL66" s="58">
        <f>(t_Parts[[#This Row],[ha2016.02]]-t_Parts[[#This Row],[hp2016.02]])*t_Parts[[NetPPH]:[NetPPH]]</f>
        <v>107194.84615384617</v>
      </c>
      <c r="FM66" s="58">
        <f>(t_Parts[[#This Row],[ha2016.03]]-t_Parts[[#This Row],[hp2016.03]])*t_Parts[[NetPPH]:[NetPPH]]</f>
        <v>134191.55769230772</v>
      </c>
      <c r="FN66" s="58">
        <f>(t_Parts[[#This Row],[ha2016.04]]-t_Parts[[#This Row],[hp2016.04]])*t_Parts[[NetPPH]:[NetPPH]]</f>
        <v>107194.84615384617</v>
      </c>
      <c r="FO66" s="58">
        <f>(t_Parts[[#This Row],[ha2016.05]]-t_Parts[[#This Row],[hp2016.05]])*t_Parts[[NetPPH]:[NetPPH]]</f>
        <v>107194.84615384617</v>
      </c>
      <c r="FP66" s="58">
        <f>(t_Parts[[#This Row],[ha2016.06]]-t_Parts[[#This Row],[hp2016.06]])*t_Parts[[NetPPH]:[NetPPH]]</f>
        <v>134191.55769230772</v>
      </c>
      <c r="FQ66" s="58">
        <f>(t_Parts[[#This Row],[ha2016.07]]-t_Parts[[#This Row],[hp2016.07]])*t_Parts[[NetPPH]:[NetPPH]]</f>
        <v>107194.84615384617</v>
      </c>
      <c r="FR66" s="58">
        <f>(t_Parts[[#This Row],[ha2016.08]]-t_Parts[[#This Row],[hp2016.08]])*t_Parts[[NetPPH]:[NetPPH]]</f>
        <v>107194.84615384617</v>
      </c>
      <c r="FS66" s="58">
        <f>(t_Parts[[#This Row],[ha2016.09]]-t_Parts[[#This Row],[hp2016.09]])*t_Parts[[NetPPH]:[NetPPH]]</f>
        <v>134191.55769230772</v>
      </c>
      <c r="FT66" s="58">
        <f>(t_Parts[[#This Row],[ha2016.10]]-t_Parts[[#This Row],[hp2016.10]])*t_Parts[[NetPPH]:[NetPPH]]</f>
        <v>107194.84615384617</v>
      </c>
      <c r="FU66" s="58">
        <f>(t_Parts[[#This Row],[ha2016.11]]-t_Parts[[#This Row],[hp2016.11]])*t_Parts[[NetPPH]:[NetPPH]]</f>
        <v>107194.84615384617</v>
      </c>
      <c r="FV66" s="58">
        <f>(t_Parts[[#This Row],[ha2016.12]]-t_Parts[[#This Row],[hp2016.12]])*t_Parts[[NetPPH]:[NetPPH]]</f>
        <v>134191.55769230772</v>
      </c>
      <c r="FW66" s="58">
        <f>(t_Parts[[#This Row],[ha2016.FY]]-t_Parts[[#This Row],[hp2016.FY]])*t_Parts[[NetPPH]:[NetPPH]]</f>
        <v>1394325.0000000002</v>
      </c>
      <c r="FX66" s="58">
        <f>(t_Parts[[#This Row],[ha2017]]-t_Parts[[#This Row],[hp2017]])*t_Parts[[NetPPH]:[NetPPH]]</f>
        <v>1394325.0000000002</v>
      </c>
      <c r="FY66" s="58">
        <f>(t_Parts[[#This Row],[ha2018]]-t_Parts[[#This Row],[hp2018]])*t_Parts[[NetPPH]:[NetPPH]]</f>
        <v>1394325.0000000002</v>
      </c>
      <c r="FZ66" s="58">
        <f>(t_Parts[[#This Row],[ha2019]]-t_Parts[[#This Row],[hp2019]])*t_Parts[[NetPPH]:[NetPPH]]</f>
        <v>1394325.0000000002</v>
      </c>
    </row>
    <row r="67" spans="1:182" s="14" customFormat="1" x14ac:dyDescent="0.25">
      <c r="A67" s="74">
        <v>77038</v>
      </c>
      <c r="B67" s="74"/>
      <c r="C67" s="74">
        <v>21003</v>
      </c>
      <c r="D67" s="75">
        <v>1</v>
      </c>
      <c r="E67" s="73">
        <v>1800</v>
      </c>
      <c r="F67" s="76">
        <v>1</v>
      </c>
      <c r="G67" s="77">
        <v>2</v>
      </c>
      <c r="H67" s="16">
        <v>2015.01</v>
      </c>
      <c r="I67" s="16" t="s">
        <v>83</v>
      </c>
      <c r="J67" s="73">
        <v>37611</v>
      </c>
      <c r="K67" s="73">
        <v>37611</v>
      </c>
      <c r="L67" s="73">
        <v>37611</v>
      </c>
      <c r="M67" s="73">
        <v>37611</v>
      </c>
      <c r="N67" s="73">
        <v>37611</v>
      </c>
      <c r="O67" s="78">
        <v>44</v>
      </c>
      <c r="P67" s="78">
        <v>95</v>
      </c>
      <c r="Q67" s="79">
        <v>22.617000000000001</v>
      </c>
      <c r="R67" s="79"/>
      <c r="S67" s="78">
        <v>208</v>
      </c>
      <c r="T67" s="80">
        <v>13</v>
      </c>
      <c r="U67" s="80" t="s">
        <v>121</v>
      </c>
      <c r="V67" s="81" t="s">
        <v>555</v>
      </c>
      <c r="W67" s="82">
        <v>3.72</v>
      </c>
      <c r="X67" s="82" t="s">
        <v>551</v>
      </c>
      <c r="Y67" s="82"/>
      <c r="Z67" s="82"/>
      <c r="AA67" s="82"/>
      <c r="AB67" s="82"/>
      <c r="AC67" s="83" t="s">
        <v>667</v>
      </c>
      <c r="AD67" s="40" t="str">
        <f>VLOOKUP(t_Parts[[#This Row],[Press]],t_Presses[],Press!B$1,FALSE)</f>
        <v>Plainfield</v>
      </c>
      <c r="AE67" s="40" t="str">
        <f>VLOOKUP(t_Parts[[#This Row],[Press]],t_Presses[],Press!E$1,FALSE)</f>
        <v>300-599</v>
      </c>
      <c r="AF67" s="47">
        <f>VLOOKUP(t_Parts[[#This Row],[Plant]],t_Plants[],Plants!C$1,FALSE)</f>
        <v>0.55000000000000004</v>
      </c>
      <c r="AG67" s="47">
        <f>VLOOKUP(t_Parts[[#This Row],[Press]],t_Presses[],Press!F$1,FALSE)</f>
        <v>0</v>
      </c>
      <c r="AH67" s="84"/>
      <c r="AI67" s="47">
        <f>IF(ISBLANK(t_Parts[[#This Row],[PartOEE]])=FALSE,t_Parts[[#This Row],[PartOEE]], IF(t_Parts[[#This Row],[PressOEE]]&gt;0, t_Parts[[#This Row],[PressOEE]], t_Parts[[#This Row],[PlantOEE]] ))</f>
        <v>0.55000000000000004</v>
      </c>
      <c r="AJ67" s="70">
        <f>t_Parts[[#This Row],[SetupsPerMo]]*t_Parts[[#This Row],[SetupHrs]]</f>
        <v>2</v>
      </c>
      <c r="AK67" s="39">
        <f>(t_Parts[[#This Row],[PartsPerStroke]]*t_Parts[[#This Row],[StrokesPerHr]])*t_Parts[[#This Row],[UseOEE]]</f>
        <v>990.00000000000011</v>
      </c>
      <c r="AL6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3616.4423076923076</v>
      </c>
      <c r="AO6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3616.4423076923076</v>
      </c>
      <c r="AR6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3616.4423076923076</v>
      </c>
      <c r="AU6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3616.4423076923076</v>
      </c>
      <c r="AX67" s="39">
        <f>SUM(t_Parts[[#This Row],[pv2015.01]:[pv2015.12]])</f>
        <v>37611</v>
      </c>
      <c r="AY6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7" s="39">
        <f>SUM(t_Parts[[#This Row],[pv2016.01]:[pv2016.12]])</f>
        <v>37611</v>
      </c>
      <c r="BL67" s="39">
        <f>t_Parts[[#This Row],[2017vol]]</f>
        <v>37611</v>
      </c>
      <c r="BM67" s="39">
        <f>t_Parts[[#This Row],[2018vol]]</f>
        <v>37611</v>
      </c>
      <c r="BN67" s="39">
        <f>t_Parts[[#This Row],[2019vol]]</f>
        <v>37611</v>
      </c>
      <c r="BO67" s="40">
        <f>VLOOKUP(t_Parts[[Plant]:[Plant]],t_Plants[],Plants!CN$1,FALSE)</f>
        <v>280</v>
      </c>
      <c r="BP67" s="14">
        <f>VLOOKUP(t_Parts[[Plant]:[Plant]],t_Plants[],Plants!CO$1,FALSE)</f>
        <v>280</v>
      </c>
      <c r="BQ67" s="14">
        <f>VLOOKUP(t_Parts[[Plant]:[Plant]],t_Plants[],Plants!CP$1,FALSE)</f>
        <v>350</v>
      </c>
      <c r="BR67" s="14">
        <f>VLOOKUP(t_Parts[[Plant]:[Plant]],t_Plants[],Plants!CQ$1,FALSE)</f>
        <v>280</v>
      </c>
      <c r="BS67" s="14">
        <f>VLOOKUP(t_Parts[[Plant]:[Plant]],t_Plants[],Plants!CR$1,FALSE)</f>
        <v>280</v>
      </c>
      <c r="BT67" s="14">
        <f>VLOOKUP(t_Parts[[Plant]:[Plant]],t_Plants[],Plants!CS$1,FALSE)</f>
        <v>350</v>
      </c>
      <c r="BU67" s="14">
        <f>VLOOKUP(t_Parts[[Plant]:[Plant]],t_Plants[],Plants!CT$1,FALSE)</f>
        <v>280</v>
      </c>
      <c r="BV67" s="14">
        <f>VLOOKUP(t_Parts[[Plant]:[Plant]],t_Plants[],Plants!CU$1,FALSE)</f>
        <v>280</v>
      </c>
      <c r="BW67" s="14">
        <f>VLOOKUP(t_Parts[[Plant]:[Plant]],t_Plants[],Plants!CV$1,FALSE)</f>
        <v>350</v>
      </c>
      <c r="BX67" s="14">
        <f>VLOOKUP(t_Parts[[Plant]:[Plant]],t_Plants[],Plants!CW$1,FALSE)</f>
        <v>280</v>
      </c>
      <c r="BY67" s="14">
        <f>VLOOKUP(t_Parts[[Plant]:[Plant]],t_Plants[],Plants!CX$1,FALSE)</f>
        <v>280</v>
      </c>
      <c r="BZ67" s="14">
        <f>VLOOKUP(t_Parts[[Plant]:[Plant]],t_Plants[],Plants!CY$1,FALSE)</f>
        <v>350</v>
      </c>
      <c r="CA67" s="40">
        <f>SUM(t_Parts[[#This Row],[ha2015.01]:[ha2015.12]])</f>
        <v>3640</v>
      </c>
      <c r="CB67" s="14">
        <f>VLOOKUP(t_Parts[[Plant]:[Plant]],t_Plants[],Plants!DA$1,FALSE)</f>
        <v>280</v>
      </c>
      <c r="CC67" s="14">
        <f>VLOOKUP(t_Parts[[Plant]:[Plant]],t_Plants[],Plants!DB$1,FALSE)</f>
        <v>280</v>
      </c>
      <c r="CD67" s="14">
        <f>VLOOKUP(t_Parts[[Plant]:[Plant]],t_Plants[],Plants!DC$1,FALSE)</f>
        <v>350</v>
      </c>
      <c r="CE67" s="14">
        <f>VLOOKUP(t_Parts[[Plant]:[Plant]],t_Plants[],Plants!DD$1,FALSE)</f>
        <v>280</v>
      </c>
      <c r="CF67" s="14">
        <f>VLOOKUP(t_Parts[[Plant]:[Plant]],t_Plants[],Plants!DE$1,FALSE)</f>
        <v>280</v>
      </c>
      <c r="CG67" s="14">
        <f>VLOOKUP(t_Parts[[Plant]:[Plant]],t_Plants[],Plants!DF$1,FALSE)</f>
        <v>350</v>
      </c>
      <c r="CH67" s="14">
        <f>VLOOKUP(t_Parts[[Plant]:[Plant]],t_Plants[],Plants!DG$1,FALSE)</f>
        <v>280</v>
      </c>
      <c r="CI67" s="14">
        <f>VLOOKUP(t_Parts[[Plant]:[Plant]],t_Plants[],Plants!DH$1,FALSE)</f>
        <v>280</v>
      </c>
      <c r="CJ67" s="14">
        <f>VLOOKUP(t_Parts[[Plant]:[Plant]],t_Plants[],Plants!DI$1,FALSE)</f>
        <v>350</v>
      </c>
      <c r="CK67" s="14">
        <f>VLOOKUP(t_Parts[[Plant]:[Plant]],t_Plants[],Plants!DJ$1,FALSE)</f>
        <v>280</v>
      </c>
      <c r="CL67" s="14">
        <f>VLOOKUP(t_Parts[[Plant]:[Plant]],t_Plants[],Plants!DK$1,FALSE)</f>
        <v>280</v>
      </c>
      <c r="CM67" s="14">
        <f>VLOOKUP(t_Parts[[Plant]:[Plant]],t_Plants[],Plants!DL$1,FALSE)</f>
        <v>350</v>
      </c>
      <c r="CN67" s="14">
        <f>VLOOKUP(t_Parts[[Plant]:[Plant]],t_Plants[],Plants!DM$1,FALSE)</f>
        <v>3640</v>
      </c>
      <c r="CO67" s="14">
        <f>VLOOKUP(t_Parts[[Plant]:[Plant]],t_Plants[],Plants!DN$1,FALSE)</f>
        <v>3640</v>
      </c>
      <c r="CP67" s="14">
        <f>VLOOKUP(t_Parts[[Plant]:[Plant]],t_Plants[],Plants!DO$1,FALSE)</f>
        <v>3640</v>
      </c>
      <c r="CQ67" s="14">
        <f>VLOOKUP(t_Parts[[Plant]:[Plant]],t_Plants[],Plants!DP$1,FALSE)</f>
        <v>3640</v>
      </c>
      <c r="CR67" s="39">
        <f>IF(AND(AL$3&gt;=VALUE(t_Parts[[SOP]:[SOP]]),AL$3&lt;=VALUE(t_Parts[[EOP]:[EOP]])), t_Parts[[SetupHrsPerMo]:[SetupHrsPerMo]]+(t_Parts[[#This Row],[pv2015.01]]/t_Parts[[NetPPH]:[NetPPH]]),0)</f>
        <v>4.9223776223776223</v>
      </c>
      <c r="CS67" s="39">
        <f>IF(AND(AM$3&gt;=VALUE(t_Parts[[SOP]:[SOP]]),AM$3&lt;=VALUE(t_Parts[[EOP]:[EOP]])), t_Parts[[SetupHrsPerMo]:[SetupHrsPerMo]]+(t_Parts[[#This Row],[pv2015.02]]/t_Parts[[NetPPH]:[NetPPH]]),0)</f>
        <v>4.9223776223776223</v>
      </c>
      <c r="CT67" s="39">
        <f>IF(AND(AN$3&gt;=VALUE(t_Parts[[SOP]:[SOP]]),AN$3&lt;=VALUE(t_Parts[[EOP]:[EOP]])), t_Parts[[SetupHrsPerMo]:[SetupHrsPerMo]]+(t_Parts[[#This Row],[pv2015.03]]/t_Parts[[NetPPH]:[NetPPH]]),0)</f>
        <v>5.6529720279720275</v>
      </c>
      <c r="CU67" s="39">
        <f>IF(AND(AO$3&gt;=VALUE(t_Parts[[SOP]:[SOP]]),AO$3&lt;=VALUE(t_Parts[[EOP]:[EOP]])), t_Parts[[SetupHrsPerMo]:[SetupHrsPerMo]]+(t_Parts[[#This Row],[pv2015.04]]/t_Parts[[NetPPH]:[NetPPH]]),0)</f>
        <v>4.9223776223776223</v>
      </c>
      <c r="CV67" s="39">
        <f>IF(AND(AP$3&gt;=VALUE(t_Parts[[SOP]:[SOP]]),AP$3&lt;=VALUE(t_Parts[[EOP]:[EOP]])), t_Parts[[SetupHrsPerMo]:[SetupHrsPerMo]]+(t_Parts[[#This Row],[pv2015.05]]/t_Parts[[NetPPH]:[NetPPH]]),0)</f>
        <v>4.9223776223776223</v>
      </c>
      <c r="CW67" s="39">
        <f>IF(AND(AQ$3&gt;=VALUE(t_Parts[[SOP]:[SOP]]),AQ$3&lt;=VALUE(t_Parts[[EOP]:[EOP]])), t_Parts[[SetupHrsPerMo]:[SetupHrsPerMo]]+(t_Parts[[#This Row],[pv2015.06]]/t_Parts[[NetPPH]:[NetPPH]]),0)</f>
        <v>5.6529720279720275</v>
      </c>
      <c r="CX67" s="39">
        <f>IF(AND(AR$3&gt;=VALUE(t_Parts[[SOP]:[SOP]]),AR$3&lt;=VALUE(t_Parts[[EOP]:[EOP]])), t_Parts[[SetupHrsPerMo]:[SetupHrsPerMo]]+(t_Parts[[#This Row],[pv2015.07]]/t_Parts[[NetPPH]:[NetPPH]]),0)</f>
        <v>4.9223776223776223</v>
      </c>
      <c r="CY67" s="39">
        <f>IF(AND(AS$3&gt;=VALUE(t_Parts[[SOP]:[SOP]]),AS$3&lt;=VALUE(t_Parts[[EOP]:[EOP]])), t_Parts[[SetupHrsPerMo]:[SetupHrsPerMo]]+(t_Parts[[#This Row],[pv2015.08]]/t_Parts[[NetPPH]:[NetPPH]]),0)</f>
        <v>4.9223776223776223</v>
      </c>
      <c r="CZ67" s="39">
        <f>IF(AND(AT$3&gt;=VALUE(t_Parts[[SOP]:[SOP]]),AT$3&lt;=VALUE(t_Parts[[EOP]:[EOP]])), t_Parts[[SetupHrsPerMo]:[SetupHrsPerMo]]+(t_Parts[[#This Row],[pv2015.09]]/t_Parts[[NetPPH]:[NetPPH]]),0)</f>
        <v>5.6529720279720275</v>
      </c>
      <c r="DA67" s="39">
        <f>IF(AND(AU$3&gt;=VALUE(t_Parts[[SOP]:[SOP]]),AU$3&lt;=VALUE(t_Parts[[EOP]:[EOP]])), t_Parts[[SetupHrsPerMo]:[SetupHrsPerMo]]+(t_Parts[[#This Row],[pv2015.10]]/t_Parts[[NetPPH]:[NetPPH]]),0)</f>
        <v>4.9223776223776223</v>
      </c>
      <c r="DB67" s="39">
        <f>IF(AND(AV$3&gt;=VALUE(t_Parts[[SOP]:[SOP]]),AV$3&lt;=VALUE(t_Parts[[EOP]:[EOP]])), t_Parts[[SetupHrsPerMo]:[SetupHrsPerMo]]+(t_Parts[[#This Row],[pv2015.11]]/t_Parts[[NetPPH]:[NetPPH]]),0)</f>
        <v>4.9223776223776223</v>
      </c>
      <c r="DC67" s="39">
        <f>IF(AND(AW$3&gt;=VALUE(t_Parts[[SOP]:[SOP]]),AW$3&lt;=VALUE(t_Parts[[EOP]:[EOP]])), t_Parts[[SetupHrsPerMo]:[SetupHrsPerMo]]+(t_Parts[[#This Row],[pv2015.12]]/t_Parts[[NetPPH]:[NetPPH]]),0)</f>
        <v>5.6529720279720275</v>
      </c>
      <c r="DD67" s="39">
        <f>SUM(t_Parts[[#This Row],[hp2015.01]:[hp2015.12]])</f>
        <v>61.990909090909092</v>
      </c>
      <c r="DE67" s="39">
        <f>IF(AND(AY$3&gt;=VALUE(t_Parts[[SOP]:[SOP]]),AY$3&lt;=VALUE(t_Parts[[EOP]:[EOP]])), t_Parts[[SetupHrsPerMo]:[SetupHrsPerMo]]+(t_Parts[[#This Row],[pv2016.01]]/t_Parts[[NetPPH]:[NetPPH]]),0)</f>
        <v>4.9223776223776223</v>
      </c>
      <c r="DF67" s="39">
        <f>IF(AND(AZ$3&gt;=VALUE(t_Parts[[SOP]:[SOP]]),AZ$3&lt;=VALUE(t_Parts[[EOP]:[EOP]])), t_Parts[[SetupHrsPerMo]:[SetupHrsPerMo]]+(t_Parts[[#This Row],[pv2016.02]]/t_Parts[[NetPPH]:[NetPPH]]),0)</f>
        <v>4.9223776223776223</v>
      </c>
      <c r="DG67" s="39">
        <f>IF(AND(BA$3&gt;=VALUE(t_Parts[[SOP]:[SOP]]),BA$3&lt;=VALUE(t_Parts[[EOP]:[EOP]])), t_Parts[[SetupHrsPerMo]:[SetupHrsPerMo]]+(t_Parts[[#This Row],[pv2016.03]]/t_Parts[[NetPPH]:[NetPPH]]),0)</f>
        <v>5.6529720279720275</v>
      </c>
      <c r="DH67" s="39">
        <f>IF(AND(BB$3&gt;=VALUE(t_Parts[[SOP]:[SOP]]),BB$3&lt;=VALUE(t_Parts[[EOP]:[EOP]])), t_Parts[[SetupHrsPerMo]:[SetupHrsPerMo]]+(t_Parts[[#This Row],[pv2016.04]]/t_Parts[[NetPPH]:[NetPPH]]),0)</f>
        <v>4.9223776223776223</v>
      </c>
      <c r="DI67" s="39">
        <f>IF(AND(BC$3&gt;=VALUE(t_Parts[[SOP]:[SOP]]),BC$3&lt;=VALUE(t_Parts[[EOP]:[EOP]])), t_Parts[[SetupHrsPerMo]:[SetupHrsPerMo]]+(t_Parts[[#This Row],[pv2016.05]]/t_Parts[[NetPPH]:[NetPPH]]),0)</f>
        <v>4.9223776223776223</v>
      </c>
      <c r="DJ67" s="39">
        <f>IF(AND(BD$3&gt;=VALUE(t_Parts[[SOP]:[SOP]]),BD$3&lt;=VALUE(t_Parts[[EOP]:[EOP]])), t_Parts[[SetupHrsPerMo]:[SetupHrsPerMo]]+(t_Parts[[#This Row],[pv2016.06]]/t_Parts[[NetPPH]:[NetPPH]]),0)</f>
        <v>5.6529720279720275</v>
      </c>
      <c r="DK67" s="39">
        <f>IF(AND(BE$3&gt;=VALUE(t_Parts[[SOP]:[SOP]]),BE$3&lt;=VALUE(t_Parts[[EOP]:[EOP]])), t_Parts[[SetupHrsPerMo]:[SetupHrsPerMo]]+(t_Parts[[#This Row],[pv2016.07]]/t_Parts[[NetPPH]:[NetPPH]]),0)</f>
        <v>4.9223776223776223</v>
      </c>
      <c r="DL67" s="39">
        <f>IF(AND(BF$3&gt;=VALUE(t_Parts[[SOP]:[SOP]]),BF$3&lt;=VALUE(t_Parts[[EOP]:[EOP]])), t_Parts[[SetupHrsPerMo]:[SetupHrsPerMo]]+(t_Parts[[#This Row],[pv2016.08]]/t_Parts[[NetPPH]:[NetPPH]]),0)</f>
        <v>4.9223776223776223</v>
      </c>
      <c r="DM67" s="39">
        <f>IF(AND(BG$3&gt;=VALUE(t_Parts[[SOP]:[SOP]]),BG$3&lt;=VALUE(t_Parts[[EOP]:[EOP]])), t_Parts[[SetupHrsPerMo]:[SetupHrsPerMo]]+(t_Parts[[#This Row],[pv2016.09]]/t_Parts[[NetPPH]:[NetPPH]]),0)</f>
        <v>5.6529720279720275</v>
      </c>
      <c r="DN67" s="39">
        <f>IF(AND(BH$3&gt;=VALUE(t_Parts[[SOP]:[SOP]]),BH$3&lt;=VALUE(t_Parts[[EOP]:[EOP]])), t_Parts[[SetupHrsPerMo]:[SetupHrsPerMo]]+(t_Parts[[#This Row],[pv2016.10]]/t_Parts[[NetPPH]:[NetPPH]]),0)</f>
        <v>4.9223776223776223</v>
      </c>
      <c r="DO67" s="39">
        <f>IF(AND(BI$3&gt;=VALUE(t_Parts[[SOP]:[SOP]]),BI$3&lt;=VALUE(t_Parts[[EOP]:[EOP]])), t_Parts[[SetupHrsPerMo]:[SetupHrsPerMo]]+(t_Parts[[#This Row],[pv2016.11]]/t_Parts[[NetPPH]:[NetPPH]]),0)</f>
        <v>4.9223776223776223</v>
      </c>
      <c r="DP67" s="39">
        <f>IF(AND(BJ$3&gt;=VALUE(t_Parts[[SOP]:[SOP]]),BJ$3&lt;=VALUE(t_Parts[[EOP]:[EOP]])), t_Parts[[SetupHrsPerMo]:[SetupHrsPerMo]]+(t_Parts[[#This Row],[pv2016.12]]/t_Parts[[NetPPH]:[NetPPH]]),0)</f>
        <v>5.6529720279720275</v>
      </c>
      <c r="DQ67" s="39">
        <f>SUM(t_Parts[[#This Row],[hp2016.01]:[hp2016.12]])</f>
        <v>61.990909090909092</v>
      </c>
      <c r="DR67" s="39">
        <f>IF(AND(BL$3&gt;=VALUE(t_Parts[[SOP]:[SOP]]),BL$3&lt;=VALUE(t_Parts[[EOP]:[EOP]])), 12*t_Parts[[SetupHrsPerMo]:[SetupHrsPerMo]]+(t_Parts[[#This Row],[pv2017]]/t_Parts[[NetPPH]:[NetPPH]]),0)</f>
        <v>61.990909090909085</v>
      </c>
      <c r="DS67" s="39">
        <f>IF(AND(BM$3&gt;=VALUE(t_Parts[[SOP]:[SOP]]),BM$3&lt;=VALUE(t_Parts[[EOP]:[EOP]])), 12*t_Parts[[SetupHrsPerMo]:[SetupHrsPerMo]]+(t_Parts[[#This Row],[pv2018]]/t_Parts[[NetPPH]:[NetPPH]]),0)</f>
        <v>61.990909090909085</v>
      </c>
      <c r="DT67" s="39">
        <f>IF(AND(BN$3&gt;=VALUE(t_Parts[[SOP]:[SOP]]),BN$3&lt;=VALUE(t_Parts[[EOP]:[EOP]])), 12*t_Parts[[SetupHrsPerMo]:[SetupHrsPerMo]]+(t_Parts[[#This Row],[pv2019]]/t_Parts[[NetPPH]:[NetPPH]]),0)</f>
        <v>61.990909090909085</v>
      </c>
      <c r="DU67" s="47">
        <f>t_Parts[[#This Row],[hp2015.01]]/t_Parts[[#This Row],[ha2015.01]]</f>
        <v>1.757992007992008E-2</v>
      </c>
      <c r="DV67" s="47">
        <f>t_Parts[[#This Row],[hp2015.02]]/t_Parts[[#This Row],[ha2015.02]]</f>
        <v>1.757992007992008E-2</v>
      </c>
      <c r="DW67" s="47">
        <f>t_Parts[[#This Row],[hp2015.03]]/t_Parts[[#This Row],[ha2015.03]]</f>
        <v>1.6151348651348651E-2</v>
      </c>
      <c r="DX67" s="47">
        <f>t_Parts[[#This Row],[hp2015.04]]/t_Parts[[#This Row],[ha2015.04]]</f>
        <v>1.757992007992008E-2</v>
      </c>
      <c r="DY67" s="47">
        <f>t_Parts[[#This Row],[hp2015.05]]/t_Parts[[#This Row],[ha2015.05]]</f>
        <v>1.757992007992008E-2</v>
      </c>
      <c r="DZ67" s="47">
        <f>t_Parts[[#This Row],[hp2015.06]]/t_Parts[[#This Row],[ha2015.06]]</f>
        <v>1.6151348651348651E-2</v>
      </c>
      <c r="EA67" s="47">
        <f>t_Parts[[#This Row],[hp2015.07]]/t_Parts[[#This Row],[ha2015.07]]</f>
        <v>1.757992007992008E-2</v>
      </c>
      <c r="EB67" s="47">
        <f>t_Parts[[#This Row],[hp2015.08]]/t_Parts[[#This Row],[ha2015.08]]</f>
        <v>1.757992007992008E-2</v>
      </c>
      <c r="EC67" s="47">
        <f>t_Parts[[#This Row],[hp2015.09]]/t_Parts[[#This Row],[ha2015.09]]</f>
        <v>1.6151348651348651E-2</v>
      </c>
      <c r="ED67" s="47">
        <f>t_Parts[[#This Row],[hp2015.10]]/t_Parts[[#This Row],[ha2015.10]]</f>
        <v>1.757992007992008E-2</v>
      </c>
      <c r="EE67" s="47">
        <f>t_Parts[[#This Row],[hp2015.11]]/t_Parts[[#This Row],[ha2015.11]]</f>
        <v>1.757992007992008E-2</v>
      </c>
      <c r="EF67" s="47">
        <f>t_Parts[[#This Row],[hp2015.12]]/t_Parts[[#This Row],[ha2015.12]]</f>
        <v>1.6151348651348651E-2</v>
      </c>
      <c r="EG67" s="47">
        <f>t_Parts[[#This Row],[hp2015.FY]]/t_Parts[[#This Row],[ha2015.FY]]</f>
        <v>1.7030469530469532E-2</v>
      </c>
      <c r="EH67" s="47">
        <f>t_Parts[[#This Row],[hp2016.01]]/t_Parts[[#This Row],[ha2016.01]]</f>
        <v>1.757992007992008E-2</v>
      </c>
      <c r="EI67" s="47">
        <f>t_Parts[[#This Row],[hp2016.02]]/t_Parts[[#This Row],[ha2016.02]]</f>
        <v>1.757992007992008E-2</v>
      </c>
      <c r="EJ67" s="47">
        <f>t_Parts[[#This Row],[hp2016.03]]/t_Parts[[#This Row],[ha2016.03]]</f>
        <v>1.6151348651348651E-2</v>
      </c>
      <c r="EK67" s="47">
        <f>t_Parts[[#This Row],[hp2016.04]]/t_Parts[[#This Row],[ha2016.04]]</f>
        <v>1.757992007992008E-2</v>
      </c>
      <c r="EL67" s="47">
        <f>t_Parts[[#This Row],[hp2016.05]]/t_Parts[[#This Row],[ha2016.05]]</f>
        <v>1.757992007992008E-2</v>
      </c>
      <c r="EM67" s="47">
        <f>t_Parts[[#This Row],[hp2016.06]]/t_Parts[[#This Row],[ha2016.06]]</f>
        <v>1.6151348651348651E-2</v>
      </c>
      <c r="EN67" s="47">
        <f>t_Parts[[#This Row],[hp2016.07]]/t_Parts[[#This Row],[ha2016.07]]</f>
        <v>1.757992007992008E-2</v>
      </c>
      <c r="EO67" s="47">
        <f>t_Parts[[#This Row],[hp2016.08]]/t_Parts[[#This Row],[ha2016.08]]</f>
        <v>1.757992007992008E-2</v>
      </c>
      <c r="EP67" s="47">
        <f>t_Parts[[#This Row],[hp2016.09]]/t_Parts[[#This Row],[ha2016.09]]</f>
        <v>1.6151348651348651E-2</v>
      </c>
      <c r="EQ67" s="47">
        <f>t_Parts[[#This Row],[hp2016.10]]/t_Parts[[#This Row],[ha2016.10]]</f>
        <v>1.757992007992008E-2</v>
      </c>
      <c r="ER67" s="47">
        <f>t_Parts[[#This Row],[hp2016.11]]/t_Parts[[#This Row],[ha2016.11]]</f>
        <v>1.757992007992008E-2</v>
      </c>
      <c r="ES67" s="47">
        <f>t_Parts[[#This Row],[hp2016.12]]/t_Parts[[#This Row],[ha2016.12]]</f>
        <v>1.6151348651348651E-2</v>
      </c>
      <c r="ET67" s="47">
        <f>t_Parts[[#This Row],[hp2016.FY]]/t_Parts[[#This Row],[ha2016.FY]]</f>
        <v>1.7030469530469532E-2</v>
      </c>
      <c r="EU67" s="47">
        <f>t_Parts[[#This Row],[hp2017]]/t_Parts[[#This Row],[ha2017]]</f>
        <v>1.7030469530469529E-2</v>
      </c>
      <c r="EV67" s="47">
        <f>t_Parts[[#This Row],[hp2018]]/t_Parts[[#This Row],[ha2018]]</f>
        <v>1.7030469530469529E-2</v>
      </c>
      <c r="EW67" s="47">
        <f>t_Parts[[#This Row],[hp2019]]/t_Parts[[#This Row],[hp2015.01]]</f>
        <v>12.593692285836056</v>
      </c>
      <c r="EX67" s="58">
        <f>(t_Parts[[#This Row],[ha2015.01]]-t_Parts[[#This Row],[hp2015.01]])*t_Parts[[NetPPH]:[NetPPH]]</f>
        <v>272326.84615384619</v>
      </c>
      <c r="EY67" s="58">
        <f>(t_Parts[[#This Row],[ha2015.02]]-t_Parts[[#This Row],[hp2015.02]])*t_Parts[[NetPPH]:[NetPPH]]</f>
        <v>272326.84615384619</v>
      </c>
      <c r="EZ67" s="58">
        <f>(t_Parts[[#This Row],[ha2015.03]]-t_Parts[[#This Row],[hp2015.03]])*t_Parts[[NetPPH]:[NetPPH]]</f>
        <v>340903.55769230769</v>
      </c>
      <c r="FA67" s="58">
        <f>(t_Parts[[#This Row],[ha2015.04]]-t_Parts[[#This Row],[hp2015.04]])*t_Parts[[NetPPH]:[NetPPH]]</f>
        <v>272326.84615384619</v>
      </c>
      <c r="FB67" s="58">
        <f>(t_Parts[[#This Row],[ha2015.05]]-t_Parts[[#This Row],[hp2015.05]])*t_Parts[[NetPPH]:[NetPPH]]</f>
        <v>272326.84615384619</v>
      </c>
      <c r="FC67" s="58">
        <f>(t_Parts[[#This Row],[ha2015.06]]-t_Parts[[#This Row],[hp2015.06]])*t_Parts[[NetPPH]:[NetPPH]]</f>
        <v>340903.55769230769</v>
      </c>
      <c r="FD67" s="58">
        <f>(t_Parts[[#This Row],[ha2015.07]]-t_Parts[[#This Row],[hp2015.07]])*t_Parts[[NetPPH]:[NetPPH]]</f>
        <v>272326.84615384619</v>
      </c>
      <c r="FE67" s="58">
        <f>(t_Parts[[#This Row],[ha2015.08]]-t_Parts[[#This Row],[hp2015.08]])*t_Parts[[NetPPH]:[NetPPH]]</f>
        <v>272326.84615384619</v>
      </c>
      <c r="FF67" s="58">
        <f>(t_Parts[[#This Row],[ha2015.09]]-t_Parts[[#This Row],[hp2015.09]])*t_Parts[[NetPPH]:[NetPPH]]</f>
        <v>340903.55769230769</v>
      </c>
      <c r="FG67" s="58">
        <f>(t_Parts[[#This Row],[ha2015.10]]-t_Parts[[#This Row],[hp2015.10]])*t_Parts[[NetPPH]:[NetPPH]]</f>
        <v>272326.84615384619</v>
      </c>
      <c r="FH67" s="58">
        <f>(t_Parts[[#This Row],[ha2015.11]]-t_Parts[[#This Row],[hp2015.11]])*t_Parts[[NetPPH]:[NetPPH]]</f>
        <v>272326.84615384619</v>
      </c>
      <c r="FI67" s="58">
        <f>(t_Parts[[#This Row],[ha2015.12]]-t_Parts[[#This Row],[hp2015.12]])*t_Parts[[NetPPH]:[NetPPH]]</f>
        <v>340903.55769230769</v>
      </c>
      <c r="FJ67" s="58">
        <f>(t_Parts[[#This Row],[ha2015.FY]]-t_Parts[[#This Row],[hp2015.FY]])*t_Parts[[NetPPH]:[NetPPH]]</f>
        <v>3542229.0000000005</v>
      </c>
      <c r="FK67" s="58">
        <f>(t_Parts[[#This Row],[ha2016.01]]-t_Parts[[#This Row],[hp2016.01]])*t_Parts[[NetPPH]:[NetPPH]]</f>
        <v>272326.84615384619</v>
      </c>
      <c r="FL67" s="58">
        <f>(t_Parts[[#This Row],[ha2016.02]]-t_Parts[[#This Row],[hp2016.02]])*t_Parts[[NetPPH]:[NetPPH]]</f>
        <v>272326.84615384619</v>
      </c>
      <c r="FM67" s="58">
        <f>(t_Parts[[#This Row],[ha2016.03]]-t_Parts[[#This Row],[hp2016.03]])*t_Parts[[NetPPH]:[NetPPH]]</f>
        <v>340903.55769230769</v>
      </c>
      <c r="FN67" s="58">
        <f>(t_Parts[[#This Row],[ha2016.04]]-t_Parts[[#This Row],[hp2016.04]])*t_Parts[[NetPPH]:[NetPPH]]</f>
        <v>272326.84615384619</v>
      </c>
      <c r="FO67" s="58">
        <f>(t_Parts[[#This Row],[ha2016.05]]-t_Parts[[#This Row],[hp2016.05]])*t_Parts[[NetPPH]:[NetPPH]]</f>
        <v>272326.84615384619</v>
      </c>
      <c r="FP67" s="58">
        <f>(t_Parts[[#This Row],[ha2016.06]]-t_Parts[[#This Row],[hp2016.06]])*t_Parts[[NetPPH]:[NetPPH]]</f>
        <v>340903.55769230769</v>
      </c>
      <c r="FQ67" s="58">
        <f>(t_Parts[[#This Row],[ha2016.07]]-t_Parts[[#This Row],[hp2016.07]])*t_Parts[[NetPPH]:[NetPPH]]</f>
        <v>272326.84615384619</v>
      </c>
      <c r="FR67" s="58">
        <f>(t_Parts[[#This Row],[ha2016.08]]-t_Parts[[#This Row],[hp2016.08]])*t_Parts[[NetPPH]:[NetPPH]]</f>
        <v>272326.84615384619</v>
      </c>
      <c r="FS67" s="58">
        <f>(t_Parts[[#This Row],[ha2016.09]]-t_Parts[[#This Row],[hp2016.09]])*t_Parts[[NetPPH]:[NetPPH]]</f>
        <v>340903.55769230769</v>
      </c>
      <c r="FT67" s="58">
        <f>(t_Parts[[#This Row],[ha2016.10]]-t_Parts[[#This Row],[hp2016.10]])*t_Parts[[NetPPH]:[NetPPH]]</f>
        <v>272326.84615384619</v>
      </c>
      <c r="FU67" s="58">
        <f>(t_Parts[[#This Row],[ha2016.11]]-t_Parts[[#This Row],[hp2016.11]])*t_Parts[[NetPPH]:[NetPPH]]</f>
        <v>272326.84615384619</v>
      </c>
      <c r="FV67" s="58">
        <f>(t_Parts[[#This Row],[ha2016.12]]-t_Parts[[#This Row],[hp2016.12]])*t_Parts[[NetPPH]:[NetPPH]]</f>
        <v>340903.55769230769</v>
      </c>
      <c r="FW67" s="58">
        <f>(t_Parts[[#This Row],[ha2016.FY]]-t_Parts[[#This Row],[hp2016.FY]])*t_Parts[[NetPPH]:[NetPPH]]</f>
        <v>3542229.0000000005</v>
      </c>
      <c r="FX67" s="58">
        <f>(t_Parts[[#This Row],[ha2017]]-t_Parts[[#This Row],[hp2017]])*t_Parts[[NetPPH]:[NetPPH]]</f>
        <v>3542229.0000000005</v>
      </c>
      <c r="FY67" s="58">
        <f>(t_Parts[[#This Row],[ha2018]]-t_Parts[[#This Row],[hp2018]])*t_Parts[[NetPPH]:[NetPPH]]</f>
        <v>3542229.0000000005</v>
      </c>
      <c r="FZ67" s="58">
        <f>(t_Parts[[#This Row],[ha2019]]-t_Parts[[#This Row],[hp2019]])*t_Parts[[NetPPH]:[NetPPH]]</f>
        <v>3542229.0000000005</v>
      </c>
    </row>
    <row r="68" spans="1:182" s="14" customFormat="1" x14ac:dyDescent="0.25">
      <c r="A68" s="74">
        <v>77034</v>
      </c>
      <c r="B68" s="74"/>
      <c r="C68" s="74">
        <v>21001</v>
      </c>
      <c r="D68" s="75">
        <v>1</v>
      </c>
      <c r="E68" s="73">
        <v>1800</v>
      </c>
      <c r="F68" s="76">
        <v>1</v>
      </c>
      <c r="G68" s="77">
        <v>2</v>
      </c>
      <c r="H68" s="16">
        <v>2015.01</v>
      </c>
      <c r="I68" s="16" t="s">
        <v>83</v>
      </c>
      <c r="J68" s="73">
        <v>37611</v>
      </c>
      <c r="K68" s="73">
        <v>37611</v>
      </c>
      <c r="L68" s="73">
        <v>37611</v>
      </c>
      <c r="M68" s="73">
        <v>37611</v>
      </c>
      <c r="N68" s="73">
        <v>37611</v>
      </c>
      <c r="O68" s="78"/>
      <c r="P68" s="78"/>
      <c r="Q68" s="79">
        <v>24.545000000000002</v>
      </c>
      <c r="R68" s="79"/>
      <c r="S68" s="78">
        <v>357</v>
      </c>
      <c r="T68" s="80"/>
      <c r="U68" s="80" t="s">
        <v>121</v>
      </c>
      <c r="V68" s="81" t="s">
        <v>552</v>
      </c>
      <c r="W68" s="82">
        <v>3.02</v>
      </c>
      <c r="X68" s="82" t="s">
        <v>551</v>
      </c>
      <c r="Y68" s="82"/>
      <c r="Z68" s="82"/>
      <c r="AA68" s="82"/>
      <c r="AB68" s="82"/>
      <c r="AC68" s="83" t="s">
        <v>667</v>
      </c>
      <c r="AD68" s="40" t="str">
        <f>VLOOKUP(t_Parts[[#This Row],[Press]],t_Presses[],Press!B$1,FALSE)</f>
        <v>Plainfield</v>
      </c>
      <c r="AE68" s="40" t="str">
        <f>VLOOKUP(t_Parts[[#This Row],[Press]],t_Presses[],Press!E$1,FALSE)</f>
        <v>300-599</v>
      </c>
      <c r="AF68" s="47">
        <f>VLOOKUP(t_Parts[[#This Row],[Plant]],t_Plants[],Plants!C$1,FALSE)</f>
        <v>0.55000000000000004</v>
      </c>
      <c r="AG68" s="47">
        <f>VLOOKUP(t_Parts[[#This Row],[Press]],t_Presses[],Press!F$1,FALSE)</f>
        <v>0</v>
      </c>
      <c r="AH68" s="84"/>
      <c r="AI68" s="47">
        <f>IF(ISBLANK(t_Parts[[#This Row],[PartOEE]])=FALSE,t_Parts[[#This Row],[PartOEE]], IF(t_Parts[[#This Row],[PressOEE]]&gt;0, t_Parts[[#This Row],[PressOEE]], t_Parts[[#This Row],[PlantOEE]] ))</f>
        <v>0.55000000000000004</v>
      </c>
      <c r="AJ68" s="70">
        <f>t_Parts[[#This Row],[SetupsPerMo]]*t_Parts[[#This Row],[SetupHrs]]</f>
        <v>2</v>
      </c>
      <c r="AK68" s="39">
        <f>(t_Parts[[#This Row],[PartsPerStroke]]*t_Parts[[#This Row],[StrokesPerHr]])*t_Parts[[#This Row],[UseOEE]]</f>
        <v>990.00000000000011</v>
      </c>
      <c r="AL6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3616.4423076923076</v>
      </c>
      <c r="AO6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3616.4423076923076</v>
      </c>
      <c r="AR6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3616.4423076923076</v>
      </c>
      <c r="AU6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3616.4423076923076</v>
      </c>
      <c r="AX68" s="39">
        <f>SUM(t_Parts[[#This Row],[pv2015.01]:[pv2015.12]])</f>
        <v>37611</v>
      </c>
      <c r="AY6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8" s="39">
        <f>SUM(t_Parts[[#This Row],[pv2016.01]:[pv2016.12]])</f>
        <v>37611</v>
      </c>
      <c r="BL68" s="39">
        <f>t_Parts[[#This Row],[2017vol]]</f>
        <v>37611</v>
      </c>
      <c r="BM68" s="39">
        <f>t_Parts[[#This Row],[2018vol]]</f>
        <v>37611</v>
      </c>
      <c r="BN68" s="39">
        <f>t_Parts[[#This Row],[2019vol]]</f>
        <v>37611</v>
      </c>
      <c r="BO68" s="40">
        <f>VLOOKUP(t_Parts[[Plant]:[Plant]],t_Plants[],Plants!CN$1,FALSE)</f>
        <v>280</v>
      </c>
      <c r="BP68" s="14">
        <f>VLOOKUP(t_Parts[[Plant]:[Plant]],t_Plants[],Plants!CO$1,FALSE)</f>
        <v>280</v>
      </c>
      <c r="BQ68" s="14">
        <f>VLOOKUP(t_Parts[[Plant]:[Plant]],t_Plants[],Plants!CP$1,FALSE)</f>
        <v>350</v>
      </c>
      <c r="BR68" s="14">
        <f>VLOOKUP(t_Parts[[Plant]:[Plant]],t_Plants[],Plants!CQ$1,FALSE)</f>
        <v>280</v>
      </c>
      <c r="BS68" s="14">
        <f>VLOOKUP(t_Parts[[Plant]:[Plant]],t_Plants[],Plants!CR$1,FALSE)</f>
        <v>280</v>
      </c>
      <c r="BT68" s="14">
        <f>VLOOKUP(t_Parts[[Plant]:[Plant]],t_Plants[],Plants!CS$1,FALSE)</f>
        <v>350</v>
      </c>
      <c r="BU68" s="14">
        <f>VLOOKUP(t_Parts[[Plant]:[Plant]],t_Plants[],Plants!CT$1,FALSE)</f>
        <v>280</v>
      </c>
      <c r="BV68" s="14">
        <f>VLOOKUP(t_Parts[[Plant]:[Plant]],t_Plants[],Plants!CU$1,FALSE)</f>
        <v>280</v>
      </c>
      <c r="BW68" s="14">
        <f>VLOOKUP(t_Parts[[Plant]:[Plant]],t_Plants[],Plants!CV$1,FALSE)</f>
        <v>350</v>
      </c>
      <c r="BX68" s="14">
        <f>VLOOKUP(t_Parts[[Plant]:[Plant]],t_Plants[],Plants!CW$1,FALSE)</f>
        <v>280</v>
      </c>
      <c r="BY68" s="14">
        <f>VLOOKUP(t_Parts[[Plant]:[Plant]],t_Plants[],Plants!CX$1,FALSE)</f>
        <v>280</v>
      </c>
      <c r="BZ68" s="14">
        <f>VLOOKUP(t_Parts[[Plant]:[Plant]],t_Plants[],Plants!CY$1,FALSE)</f>
        <v>350</v>
      </c>
      <c r="CA68" s="40">
        <f>SUM(t_Parts[[#This Row],[ha2015.01]:[ha2015.12]])</f>
        <v>3640</v>
      </c>
      <c r="CB68" s="14">
        <f>VLOOKUP(t_Parts[[Plant]:[Plant]],t_Plants[],Plants!DA$1,FALSE)</f>
        <v>280</v>
      </c>
      <c r="CC68" s="14">
        <f>VLOOKUP(t_Parts[[Plant]:[Plant]],t_Plants[],Plants!DB$1,FALSE)</f>
        <v>280</v>
      </c>
      <c r="CD68" s="14">
        <f>VLOOKUP(t_Parts[[Plant]:[Plant]],t_Plants[],Plants!DC$1,FALSE)</f>
        <v>350</v>
      </c>
      <c r="CE68" s="14">
        <f>VLOOKUP(t_Parts[[Plant]:[Plant]],t_Plants[],Plants!DD$1,FALSE)</f>
        <v>280</v>
      </c>
      <c r="CF68" s="14">
        <f>VLOOKUP(t_Parts[[Plant]:[Plant]],t_Plants[],Plants!DE$1,FALSE)</f>
        <v>280</v>
      </c>
      <c r="CG68" s="14">
        <f>VLOOKUP(t_Parts[[Plant]:[Plant]],t_Plants[],Plants!DF$1,FALSE)</f>
        <v>350</v>
      </c>
      <c r="CH68" s="14">
        <f>VLOOKUP(t_Parts[[Plant]:[Plant]],t_Plants[],Plants!DG$1,FALSE)</f>
        <v>280</v>
      </c>
      <c r="CI68" s="14">
        <f>VLOOKUP(t_Parts[[Plant]:[Plant]],t_Plants[],Plants!DH$1,FALSE)</f>
        <v>280</v>
      </c>
      <c r="CJ68" s="14">
        <f>VLOOKUP(t_Parts[[Plant]:[Plant]],t_Plants[],Plants!DI$1,FALSE)</f>
        <v>350</v>
      </c>
      <c r="CK68" s="14">
        <f>VLOOKUP(t_Parts[[Plant]:[Plant]],t_Plants[],Plants!DJ$1,FALSE)</f>
        <v>280</v>
      </c>
      <c r="CL68" s="14">
        <f>VLOOKUP(t_Parts[[Plant]:[Plant]],t_Plants[],Plants!DK$1,FALSE)</f>
        <v>280</v>
      </c>
      <c r="CM68" s="14">
        <f>VLOOKUP(t_Parts[[Plant]:[Plant]],t_Plants[],Plants!DL$1,FALSE)</f>
        <v>350</v>
      </c>
      <c r="CN68" s="14">
        <f>VLOOKUP(t_Parts[[Plant]:[Plant]],t_Plants[],Plants!DM$1,FALSE)</f>
        <v>3640</v>
      </c>
      <c r="CO68" s="14">
        <f>VLOOKUP(t_Parts[[Plant]:[Plant]],t_Plants[],Plants!DN$1,FALSE)</f>
        <v>3640</v>
      </c>
      <c r="CP68" s="14">
        <f>VLOOKUP(t_Parts[[Plant]:[Plant]],t_Plants[],Plants!DO$1,FALSE)</f>
        <v>3640</v>
      </c>
      <c r="CQ68" s="14">
        <f>VLOOKUP(t_Parts[[Plant]:[Plant]],t_Plants[],Plants!DP$1,FALSE)</f>
        <v>3640</v>
      </c>
      <c r="CR68" s="39">
        <f>IF(AND(AL$3&gt;=VALUE(t_Parts[[SOP]:[SOP]]),AL$3&lt;=VALUE(t_Parts[[EOP]:[EOP]])), t_Parts[[SetupHrsPerMo]:[SetupHrsPerMo]]+(t_Parts[[#This Row],[pv2015.01]]/t_Parts[[NetPPH]:[NetPPH]]),0)</f>
        <v>4.9223776223776223</v>
      </c>
      <c r="CS68" s="39">
        <f>IF(AND(AM$3&gt;=VALUE(t_Parts[[SOP]:[SOP]]),AM$3&lt;=VALUE(t_Parts[[EOP]:[EOP]])), t_Parts[[SetupHrsPerMo]:[SetupHrsPerMo]]+(t_Parts[[#This Row],[pv2015.02]]/t_Parts[[NetPPH]:[NetPPH]]),0)</f>
        <v>4.9223776223776223</v>
      </c>
      <c r="CT68" s="39">
        <f>IF(AND(AN$3&gt;=VALUE(t_Parts[[SOP]:[SOP]]),AN$3&lt;=VALUE(t_Parts[[EOP]:[EOP]])), t_Parts[[SetupHrsPerMo]:[SetupHrsPerMo]]+(t_Parts[[#This Row],[pv2015.03]]/t_Parts[[NetPPH]:[NetPPH]]),0)</f>
        <v>5.6529720279720275</v>
      </c>
      <c r="CU68" s="39">
        <f>IF(AND(AO$3&gt;=VALUE(t_Parts[[SOP]:[SOP]]),AO$3&lt;=VALUE(t_Parts[[EOP]:[EOP]])), t_Parts[[SetupHrsPerMo]:[SetupHrsPerMo]]+(t_Parts[[#This Row],[pv2015.04]]/t_Parts[[NetPPH]:[NetPPH]]),0)</f>
        <v>4.9223776223776223</v>
      </c>
      <c r="CV68" s="39">
        <f>IF(AND(AP$3&gt;=VALUE(t_Parts[[SOP]:[SOP]]),AP$3&lt;=VALUE(t_Parts[[EOP]:[EOP]])), t_Parts[[SetupHrsPerMo]:[SetupHrsPerMo]]+(t_Parts[[#This Row],[pv2015.05]]/t_Parts[[NetPPH]:[NetPPH]]),0)</f>
        <v>4.9223776223776223</v>
      </c>
      <c r="CW68" s="39">
        <f>IF(AND(AQ$3&gt;=VALUE(t_Parts[[SOP]:[SOP]]),AQ$3&lt;=VALUE(t_Parts[[EOP]:[EOP]])), t_Parts[[SetupHrsPerMo]:[SetupHrsPerMo]]+(t_Parts[[#This Row],[pv2015.06]]/t_Parts[[NetPPH]:[NetPPH]]),0)</f>
        <v>5.6529720279720275</v>
      </c>
      <c r="CX68" s="39">
        <f>IF(AND(AR$3&gt;=VALUE(t_Parts[[SOP]:[SOP]]),AR$3&lt;=VALUE(t_Parts[[EOP]:[EOP]])), t_Parts[[SetupHrsPerMo]:[SetupHrsPerMo]]+(t_Parts[[#This Row],[pv2015.07]]/t_Parts[[NetPPH]:[NetPPH]]),0)</f>
        <v>4.9223776223776223</v>
      </c>
      <c r="CY68" s="39">
        <f>IF(AND(AS$3&gt;=VALUE(t_Parts[[SOP]:[SOP]]),AS$3&lt;=VALUE(t_Parts[[EOP]:[EOP]])), t_Parts[[SetupHrsPerMo]:[SetupHrsPerMo]]+(t_Parts[[#This Row],[pv2015.08]]/t_Parts[[NetPPH]:[NetPPH]]),0)</f>
        <v>4.9223776223776223</v>
      </c>
      <c r="CZ68" s="39">
        <f>IF(AND(AT$3&gt;=VALUE(t_Parts[[SOP]:[SOP]]),AT$3&lt;=VALUE(t_Parts[[EOP]:[EOP]])), t_Parts[[SetupHrsPerMo]:[SetupHrsPerMo]]+(t_Parts[[#This Row],[pv2015.09]]/t_Parts[[NetPPH]:[NetPPH]]),0)</f>
        <v>5.6529720279720275</v>
      </c>
      <c r="DA68" s="39">
        <f>IF(AND(AU$3&gt;=VALUE(t_Parts[[SOP]:[SOP]]),AU$3&lt;=VALUE(t_Parts[[EOP]:[EOP]])), t_Parts[[SetupHrsPerMo]:[SetupHrsPerMo]]+(t_Parts[[#This Row],[pv2015.10]]/t_Parts[[NetPPH]:[NetPPH]]),0)</f>
        <v>4.9223776223776223</v>
      </c>
      <c r="DB68" s="39">
        <f>IF(AND(AV$3&gt;=VALUE(t_Parts[[SOP]:[SOP]]),AV$3&lt;=VALUE(t_Parts[[EOP]:[EOP]])), t_Parts[[SetupHrsPerMo]:[SetupHrsPerMo]]+(t_Parts[[#This Row],[pv2015.11]]/t_Parts[[NetPPH]:[NetPPH]]),0)</f>
        <v>4.9223776223776223</v>
      </c>
      <c r="DC68" s="39">
        <f>IF(AND(AW$3&gt;=VALUE(t_Parts[[SOP]:[SOP]]),AW$3&lt;=VALUE(t_Parts[[EOP]:[EOP]])), t_Parts[[SetupHrsPerMo]:[SetupHrsPerMo]]+(t_Parts[[#This Row],[pv2015.12]]/t_Parts[[NetPPH]:[NetPPH]]),0)</f>
        <v>5.6529720279720275</v>
      </c>
      <c r="DD68" s="39">
        <f>SUM(t_Parts[[#This Row],[hp2015.01]:[hp2015.12]])</f>
        <v>61.990909090909092</v>
      </c>
      <c r="DE68" s="39">
        <f>IF(AND(AY$3&gt;=VALUE(t_Parts[[SOP]:[SOP]]),AY$3&lt;=VALUE(t_Parts[[EOP]:[EOP]])), t_Parts[[SetupHrsPerMo]:[SetupHrsPerMo]]+(t_Parts[[#This Row],[pv2016.01]]/t_Parts[[NetPPH]:[NetPPH]]),0)</f>
        <v>4.9223776223776223</v>
      </c>
      <c r="DF68" s="39">
        <f>IF(AND(AZ$3&gt;=VALUE(t_Parts[[SOP]:[SOP]]),AZ$3&lt;=VALUE(t_Parts[[EOP]:[EOP]])), t_Parts[[SetupHrsPerMo]:[SetupHrsPerMo]]+(t_Parts[[#This Row],[pv2016.02]]/t_Parts[[NetPPH]:[NetPPH]]),0)</f>
        <v>4.9223776223776223</v>
      </c>
      <c r="DG68" s="39">
        <f>IF(AND(BA$3&gt;=VALUE(t_Parts[[SOP]:[SOP]]),BA$3&lt;=VALUE(t_Parts[[EOP]:[EOP]])), t_Parts[[SetupHrsPerMo]:[SetupHrsPerMo]]+(t_Parts[[#This Row],[pv2016.03]]/t_Parts[[NetPPH]:[NetPPH]]),0)</f>
        <v>5.6529720279720275</v>
      </c>
      <c r="DH68" s="39">
        <f>IF(AND(BB$3&gt;=VALUE(t_Parts[[SOP]:[SOP]]),BB$3&lt;=VALUE(t_Parts[[EOP]:[EOP]])), t_Parts[[SetupHrsPerMo]:[SetupHrsPerMo]]+(t_Parts[[#This Row],[pv2016.04]]/t_Parts[[NetPPH]:[NetPPH]]),0)</f>
        <v>4.9223776223776223</v>
      </c>
      <c r="DI68" s="39">
        <f>IF(AND(BC$3&gt;=VALUE(t_Parts[[SOP]:[SOP]]),BC$3&lt;=VALUE(t_Parts[[EOP]:[EOP]])), t_Parts[[SetupHrsPerMo]:[SetupHrsPerMo]]+(t_Parts[[#This Row],[pv2016.05]]/t_Parts[[NetPPH]:[NetPPH]]),0)</f>
        <v>4.9223776223776223</v>
      </c>
      <c r="DJ68" s="39">
        <f>IF(AND(BD$3&gt;=VALUE(t_Parts[[SOP]:[SOP]]),BD$3&lt;=VALUE(t_Parts[[EOP]:[EOP]])), t_Parts[[SetupHrsPerMo]:[SetupHrsPerMo]]+(t_Parts[[#This Row],[pv2016.06]]/t_Parts[[NetPPH]:[NetPPH]]),0)</f>
        <v>5.6529720279720275</v>
      </c>
      <c r="DK68" s="39">
        <f>IF(AND(BE$3&gt;=VALUE(t_Parts[[SOP]:[SOP]]),BE$3&lt;=VALUE(t_Parts[[EOP]:[EOP]])), t_Parts[[SetupHrsPerMo]:[SetupHrsPerMo]]+(t_Parts[[#This Row],[pv2016.07]]/t_Parts[[NetPPH]:[NetPPH]]),0)</f>
        <v>4.9223776223776223</v>
      </c>
      <c r="DL68" s="39">
        <f>IF(AND(BF$3&gt;=VALUE(t_Parts[[SOP]:[SOP]]),BF$3&lt;=VALUE(t_Parts[[EOP]:[EOP]])), t_Parts[[SetupHrsPerMo]:[SetupHrsPerMo]]+(t_Parts[[#This Row],[pv2016.08]]/t_Parts[[NetPPH]:[NetPPH]]),0)</f>
        <v>4.9223776223776223</v>
      </c>
      <c r="DM68" s="39">
        <f>IF(AND(BG$3&gt;=VALUE(t_Parts[[SOP]:[SOP]]),BG$3&lt;=VALUE(t_Parts[[EOP]:[EOP]])), t_Parts[[SetupHrsPerMo]:[SetupHrsPerMo]]+(t_Parts[[#This Row],[pv2016.09]]/t_Parts[[NetPPH]:[NetPPH]]),0)</f>
        <v>5.6529720279720275</v>
      </c>
      <c r="DN68" s="39">
        <f>IF(AND(BH$3&gt;=VALUE(t_Parts[[SOP]:[SOP]]),BH$3&lt;=VALUE(t_Parts[[EOP]:[EOP]])), t_Parts[[SetupHrsPerMo]:[SetupHrsPerMo]]+(t_Parts[[#This Row],[pv2016.10]]/t_Parts[[NetPPH]:[NetPPH]]),0)</f>
        <v>4.9223776223776223</v>
      </c>
      <c r="DO68" s="39">
        <f>IF(AND(BI$3&gt;=VALUE(t_Parts[[SOP]:[SOP]]),BI$3&lt;=VALUE(t_Parts[[EOP]:[EOP]])), t_Parts[[SetupHrsPerMo]:[SetupHrsPerMo]]+(t_Parts[[#This Row],[pv2016.11]]/t_Parts[[NetPPH]:[NetPPH]]),0)</f>
        <v>4.9223776223776223</v>
      </c>
      <c r="DP68" s="39">
        <f>IF(AND(BJ$3&gt;=VALUE(t_Parts[[SOP]:[SOP]]),BJ$3&lt;=VALUE(t_Parts[[EOP]:[EOP]])), t_Parts[[SetupHrsPerMo]:[SetupHrsPerMo]]+(t_Parts[[#This Row],[pv2016.12]]/t_Parts[[NetPPH]:[NetPPH]]),0)</f>
        <v>5.6529720279720275</v>
      </c>
      <c r="DQ68" s="39">
        <f>SUM(t_Parts[[#This Row],[hp2016.01]:[hp2016.12]])</f>
        <v>61.990909090909092</v>
      </c>
      <c r="DR68" s="39">
        <f>IF(AND(BL$3&gt;=VALUE(t_Parts[[SOP]:[SOP]]),BL$3&lt;=VALUE(t_Parts[[EOP]:[EOP]])), 12*t_Parts[[SetupHrsPerMo]:[SetupHrsPerMo]]+(t_Parts[[#This Row],[pv2017]]/t_Parts[[NetPPH]:[NetPPH]]),0)</f>
        <v>61.990909090909085</v>
      </c>
      <c r="DS68" s="39">
        <f>IF(AND(BM$3&gt;=VALUE(t_Parts[[SOP]:[SOP]]),BM$3&lt;=VALUE(t_Parts[[EOP]:[EOP]])), 12*t_Parts[[SetupHrsPerMo]:[SetupHrsPerMo]]+(t_Parts[[#This Row],[pv2018]]/t_Parts[[NetPPH]:[NetPPH]]),0)</f>
        <v>61.990909090909085</v>
      </c>
      <c r="DT68" s="39">
        <f>IF(AND(BN$3&gt;=VALUE(t_Parts[[SOP]:[SOP]]),BN$3&lt;=VALUE(t_Parts[[EOP]:[EOP]])), 12*t_Parts[[SetupHrsPerMo]:[SetupHrsPerMo]]+(t_Parts[[#This Row],[pv2019]]/t_Parts[[NetPPH]:[NetPPH]]),0)</f>
        <v>61.990909090909085</v>
      </c>
      <c r="DU68" s="47">
        <f>t_Parts[[#This Row],[hp2015.01]]/t_Parts[[#This Row],[ha2015.01]]</f>
        <v>1.757992007992008E-2</v>
      </c>
      <c r="DV68" s="47">
        <f>t_Parts[[#This Row],[hp2015.02]]/t_Parts[[#This Row],[ha2015.02]]</f>
        <v>1.757992007992008E-2</v>
      </c>
      <c r="DW68" s="47">
        <f>t_Parts[[#This Row],[hp2015.03]]/t_Parts[[#This Row],[ha2015.03]]</f>
        <v>1.6151348651348651E-2</v>
      </c>
      <c r="DX68" s="47">
        <f>t_Parts[[#This Row],[hp2015.04]]/t_Parts[[#This Row],[ha2015.04]]</f>
        <v>1.757992007992008E-2</v>
      </c>
      <c r="DY68" s="47">
        <f>t_Parts[[#This Row],[hp2015.05]]/t_Parts[[#This Row],[ha2015.05]]</f>
        <v>1.757992007992008E-2</v>
      </c>
      <c r="DZ68" s="47">
        <f>t_Parts[[#This Row],[hp2015.06]]/t_Parts[[#This Row],[ha2015.06]]</f>
        <v>1.6151348651348651E-2</v>
      </c>
      <c r="EA68" s="47">
        <f>t_Parts[[#This Row],[hp2015.07]]/t_Parts[[#This Row],[ha2015.07]]</f>
        <v>1.757992007992008E-2</v>
      </c>
      <c r="EB68" s="47">
        <f>t_Parts[[#This Row],[hp2015.08]]/t_Parts[[#This Row],[ha2015.08]]</f>
        <v>1.757992007992008E-2</v>
      </c>
      <c r="EC68" s="47">
        <f>t_Parts[[#This Row],[hp2015.09]]/t_Parts[[#This Row],[ha2015.09]]</f>
        <v>1.6151348651348651E-2</v>
      </c>
      <c r="ED68" s="47">
        <f>t_Parts[[#This Row],[hp2015.10]]/t_Parts[[#This Row],[ha2015.10]]</f>
        <v>1.757992007992008E-2</v>
      </c>
      <c r="EE68" s="47">
        <f>t_Parts[[#This Row],[hp2015.11]]/t_Parts[[#This Row],[ha2015.11]]</f>
        <v>1.757992007992008E-2</v>
      </c>
      <c r="EF68" s="47">
        <f>t_Parts[[#This Row],[hp2015.12]]/t_Parts[[#This Row],[ha2015.12]]</f>
        <v>1.6151348651348651E-2</v>
      </c>
      <c r="EG68" s="47">
        <f>t_Parts[[#This Row],[hp2015.FY]]/t_Parts[[#This Row],[ha2015.FY]]</f>
        <v>1.7030469530469532E-2</v>
      </c>
      <c r="EH68" s="47">
        <f>t_Parts[[#This Row],[hp2016.01]]/t_Parts[[#This Row],[ha2016.01]]</f>
        <v>1.757992007992008E-2</v>
      </c>
      <c r="EI68" s="47">
        <f>t_Parts[[#This Row],[hp2016.02]]/t_Parts[[#This Row],[ha2016.02]]</f>
        <v>1.757992007992008E-2</v>
      </c>
      <c r="EJ68" s="47">
        <f>t_Parts[[#This Row],[hp2016.03]]/t_Parts[[#This Row],[ha2016.03]]</f>
        <v>1.6151348651348651E-2</v>
      </c>
      <c r="EK68" s="47">
        <f>t_Parts[[#This Row],[hp2016.04]]/t_Parts[[#This Row],[ha2016.04]]</f>
        <v>1.757992007992008E-2</v>
      </c>
      <c r="EL68" s="47">
        <f>t_Parts[[#This Row],[hp2016.05]]/t_Parts[[#This Row],[ha2016.05]]</f>
        <v>1.757992007992008E-2</v>
      </c>
      <c r="EM68" s="47">
        <f>t_Parts[[#This Row],[hp2016.06]]/t_Parts[[#This Row],[ha2016.06]]</f>
        <v>1.6151348651348651E-2</v>
      </c>
      <c r="EN68" s="47">
        <f>t_Parts[[#This Row],[hp2016.07]]/t_Parts[[#This Row],[ha2016.07]]</f>
        <v>1.757992007992008E-2</v>
      </c>
      <c r="EO68" s="47">
        <f>t_Parts[[#This Row],[hp2016.08]]/t_Parts[[#This Row],[ha2016.08]]</f>
        <v>1.757992007992008E-2</v>
      </c>
      <c r="EP68" s="47">
        <f>t_Parts[[#This Row],[hp2016.09]]/t_Parts[[#This Row],[ha2016.09]]</f>
        <v>1.6151348651348651E-2</v>
      </c>
      <c r="EQ68" s="47">
        <f>t_Parts[[#This Row],[hp2016.10]]/t_Parts[[#This Row],[ha2016.10]]</f>
        <v>1.757992007992008E-2</v>
      </c>
      <c r="ER68" s="47">
        <f>t_Parts[[#This Row],[hp2016.11]]/t_Parts[[#This Row],[ha2016.11]]</f>
        <v>1.757992007992008E-2</v>
      </c>
      <c r="ES68" s="47">
        <f>t_Parts[[#This Row],[hp2016.12]]/t_Parts[[#This Row],[ha2016.12]]</f>
        <v>1.6151348651348651E-2</v>
      </c>
      <c r="ET68" s="47">
        <f>t_Parts[[#This Row],[hp2016.FY]]/t_Parts[[#This Row],[ha2016.FY]]</f>
        <v>1.7030469530469532E-2</v>
      </c>
      <c r="EU68" s="47">
        <f>t_Parts[[#This Row],[hp2017]]/t_Parts[[#This Row],[ha2017]]</f>
        <v>1.7030469530469529E-2</v>
      </c>
      <c r="EV68" s="47">
        <f>t_Parts[[#This Row],[hp2018]]/t_Parts[[#This Row],[ha2018]]</f>
        <v>1.7030469530469529E-2</v>
      </c>
      <c r="EW68" s="47">
        <f>t_Parts[[#This Row],[hp2019]]/t_Parts[[#This Row],[hp2015.01]]</f>
        <v>12.593692285836056</v>
      </c>
      <c r="EX68" s="58">
        <f>(t_Parts[[#This Row],[ha2015.01]]-t_Parts[[#This Row],[hp2015.01]])*t_Parts[[NetPPH]:[NetPPH]]</f>
        <v>272326.84615384619</v>
      </c>
      <c r="EY68" s="58">
        <f>(t_Parts[[#This Row],[ha2015.02]]-t_Parts[[#This Row],[hp2015.02]])*t_Parts[[NetPPH]:[NetPPH]]</f>
        <v>272326.84615384619</v>
      </c>
      <c r="EZ68" s="58">
        <f>(t_Parts[[#This Row],[ha2015.03]]-t_Parts[[#This Row],[hp2015.03]])*t_Parts[[NetPPH]:[NetPPH]]</f>
        <v>340903.55769230769</v>
      </c>
      <c r="FA68" s="58">
        <f>(t_Parts[[#This Row],[ha2015.04]]-t_Parts[[#This Row],[hp2015.04]])*t_Parts[[NetPPH]:[NetPPH]]</f>
        <v>272326.84615384619</v>
      </c>
      <c r="FB68" s="58">
        <f>(t_Parts[[#This Row],[ha2015.05]]-t_Parts[[#This Row],[hp2015.05]])*t_Parts[[NetPPH]:[NetPPH]]</f>
        <v>272326.84615384619</v>
      </c>
      <c r="FC68" s="58">
        <f>(t_Parts[[#This Row],[ha2015.06]]-t_Parts[[#This Row],[hp2015.06]])*t_Parts[[NetPPH]:[NetPPH]]</f>
        <v>340903.55769230769</v>
      </c>
      <c r="FD68" s="58">
        <f>(t_Parts[[#This Row],[ha2015.07]]-t_Parts[[#This Row],[hp2015.07]])*t_Parts[[NetPPH]:[NetPPH]]</f>
        <v>272326.84615384619</v>
      </c>
      <c r="FE68" s="58">
        <f>(t_Parts[[#This Row],[ha2015.08]]-t_Parts[[#This Row],[hp2015.08]])*t_Parts[[NetPPH]:[NetPPH]]</f>
        <v>272326.84615384619</v>
      </c>
      <c r="FF68" s="58">
        <f>(t_Parts[[#This Row],[ha2015.09]]-t_Parts[[#This Row],[hp2015.09]])*t_Parts[[NetPPH]:[NetPPH]]</f>
        <v>340903.55769230769</v>
      </c>
      <c r="FG68" s="58">
        <f>(t_Parts[[#This Row],[ha2015.10]]-t_Parts[[#This Row],[hp2015.10]])*t_Parts[[NetPPH]:[NetPPH]]</f>
        <v>272326.84615384619</v>
      </c>
      <c r="FH68" s="58">
        <f>(t_Parts[[#This Row],[ha2015.11]]-t_Parts[[#This Row],[hp2015.11]])*t_Parts[[NetPPH]:[NetPPH]]</f>
        <v>272326.84615384619</v>
      </c>
      <c r="FI68" s="58">
        <f>(t_Parts[[#This Row],[ha2015.12]]-t_Parts[[#This Row],[hp2015.12]])*t_Parts[[NetPPH]:[NetPPH]]</f>
        <v>340903.55769230769</v>
      </c>
      <c r="FJ68" s="58">
        <f>(t_Parts[[#This Row],[ha2015.FY]]-t_Parts[[#This Row],[hp2015.FY]])*t_Parts[[NetPPH]:[NetPPH]]</f>
        <v>3542229.0000000005</v>
      </c>
      <c r="FK68" s="58">
        <f>(t_Parts[[#This Row],[ha2016.01]]-t_Parts[[#This Row],[hp2016.01]])*t_Parts[[NetPPH]:[NetPPH]]</f>
        <v>272326.84615384619</v>
      </c>
      <c r="FL68" s="58">
        <f>(t_Parts[[#This Row],[ha2016.02]]-t_Parts[[#This Row],[hp2016.02]])*t_Parts[[NetPPH]:[NetPPH]]</f>
        <v>272326.84615384619</v>
      </c>
      <c r="FM68" s="58">
        <f>(t_Parts[[#This Row],[ha2016.03]]-t_Parts[[#This Row],[hp2016.03]])*t_Parts[[NetPPH]:[NetPPH]]</f>
        <v>340903.55769230769</v>
      </c>
      <c r="FN68" s="58">
        <f>(t_Parts[[#This Row],[ha2016.04]]-t_Parts[[#This Row],[hp2016.04]])*t_Parts[[NetPPH]:[NetPPH]]</f>
        <v>272326.84615384619</v>
      </c>
      <c r="FO68" s="58">
        <f>(t_Parts[[#This Row],[ha2016.05]]-t_Parts[[#This Row],[hp2016.05]])*t_Parts[[NetPPH]:[NetPPH]]</f>
        <v>272326.84615384619</v>
      </c>
      <c r="FP68" s="58">
        <f>(t_Parts[[#This Row],[ha2016.06]]-t_Parts[[#This Row],[hp2016.06]])*t_Parts[[NetPPH]:[NetPPH]]</f>
        <v>340903.55769230769</v>
      </c>
      <c r="FQ68" s="58">
        <f>(t_Parts[[#This Row],[ha2016.07]]-t_Parts[[#This Row],[hp2016.07]])*t_Parts[[NetPPH]:[NetPPH]]</f>
        <v>272326.84615384619</v>
      </c>
      <c r="FR68" s="58">
        <f>(t_Parts[[#This Row],[ha2016.08]]-t_Parts[[#This Row],[hp2016.08]])*t_Parts[[NetPPH]:[NetPPH]]</f>
        <v>272326.84615384619</v>
      </c>
      <c r="FS68" s="58">
        <f>(t_Parts[[#This Row],[ha2016.09]]-t_Parts[[#This Row],[hp2016.09]])*t_Parts[[NetPPH]:[NetPPH]]</f>
        <v>340903.55769230769</v>
      </c>
      <c r="FT68" s="58">
        <f>(t_Parts[[#This Row],[ha2016.10]]-t_Parts[[#This Row],[hp2016.10]])*t_Parts[[NetPPH]:[NetPPH]]</f>
        <v>272326.84615384619</v>
      </c>
      <c r="FU68" s="58">
        <f>(t_Parts[[#This Row],[ha2016.11]]-t_Parts[[#This Row],[hp2016.11]])*t_Parts[[NetPPH]:[NetPPH]]</f>
        <v>272326.84615384619</v>
      </c>
      <c r="FV68" s="58">
        <f>(t_Parts[[#This Row],[ha2016.12]]-t_Parts[[#This Row],[hp2016.12]])*t_Parts[[NetPPH]:[NetPPH]]</f>
        <v>340903.55769230769</v>
      </c>
      <c r="FW68" s="58">
        <f>(t_Parts[[#This Row],[ha2016.FY]]-t_Parts[[#This Row],[hp2016.FY]])*t_Parts[[NetPPH]:[NetPPH]]</f>
        <v>3542229.0000000005</v>
      </c>
      <c r="FX68" s="58">
        <f>(t_Parts[[#This Row],[ha2017]]-t_Parts[[#This Row],[hp2017]])*t_Parts[[NetPPH]:[NetPPH]]</f>
        <v>3542229.0000000005</v>
      </c>
      <c r="FY68" s="58">
        <f>(t_Parts[[#This Row],[ha2018]]-t_Parts[[#This Row],[hp2018]])*t_Parts[[NetPPH]:[NetPPH]]</f>
        <v>3542229.0000000005</v>
      </c>
      <c r="FZ68" s="58">
        <f>(t_Parts[[#This Row],[ha2019]]-t_Parts[[#This Row],[hp2019]])*t_Parts[[NetPPH]:[NetPPH]]</f>
        <v>3542229.0000000005</v>
      </c>
    </row>
    <row r="69" spans="1:182" s="14" customFormat="1" x14ac:dyDescent="0.25">
      <c r="A69" s="74">
        <v>77033</v>
      </c>
      <c r="B69" s="74"/>
      <c r="C69" s="74">
        <v>21002</v>
      </c>
      <c r="D69" s="75">
        <v>1</v>
      </c>
      <c r="E69" s="73">
        <v>1800</v>
      </c>
      <c r="F69" s="76">
        <v>1</v>
      </c>
      <c r="G69" s="77">
        <v>2</v>
      </c>
      <c r="H69" s="16">
        <v>2015.01</v>
      </c>
      <c r="I69" s="16" t="s">
        <v>83</v>
      </c>
      <c r="J69" s="73">
        <v>37611</v>
      </c>
      <c r="K69" s="73">
        <v>37611</v>
      </c>
      <c r="L69" s="73">
        <v>37611</v>
      </c>
      <c r="M69" s="73">
        <v>37611</v>
      </c>
      <c r="N69" s="73">
        <v>37611</v>
      </c>
      <c r="O69" s="78">
        <v>48</v>
      </c>
      <c r="P69" s="78">
        <v>95</v>
      </c>
      <c r="Q69" s="79">
        <v>22.643000000000001</v>
      </c>
      <c r="R69" s="79"/>
      <c r="S69" s="78">
        <v>350</v>
      </c>
      <c r="T69" s="80">
        <v>14</v>
      </c>
      <c r="U69" s="80" t="s">
        <v>121</v>
      </c>
      <c r="V69" s="81" t="s">
        <v>554</v>
      </c>
      <c r="W69" s="82">
        <v>2.93</v>
      </c>
      <c r="X69" s="82" t="s">
        <v>551</v>
      </c>
      <c r="Y69" s="82"/>
      <c r="Z69" s="82"/>
      <c r="AA69" s="82"/>
      <c r="AB69" s="82"/>
      <c r="AC69" s="83" t="s">
        <v>667</v>
      </c>
      <c r="AD69" s="40" t="str">
        <f>VLOOKUP(t_Parts[[#This Row],[Press]],t_Presses[],Press!B$1,FALSE)</f>
        <v>Plainfield</v>
      </c>
      <c r="AE69" s="40" t="str">
        <f>VLOOKUP(t_Parts[[#This Row],[Press]],t_Presses[],Press!E$1,FALSE)</f>
        <v>600-899</v>
      </c>
      <c r="AF69" s="47">
        <f>VLOOKUP(t_Parts[[#This Row],[Plant]],t_Plants[],Plants!C$1,FALSE)</f>
        <v>0.55000000000000004</v>
      </c>
      <c r="AG69" s="47">
        <f>VLOOKUP(t_Parts[[#This Row],[Press]],t_Presses[],Press!F$1,FALSE)</f>
        <v>0</v>
      </c>
      <c r="AH69" s="84"/>
      <c r="AI69" s="47">
        <f>IF(ISBLANK(t_Parts[[#This Row],[PartOEE]])=FALSE,t_Parts[[#This Row],[PartOEE]], IF(t_Parts[[#This Row],[PressOEE]]&gt;0, t_Parts[[#This Row],[PressOEE]], t_Parts[[#This Row],[PlantOEE]] ))</f>
        <v>0.55000000000000004</v>
      </c>
      <c r="AJ69" s="70">
        <f>t_Parts[[#This Row],[SetupsPerMo]]*t_Parts[[#This Row],[SetupHrs]]</f>
        <v>2</v>
      </c>
      <c r="AK69" s="39">
        <f>(t_Parts[[#This Row],[PartsPerStroke]]*t_Parts[[#This Row],[StrokesPerHr]])*t_Parts[[#This Row],[UseOEE]]</f>
        <v>990.00000000000011</v>
      </c>
      <c r="AL6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3616.4423076923076</v>
      </c>
      <c r="AO6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3616.4423076923076</v>
      </c>
      <c r="AR6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3616.4423076923076</v>
      </c>
      <c r="AU6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3616.4423076923076</v>
      </c>
      <c r="AX69" s="39">
        <f>SUM(t_Parts[[#This Row],[pv2015.01]:[pv2015.12]])</f>
        <v>37611</v>
      </c>
      <c r="AY6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9" s="39">
        <f>SUM(t_Parts[[#This Row],[pv2016.01]:[pv2016.12]])</f>
        <v>37611</v>
      </c>
      <c r="BL69" s="39">
        <f>t_Parts[[#This Row],[2017vol]]</f>
        <v>37611</v>
      </c>
      <c r="BM69" s="39">
        <f>t_Parts[[#This Row],[2018vol]]</f>
        <v>37611</v>
      </c>
      <c r="BN69" s="39">
        <f>t_Parts[[#This Row],[2019vol]]</f>
        <v>37611</v>
      </c>
      <c r="BO69" s="40">
        <f>VLOOKUP(t_Parts[[Plant]:[Plant]],t_Plants[],Plants!CN$1,FALSE)</f>
        <v>280</v>
      </c>
      <c r="BP69" s="14">
        <f>VLOOKUP(t_Parts[[Plant]:[Plant]],t_Plants[],Plants!CO$1,FALSE)</f>
        <v>280</v>
      </c>
      <c r="BQ69" s="14">
        <f>VLOOKUP(t_Parts[[Plant]:[Plant]],t_Plants[],Plants!CP$1,FALSE)</f>
        <v>350</v>
      </c>
      <c r="BR69" s="14">
        <f>VLOOKUP(t_Parts[[Plant]:[Plant]],t_Plants[],Plants!CQ$1,FALSE)</f>
        <v>280</v>
      </c>
      <c r="BS69" s="14">
        <f>VLOOKUP(t_Parts[[Plant]:[Plant]],t_Plants[],Plants!CR$1,FALSE)</f>
        <v>280</v>
      </c>
      <c r="BT69" s="14">
        <f>VLOOKUP(t_Parts[[Plant]:[Plant]],t_Plants[],Plants!CS$1,FALSE)</f>
        <v>350</v>
      </c>
      <c r="BU69" s="14">
        <f>VLOOKUP(t_Parts[[Plant]:[Plant]],t_Plants[],Plants!CT$1,FALSE)</f>
        <v>280</v>
      </c>
      <c r="BV69" s="14">
        <f>VLOOKUP(t_Parts[[Plant]:[Plant]],t_Plants[],Plants!CU$1,FALSE)</f>
        <v>280</v>
      </c>
      <c r="BW69" s="14">
        <f>VLOOKUP(t_Parts[[Plant]:[Plant]],t_Plants[],Plants!CV$1,FALSE)</f>
        <v>350</v>
      </c>
      <c r="BX69" s="14">
        <f>VLOOKUP(t_Parts[[Plant]:[Plant]],t_Plants[],Plants!CW$1,FALSE)</f>
        <v>280</v>
      </c>
      <c r="BY69" s="14">
        <f>VLOOKUP(t_Parts[[Plant]:[Plant]],t_Plants[],Plants!CX$1,FALSE)</f>
        <v>280</v>
      </c>
      <c r="BZ69" s="14">
        <f>VLOOKUP(t_Parts[[Plant]:[Plant]],t_Plants[],Plants!CY$1,FALSE)</f>
        <v>350</v>
      </c>
      <c r="CA69" s="40">
        <f>SUM(t_Parts[[#This Row],[ha2015.01]:[ha2015.12]])</f>
        <v>3640</v>
      </c>
      <c r="CB69" s="14">
        <f>VLOOKUP(t_Parts[[Plant]:[Plant]],t_Plants[],Plants!DA$1,FALSE)</f>
        <v>280</v>
      </c>
      <c r="CC69" s="14">
        <f>VLOOKUP(t_Parts[[Plant]:[Plant]],t_Plants[],Plants!DB$1,FALSE)</f>
        <v>280</v>
      </c>
      <c r="CD69" s="14">
        <f>VLOOKUP(t_Parts[[Plant]:[Plant]],t_Plants[],Plants!DC$1,FALSE)</f>
        <v>350</v>
      </c>
      <c r="CE69" s="14">
        <f>VLOOKUP(t_Parts[[Plant]:[Plant]],t_Plants[],Plants!DD$1,FALSE)</f>
        <v>280</v>
      </c>
      <c r="CF69" s="14">
        <f>VLOOKUP(t_Parts[[Plant]:[Plant]],t_Plants[],Plants!DE$1,FALSE)</f>
        <v>280</v>
      </c>
      <c r="CG69" s="14">
        <f>VLOOKUP(t_Parts[[Plant]:[Plant]],t_Plants[],Plants!DF$1,FALSE)</f>
        <v>350</v>
      </c>
      <c r="CH69" s="14">
        <f>VLOOKUP(t_Parts[[Plant]:[Plant]],t_Plants[],Plants!DG$1,FALSE)</f>
        <v>280</v>
      </c>
      <c r="CI69" s="14">
        <f>VLOOKUP(t_Parts[[Plant]:[Plant]],t_Plants[],Plants!DH$1,FALSE)</f>
        <v>280</v>
      </c>
      <c r="CJ69" s="14">
        <f>VLOOKUP(t_Parts[[Plant]:[Plant]],t_Plants[],Plants!DI$1,FALSE)</f>
        <v>350</v>
      </c>
      <c r="CK69" s="14">
        <f>VLOOKUP(t_Parts[[Plant]:[Plant]],t_Plants[],Plants!DJ$1,FALSE)</f>
        <v>280</v>
      </c>
      <c r="CL69" s="14">
        <f>VLOOKUP(t_Parts[[Plant]:[Plant]],t_Plants[],Plants!DK$1,FALSE)</f>
        <v>280</v>
      </c>
      <c r="CM69" s="14">
        <f>VLOOKUP(t_Parts[[Plant]:[Plant]],t_Plants[],Plants!DL$1,FALSE)</f>
        <v>350</v>
      </c>
      <c r="CN69" s="14">
        <f>VLOOKUP(t_Parts[[Plant]:[Plant]],t_Plants[],Plants!DM$1,FALSE)</f>
        <v>3640</v>
      </c>
      <c r="CO69" s="14">
        <f>VLOOKUP(t_Parts[[Plant]:[Plant]],t_Plants[],Plants!DN$1,FALSE)</f>
        <v>3640</v>
      </c>
      <c r="CP69" s="14">
        <f>VLOOKUP(t_Parts[[Plant]:[Plant]],t_Plants[],Plants!DO$1,FALSE)</f>
        <v>3640</v>
      </c>
      <c r="CQ69" s="14">
        <f>VLOOKUP(t_Parts[[Plant]:[Plant]],t_Plants[],Plants!DP$1,FALSE)</f>
        <v>3640</v>
      </c>
      <c r="CR69" s="39">
        <f>IF(AND(AL$3&gt;=VALUE(t_Parts[[SOP]:[SOP]]),AL$3&lt;=VALUE(t_Parts[[EOP]:[EOP]])), t_Parts[[SetupHrsPerMo]:[SetupHrsPerMo]]+(t_Parts[[#This Row],[pv2015.01]]/t_Parts[[NetPPH]:[NetPPH]]),0)</f>
        <v>4.9223776223776223</v>
      </c>
      <c r="CS69" s="39">
        <f>IF(AND(AM$3&gt;=VALUE(t_Parts[[SOP]:[SOP]]),AM$3&lt;=VALUE(t_Parts[[EOP]:[EOP]])), t_Parts[[SetupHrsPerMo]:[SetupHrsPerMo]]+(t_Parts[[#This Row],[pv2015.02]]/t_Parts[[NetPPH]:[NetPPH]]),0)</f>
        <v>4.9223776223776223</v>
      </c>
      <c r="CT69" s="39">
        <f>IF(AND(AN$3&gt;=VALUE(t_Parts[[SOP]:[SOP]]),AN$3&lt;=VALUE(t_Parts[[EOP]:[EOP]])), t_Parts[[SetupHrsPerMo]:[SetupHrsPerMo]]+(t_Parts[[#This Row],[pv2015.03]]/t_Parts[[NetPPH]:[NetPPH]]),0)</f>
        <v>5.6529720279720275</v>
      </c>
      <c r="CU69" s="39">
        <f>IF(AND(AO$3&gt;=VALUE(t_Parts[[SOP]:[SOP]]),AO$3&lt;=VALUE(t_Parts[[EOP]:[EOP]])), t_Parts[[SetupHrsPerMo]:[SetupHrsPerMo]]+(t_Parts[[#This Row],[pv2015.04]]/t_Parts[[NetPPH]:[NetPPH]]),0)</f>
        <v>4.9223776223776223</v>
      </c>
      <c r="CV69" s="39">
        <f>IF(AND(AP$3&gt;=VALUE(t_Parts[[SOP]:[SOP]]),AP$3&lt;=VALUE(t_Parts[[EOP]:[EOP]])), t_Parts[[SetupHrsPerMo]:[SetupHrsPerMo]]+(t_Parts[[#This Row],[pv2015.05]]/t_Parts[[NetPPH]:[NetPPH]]),0)</f>
        <v>4.9223776223776223</v>
      </c>
      <c r="CW69" s="39">
        <f>IF(AND(AQ$3&gt;=VALUE(t_Parts[[SOP]:[SOP]]),AQ$3&lt;=VALUE(t_Parts[[EOP]:[EOP]])), t_Parts[[SetupHrsPerMo]:[SetupHrsPerMo]]+(t_Parts[[#This Row],[pv2015.06]]/t_Parts[[NetPPH]:[NetPPH]]),0)</f>
        <v>5.6529720279720275</v>
      </c>
      <c r="CX69" s="39">
        <f>IF(AND(AR$3&gt;=VALUE(t_Parts[[SOP]:[SOP]]),AR$3&lt;=VALUE(t_Parts[[EOP]:[EOP]])), t_Parts[[SetupHrsPerMo]:[SetupHrsPerMo]]+(t_Parts[[#This Row],[pv2015.07]]/t_Parts[[NetPPH]:[NetPPH]]),0)</f>
        <v>4.9223776223776223</v>
      </c>
      <c r="CY69" s="39">
        <f>IF(AND(AS$3&gt;=VALUE(t_Parts[[SOP]:[SOP]]),AS$3&lt;=VALUE(t_Parts[[EOP]:[EOP]])), t_Parts[[SetupHrsPerMo]:[SetupHrsPerMo]]+(t_Parts[[#This Row],[pv2015.08]]/t_Parts[[NetPPH]:[NetPPH]]),0)</f>
        <v>4.9223776223776223</v>
      </c>
      <c r="CZ69" s="39">
        <f>IF(AND(AT$3&gt;=VALUE(t_Parts[[SOP]:[SOP]]),AT$3&lt;=VALUE(t_Parts[[EOP]:[EOP]])), t_Parts[[SetupHrsPerMo]:[SetupHrsPerMo]]+(t_Parts[[#This Row],[pv2015.09]]/t_Parts[[NetPPH]:[NetPPH]]),0)</f>
        <v>5.6529720279720275</v>
      </c>
      <c r="DA69" s="39">
        <f>IF(AND(AU$3&gt;=VALUE(t_Parts[[SOP]:[SOP]]),AU$3&lt;=VALUE(t_Parts[[EOP]:[EOP]])), t_Parts[[SetupHrsPerMo]:[SetupHrsPerMo]]+(t_Parts[[#This Row],[pv2015.10]]/t_Parts[[NetPPH]:[NetPPH]]),0)</f>
        <v>4.9223776223776223</v>
      </c>
      <c r="DB69" s="39">
        <f>IF(AND(AV$3&gt;=VALUE(t_Parts[[SOP]:[SOP]]),AV$3&lt;=VALUE(t_Parts[[EOP]:[EOP]])), t_Parts[[SetupHrsPerMo]:[SetupHrsPerMo]]+(t_Parts[[#This Row],[pv2015.11]]/t_Parts[[NetPPH]:[NetPPH]]),0)</f>
        <v>4.9223776223776223</v>
      </c>
      <c r="DC69" s="39">
        <f>IF(AND(AW$3&gt;=VALUE(t_Parts[[SOP]:[SOP]]),AW$3&lt;=VALUE(t_Parts[[EOP]:[EOP]])), t_Parts[[SetupHrsPerMo]:[SetupHrsPerMo]]+(t_Parts[[#This Row],[pv2015.12]]/t_Parts[[NetPPH]:[NetPPH]]),0)</f>
        <v>5.6529720279720275</v>
      </c>
      <c r="DD69" s="39">
        <f>SUM(t_Parts[[#This Row],[hp2015.01]:[hp2015.12]])</f>
        <v>61.990909090909092</v>
      </c>
      <c r="DE69" s="39">
        <f>IF(AND(AY$3&gt;=VALUE(t_Parts[[SOP]:[SOP]]),AY$3&lt;=VALUE(t_Parts[[EOP]:[EOP]])), t_Parts[[SetupHrsPerMo]:[SetupHrsPerMo]]+(t_Parts[[#This Row],[pv2016.01]]/t_Parts[[NetPPH]:[NetPPH]]),0)</f>
        <v>4.9223776223776223</v>
      </c>
      <c r="DF69" s="39">
        <f>IF(AND(AZ$3&gt;=VALUE(t_Parts[[SOP]:[SOP]]),AZ$3&lt;=VALUE(t_Parts[[EOP]:[EOP]])), t_Parts[[SetupHrsPerMo]:[SetupHrsPerMo]]+(t_Parts[[#This Row],[pv2016.02]]/t_Parts[[NetPPH]:[NetPPH]]),0)</f>
        <v>4.9223776223776223</v>
      </c>
      <c r="DG69" s="39">
        <f>IF(AND(BA$3&gt;=VALUE(t_Parts[[SOP]:[SOP]]),BA$3&lt;=VALUE(t_Parts[[EOP]:[EOP]])), t_Parts[[SetupHrsPerMo]:[SetupHrsPerMo]]+(t_Parts[[#This Row],[pv2016.03]]/t_Parts[[NetPPH]:[NetPPH]]),0)</f>
        <v>5.6529720279720275</v>
      </c>
      <c r="DH69" s="39">
        <f>IF(AND(BB$3&gt;=VALUE(t_Parts[[SOP]:[SOP]]),BB$3&lt;=VALUE(t_Parts[[EOP]:[EOP]])), t_Parts[[SetupHrsPerMo]:[SetupHrsPerMo]]+(t_Parts[[#This Row],[pv2016.04]]/t_Parts[[NetPPH]:[NetPPH]]),0)</f>
        <v>4.9223776223776223</v>
      </c>
      <c r="DI69" s="39">
        <f>IF(AND(BC$3&gt;=VALUE(t_Parts[[SOP]:[SOP]]),BC$3&lt;=VALUE(t_Parts[[EOP]:[EOP]])), t_Parts[[SetupHrsPerMo]:[SetupHrsPerMo]]+(t_Parts[[#This Row],[pv2016.05]]/t_Parts[[NetPPH]:[NetPPH]]),0)</f>
        <v>4.9223776223776223</v>
      </c>
      <c r="DJ69" s="39">
        <f>IF(AND(BD$3&gt;=VALUE(t_Parts[[SOP]:[SOP]]),BD$3&lt;=VALUE(t_Parts[[EOP]:[EOP]])), t_Parts[[SetupHrsPerMo]:[SetupHrsPerMo]]+(t_Parts[[#This Row],[pv2016.06]]/t_Parts[[NetPPH]:[NetPPH]]),0)</f>
        <v>5.6529720279720275</v>
      </c>
      <c r="DK69" s="39">
        <f>IF(AND(BE$3&gt;=VALUE(t_Parts[[SOP]:[SOP]]),BE$3&lt;=VALUE(t_Parts[[EOP]:[EOP]])), t_Parts[[SetupHrsPerMo]:[SetupHrsPerMo]]+(t_Parts[[#This Row],[pv2016.07]]/t_Parts[[NetPPH]:[NetPPH]]),0)</f>
        <v>4.9223776223776223</v>
      </c>
      <c r="DL69" s="39">
        <f>IF(AND(BF$3&gt;=VALUE(t_Parts[[SOP]:[SOP]]),BF$3&lt;=VALUE(t_Parts[[EOP]:[EOP]])), t_Parts[[SetupHrsPerMo]:[SetupHrsPerMo]]+(t_Parts[[#This Row],[pv2016.08]]/t_Parts[[NetPPH]:[NetPPH]]),0)</f>
        <v>4.9223776223776223</v>
      </c>
      <c r="DM69" s="39">
        <f>IF(AND(BG$3&gt;=VALUE(t_Parts[[SOP]:[SOP]]),BG$3&lt;=VALUE(t_Parts[[EOP]:[EOP]])), t_Parts[[SetupHrsPerMo]:[SetupHrsPerMo]]+(t_Parts[[#This Row],[pv2016.09]]/t_Parts[[NetPPH]:[NetPPH]]),0)</f>
        <v>5.6529720279720275</v>
      </c>
      <c r="DN69" s="39">
        <f>IF(AND(BH$3&gt;=VALUE(t_Parts[[SOP]:[SOP]]),BH$3&lt;=VALUE(t_Parts[[EOP]:[EOP]])), t_Parts[[SetupHrsPerMo]:[SetupHrsPerMo]]+(t_Parts[[#This Row],[pv2016.10]]/t_Parts[[NetPPH]:[NetPPH]]),0)</f>
        <v>4.9223776223776223</v>
      </c>
      <c r="DO69" s="39">
        <f>IF(AND(BI$3&gt;=VALUE(t_Parts[[SOP]:[SOP]]),BI$3&lt;=VALUE(t_Parts[[EOP]:[EOP]])), t_Parts[[SetupHrsPerMo]:[SetupHrsPerMo]]+(t_Parts[[#This Row],[pv2016.11]]/t_Parts[[NetPPH]:[NetPPH]]),0)</f>
        <v>4.9223776223776223</v>
      </c>
      <c r="DP69" s="39">
        <f>IF(AND(BJ$3&gt;=VALUE(t_Parts[[SOP]:[SOP]]),BJ$3&lt;=VALUE(t_Parts[[EOP]:[EOP]])), t_Parts[[SetupHrsPerMo]:[SetupHrsPerMo]]+(t_Parts[[#This Row],[pv2016.12]]/t_Parts[[NetPPH]:[NetPPH]]),0)</f>
        <v>5.6529720279720275</v>
      </c>
      <c r="DQ69" s="39">
        <f>SUM(t_Parts[[#This Row],[hp2016.01]:[hp2016.12]])</f>
        <v>61.990909090909092</v>
      </c>
      <c r="DR69" s="39">
        <f>IF(AND(BL$3&gt;=VALUE(t_Parts[[SOP]:[SOP]]),BL$3&lt;=VALUE(t_Parts[[EOP]:[EOP]])), 12*t_Parts[[SetupHrsPerMo]:[SetupHrsPerMo]]+(t_Parts[[#This Row],[pv2017]]/t_Parts[[NetPPH]:[NetPPH]]),0)</f>
        <v>61.990909090909085</v>
      </c>
      <c r="DS69" s="39">
        <f>IF(AND(BM$3&gt;=VALUE(t_Parts[[SOP]:[SOP]]),BM$3&lt;=VALUE(t_Parts[[EOP]:[EOP]])), 12*t_Parts[[SetupHrsPerMo]:[SetupHrsPerMo]]+(t_Parts[[#This Row],[pv2018]]/t_Parts[[NetPPH]:[NetPPH]]),0)</f>
        <v>61.990909090909085</v>
      </c>
      <c r="DT69" s="39">
        <f>IF(AND(BN$3&gt;=VALUE(t_Parts[[SOP]:[SOP]]),BN$3&lt;=VALUE(t_Parts[[EOP]:[EOP]])), 12*t_Parts[[SetupHrsPerMo]:[SetupHrsPerMo]]+(t_Parts[[#This Row],[pv2019]]/t_Parts[[NetPPH]:[NetPPH]]),0)</f>
        <v>61.990909090909085</v>
      </c>
      <c r="DU69" s="47">
        <f>t_Parts[[#This Row],[hp2015.01]]/t_Parts[[#This Row],[ha2015.01]]</f>
        <v>1.757992007992008E-2</v>
      </c>
      <c r="DV69" s="47">
        <f>t_Parts[[#This Row],[hp2015.02]]/t_Parts[[#This Row],[ha2015.02]]</f>
        <v>1.757992007992008E-2</v>
      </c>
      <c r="DW69" s="47">
        <f>t_Parts[[#This Row],[hp2015.03]]/t_Parts[[#This Row],[ha2015.03]]</f>
        <v>1.6151348651348651E-2</v>
      </c>
      <c r="DX69" s="47">
        <f>t_Parts[[#This Row],[hp2015.04]]/t_Parts[[#This Row],[ha2015.04]]</f>
        <v>1.757992007992008E-2</v>
      </c>
      <c r="DY69" s="47">
        <f>t_Parts[[#This Row],[hp2015.05]]/t_Parts[[#This Row],[ha2015.05]]</f>
        <v>1.757992007992008E-2</v>
      </c>
      <c r="DZ69" s="47">
        <f>t_Parts[[#This Row],[hp2015.06]]/t_Parts[[#This Row],[ha2015.06]]</f>
        <v>1.6151348651348651E-2</v>
      </c>
      <c r="EA69" s="47">
        <f>t_Parts[[#This Row],[hp2015.07]]/t_Parts[[#This Row],[ha2015.07]]</f>
        <v>1.757992007992008E-2</v>
      </c>
      <c r="EB69" s="47">
        <f>t_Parts[[#This Row],[hp2015.08]]/t_Parts[[#This Row],[ha2015.08]]</f>
        <v>1.757992007992008E-2</v>
      </c>
      <c r="EC69" s="47">
        <f>t_Parts[[#This Row],[hp2015.09]]/t_Parts[[#This Row],[ha2015.09]]</f>
        <v>1.6151348651348651E-2</v>
      </c>
      <c r="ED69" s="47">
        <f>t_Parts[[#This Row],[hp2015.10]]/t_Parts[[#This Row],[ha2015.10]]</f>
        <v>1.757992007992008E-2</v>
      </c>
      <c r="EE69" s="47">
        <f>t_Parts[[#This Row],[hp2015.11]]/t_Parts[[#This Row],[ha2015.11]]</f>
        <v>1.757992007992008E-2</v>
      </c>
      <c r="EF69" s="47">
        <f>t_Parts[[#This Row],[hp2015.12]]/t_Parts[[#This Row],[ha2015.12]]</f>
        <v>1.6151348651348651E-2</v>
      </c>
      <c r="EG69" s="47">
        <f>t_Parts[[#This Row],[hp2015.FY]]/t_Parts[[#This Row],[ha2015.FY]]</f>
        <v>1.7030469530469532E-2</v>
      </c>
      <c r="EH69" s="47">
        <f>t_Parts[[#This Row],[hp2016.01]]/t_Parts[[#This Row],[ha2016.01]]</f>
        <v>1.757992007992008E-2</v>
      </c>
      <c r="EI69" s="47">
        <f>t_Parts[[#This Row],[hp2016.02]]/t_Parts[[#This Row],[ha2016.02]]</f>
        <v>1.757992007992008E-2</v>
      </c>
      <c r="EJ69" s="47">
        <f>t_Parts[[#This Row],[hp2016.03]]/t_Parts[[#This Row],[ha2016.03]]</f>
        <v>1.6151348651348651E-2</v>
      </c>
      <c r="EK69" s="47">
        <f>t_Parts[[#This Row],[hp2016.04]]/t_Parts[[#This Row],[ha2016.04]]</f>
        <v>1.757992007992008E-2</v>
      </c>
      <c r="EL69" s="47">
        <f>t_Parts[[#This Row],[hp2016.05]]/t_Parts[[#This Row],[ha2016.05]]</f>
        <v>1.757992007992008E-2</v>
      </c>
      <c r="EM69" s="47">
        <f>t_Parts[[#This Row],[hp2016.06]]/t_Parts[[#This Row],[ha2016.06]]</f>
        <v>1.6151348651348651E-2</v>
      </c>
      <c r="EN69" s="47">
        <f>t_Parts[[#This Row],[hp2016.07]]/t_Parts[[#This Row],[ha2016.07]]</f>
        <v>1.757992007992008E-2</v>
      </c>
      <c r="EO69" s="47">
        <f>t_Parts[[#This Row],[hp2016.08]]/t_Parts[[#This Row],[ha2016.08]]</f>
        <v>1.757992007992008E-2</v>
      </c>
      <c r="EP69" s="47">
        <f>t_Parts[[#This Row],[hp2016.09]]/t_Parts[[#This Row],[ha2016.09]]</f>
        <v>1.6151348651348651E-2</v>
      </c>
      <c r="EQ69" s="47">
        <f>t_Parts[[#This Row],[hp2016.10]]/t_Parts[[#This Row],[ha2016.10]]</f>
        <v>1.757992007992008E-2</v>
      </c>
      <c r="ER69" s="47">
        <f>t_Parts[[#This Row],[hp2016.11]]/t_Parts[[#This Row],[ha2016.11]]</f>
        <v>1.757992007992008E-2</v>
      </c>
      <c r="ES69" s="47">
        <f>t_Parts[[#This Row],[hp2016.12]]/t_Parts[[#This Row],[ha2016.12]]</f>
        <v>1.6151348651348651E-2</v>
      </c>
      <c r="ET69" s="47">
        <f>t_Parts[[#This Row],[hp2016.FY]]/t_Parts[[#This Row],[ha2016.FY]]</f>
        <v>1.7030469530469532E-2</v>
      </c>
      <c r="EU69" s="47">
        <f>t_Parts[[#This Row],[hp2017]]/t_Parts[[#This Row],[ha2017]]</f>
        <v>1.7030469530469529E-2</v>
      </c>
      <c r="EV69" s="47">
        <f>t_Parts[[#This Row],[hp2018]]/t_Parts[[#This Row],[ha2018]]</f>
        <v>1.7030469530469529E-2</v>
      </c>
      <c r="EW69" s="47">
        <f>t_Parts[[#This Row],[hp2019]]/t_Parts[[#This Row],[hp2015.01]]</f>
        <v>12.593692285836056</v>
      </c>
      <c r="EX69" s="58">
        <f>(t_Parts[[#This Row],[ha2015.01]]-t_Parts[[#This Row],[hp2015.01]])*t_Parts[[NetPPH]:[NetPPH]]</f>
        <v>272326.84615384619</v>
      </c>
      <c r="EY69" s="58">
        <f>(t_Parts[[#This Row],[ha2015.02]]-t_Parts[[#This Row],[hp2015.02]])*t_Parts[[NetPPH]:[NetPPH]]</f>
        <v>272326.84615384619</v>
      </c>
      <c r="EZ69" s="58">
        <f>(t_Parts[[#This Row],[ha2015.03]]-t_Parts[[#This Row],[hp2015.03]])*t_Parts[[NetPPH]:[NetPPH]]</f>
        <v>340903.55769230769</v>
      </c>
      <c r="FA69" s="58">
        <f>(t_Parts[[#This Row],[ha2015.04]]-t_Parts[[#This Row],[hp2015.04]])*t_Parts[[NetPPH]:[NetPPH]]</f>
        <v>272326.84615384619</v>
      </c>
      <c r="FB69" s="58">
        <f>(t_Parts[[#This Row],[ha2015.05]]-t_Parts[[#This Row],[hp2015.05]])*t_Parts[[NetPPH]:[NetPPH]]</f>
        <v>272326.84615384619</v>
      </c>
      <c r="FC69" s="58">
        <f>(t_Parts[[#This Row],[ha2015.06]]-t_Parts[[#This Row],[hp2015.06]])*t_Parts[[NetPPH]:[NetPPH]]</f>
        <v>340903.55769230769</v>
      </c>
      <c r="FD69" s="58">
        <f>(t_Parts[[#This Row],[ha2015.07]]-t_Parts[[#This Row],[hp2015.07]])*t_Parts[[NetPPH]:[NetPPH]]</f>
        <v>272326.84615384619</v>
      </c>
      <c r="FE69" s="58">
        <f>(t_Parts[[#This Row],[ha2015.08]]-t_Parts[[#This Row],[hp2015.08]])*t_Parts[[NetPPH]:[NetPPH]]</f>
        <v>272326.84615384619</v>
      </c>
      <c r="FF69" s="58">
        <f>(t_Parts[[#This Row],[ha2015.09]]-t_Parts[[#This Row],[hp2015.09]])*t_Parts[[NetPPH]:[NetPPH]]</f>
        <v>340903.55769230769</v>
      </c>
      <c r="FG69" s="58">
        <f>(t_Parts[[#This Row],[ha2015.10]]-t_Parts[[#This Row],[hp2015.10]])*t_Parts[[NetPPH]:[NetPPH]]</f>
        <v>272326.84615384619</v>
      </c>
      <c r="FH69" s="58">
        <f>(t_Parts[[#This Row],[ha2015.11]]-t_Parts[[#This Row],[hp2015.11]])*t_Parts[[NetPPH]:[NetPPH]]</f>
        <v>272326.84615384619</v>
      </c>
      <c r="FI69" s="58">
        <f>(t_Parts[[#This Row],[ha2015.12]]-t_Parts[[#This Row],[hp2015.12]])*t_Parts[[NetPPH]:[NetPPH]]</f>
        <v>340903.55769230769</v>
      </c>
      <c r="FJ69" s="58">
        <f>(t_Parts[[#This Row],[ha2015.FY]]-t_Parts[[#This Row],[hp2015.FY]])*t_Parts[[NetPPH]:[NetPPH]]</f>
        <v>3542229.0000000005</v>
      </c>
      <c r="FK69" s="58">
        <f>(t_Parts[[#This Row],[ha2016.01]]-t_Parts[[#This Row],[hp2016.01]])*t_Parts[[NetPPH]:[NetPPH]]</f>
        <v>272326.84615384619</v>
      </c>
      <c r="FL69" s="58">
        <f>(t_Parts[[#This Row],[ha2016.02]]-t_Parts[[#This Row],[hp2016.02]])*t_Parts[[NetPPH]:[NetPPH]]</f>
        <v>272326.84615384619</v>
      </c>
      <c r="FM69" s="58">
        <f>(t_Parts[[#This Row],[ha2016.03]]-t_Parts[[#This Row],[hp2016.03]])*t_Parts[[NetPPH]:[NetPPH]]</f>
        <v>340903.55769230769</v>
      </c>
      <c r="FN69" s="58">
        <f>(t_Parts[[#This Row],[ha2016.04]]-t_Parts[[#This Row],[hp2016.04]])*t_Parts[[NetPPH]:[NetPPH]]</f>
        <v>272326.84615384619</v>
      </c>
      <c r="FO69" s="58">
        <f>(t_Parts[[#This Row],[ha2016.05]]-t_Parts[[#This Row],[hp2016.05]])*t_Parts[[NetPPH]:[NetPPH]]</f>
        <v>272326.84615384619</v>
      </c>
      <c r="FP69" s="58">
        <f>(t_Parts[[#This Row],[ha2016.06]]-t_Parts[[#This Row],[hp2016.06]])*t_Parts[[NetPPH]:[NetPPH]]</f>
        <v>340903.55769230769</v>
      </c>
      <c r="FQ69" s="58">
        <f>(t_Parts[[#This Row],[ha2016.07]]-t_Parts[[#This Row],[hp2016.07]])*t_Parts[[NetPPH]:[NetPPH]]</f>
        <v>272326.84615384619</v>
      </c>
      <c r="FR69" s="58">
        <f>(t_Parts[[#This Row],[ha2016.08]]-t_Parts[[#This Row],[hp2016.08]])*t_Parts[[NetPPH]:[NetPPH]]</f>
        <v>272326.84615384619</v>
      </c>
      <c r="FS69" s="58">
        <f>(t_Parts[[#This Row],[ha2016.09]]-t_Parts[[#This Row],[hp2016.09]])*t_Parts[[NetPPH]:[NetPPH]]</f>
        <v>340903.55769230769</v>
      </c>
      <c r="FT69" s="58">
        <f>(t_Parts[[#This Row],[ha2016.10]]-t_Parts[[#This Row],[hp2016.10]])*t_Parts[[NetPPH]:[NetPPH]]</f>
        <v>272326.84615384619</v>
      </c>
      <c r="FU69" s="58">
        <f>(t_Parts[[#This Row],[ha2016.11]]-t_Parts[[#This Row],[hp2016.11]])*t_Parts[[NetPPH]:[NetPPH]]</f>
        <v>272326.84615384619</v>
      </c>
      <c r="FV69" s="58">
        <f>(t_Parts[[#This Row],[ha2016.12]]-t_Parts[[#This Row],[hp2016.12]])*t_Parts[[NetPPH]:[NetPPH]]</f>
        <v>340903.55769230769</v>
      </c>
      <c r="FW69" s="58">
        <f>(t_Parts[[#This Row],[ha2016.FY]]-t_Parts[[#This Row],[hp2016.FY]])*t_Parts[[NetPPH]:[NetPPH]]</f>
        <v>3542229.0000000005</v>
      </c>
      <c r="FX69" s="58">
        <f>(t_Parts[[#This Row],[ha2017]]-t_Parts[[#This Row],[hp2017]])*t_Parts[[NetPPH]:[NetPPH]]</f>
        <v>3542229.0000000005</v>
      </c>
      <c r="FY69" s="58">
        <f>(t_Parts[[#This Row],[ha2018]]-t_Parts[[#This Row],[hp2018]])*t_Parts[[NetPPH]:[NetPPH]]</f>
        <v>3542229.0000000005</v>
      </c>
      <c r="FZ69" s="58">
        <f>(t_Parts[[#This Row],[ha2019]]-t_Parts[[#This Row],[hp2019]])*t_Parts[[NetPPH]:[NetPPH]]</f>
        <v>3542229.0000000005</v>
      </c>
    </row>
    <row r="70" spans="1:182" s="14" customFormat="1" x14ac:dyDescent="0.25">
      <c r="A70" s="74">
        <v>77015</v>
      </c>
      <c r="B70" s="74"/>
      <c r="C70" s="74">
        <v>21001</v>
      </c>
      <c r="D70" s="75">
        <v>1</v>
      </c>
      <c r="E70" s="73">
        <v>1500</v>
      </c>
      <c r="F70" s="76">
        <v>1</v>
      </c>
      <c r="G70" s="77">
        <v>4</v>
      </c>
      <c r="H70" s="16">
        <v>2015.01</v>
      </c>
      <c r="I70" s="16">
        <v>2015.09</v>
      </c>
      <c r="J70" s="73">
        <v>82544</v>
      </c>
      <c r="K70" s="73">
        <v>82544</v>
      </c>
      <c r="L70" s="73">
        <v>82544</v>
      </c>
      <c r="M70" s="73">
        <v>82544</v>
      </c>
      <c r="N70" s="73">
        <v>82544</v>
      </c>
      <c r="O70" s="78">
        <v>48</v>
      </c>
      <c r="P70" s="78">
        <v>72</v>
      </c>
      <c r="Q70" s="79">
        <v>22.56</v>
      </c>
      <c r="R70" s="79"/>
      <c r="S70" s="78">
        <v>120</v>
      </c>
      <c r="T70" s="80">
        <v>14.5</v>
      </c>
      <c r="U70" s="80" t="s">
        <v>121</v>
      </c>
      <c r="V70" s="81" t="s">
        <v>588</v>
      </c>
      <c r="W70" s="82">
        <v>2.78</v>
      </c>
      <c r="X70" s="82" t="s">
        <v>551</v>
      </c>
      <c r="Y70" s="82"/>
      <c r="Z70" s="82"/>
      <c r="AA70" s="82"/>
      <c r="AB70" s="82"/>
      <c r="AC70" s="83" t="s">
        <v>667</v>
      </c>
      <c r="AD70" s="40" t="str">
        <f>VLOOKUP(t_Parts[[#This Row],[Press]],t_Presses[],Press!B$1,FALSE)</f>
        <v>Plainfield</v>
      </c>
      <c r="AE70" s="40" t="str">
        <f>VLOOKUP(t_Parts[[#This Row],[Press]],t_Presses[],Press!E$1,FALSE)</f>
        <v>300-599</v>
      </c>
      <c r="AF70" s="47">
        <f>VLOOKUP(t_Parts[[#This Row],[Plant]],t_Plants[],Plants!C$1,FALSE)</f>
        <v>0.55000000000000004</v>
      </c>
      <c r="AG70" s="47">
        <f>VLOOKUP(t_Parts[[#This Row],[Press]],t_Presses[],Press!F$1,FALSE)</f>
        <v>0</v>
      </c>
      <c r="AH70" s="84"/>
      <c r="AI70" s="47">
        <f>IF(ISBLANK(t_Parts[[#This Row],[PartOEE]])=FALSE,t_Parts[[#This Row],[PartOEE]], IF(t_Parts[[#This Row],[PressOEE]]&gt;0, t_Parts[[#This Row],[PressOEE]], t_Parts[[#This Row],[PlantOEE]] ))</f>
        <v>0.55000000000000004</v>
      </c>
      <c r="AJ70" s="70">
        <f>t_Parts[[#This Row],[SetupsPerMo]]*t_Parts[[#This Row],[SetupHrs]]</f>
        <v>4</v>
      </c>
      <c r="AK70" s="39">
        <f>(t_Parts[[#This Row],[PartsPerStroke]]*t_Parts[[#This Row],[StrokesPerHr]])*t_Parts[[#This Row],[UseOEE]]</f>
        <v>825.00000000000011</v>
      </c>
      <c r="AL7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6349.5384615384619</v>
      </c>
      <c r="AM7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6349.5384615384619</v>
      </c>
      <c r="AN7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7936.9230769230771</v>
      </c>
      <c r="AO7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6349.5384615384619</v>
      </c>
      <c r="AP7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6349.5384615384619</v>
      </c>
      <c r="AQ7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7936.9230769230771</v>
      </c>
      <c r="AR7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6349.5384615384619</v>
      </c>
      <c r="AS7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6349.5384615384619</v>
      </c>
      <c r="AT7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7936.9230769230771</v>
      </c>
      <c r="AU7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7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7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70" s="39">
        <f>SUM(t_Parts[[#This Row],[pv2015.01]:[pv2015.12]])</f>
        <v>61908</v>
      </c>
      <c r="AY7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7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7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7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7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7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7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7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7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7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7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7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70" s="39">
        <f>SUM(t_Parts[[#This Row],[pv2016.01]:[pv2016.12]])</f>
        <v>0</v>
      </c>
      <c r="BL70" s="39">
        <f>t_Parts[[#This Row],[2017vol]]</f>
        <v>82544</v>
      </c>
      <c r="BM70" s="39">
        <f>t_Parts[[#This Row],[2018vol]]</f>
        <v>82544</v>
      </c>
      <c r="BN70" s="39">
        <f>t_Parts[[#This Row],[2019vol]]</f>
        <v>82544</v>
      </c>
      <c r="BO70" s="40">
        <f>VLOOKUP(t_Parts[[Plant]:[Plant]],t_Plants[],Plants!CN$1,FALSE)</f>
        <v>280</v>
      </c>
      <c r="BP70" s="14">
        <f>VLOOKUP(t_Parts[[Plant]:[Plant]],t_Plants[],Plants!CO$1,FALSE)</f>
        <v>280</v>
      </c>
      <c r="BQ70" s="14">
        <f>VLOOKUP(t_Parts[[Plant]:[Plant]],t_Plants[],Plants!CP$1,FALSE)</f>
        <v>350</v>
      </c>
      <c r="BR70" s="14">
        <f>VLOOKUP(t_Parts[[Plant]:[Plant]],t_Plants[],Plants!CQ$1,FALSE)</f>
        <v>280</v>
      </c>
      <c r="BS70" s="14">
        <f>VLOOKUP(t_Parts[[Plant]:[Plant]],t_Plants[],Plants!CR$1,FALSE)</f>
        <v>280</v>
      </c>
      <c r="BT70" s="14">
        <f>VLOOKUP(t_Parts[[Plant]:[Plant]],t_Plants[],Plants!CS$1,FALSE)</f>
        <v>350</v>
      </c>
      <c r="BU70" s="14">
        <f>VLOOKUP(t_Parts[[Plant]:[Plant]],t_Plants[],Plants!CT$1,FALSE)</f>
        <v>280</v>
      </c>
      <c r="BV70" s="14">
        <f>VLOOKUP(t_Parts[[Plant]:[Plant]],t_Plants[],Plants!CU$1,FALSE)</f>
        <v>280</v>
      </c>
      <c r="BW70" s="14">
        <f>VLOOKUP(t_Parts[[Plant]:[Plant]],t_Plants[],Plants!CV$1,FALSE)</f>
        <v>350</v>
      </c>
      <c r="BX70" s="14">
        <f>VLOOKUP(t_Parts[[Plant]:[Plant]],t_Plants[],Plants!CW$1,FALSE)</f>
        <v>280</v>
      </c>
      <c r="BY70" s="14">
        <f>VLOOKUP(t_Parts[[Plant]:[Plant]],t_Plants[],Plants!CX$1,FALSE)</f>
        <v>280</v>
      </c>
      <c r="BZ70" s="14">
        <f>VLOOKUP(t_Parts[[Plant]:[Plant]],t_Plants[],Plants!CY$1,FALSE)</f>
        <v>350</v>
      </c>
      <c r="CA70" s="40">
        <f>SUM(t_Parts[[#This Row],[ha2015.01]:[ha2015.12]])</f>
        <v>3640</v>
      </c>
      <c r="CB70" s="14">
        <f>VLOOKUP(t_Parts[[Plant]:[Plant]],t_Plants[],Plants!DA$1,FALSE)</f>
        <v>280</v>
      </c>
      <c r="CC70" s="14">
        <f>VLOOKUP(t_Parts[[Plant]:[Plant]],t_Plants[],Plants!DB$1,FALSE)</f>
        <v>280</v>
      </c>
      <c r="CD70" s="14">
        <f>VLOOKUP(t_Parts[[Plant]:[Plant]],t_Plants[],Plants!DC$1,FALSE)</f>
        <v>350</v>
      </c>
      <c r="CE70" s="14">
        <f>VLOOKUP(t_Parts[[Plant]:[Plant]],t_Plants[],Plants!DD$1,FALSE)</f>
        <v>280</v>
      </c>
      <c r="CF70" s="14">
        <f>VLOOKUP(t_Parts[[Plant]:[Plant]],t_Plants[],Plants!DE$1,FALSE)</f>
        <v>280</v>
      </c>
      <c r="CG70" s="14">
        <f>VLOOKUP(t_Parts[[Plant]:[Plant]],t_Plants[],Plants!DF$1,FALSE)</f>
        <v>350</v>
      </c>
      <c r="CH70" s="14">
        <f>VLOOKUP(t_Parts[[Plant]:[Plant]],t_Plants[],Plants!DG$1,FALSE)</f>
        <v>280</v>
      </c>
      <c r="CI70" s="14">
        <f>VLOOKUP(t_Parts[[Plant]:[Plant]],t_Plants[],Plants!DH$1,FALSE)</f>
        <v>280</v>
      </c>
      <c r="CJ70" s="14">
        <f>VLOOKUP(t_Parts[[Plant]:[Plant]],t_Plants[],Plants!DI$1,FALSE)</f>
        <v>350</v>
      </c>
      <c r="CK70" s="14">
        <f>VLOOKUP(t_Parts[[Plant]:[Plant]],t_Plants[],Plants!DJ$1,FALSE)</f>
        <v>280</v>
      </c>
      <c r="CL70" s="14">
        <f>VLOOKUP(t_Parts[[Plant]:[Plant]],t_Plants[],Plants!DK$1,FALSE)</f>
        <v>280</v>
      </c>
      <c r="CM70" s="14">
        <f>VLOOKUP(t_Parts[[Plant]:[Plant]],t_Plants[],Plants!DL$1,FALSE)</f>
        <v>350</v>
      </c>
      <c r="CN70" s="14">
        <f>VLOOKUP(t_Parts[[Plant]:[Plant]],t_Plants[],Plants!DM$1,FALSE)</f>
        <v>3640</v>
      </c>
      <c r="CO70" s="14">
        <f>VLOOKUP(t_Parts[[Plant]:[Plant]],t_Plants[],Plants!DN$1,FALSE)</f>
        <v>3640</v>
      </c>
      <c r="CP70" s="14">
        <f>VLOOKUP(t_Parts[[Plant]:[Plant]],t_Plants[],Plants!DO$1,FALSE)</f>
        <v>3640</v>
      </c>
      <c r="CQ70" s="14">
        <f>VLOOKUP(t_Parts[[Plant]:[Plant]],t_Plants[],Plants!DP$1,FALSE)</f>
        <v>3640</v>
      </c>
      <c r="CR70" s="39">
        <f>IF(AND(AL$3&gt;=VALUE(t_Parts[[SOP]:[SOP]]),AL$3&lt;=VALUE(t_Parts[[EOP]:[EOP]])), t_Parts[[SetupHrsPerMo]:[SetupHrsPerMo]]+(t_Parts[[#This Row],[pv2015.01]]/t_Parts[[NetPPH]:[NetPPH]]),0)</f>
        <v>11.696410256410257</v>
      </c>
      <c r="CS70" s="39">
        <f>IF(AND(AM$3&gt;=VALUE(t_Parts[[SOP]:[SOP]]),AM$3&lt;=VALUE(t_Parts[[EOP]:[EOP]])), t_Parts[[SetupHrsPerMo]:[SetupHrsPerMo]]+(t_Parts[[#This Row],[pv2015.02]]/t_Parts[[NetPPH]:[NetPPH]]),0)</f>
        <v>11.696410256410257</v>
      </c>
      <c r="CT70" s="39">
        <f>IF(AND(AN$3&gt;=VALUE(t_Parts[[SOP]:[SOP]]),AN$3&lt;=VALUE(t_Parts[[EOP]:[EOP]])), t_Parts[[SetupHrsPerMo]:[SetupHrsPerMo]]+(t_Parts[[#This Row],[pv2015.03]]/t_Parts[[NetPPH]:[NetPPH]]),0)</f>
        <v>13.62051282051282</v>
      </c>
      <c r="CU70" s="39">
        <f>IF(AND(AO$3&gt;=VALUE(t_Parts[[SOP]:[SOP]]),AO$3&lt;=VALUE(t_Parts[[EOP]:[EOP]])), t_Parts[[SetupHrsPerMo]:[SetupHrsPerMo]]+(t_Parts[[#This Row],[pv2015.04]]/t_Parts[[NetPPH]:[NetPPH]]),0)</f>
        <v>11.696410256410257</v>
      </c>
      <c r="CV70" s="39">
        <f>IF(AND(AP$3&gt;=VALUE(t_Parts[[SOP]:[SOP]]),AP$3&lt;=VALUE(t_Parts[[EOP]:[EOP]])), t_Parts[[SetupHrsPerMo]:[SetupHrsPerMo]]+(t_Parts[[#This Row],[pv2015.05]]/t_Parts[[NetPPH]:[NetPPH]]),0)</f>
        <v>11.696410256410257</v>
      </c>
      <c r="CW70" s="39">
        <f>IF(AND(AQ$3&gt;=VALUE(t_Parts[[SOP]:[SOP]]),AQ$3&lt;=VALUE(t_Parts[[EOP]:[EOP]])), t_Parts[[SetupHrsPerMo]:[SetupHrsPerMo]]+(t_Parts[[#This Row],[pv2015.06]]/t_Parts[[NetPPH]:[NetPPH]]),0)</f>
        <v>13.62051282051282</v>
      </c>
      <c r="CX70" s="39">
        <f>IF(AND(AR$3&gt;=VALUE(t_Parts[[SOP]:[SOP]]),AR$3&lt;=VALUE(t_Parts[[EOP]:[EOP]])), t_Parts[[SetupHrsPerMo]:[SetupHrsPerMo]]+(t_Parts[[#This Row],[pv2015.07]]/t_Parts[[NetPPH]:[NetPPH]]),0)</f>
        <v>11.696410256410257</v>
      </c>
      <c r="CY70" s="39">
        <f>IF(AND(AS$3&gt;=VALUE(t_Parts[[SOP]:[SOP]]),AS$3&lt;=VALUE(t_Parts[[EOP]:[EOP]])), t_Parts[[SetupHrsPerMo]:[SetupHrsPerMo]]+(t_Parts[[#This Row],[pv2015.08]]/t_Parts[[NetPPH]:[NetPPH]]),0)</f>
        <v>11.696410256410257</v>
      </c>
      <c r="CZ70" s="39">
        <f>IF(AND(AT$3&gt;=VALUE(t_Parts[[SOP]:[SOP]]),AT$3&lt;=VALUE(t_Parts[[EOP]:[EOP]])), t_Parts[[SetupHrsPerMo]:[SetupHrsPerMo]]+(t_Parts[[#This Row],[pv2015.09]]/t_Parts[[NetPPH]:[NetPPH]]),0)</f>
        <v>13.62051282051282</v>
      </c>
      <c r="DA70" s="39">
        <f>IF(AND(AU$3&gt;=VALUE(t_Parts[[SOP]:[SOP]]),AU$3&lt;=VALUE(t_Parts[[EOP]:[EOP]])), t_Parts[[SetupHrsPerMo]:[SetupHrsPerMo]]+(t_Parts[[#This Row],[pv2015.10]]/t_Parts[[NetPPH]:[NetPPH]]),0)</f>
        <v>0</v>
      </c>
      <c r="DB70" s="39">
        <f>IF(AND(AV$3&gt;=VALUE(t_Parts[[SOP]:[SOP]]),AV$3&lt;=VALUE(t_Parts[[EOP]:[EOP]])), t_Parts[[SetupHrsPerMo]:[SetupHrsPerMo]]+(t_Parts[[#This Row],[pv2015.11]]/t_Parts[[NetPPH]:[NetPPH]]),0)</f>
        <v>0</v>
      </c>
      <c r="DC70" s="39">
        <f>IF(AND(AW$3&gt;=VALUE(t_Parts[[SOP]:[SOP]]),AW$3&lt;=VALUE(t_Parts[[EOP]:[EOP]])), t_Parts[[SetupHrsPerMo]:[SetupHrsPerMo]]+(t_Parts[[#This Row],[pv2015.12]]/t_Parts[[NetPPH]:[NetPPH]]),0)</f>
        <v>0</v>
      </c>
      <c r="DD70" s="39">
        <f>SUM(t_Parts[[#This Row],[hp2015.01]:[hp2015.12]])</f>
        <v>111.04</v>
      </c>
      <c r="DE70" s="39">
        <f>IF(AND(AY$3&gt;=VALUE(t_Parts[[SOP]:[SOP]]),AY$3&lt;=VALUE(t_Parts[[EOP]:[EOP]])), t_Parts[[SetupHrsPerMo]:[SetupHrsPerMo]]+(t_Parts[[#This Row],[pv2016.01]]/t_Parts[[NetPPH]:[NetPPH]]),0)</f>
        <v>0</v>
      </c>
      <c r="DF70" s="39">
        <f>IF(AND(AZ$3&gt;=VALUE(t_Parts[[SOP]:[SOP]]),AZ$3&lt;=VALUE(t_Parts[[EOP]:[EOP]])), t_Parts[[SetupHrsPerMo]:[SetupHrsPerMo]]+(t_Parts[[#This Row],[pv2016.02]]/t_Parts[[NetPPH]:[NetPPH]]),0)</f>
        <v>0</v>
      </c>
      <c r="DG70" s="39">
        <f>IF(AND(BA$3&gt;=VALUE(t_Parts[[SOP]:[SOP]]),BA$3&lt;=VALUE(t_Parts[[EOP]:[EOP]])), t_Parts[[SetupHrsPerMo]:[SetupHrsPerMo]]+(t_Parts[[#This Row],[pv2016.03]]/t_Parts[[NetPPH]:[NetPPH]]),0)</f>
        <v>0</v>
      </c>
      <c r="DH70" s="39">
        <f>IF(AND(BB$3&gt;=VALUE(t_Parts[[SOP]:[SOP]]),BB$3&lt;=VALUE(t_Parts[[EOP]:[EOP]])), t_Parts[[SetupHrsPerMo]:[SetupHrsPerMo]]+(t_Parts[[#This Row],[pv2016.04]]/t_Parts[[NetPPH]:[NetPPH]]),0)</f>
        <v>0</v>
      </c>
      <c r="DI70" s="39">
        <f>IF(AND(BC$3&gt;=VALUE(t_Parts[[SOP]:[SOP]]),BC$3&lt;=VALUE(t_Parts[[EOP]:[EOP]])), t_Parts[[SetupHrsPerMo]:[SetupHrsPerMo]]+(t_Parts[[#This Row],[pv2016.05]]/t_Parts[[NetPPH]:[NetPPH]]),0)</f>
        <v>0</v>
      </c>
      <c r="DJ70" s="39">
        <f>IF(AND(BD$3&gt;=VALUE(t_Parts[[SOP]:[SOP]]),BD$3&lt;=VALUE(t_Parts[[EOP]:[EOP]])), t_Parts[[SetupHrsPerMo]:[SetupHrsPerMo]]+(t_Parts[[#This Row],[pv2016.06]]/t_Parts[[NetPPH]:[NetPPH]]),0)</f>
        <v>0</v>
      </c>
      <c r="DK70" s="39">
        <f>IF(AND(BE$3&gt;=VALUE(t_Parts[[SOP]:[SOP]]),BE$3&lt;=VALUE(t_Parts[[EOP]:[EOP]])), t_Parts[[SetupHrsPerMo]:[SetupHrsPerMo]]+(t_Parts[[#This Row],[pv2016.07]]/t_Parts[[NetPPH]:[NetPPH]]),0)</f>
        <v>0</v>
      </c>
      <c r="DL70" s="39">
        <f>IF(AND(BF$3&gt;=VALUE(t_Parts[[SOP]:[SOP]]),BF$3&lt;=VALUE(t_Parts[[EOP]:[EOP]])), t_Parts[[SetupHrsPerMo]:[SetupHrsPerMo]]+(t_Parts[[#This Row],[pv2016.08]]/t_Parts[[NetPPH]:[NetPPH]]),0)</f>
        <v>0</v>
      </c>
      <c r="DM70" s="39">
        <f>IF(AND(BG$3&gt;=VALUE(t_Parts[[SOP]:[SOP]]),BG$3&lt;=VALUE(t_Parts[[EOP]:[EOP]])), t_Parts[[SetupHrsPerMo]:[SetupHrsPerMo]]+(t_Parts[[#This Row],[pv2016.09]]/t_Parts[[NetPPH]:[NetPPH]]),0)</f>
        <v>0</v>
      </c>
      <c r="DN70" s="39">
        <f>IF(AND(BH$3&gt;=VALUE(t_Parts[[SOP]:[SOP]]),BH$3&lt;=VALUE(t_Parts[[EOP]:[EOP]])), t_Parts[[SetupHrsPerMo]:[SetupHrsPerMo]]+(t_Parts[[#This Row],[pv2016.10]]/t_Parts[[NetPPH]:[NetPPH]]),0)</f>
        <v>0</v>
      </c>
      <c r="DO70" s="39">
        <f>IF(AND(BI$3&gt;=VALUE(t_Parts[[SOP]:[SOP]]),BI$3&lt;=VALUE(t_Parts[[EOP]:[EOP]])), t_Parts[[SetupHrsPerMo]:[SetupHrsPerMo]]+(t_Parts[[#This Row],[pv2016.11]]/t_Parts[[NetPPH]:[NetPPH]]),0)</f>
        <v>0</v>
      </c>
      <c r="DP70" s="39">
        <f>IF(AND(BJ$3&gt;=VALUE(t_Parts[[SOP]:[SOP]]),BJ$3&lt;=VALUE(t_Parts[[EOP]:[EOP]])), t_Parts[[SetupHrsPerMo]:[SetupHrsPerMo]]+(t_Parts[[#This Row],[pv2016.12]]/t_Parts[[NetPPH]:[NetPPH]]),0)</f>
        <v>0</v>
      </c>
      <c r="DQ70" s="39">
        <f>SUM(t_Parts[[#This Row],[hp2016.01]:[hp2016.12]])</f>
        <v>0</v>
      </c>
      <c r="DR70" s="39">
        <f>IF(AND(BL$3&gt;=VALUE(t_Parts[[SOP]:[SOP]]),BL$3&lt;=VALUE(t_Parts[[EOP]:[EOP]])), 12*t_Parts[[SetupHrsPerMo]:[SetupHrsPerMo]]+(t_Parts[[#This Row],[pv2017]]/t_Parts[[NetPPH]:[NetPPH]]),0)</f>
        <v>0</v>
      </c>
      <c r="DS70" s="39">
        <f>IF(AND(BM$3&gt;=VALUE(t_Parts[[SOP]:[SOP]]),BM$3&lt;=VALUE(t_Parts[[EOP]:[EOP]])), 12*t_Parts[[SetupHrsPerMo]:[SetupHrsPerMo]]+(t_Parts[[#This Row],[pv2018]]/t_Parts[[NetPPH]:[NetPPH]]),0)</f>
        <v>0</v>
      </c>
      <c r="DT70" s="39">
        <f>IF(AND(BN$3&gt;=VALUE(t_Parts[[SOP]:[SOP]]),BN$3&lt;=VALUE(t_Parts[[EOP]:[EOP]])), 12*t_Parts[[SetupHrsPerMo]:[SetupHrsPerMo]]+(t_Parts[[#This Row],[pv2019]]/t_Parts[[NetPPH]:[NetPPH]]),0)</f>
        <v>0</v>
      </c>
      <c r="DU70" s="47">
        <f>t_Parts[[#This Row],[hp2015.01]]/t_Parts[[#This Row],[ha2015.01]]</f>
        <v>4.1772893772893775E-2</v>
      </c>
      <c r="DV70" s="47">
        <f>t_Parts[[#This Row],[hp2015.02]]/t_Parts[[#This Row],[ha2015.02]]</f>
        <v>4.1772893772893775E-2</v>
      </c>
      <c r="DW70" s="47">
        <f>t_Parts[[#This Row],[hp2015.03]]/t_Parts[[#This Row],[ha2015.03]]</f>
        <v>3.8915750915750912E-2</v>
      </c>
      <c r="DX70" s="47">
        <f>t_Parts[[#This Row],[hp2015.04]]/t_Parts[[#This Row],[ha2015.04]]</f>
        <v>4.1772893772893775E-2</v>
      </c>
      <c r="DY70" s="47">
        <f>t_Parts[[#This Row],[hp2015.05]]/t_Parts[[#This Row],[ha2015.05]]</f>
        <v>4.1772893772893775E-2</v>
      </c>
      <c r="DZ70" s="47">
        <f>t_Parts[[#This Row],[hp2015.06]]/t_Parts[[#This Row],[ha2015.06]]</f>
        <v>3.8915750915750912E-2</v>
      </c>
      <c r="EA70" s="47">
        <f>t_Parts[[#This Row],[hp2015.07]]/t_Parts[[#This Row],[ha2015.07]]</f>
        <v>4.1772893772893775E-2</v>
      </c>
      <c r="EB70" s="47">
        <f>t_Parts[[#This Row],[hp2015.08]]/t_Parts[[#This Row],[ha2015.08]]</f>
        <v>4.1772893772893775E-2</v>
      </c>
      <c r="EC70" s="47">
        <f>t_Parts[[#This Row],[hp2015.09]]/t_Parts[[#This Row],[ha2015.09]]</f>
        <v>3.8915750915750912E-2</v>
      </c>
      <c r="ED70" s="47">
        <f>t_Parts[[#This Row],[hp2015.10]]/t_Parts[[#This Row],[ha2015.10]]</f>
        <v>0</v>
      </c>
      <c r="EE70" s="47">
        <f>t_Parts[[#This Row],[hp2015.11]]/t_Parts[[#This Row],[ha2015.11]]</f>
        <v>0</v>
      </c>
      <c r="EF70" s="47">
        <f>t_Parts[[#This Row],[hp2015.12]]/t_Parts[[#This Row],[ha2015.12]]</f>
        <v>0</v>
      </c>
      <c r="EG70" s="47">
        <f>t_Parts[[#This Row],[hp2015.FY]]/t_Parts[[#This Row],[ha2015.FY]]</f>
        <v>3.0505494505494508E-2</v>
      </c>
      <c r="EH70" s="47">
        <f>t_Parts[[#This Row],[hp2016.01]]/t_Parts[[#This Row],[ha2016.01]]</f>
        <v>0</v>
      </c>
      <c r="EI70" s="47">
        <f>t_Parts[[#This Row],[hp2016.02]]/t_Parts[[#This Row],[ha2016.02]]</f>
        <v>0</v>
      </c>
      <c r="EJ70" s="47">
        <f>t_Parts[[#This Row],[hp2016.03]]/t_Parts[[#This Row],[ha2016.03]]</f>
        <v>0</v>
      </c>
      <c r="EK70" s="47">
        <f>t_Parts[[#This Row],[hp2016.04]]/t_Parts[[#This Row],[ha2016.04]]</f>
        <v>0</v>
      </c>
      <c r="EL70" s="47">
        <f>t_Parts[[#This Row],[hp2016.05]]/t_Parts[[#This Row],[ha2016.05]]</f>
        <v>0</v>
      </c>
      <c r="EM70" s="47">
        <f>t_Parts[[#This Row],[hp2016.06]]/t_Parts[[#This Row],[ha2016.06]]</f>
        <v>0</v>
      </c>
      <c r="EN70" s="47">
        <f>t_Parts[[#This Row],[hp2016.07]]/t_Parts[[#This Row],[ha2016.07]]</f>
        <v>0</v>
      </c>
      <c r="EO70" s="47">
        <f>t_Parts[[#This Row],[hp2016.08]]/t_Parts[[#This Row],[ha2016.08]]</f>
        <v>0</v>
      </c>
      <c r="EP70" s="47">
        <f>t_Parts[[#This Row],[hp2016.09]]/t_Parts[[#This Row],[ha2016.09]]</f>
        <v>0</v>
      </c>
      <c r="EQ70" s="47">
        <f>t_Parts[[#This Row],[hp2016.10]]/t_Parts[[#This Row],[ha2016.10]]</f>
        <v>0</v>
      </c>
      <c r="ER70" s="47">
        <f>t_Parts[[#This Row],[hp2016.11]]/t_Parts[[#This Row],[ha2016.11]]</f>
        <v>0</v>
      </c>
      <c r="ES70" s="47">
        <f>t_Parts[[#This Row],[hp2016.12]]/t_Parts[[#This Row],[ha2016.12]]</f>
        <v>0</v>
      </c>
      <c r="ET70" s="47">
        <f>t_Parts[[#This Row],[hp2016.FY]]/t_Parts[[#This Row],[ha2016.FY]]</f>
        <v>0</v>
      </c>
      <c r="EU70" s="47">
        <f>t_Parts[[#This Row],[hp2017]]/t_Parts[[#This Row],[ha2017]]</f>
        <v>0</v>
      </c>
      <c r="EV70" s="47">
        <f>t_Parts[[#This Row],[hp2018]]/t_Parts[[#This Row],[ha2018]]</f>
        <v>0</v>
      </c>
      <c r="EW70" s="47">
        <f>t_Parts[[#This Row],[hp2019]]/t_Parts[[#This Row],[hp2015.01]]</f>
        <v>0</v>
      </c>
      <c r="EX70" s="58">
        <f>(t_Parts[[#This Row],[ha2015.01]]-t_Parts[[#This Row],[hp2015.01]])*t_Parts[[NetPPH]:[NetPPH]]</f>
        <v>221350.46153846156</v>
      </c>
      <c r="EY70" s="58">
        <f>(t_Parts[[#This Row],[ha2015.02]]-t_Parts[[#This Row],[hp2015.02]])*t_Parts[[NetPPH]:[NetPPH]]</f>
        <v>221350.46153846156</v>
      </c>
      <c r="EZ70" s="58">
        <f>(t_Parts[[#This Row],[ha2015.03]]-t_Parts[[#This Row],[hp2015.03]])*t_Parts[[NetPPH]:[NetPPH]]</f>
        <v>277513.07692307694</v>
      </c>
      <c r="FA70" s="58">
        <f>(t_Parts[[#This Row],[ha2015.04]]-t_Parts[[#This Row],[hp2015.04]])*t_Parts[[NetPPH]:[NetPPH]]</f>
        <v>221350.46153846156</v>
      </c>
      <c r="FB70" s="58">
        <f>(t_Parts[[#This Row],[ha2015.05]]-t_Parts[[#This Row],[hp2015.05]])*t_Parts[[NetPPH]:[NetPPH]]</f>
        <v>221350.46153846156</v>
      </c>
      <c r="FC70" s="58">
        <f>(t_Parts[[#This Row],[ha2015.06]]-t_Parts[[#This Row],[hp2015.06]])*t_Parts[[NetPPH]:[NetPPH]]</f>
        <v>277513.07692307694</v>
      </c>
      <c r="FD70" s="58">
        <f>(t_Parts[[#This Row],[ha2015.07]]-t_Parts[[#This Row],[hp2015.07]])*t_Parts[[NetPPH]:[NetPPH]]</f>
        <v>221350.46153846156</v>
      </c>
      <c r="FE70" s="58">
        <f>(t_Parts[[#This Row],[ha2015.08]]-t_Parts[[#This Row],[hp2015.08]])*t_Parts[[NetPPH]:[NetPPH]]</f>
        <v>221350.46153846156</v>
      </c>
      <c r="FF70" s="58">
        <f>(t_Parts[[#This Row],[ha2015.09]]-t_Parts[[#This Row],[hp2015.09]])*t_Parts[[NetPPH]:[NetPPH]]</f>
        <v>277513.07692307694</v>
      </c>
      <c r="FG70" s="58">
        <f>(t_Parts[[#This Row],[ha2015.10]]-t_Parts[[#This Row],[hp2015.10]])*t_Parts[[NetPPH]:[NetPPH]]</f>
        <v>231000.00000000003</v>
      </c>
      <c r="FH70" s="58">
        <f>(t_Parts[[#This Row],[ha2015.11]]-t_Parts[[#This Row],[hp2015.11]])*t_Parts[[NetPPH]:[NetPPH]]</f>
        <v>231000.00000000003</v>
      </c>
      <c r="FI70" s="58">
        <f>(t_Parts[[#This Row],[ha2015.12]]-t_Parts[[#This Row],[hp2015.12]])*t_Parts[[NetPPH]:[NetPPH]]</f>
        <v>288750.00000000006</v>
      </c>
      <c r="FJ70" s="58">
        <f>(t_Parts[[#This Row],[ha2015.FY]]-t_Parts[[#This Row],[hp2015.FY]])*t_Parts[[NetPPH]:[NetPPH]]</f>
        <v>2911392.0000000005</v>
      </c>
      <c r="FK70" s="58">
        <f>(t_Parts[[#This Row],[ha2016.01]]-t_Parts[[#This Row],[hp2016.01]])*t_Parts[[NetPPH]:[NetPPH]]</f>
        <v>231000.00000000003</v>
      </c>
      <c r="FL70" s="58">
        <f>(t_Parts[[#This Row],[ha2016.02]]-t_Parts[[#This Row],[hp2016.02]])*t_Parts[[NetPPH]:[NetPPH]]</f>
        <v>231000.00000000003</v>
      </c>
      <c r="FM70" s="58">
        <f>(t_Parts[[#This Row],[ha2016.03]]-t_Parts[[#This Row],[hp2016.03]])*t_Parts[[NetPPH]:[NetPPH]]</f>
        <v>288750.00000000006</v>
      </c>
      <c r="FN70" s="58">
        <f>(t_Parts[[#This Row],[ha2016.04]]-t_Parts[[#This Row],[hp2016.04]])*t_Parts[[NetPPH]:[NetPPH]]</f>
        <v>231000.00000000003</v>
      </c>
      <c r="FO70" s="58">
        <f>(t_Parts[[#This Row],[ha2016.05]]-t_Parts[[#This Row],[hp2016.05]])*t_Parts[[NetPPH]:[NetPPH]]</f>
        <v>231000.00000000003</v>
      </c>
      <c r="FP70" s="58">
        <f>(t_Parts[[#This Row],[ha2016.06]]-t_Parts[[#This Row],[hp2016.06]])*t_Parts[[NetPPH]:[NetPPH]]</f>
        <v>288750.00000000006</v>
      </c>
      <c r="FQ70" s="58">
        <f>(t_Parts[[#This Row],[ha2016.07]]-t_Parts[[#This Row],[hp2016.07]])*t_Parts[[NetPPH]:[NetPPH]]</f>
        <v>231000.00000000003</v>
      </c>
      <c r="FR70" s="58">
        <f>(t_Parts[[#This Row],[ha2016.08]]-t_Parts[[#This Row],[hp2016.08]])*t_Parts[[NetPPH]:[NetPPH]]</f>
        <v>231000.00000000003</v>
      </c>
      <c r="FS70" s="58">
        <f>(t_Parts[[#This Row],[ha2016.09]]-t_Parts[[#This Row],[hp2016.09]])*t_Parts[[NetPPH]:[NetPPH]]</f>
        <v>288750.00000000006</v>
      </c>
      <c r="FT70" s="58">
        <f>(t_Parts[[#This Row],[ha2016.10]]-t_Parts[[#This Row],[hp2016.10]])*t_Parts[[NetPPH]:[NetPPH]]</f>
        <v>231000.00000000003</v>
      </c>
      <c r="FU70" s="58">
        <f>(t_Parts[[#This Row],[ha2016.11]]-t_Parts[[#This Row],[hp2016.11]])*t_Parts[[NetPPH]:[NetPPH]]</f>
        <v>231000.00000000003</v>
      </c>
      <c r="FV70" s="58">
        <f>(t_Parts[[#This Row],[ha2016.12]]-t_Parts[[#This Row],[hp2016.12]])*t_Parts[[NetPPH]:[NetPPH]]</f>
        <v>288750.00000000006</v>
      </c>
      <c r="FW70" s="58">
        <f>(t_Parts[[#This Row],[ha2016.FY]]-t_Parts[[#This Row],[hp2016.FY]])*t_Parts[[NetPPH]:[NetPPH]]</f>
        <v>3003000.0000000005</v>
      </c>
      <c r="FX70" s="58">
        <f>(t_Parts[[#This Row],[ha2017]]-t_Parts[[#This Row],[hp2017]])*t_Parts[[NetPPH]:[NetPPH]]</f>
        <v>3003000.0000000005</v>
      </c>
      <c r="FY70" s="58">
        <f>(t_Parts[[#This Row],[ha2018]]-t_Parts[[#This Row],[hp2018]])*t_Parts[[NetPPH]:[NetPPH]]</f>
        <v>3003000.0000000005</v>
      </c>
      <c r="FZ70" s="58">
        <f>(t_Parts[[#This Row],[ha2019]]-t_Parts[[#This Row],[hp2019]])*t_Parts[[NetPPH]:[NetPPH]]</f>
        <v>3003000.0000000005</v>
      </c>
    </row>
    <row r="71" spans="1:182" s="14" customFormat="1" x14ac:dyDescent="0.25">
      <c r="A71" s="74">
        <v>77014</v>
      </c>
      <c r="B71" s="74"/>
      <c r="C71" s="74">
        <v>21002</v>
      </c>
      <c r="D71" s="75">
        <v>1</v>
      </c>
      <c r="E71" s="73">
        <v>1500</v>
      </c>
      <c r="F71" s="76">
        <v>1</v>
      </c>
      <c r="G71" s="77">
        <v>4</v>
      </c>
      <c r="H71" s="16">
        <v>2015.01</v>
      </c>
      <c r="I71" s="16" t="s">
        <v>83</v>
      </c>
      <c r="J71" s="73">
        <v>82544</v>
      </c>
      <c r="K71" s="73">
        <v>82544</v>
      </c>
      <c r="L71" s="73">
        <v>82544</v>
      </c>
      <c r="M71" s="73">
        <v>82544</v>
      </c>
      <c r="N71" s="73">
        <v>82544</v>
      </c>
      <c r="O71" s="78">
        <v>41</v>
      </c>
      <c r="P71" s="78">
        <v>99</v>
      </c>
      <c r="Q71" s="79">
        <v>25.684999999999999</v>
      </c>
      <c r="R71" s="79"/>
      <c r="S71" s="78">
        <v>384</v>
      </c>
      <c r="T71" s="80">
        <v>14</v>
      </c>
      <c r="U71" s="80" t="s">
        <v>121</v>
      </c>
      <c r="V71" s="81" t="s">
        <v>589</v>
      </c>
      <c r="W71" s="82">
        <v>3.73</v>
      </c>
      <c r="X71" s="82" t="s">
        <v>551</v>
      </c>
      <c r="Y71" s="82"/>
      <c r="Z71" s="82"/>
      <c r="AA71" s="82"/>
      <c r="AB71" s="82"/>
      <c r="AC71" s="83" t="s">
        <v>667</v>
      </c>
      <c r="AD71" s="40" t="str">
        <f>VLOOKUP(t_Parts[[#This Row],[Press]],t_Presses[],Press!B$1,FALSE)</f>
        <v>Plainfield</v>
      </c>
      <c r="AE71" s="40" t="str">
        <f>VLOOKUP(t_Parts[[#This Row],[Press]],t_Presses[],Press!E$1,FALSE)</f>
        <v>600-899</v>
      </c>
      <c r="AF71" s="47">
        <f>VLOOKUP(t_Parts[[#This Row],[Plant]],t_Plants[],Plants!C$1,FALSE)</f>
        <v>0.55000000000000004</v>
      </c>
      <c r="AG71" s="47">
        <f>VLOOKUP(t_Parts[[#This Row],[Press]],t_Presses[],Press!F$1,FALSE)</f>
        <v>0</v>
      </c>
      <c r="AH71" s="84"/>
      <c r="AI71" s="47">
        <f>IF(ISBLANK(t_Parts[[#This Row],[PartOEE]])=FALSE,t_Parts[[#This Row],[PartOEE]], IF(t_Parts[[#This Row],[PressOEE]]&gt;0, t_Parts[[#This Row],[PressOEE]], t_Parts[[#This Row],[PlantOEE]] ))</f>
        <v>0.55000000000000004</v>
      </c>
      <c r="AJ71" s="70">
        <f>t_Parts[[#This Row],[SetupsPerMo]]*t_Parts[[#This Row],[SetupHrs]]</f>
        <v>4</v>
      </c>
      <c r="AK71" s="39">
        <f>(t_Parts[[#This Row],[PartsPerStroke]]*t_Parts[[#This Row],[StrokesPerHr]])*t_Parts[[#This Row],[UseOEE]]</f>
        <v>825.00000000000011</v>
      </c>
      <c r="AL7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6349.5384615384619</v>
      </c>
      <c r="AM7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6349.5384615384619</v>
      </c>
      <c r="AN7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7936.9230769230771</v>
      </c>
      <c r="AO7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6349.5384615384619</v>
      </c>
      <c r="AP7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6349.5384615384619</v>
      </c>
      <c r="AQ7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7936.9230769230771</v>
      </c>
      <c r="AR7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6349.5384615384619</v>
      </c>
      <c r="AS7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6349.5384615384619</v>
      </c>
      <c r="AT7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7936.9230769230771</v>
      </c>
      <c r="AU7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6349.5384615384619</v>
      </c>
      <c r="AV7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6349.5384615384619</v>
      </c>
      <c r="AW7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7936.9230769230771</v>
      </c>
      <c r="AX71" s="39">
        <f>SUM(t_Parts[[#This Row],[pv2015.01]:[pv2015.12]])</f>
        <v>82544.000000000015</v>
      </c>
      <c r="AY7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6349.5384615384619</v>
      </c>
      <c r="AZ7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6349.5384615384619</v>
      </c>
      <c r="BA7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7936.9230769230771</v>
      </c>
      <c r="BB7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6349.5384615384619</v>
      </c>
      <c r="BC7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6349.5384615384619</v>
      </c>
      <c r="BD7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7936.9230769230771</v>
      </c>
      <c r="BE7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6349.5384615384619</v>
      </c>
      <c r="BF7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6349.5384615384619</v>
      </c>
      <c r="BG7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7936.9230769230771</v>
      </c>
      <c r="BH7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6349.5384615384619</v>
      </c>
      <c r="BI7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6349.5384615384619</v>
      </c>
      <c r="BJ7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7936.9230769230771</v>
      </c>
      <c r="BK71" s="39">
        <f>SUM(t_Parts[[#This Row],[pv2016.01]:[pv2016.12]])</f>
        <v>82544.000000000015</v>
      </c>
      <c r="BL71" s="39">
        <f>t_Parts[[#This Row],[2017vol]]</f>
        <v>82544</v>
      </c>
      <c r="BM71" s="39">
        <f>t_Parts[[#This Row],[2018vol]]</f>
        <v>82544</v>
      </c>
      <c r="BN71" s="39">
        <f>t_Parts[[#This Row],[2019vol]]</f>
        <v>82544</v>
      </c>
      <c r="BO71" s="40">
        <f>VLOOKUP(t_Parts[[Plant]:[Plant]],t_Plants[],Plants!CN$1,FALSE)</f>
        <v>280</v>
      </c>
      <c r="BP71" s="14">
        <f>VLOOKUP(t_Parts[[Plant]:[Plant]],t_Plants[],Plants!CO$1,FALSE)</f>
        <v>280</v>
      </c>
      <c r="BQ71" s="14">
        <f>VLOOKUP(t_Parts[[Plant]:[Plant]],t_Plants[],Plants!CP$1,FALSE)</f>
        <v>350</v>
      </c>
      <c r="BR71" s="14">
        <f>VLOOKUP(t_Parts[[Plant]:[Plant]],t_Plants[],Plants!CQ$1,FALSE)</f>
        <v>280</v>
      </c>
      <c r="BS71" s="14">
        <f>VLOOKUP(t_Parts[[Plant]:[Plant]],t_Plants[],Plants!CR$1,FALSE)</f>
        <v>280</v>
      </c>
      <c r="BT71" s="14">
        <f>VLOOKUP(t_Parts[[Plant]:[Plant]],t_Plants[],Plants!CS$1,FALSE)</f>
        <v>350</v>
      </c>
      <c r="BU71" s="14">
        <f>VLOOKUP(t_Parts[[Plant]:[Plant]],t_Plants[],Plants!CT$1,FALSE)</f>
        <v>280</v>
      </c>
      <c r="BV71" s="14">
        <f>VLOOKUP(t_Parts[[Plant]:[Plant]],t_Plants[],Plants!CU$1,FALSE)</f>
        <v>280</v>
      </c>
      <c r="BW71" s="14">
        <f>VLOOKUP(t_Parts[[Plant]:[Plant]],t_Plants[],Plants!CV$1,FALSE)</f>
        <v>350</v>
      </c>
      <c r="BX71" s="14">
        <f>VLOOKUP(t_Parts[[Plant]:[Plant]],t_Plants[],Plants!CW$1,FALSE)</f>
        <v>280</v>
      </c>
      <c r="BY71" s="14">
        <f>VLOOKUP(t_Parts[[Plant]:[Plant]],t_Plants[],Plants!CX$1,FALSE)</f>
        <v>280</v>
      </c>
      <c r="BZ71" s="14">
        <f>VLOOKUP(t_Parts[[Plant]:[Plant]],t_Plants[],Plants!CY$1,FALSE)</f>
        <v>350</v>
      </c>
      <c r="CA71" s="40">
        <f>SUM(t_Parts[[#This Row],[ha2015.01]:[ha2015.12]])</f>
        <v>3640</v>
      </c>
      <c r="CB71" s="14">
        <f>VLOOKUP(t_Parts[[Plant]:[Plant]],t_Plants[],Plants!DA$1,FALSE)</f>
        <v>280</v>
      </c>
      <c r="CC71" s="14">
        <f>VLOOKUP(t_Parts[[Plant]:[Plant]],t_Plants[],Plants!DB$1,FALSE)</f>
        <v>280</v>
      </c>
      <c r="CD71" s="14">
        <f>VLOOKUP(t_Parts[[Plant]:[Plant]],t_Plants[],Plants!DC$1,FALSE)</f>
        <v>350</v>
      </c>
      <c r="CE71" s="14">
        <f>VLOOKUP(t_Parts[[Plant]:[Plant]],t_Plants[],Plants!DD$1,FALSE)</f>
        <v>280</v>
      </c>
      <c r="CF71" s="14">
        <f>VLOOKUP(t_Parts[[Plant]:[Plant]],t_Plants[],Plants!DE$1,FALSE)</f>
        <v>280</v>
      </c>
      <c r="CG71" s="14">
        <f>VLOOKUP(t_Parts[[Plant]:[Plant]],t_Plants[],Plants!DF$1,FALSE)</f>
        <v>350</v>
      </c>
      <c r="CH71" s="14">
        <f>VLOOKUP(t_Parts[[Plant]:[Plant]],t_Plants[],Plants!DG$1,FALSE)</f>
        <v>280</v>
      </c>
      <c r="CI71" s="14">
        <f>VLOOKUP(t_Parts[[Plant]:[Plant]],t_Plants[],Plants!DH$1,FALSE)</f>
        <v>280</v>
      </c>
      <c r="CJ71" s="14">
        <f>VLOOKUP(t_Parts[[Plant]:[Plant]],t_Plants[],Plants!DI$1,FALSE)</f>
        <v>350</v>
      </c>
      <c r="CK71" s="14">
        <f>VLOOKUP(t_Parts[[Plant]:[Plant]],t_Plants[],Plants!DJ$1,FALSE)</f>
        <v>280</v>
      </c>
      <c r="CL71" s="14">
        <f>VLOOKUP(t_Parts[[Plant]:[Plant]],t_Plants[],Plants!DK$1,FALSE)</f>
        <v>280</v>
      </c>
      <c r="CM71" s="14">
        <f>VLOOKUP(t_Parts[[Plant]:[Plant]],t_Plants[],Plants!DL$1,FALSE)</f>
        <v>350</v>
      </c>
      <c r="CN71" s="14">
        <f>VLOOKUP(t_Parts[[Plant]:[Plant]],t_Plants[],Plants!DM$1,FALSE)</f>
        <v>3640</v>
      </c>
      <c r="CO71" s="14">
        <f>VLOOKUP(t_Parts[[Plant]:[Plant]],t_Plants[],Plants!DN$1,FALSE)</f>
        <v>3640</v>
      </c>
      <c r="CP71" s="14">
        <f>VLOOKUP(t_Parts[[Plant]:[Plant]],t_Plants[],Plants!DO$1,FALSE)</f>
        <v>3640</v>
      </c>
      <c r="CQ71" s="14">
        <f>VLOOKUP(t_Parts[[Plant]:[Plant]],t_Plants[],Plants!DP$1,FALSE)</f>
        <v>3640</v>
      </c>
      <c r="CR71" s="39">
        <f>IF(AND(AL$3&gt;=VALUE(t_Parts[[SOP]:[SOP]]),AL$3&lt;=VALUE(t_Parts[[EOP]:[EOP]])), t_Parts[[SetupHrsPerMo]:[SetupHrsPerMo]]+(t_Parts[[#This Row],[pv2015.01]]/t_Parts[[NetPPH]:[NetPPH]]),0)</f>
        <v>11.696410256410257</v>
      </c>
      <c r="CS71" s="39">
        <f>IF(AND(AM$3&gt;=VALUE(t_Parts[[SOP]:[SOP]]),AM$3&lt;=VALUE(t_Parts[[EOP]:[EOP]])), t_Parts[[SetupHrsPerMo]:[SetupHrsPerMo]]+(t_Parts[[#This Row],[pv2015.02]]/t_Parts[[NetPPH]:[NetPPH]]),0)</f>
        <v>11.696410256410257</v>
      </c>
      <c r="CT71" s="39">
        <f>IF(AND(AN$3&gt;=VALUE(t_Parts[[SOP]:[SOP]]),AN$3&lt;=VALUE(t_Parts[[EOP]:[EOP]])), t_Parts[[SetupHrsPerMo]:[SetupHrsPerMo]]+(t_Parts[[#This Row],[pv2015.03]]/t_Parts[[NetPPH]:[NetPPH]]),0)</f>
        <v>13.62051282051282</v>
      </c>
      <c r="CU71" s="39">
        <f>IF(AND(AO$3&gt;=VALUE(t_Parts[[SOP]:[SOP]]),AO$3&lt;=VALUE(t_Parts[[EOP]:[EOP]])), t_Parts[[SetupHrsPerMo]:[SetupHrsPerMo]]+(t_Parts[[#This Row],[pv2015.04]]/t_Parts[[NetPPH]:[NetPPH]]),0)</f>
        <v>11.696410256410257</v>
      </c>
      <c r="CV71" s="39">
        <f>IF(AND(AP$3&gt;=VALUE(t_Parts[[SOP]:[SOP]]),AP$3&lt;=VALUE(t_Parts[[EOP]:[EOP]])), t_Parts[[SetupHrsPerMo]:[SetupHrsPerMo]]+(t_Parts[[#This Row],[pv2015.05]]/t_Parts[[NetPPH]:[NetPPH]]),0)</f>
        <v>11.696410256410257</v>
      </c>
      <c r="CW71" s="39">
        <f>IF(AND(AQ$3&gt;=VALUE(t_Parts[[SOP]:[SOP]]),AQ$3&lt;=VALUE(t_Parts[[EOP]:[EOP]])), t_Parts[[SetupHrsPerMo]:[SetupHrsPerMo]]+(t_Parts[[#This Row],[pv2015.06]]/t_Parts[[NetPPH]:[NetPPH]]),0)</f>
        <v>13.62051282051282</v>
      </c>
      <c r="CX71" s="39">
        <f>IF(AND(AR$3&gt;=VALUE(t_Parts[[SOP]:[SOP]]),AR$3&lt;=VALUE(t_Parts[[EOP]:[EOP]])), t_Parts[[SetupHrsPerMo]:[SetupHrsPerMo]]+(t_Parts[[#This Row],[pv2015.07]]/t_Parts[[NetPPH]:[NetPPH]]),0)</f>
        <v>11.696410256410257</v>
      </c>
      <c r="CY71" s="39">
        <f>IF(AND(AS$3&gt;=VALUE(t_Parts[[SOP]:[SOP]]),AS$3&lt;=VALUE(t_Parts[[EOP]:[EOP]])), t_Parts[[SetupHrsPerMo]:[SetupHrsPerMo]]+(t_Parts[[#This Row],[pv2015.08]]/t_Parts[[NetPPH]:[NetPPH]]),0)</f>
        <v>11.696410256410257</v>
      </c>
      <c r="CZ71" s="39">
        <f>IF(AND(AT$3&gt;=VALUE(t_Parts[[SOP]:[SOP]]),AT$3&lt;=VALUE(t_Parts[[EOP]:[EOP]])), t_Parts[[SetupHrsPerMo]:[SetupHrsPerMo]]+(t_Parts[[#This Row],[pv2015.09]]/t_Parts[[NetPPH]:[NetPPH]]),0)</f>
        <v>13.62051282051282</v>
      </c>
      <c r="DA71" s="39">
        <f>IF(AND(AU$3&gt;=VALUE(t_Parts[[SOP]:[SOP]]),AU$3&lt;=VALUE(t_Parts[[EOP]:[EOP]])), t_Parts[[SetupHrsPerMo]:[SetupHrsPerMo]]+(t_Parts[[#This Row],[pv2015.10]]/t_Parts[[NetPPH]:[NetPPH]]),0)</f>
        <v>11.696410256410257</v>
      </c>
      <c r="DB71" s="39">
        <f>IF(AND(AV$3&gt;=VALUE(t_Parts[[SOP]:[SOP]]),AV$3&lt;=VALUE(t_Parts[[EOP]:[EOP]])), t_Parts[[SetupHrsPerMo]:[SetupHrsPerMo]]+(t_Parts[[#This Row],[pv2015.11]]/t_Parts[[NetPPH]:[NetPPH]]),0)</f>
        <v>11.696410256410257</v>
      </c>
      <c r="DC71" s="39">
        <f>IF(AND(AW$3&gt;=VALUE(t_Parts[[SOP]:[SOP]]),AW$3&lt;=VALUE(t_Parts[[EOP]:[EOP]])), t_Parts[[SetupHrsPerMo]:[SetupHrsPerMo]]+(t_Parts[[#This Row],[pv2015.12]]/t_Parts[[NetPPH]:[NetPPH]]),0)</f>
        <v>13.62051282051282</v>
      </c>
      <c r="DD71" s="39">
        <f>SUM(t_Parts[[#This Row],[hp2015.01]:[hp2015.12]])</f>
        <v>148.05333333333334</v>
      </c>
      <c r="DE71" s="39">
        <f>IF(AND(AY$3&gt;=VALUE(t_Parts[[SOP]:[SOP]]),AY$3&lt;=VALUE(t_Parts[[EOP]:[EOP]])), t_Parts[[SetupHrsPerMo]:[SetupHrsPerMo]]+(t_Parts[[#This Row],[pv2016.01]]/t_Parts[[NetPPH]:[NetPPH]]),0)</f>
        <v>11.696410256410257</v>
      </c>
      <c r="DF71" s="39">
        <f>IF(AND(AZ$3&gt;=VALUE(t_Parts[[SOP]:[SOP]]),AZ$3&lt;=VALUE(t_Parts[[EOP]:[EOP]])), t_Parts[[SetupHrsPerMo]:[SetupHrsPerMo]]+(t_Parts[[#This Row],[pv2016.02]]/t_Parts[[NetPPH]:[NetPPH]]),0)</f>
        <v>11.696410256410257</v>
      </c>
      <c r="DG71" s="39">
        <f>IF(AND(BA$3&gt;=VALUE(t_Parts[[SOP]:[SOP]]),BA$3&lt;=VALUE(t_Parts[[EOP]:[EOP]])), t_Parts[[SetupHrsPerMo]:[SetupHrsPerMo]]+(t_Parts[[#This Row],[pv2016.03]]/t_Parts[[NetPPH]:[NetPPH]]),0)</f>
        <v>13.62051282051282</v>
      </c>
      <c r="DH71" s="39">
        <f>IF(AND(BB$3&gt;=VALUE(t_Parts[[SOP]:[SOP]]),BB$3&lt;=VALUE(t_Parts[[EOP]:[EOP]])), t_Parts[[SetupHrsPerMo]:[SetupHrsPerMo]]+(t_Parts[[#This Row],[pv2016.04]]/t_Parts[[NetPPH]:[NetPPH]]),0)</f>
        <v>11.696410256410257</v>
      </c>
      <c r="DI71" s="39">
        <f>IF(AND(BC$3&gt;=VALUE(t_Parts[[SOP]:[SOP]]),BC$3&lt;=VALUE(t_Parts[[EOP]:[EOP]])), t_Parts[[SetupHrsPerMo]:[SetupHrsPerMo]]+(t_Parts[[#This Row],[pv2016.05]]/t_Parts[[NetPPH]:[NetPPH]]),0)</f>
        <v>11.696410256410257</v>
      </c>
      <c r="DJ71" s="39">
        <f>IF(AND(BD$3&gt;=VALUE(t_Parts[[SOP]:[SOP]]),BD$3&lt;=VALUE(t_Parts[[EOP]:[EOP]])), t_Parts[[SetupHrsPerMo]:[SetupHrsPerMo]]+(t_Parts[[#This Row],[pv2016.06]]/t_Parts[[NetPPH]:[NetPPH]]),0)</f>
        <v>13.62051282051282</v>
      </c>
      <c r="DK71" s="39">
        <f>IF(AND(BE$3&gt;=VALUE(t_Parts[[SOP]:[SOP]]),BE$3&lt;=VALUE(t_Parts[[EOP]:[EOP]])), t_Parts[[SetupHrsPerMo]:[SetupHrsPerMo]]+(t_Parts[[#This Row],[pv2016.07]]/t_Parts[[NetPPH]:[NetPPH]]),0)</f>
        <v>11.696410256410257</v>
      </c>
      <c r="DL71" s="39">
        <f>IF(AND(BF$3&gt;=VALUE(t_Parts[[SOP]:[SOP]]),BF$3&lt;=VALUE(t_Parts[[EOP]:[EOP]])), t_Parts[[SetupHrsPerMo]:[SetupHrsPerMo]]+(t_Parts[[#This Row],[pv2016.08]]/t_Parts[[NetPPH]:[NetPPH]]),0)</f>
        <v>11.696410256410257</v>
      </c>
      <c r="DM71" s="39">
        <f>IF(AND(BG$3&gt;=VALUE(t_Parts[[SOP]:[SOP]]),BG$3&lt;=VALUE(t_Parts[[EOP]:[EOP]])), t_Parts[[SetupHrsPerMo]:[SetupHrsPerMo]]+(t_Parts[[#This Row],[pv2016.09]]/t_Parts[[NetPPH]:[NetPPH]]),0)</f>
        <v>13.62051282051282</v>
      </c>
      <c r="DN71" s="39">
        <f>IF(AND(BH$3&gt;=VALUE(t_Parts[[SOP]:[SOP]]),BH$3&lt;=VALUE(t_Parts[[EOP]:[EOP]])), t_Parts[[SetupHrsPerMo]:[SetupHrsPerMo]]+(t_Parts[[#This Row],[pv2016.10]]/t_Parts[[NetPPH]:[NetPPH]]),0)</f>
        <v>11.696410256410257</v>
      </c>
      <c r="DO71" s="39">
        <f>IF(AND(BI$3&gt;=VALUE(t_Parts[[SOP]:[SOP]]),BI$3&lt;=VALUE(t_Parts[[EOP]:[EOP]])), t_Parts[[SetupHrsPerMo]:[SetupHrsPerMo]]+(t_Parts[[#This Row],[pv2016.11]]/t_Parts[[NetPPH]:[NetPPH]]),0)</f>
        <v>11.696410256410257</v>
      </c>
      <c r="DP71" s="39">
        <f>IF(AND(BJ$3&gt;=VALUE(t_Parts[[SOP]:[SOP]]),BJ$3&lt;=VALUE(t_Parts[[EOP]:[EOP]])), t_Parts[[SetupHrsPerMo]:[SetupHrsPerMo]]+(t_Parts[[#This Row],[pv2016.12]]/t_Parts[[NetPPH]:[NetPPH]]),0)</f>
        <v>13.62051282051282</v>
      </c>
      <c r="DQ71" s="39">
        <f>SUM(t_Parts[[#This Row],[hp2016.01]:[hp2016.12]])</f>
        <v>148.05333333333334</v>
      </c>
      <c r="DR71" s="39">
        <f>IF(AND(BL$3&gt;=VALUE(t_Parts[[SOP]:[SOP]]),BL$3&lt;=VALUE(t_Parts[[EOP]:[EOP]])), 12*t_Parts[[SetupHrsPerMo]:[SetupHrsPerMo]]+(t_Parts[[#This Row],[pv2017]]/t_Parts[[NetPPH]:[NetPPH]]),0)</f>
        <v>148.05333333333331</v>
      </c>
      <c r="DS71" s="39">
        <f>IF(AND(BM$3&gt;=VALUE(t_Parts[[SOP]:[SOP]]),BM$3&lt;=VALUE(t_Parts[[EOP]:[EOP]])), 12*t_Parts[[SetupHrsPerMo]:[SetupHrsPerMo]]+(t_Parts[[#This Row],[pv2018]]/t_Parts[[NetPPH]:[NetPPH]]),0)</f>
        <v>148.05333333333331</v>
      </c>
      <c r="DT71" s="39">
        <f>IF(AND(BN$3&gt;=VALUE(t_Parts[[SOP]:[SOP]]),BN$3&lt;=VALUE(t_Parts[[EOP]:[EOP]])), 12*t_Parts[[SetupHrsPerMo]:[SetupHrsPerMo]]+(t_Parts[[#This Row],[pv2019]]/t_Parts[[NetPPH]:[NetPPH]]),0)</f>
        <v>148.05333333333331</v>
      </c>
      <c r="DU71" s="47">
        <f>t_Parts[[#This Row],[hp2015.01]]/t_Parts[[#This Row],[ha2015.01]]</f>
        <v>4.1772893772893775E-2</v>
      </c>
      <c r="DV71" s="47">
        <f>t_Parts[[#This Row],[hp2015.02]]/t_Parts[[#This Row],[ha2015.02]]</f>
        <v>4.1772893772893775E-2</v>
      </c>
      <c r="DW71" s="47">
        <f>t_Parts[[#This Row],[hp2015.03]]/t_Parts[[#This Row],[ha2015.03]]</f>
        <v>3.8915750915750912E-2</v>
      </c>
      <c r="DX71" s="47">
        <f>t_Parts[[#This Row],[hp2015.04]]/t_Parts[[#This Row],[ha2015.04]]</f>
        <v>4.1772893772893775E-2</v>
      </c>
      <c r="DY71" s="47">
        <f>t_Parts[[#This Row],[hp2015.05]]/t_Parts[[#This Row],[ha2015.05]]</f>
        <v>4.1772893772893775E-2</v>
      </c>
      <c r="DZ71" s="47">
        <f>t_Parts[[#This Row],[hp2015.06]]/t_Parts[[#This Row],[ha2015.06]]</f>
        <v>3.8915750915750912E-2</v>
      </c>
      <c r="EA71" s="47">
        <f>t_Parts[[#This Row],[hp2015.07]]/t_Parts[[#This Row],[ha2015.07]]</f>
        <v>4.1772893772893775E-2</v>
      </c>
      <c r="EB71" s="47">
        <f>t_Parts[[#This Row],[hp2015.08]]/t_Parts[[#This Row],[ha2015.08]]</f>
        <v>4.1772893772893775E-2</v>
      </c>
      <c r="EC71" s="47">
        <f>t_Parts[[#This Row],[hp2015.09]]/t_Parts[[#This Row],[ha2015.09]]</f>
        <v>3.8915750915750912E-2</v>
      </c>
      <c r="ED71" s="47">
        <f>t_Parts[[#This Row],[hp2015.10]]/t_Parts[[#This Row],[ha2015.10]]</f>
        <v>4.1772893772893775E-2</v>
      </c>
      <c r="EE71" s="47">
        <f>t_Parts[[#This Row],[hp2015.11]]/t_Parts[[#This Row],[ha2015.11]]</f>
        <v>4.1772893772893775E-2</v>
      </c>
      <c r="EF71" s="47">
        <f>t_Parts[[#This Row],[hp2015.12]]/t_Parts[[#This Row],[ha2015.12]]</f>
        <v>3.8915750915750912E-2</v>
      </c>
      <c r="EG71" s="47">
        <f>t_Parts[[#This Row],[hp2015.FY]]/t_Parts[[#This Row],[ha2015.FY]]</f>
        <v>4.0673992673992673E-2</v>
      </c>
      <c r="EH71" s="47">
        <f>t_Parts[[#This Row],[hp2016.01]]/t_Parts[[#This Row],[ha2016.01]]</f>
        <v>4.1772893772893775E-2</v>
      </c>
      <c r="EI71" s="47">
        <f>t_Parts[[#This Row],[hp2016.02]]/t_Parts[[#This Row],[ha2016.02]]</f>
        <v>4.1772893772893775E-2</v>
      </c>
      <c r="EJ71" s="47">
        <f>t_Parts[[#This Row],[hp2016.03]]/t_Parts[[#This Row],[ha2016.03]]</f>
        <v>3.8915750915750912E-2</v>
      </c>
      <c r="EK71" s="47">
        <f>t_Parts[[#This Row],[hp2016.04]]/t_Parts[[#This Row],[ha2016.04]]</f>
        <v>4.1772893772893775E-2</v>
      </c>
      <c r="EL71" s="47">
        <f>t_Parts[[#This Row],[hp2016.05]]/t_Parts[[#This Row],[ha2016.05]]</f>
        <v>4.1772893772893775E-2</v>
      </c>
      <c r="EM71" s="47">
        <f>t_Parts[[#This Row],[hp2016.06]]/t_Parts[[#This Row],[ha2016.06]]</f>
        <v>3.8915750915750912E-2</v>
      </c>
      <c r="EN71" s="47">
        <f>t_Parts[[#This Row],[hp2016.07]]/t_Parts[[#This Row],[ha2016.07]]</f>
        <v>4.1772893772893775E-2</v>
      </c>
      <c r="EO71" s="47">
        <f>t_Parts[[#This Row],[hp2016.08]]/t_Parts[[#This Row],[ha2016.08]]</f>
        <v>4.1772893772893775E-2</v>
      </c>
      <c r="EP71" s="47">
        <f>t_Parts[[#This Row],[hp2016.09]]/t_Parts[[#This Row],[ha2016.09]]</f>
        <v>3.8915750915750912E-2</v>
      </c>
      <c r="EQ71" s="47">
        <f>t_Parts[[#This Row],[hp2016.10]]/t_Parts[[#This Row],[ha2016.10]]</f>
        <v>4.1772893772893775E-2</v>
      </c>
      <c r="ER71" s="47">
        <f>t_Parts[[#This Row],[hp2016.11]]/t_Parts[[#This Row],[ha2016.11]]</f>
        <v>4.1772893772893775E-2</v>
      </c>
      <c r="ES71" s="47">
        <f>t_Parts[[#This Row],[hp2016.12]]/t_Parts[[#This Row],[ha2016.12]]</f>
        <v>3.8915750915750912E-2</v>
      </c>
      <c r="ET71" s="47">
        <f>t_Parts[[#This Row],[hp2016.FY]]/t_Parts[[#This Row],[ha2016.FY]]</f>
        <v>4.0673992673992673E-2</v>
      </c>
      <c r="EU71" s="47">
        <f>t_Parts[[#This Row],[hp2017]]/t_Parts[[#This Row],[ha2017]]</f>
        <v>4.0673992673992666E-2</v>
      </c>
      <c r="EV71" s="47">
        <f>t_Parts[[#This Row],[hp2018]]/t_Parts[[#This Row],[ha2018]]</f>
        <v>4.0673992673992666E-2</v>
      </c>
      <c r="EW71" s="47">
        <f>t_Parts[[#This Row],[hp2019]]/t_Parts[[#This Row],[hp2015.01]]</f>
        <v>12.658014731673095</v>
      </c>
      <c r="EX71" s="58">
        <f>(t_Parts[[#This Row],[ha2015.01]]-t_Parts[[#This Row],[hp2015.01]])*t_Parts[[NetPPH]:[NetPPH]]</f>
        <v>221350.46153846156</v>
      </c>
      <c r="EY71" s="58">
        <f>(t_Parts[[#This Row],[ha2015.02]]-t_Parts[[#This Row],[hp2015.02]])*t_Parts[[NetPPH]:[NetPPH]]</f>
        <v>221350.46153846156</v>
      </c>
      <c r="EZ71" s="58">
        <f>(t_Parts[[#This Row],[ha2015.03]]-t_Parts[[#This Row],[hp2015.03]])*t_Parts[[NetPPH]:[NetPPH]]</f>
        <v>277513.07692307694</v>
      </c>
      <c r="FA71" s="58">
        <f>(t_Parts[[#This Row],[ha2015.04]]-t_Parts[[#This Row],[hp2015.04]])*t_Parts[[NetPPH]:[NetPPH]]</f>
        <v>221350.46153846156</v>
      </c>
      <c r="FB71" s="58">
        <f>(t_Parts[[#This Row],[ha2015.05]]-t_Parts[[#This Row],[hp2015.05]])*t_Parts[[NetPPH]:[NetPPH]]</f>
        <v>221350.46153846156</v>
      </c>
      <c r="FC71" s="58">
        <f>(t_Parts[[#This Row],[ha2015.06]]-t_Parts[[#This Row],[hp2015.06]])*t_Parts[[NetPPH]:[NetPPH]]</f>
        <v>277513.07692307694</v>
      </c>
      <c r="FD71" s="58">
        <f>(t_Parts[[#This Row],[ha2015.07]]-t_Parts[[#This Row],[hp2015.07]])*t_Parts[[NetPPH]:[NetPPH]]</f>
        <v>221350.46153846156</v>
      </c>
      <c r="FE71" s="58">
        <f>(t_Parts[[#This Row],[ha2015.08]]-t_Parts[[#This Row],[hp2015.08]])*t_Parts[[NetPPH]:[NetPPH]]</f>
        <v>221350.46153846156</v>
      </c>
      <c r="FF71" s="58">
        <f>(t_Parts[[#This Row],[ha2015.09]]-t_Parts[[#This Row],[hp2015.09]])*t_Parts[[NetPPH]:[NetPPH]]</f>
        <v>277513.07692307694</v>
      </c>
      <c r="FG71" s="58">
        <f>(t_Parts[[#This Row],[ha2015.10]]-t_Parts[[#This Row],[hp2015.10]])*t_Parts[[NetPPH]:[NetPPH]]</f>
        <v>221350.46153846156</v>
      </c>
      <c r="FH71" s="58">
        <f>(t_Parts[[#This Row],[ha2015.11]]-t_Parts[[#This Row],[hp2015.11]])*t_Parts[[NetPPH]:[NetPPH]]</f>
        <v>221350.46153846156</v>
      </c>
      <c r="FI71" s="58">
        <f>(t_Parts[[#This Row],[ha2015.12]]-t_Parts[[#This Row],[hp2015.12]])*t_Parts[[NetPPH]:[NetPPH]]</f>
        <v>277513.07692307694</v>
      </c>
      <c r="FJ71" s="58">
        <f>(t_Parts[[#This Row],[ha2015.FY]]-t_Parts[[#This Row],[hp2015.FY]])*t_Parts[[NetPPH]:[NetPPH]]</f>
        <v>2880856.0000000005</v>
      </c>
      <c r="FK71" s="58">
        <f>(t_Parts[[#This Row],[ha2016.01]]-t_Parts[[#This Row],[hp2016.01]])*t_Parts[[NetPPH]:[NetPPH]]</f>
        <v>221350.46153846156</v>
      </c>
      <c r="FL71" s="58">
        <f>(t_Parts[[#This Row],[ha2016.02]]-t_Parts[[#This Row],[hp2016.02]])*t_Parts[[NetPPH]:[NetPPH]]</f>
        <v>221350.46153846156</v>
      </c>
      <c r="FM71" s="58">
        <f>(t_Parts[[#This Row],[ha2016.03]]-t_Parts[[#This Row],[hp2016.03]])*t_Parts[[NetPPH]:[NetPPH]]</f>
        <v>277513.07692307694</v>
      </c>
      <c r="FN71" s="58">
        <f>(t_Parts[[#This Row],[ha2016.04]]-t_Parts[[#This Row],[hp2016.04]])*t_Parts[[NetPPH]:[NetPPH]]</f>
        <v>221350.46153846156</v>
      </c>
      <c r="FO71" s="58">
        <f>(t_Parts[[#This Row],[ha2016.05]]-t_Parts[[#This Row],[hp2016.05]])*t_Parts[[NetPPH]:[NetPPH]]</f>
        <v>221350.46153846156</v>
      </c>
      <c r="FP71" s="58">
        <f>(t_Parts[[#This Row],[ha2016.06]]-t_Parts[[#This Row],[hp2016.06]])*t_Parts[[NetPPH]:[NetPPH]]</f>
        <v>277513.07692307694</v>
      </c>
      <c r="FQ71" s="58">
        <f>(t_Parts[[#This Row],[ha2016.07]]-t_Parts[[#This Row],[hp2016.07]])*t_Parts[[NetPPH]:[NetPPH]]</f>
        <v>221350.46153846156</v>
      </c>
      <c r="FR71" s="58">
        <f>(t_Parts[[#This Row],[ha2016.08]]-t_Parts[[#This Row],[hp2016.08]])*t_Parts[[NetPPH]:[NetPPH]]</f>
        <v>221350.46153846156</v>
      </c>
      <c r="FS71" s="58">
        <f>(t_Parts[[#This Row],[ha2016.09]]-t_Parts[[#This Row],[hp2016.09]])*t_Parts[[NetPPH]:[NetPPH]]</f>
        <v>277513.07692307694</v>
      </c>
      <c r="FT71" s="58">
        <f>(t_Parts[[#This Row],[ha2016.10]]-t_Parts[[#This Row],[hp2016.10]])*t_Parts[[NetPPH]:[NetPPH]]</f>
        <v>221350.46153846156</v>
      </c>
      <c r="FU71" s="58">
        <f>(t_Parts[[#This Row],[ha2016.11]]-t_Parts[[#This Row],[hp2016.11]])*t_Parts[[NetPPH]:[NetPPH]]</f>
        <v>221350.46153846156</v>
      </c>
      <c r="FV71" s="58">
        <f>(t_Parts[[#This Row],[ha2016.12]]-t_Parts[[#This Row],[hp2016.12]])*t_Parts[[NetPPH]:[NetPPH]]</f>
        <v>277513.07692307694</v>
      </c>
      <c r="FW71" s="58">
        <f>(t_Parts[[#This Row],[ha2016.FY]]-t_Parts[[#This Row],[hp2016.FY]])*t_Parts[[NetPPH]:[NetPPH]]</f>
        <v>2880856.0000000005</v>
      </c>
      <c r="FX71" s="58">
        <f>(t_Parts[[#This Row],[ha2017]]-t_Parts[[#This Row],[hp2017]])*t_Parts[[NetPPH]:[NetPPH]]</f>
        <v>2880856.0000000005</v>
      </c>
      <c r="FY71" s="58">
        <f>(t_Parts[[#This Row],[ha2018]]-t_Parts[[#This Row],[hp2018]])*t_Parts[[NetPPH]:[NetPPH]]</f>
        <v>2880856.0000000005</v>
      </c>
      <c r="FZ71" s="58">
        <f>(t_Parts[[#This Row],[ha2019]]-t_Parts[[#This Row],[hp2019]])*t_Parts[[NetPPH]:[NetPPH]]</f>
        <v>2880856.0000000005</v>
      </c>
    </row>
    <row r="72" spans="1:182" s="14" customFormat="1" x14ac:dyDescent="0.25">
      <c r="A72" s="74">
        <v>77012</v>
      </c>
      <c r="B72" s="74"/>
      <c r="C72" s="74">
        <v>21015</v>
      </c>
      <c r="D72" s="75">
        <v>1</v>
      </c>
      <c r="E72" s="73">
        <v>960</v>
      </c>
      <c r="F72" s="76">
        <v>1.5</v>
      </c>
      <c r="G72" s="77">
        <v>4</v>
      </c>
      <c r="H72" s="16">
        <v>2015.01</v>
      </c>
      <c r="I72" s="16" t="s">
        <v>83</v>
      </c>
      <c r="J72" s="73">
        <v>84522</v>
      </c>
      <c r="K72" s="73">
        <v>84522</v>
      </c>
      <c r="L72" s="73">
        <v>84522</v>
      </c>
      <c r="M72" s="73">
        <v>84522</v>
      </c>
      <c r="N72" s="73">
        <v>84522</v>
      </c>
      <c r="O72" s="78">
        <v>72</v>
      </c>
      <c r="P72" s="78">
        <v>181</v>
      </c>
      <c r="Q72" s="79">
        <v>40.854999999999997</v>
      </c>
      <c r="R72" s="79"/>
      <c r="S72" s="78">
        <v>580</v>
      </c>
      <c r="T72" s="80">
        <v>25.5</v>
      </c>
      <c r="U72" s="80" t="s">
        <v>122</v>
      </c>
      <c r="V72" s="81" t="s">
        <v>580</v>
      </c>
      <c r="W72" s="82">
        <v>4.3</v>
      </c>
      <c r="X72" s="82" t="s">
        <v>551</v>
      </c>
      <c r="Y72" s="82"/>
      <c r="Z72" s="82"/>
      <c r="AA72" s="82"/>
      <c r="AB72" s="82"/>
      <c r="AC72" s="83" t="s">
        <v>667</v>
      </c>
      <c r="AD72" s="40" t="str">
        <f>VLOOKUP(t_Parts[[#This Row],[Press]],t_Presses[],Press!B$1,FALSE)</f>
        <v>Plainfield</v>
      </c>
      <c r="AE72" s="40" t="str">
        <f>VLOOKUP(t_Parts[[#This Row],[Press]],t_Presses[],Press!E$1,FALSE)</f>
        <v>900-1199</v>
      </c>
      <c r="AF72" s="47">
        <f>VLOOKUP(t_Parts[[#This Row],[Plant]],t_Plants[],Plants!C$1,FALSE)</f>
        <v>0.55000000000000004</v>
      </c>
      <c r="AG72" s="47">
        <f>VLOOKUP(t_Parts[[#This Row],[Press]],t_Presses[],Press!F$1,FALSE)</f>
        <v>0</v>
      </c>
      <c r="AH72" s="84"/>
      <c r="AI72" s="47">
        <f>IF(ISBLANK(t_Parts[[#This Row],[PartOEE]])=FALSE,t_Parts[[#This Row],[PartOEE]], IF(t_Parts[[#This Row],[PressOEE]]&gt;0, t_Parts[[#This Row],[PressOEE]], t_Parts[[#This Row],[PlantOEE]] ))</f>
        <v>0.55000000000000004</v>
      </c>
      <c r="AJ72" s="70">
        <f>t_Parts[[#This Row],[SetupsPerMo]]*t_Parts[[#This Row],[SetupHrs]]</f>
        <v>6</v>
      </c>
      <c r="AK72" s="39">
        <f>(t_Parts[[#This Row],[PartsPerStroke]]*t_Parts[[#This Row],[StrokesPerHr]])*t_Parts[[#This Row],[UseOEE]]</f>
        <v>528</v>
      </c>
      <c r="AL7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6501.6923076923076</v>
      </c>
      <c r="AM7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6501.6923076923076</v>
      </c>
      <c r="AN7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8127.1153846153848</v>
      </c>
      <c r="AO7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6501.6923076923076</v>
      </c>
      <c r="AP7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6501.6923076923076</v>
      </c>
      <c r="AQ7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8127.1153846153848</v>
      </c>
      <c r="AR7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6501.6923076923076</v>
      </c>
      <c r="AS7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6501.6923076923076</v>
      </c>
      <c r="AT7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8127.1153846153848</v>
      </c>
      <c r="AU7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6501.6923076923076</v>
      </c>
      <c r="AV7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6501.6923076923076</v>
      </c>
      <c r="AW7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8127.1153846153848</v>
      </c>
      <c r="AX72" s="39">
        <f>SUM(t_Parts[[#This Row],[pv2015.01]:[pv2015.12]])</f>
        <v>84522</v>
      </c>
      <c r="AY7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6501.6923076923076</v>
      </c>
      <c r="AZ7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6501.6923076923076</v>
      </c>
      <c r="BA7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8127.1153846153848</v>
      </c>
      <c r="BB7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6501.6923076923076</v>
      </c>
      <c r="BC7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6501.6923076923076</v>
      </c>
      <c r="BD7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8127.1153846153848</v>
      </c>
      <c r="BE7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6501.6923076923076</v>
      </c>
      <c r="BF7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6501.6923076923076</v>
      </c>
      <c r="BG7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8127.1153846153848</v>
      </c>
      <c r="BH7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6501.6923076923076</v>
      </c>
      <c r="BI7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6501.6923076923076</v>
      </c>
      <c r="BJ7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8127.1153846153848</v>
      </c>
      <c r="BK72" s="39">
        <f>SUM(t_Parts[[#This Row],[pv2016.01]:[pv2016.12]])</f>
        <v>84522</v>
      </c>
      <c r="BL72" s="39">
        <f>t_Parts[[#This Row],[2017vol]]</f>
        <v>84522</v>
      </c>
      <c r="BM72" s="39">
        <f>t_Parts[[#This Row],[2018vol]]</f>
        <v>84522</v>
      </c>
      <c r="BN72" s="39">
        <f>t_Parts[[#This Row],[2019vol]]</f>
        <v>84522</v>
      </c>
      <c r="BO72" s="40">
        <f>VLOOKUP(t_Parts[[Plant]:[Plant]],t_Plants[],Plants!CN$1,FALSE)</f>
        <v>280</v>
      </c>
      <c r="BP72" s="14">
        <f>VLOOKUP(t_Parts[[Plant]:[Plant]],t_Plants[],Plants!CO$1,FALSE)</f>
        <v>280</v>
      </c>
      <c r="BQ72" s="14">
        <f>VLOOKUP(t_Parts[[Plant]:[Plant]],t_Plants[],Plants!CP$1,FALSE)</f>
        <v>350</v>
      </c>
      <c r="BR72" s="14">
        <f>VLOOKUP(t_Parts[[Plant]:[Plant]],t_Plants[],Plants!CQ$1,FALSE)</f>
        <v>280</v>
      </c>
      <c r="BS72" s="14">
        <f>VLOOKUP(t_Parts[[Plant]:[Plant]],t_Plants[],Plants!CR$1,FALSE)</f>
        <v>280</v>
      </c>
      <c r="BT72" s="14">
        <f>VLOOKUP(t_Parts[[Plant]:[Plant]],t_Plants[],Plants!CS$1,FALSE)</f>
        <v>350</v>
      </c>
      <c r="BU72" s="14">
        <f>VLOOKUP(t_Parts[[Plant]:[Plant]],t_Plants[],Plants!CT$1,FALSE)</f>
        <v>280</v>
      </c>
      <c r="BV72" s="14">
        <f>VLOOKUP(t_Parts[[Plant]:[Plant]],t_Plants[],Plants!CU$1,FALSE)</f>
        <v>280</v>
      </c>
      <c r="BW72" s="14">
        <f>VLOOKUP(t_Parts[[Plant]:[Plant]],t_Plants[],Plants!CV$1,FALSE)</f>
        <v>350</v>
      </c>
      <c r="BX72" s="14">
        <f>VLOOKUP(t_Parts[[Plant]:[Plant]],t_Plants[],Plants!CW$1,FALSE)</f>
        <v>280</v>
      </c>
      <c r="BY72" s="14">
        <f>VLOOKUP(t_Parts[[Plant]:[Plant]],t_Plants[],Plants!CX$1,FALSE)</f>
        <v>280</v>
      </c>
      <c r="BZ72" s="14">
        <f>VLOOKUP(t_Parts[[Plant]:[Plant]],t_Plants[],Plants!CY$1,FALSE)</f>
        <v>350</v>
      </c>
      <c r="CA72" s="40">
        <f>SUM(t_Parts[[#This Row],[ha2015.01]:[ha2015.12]])</f>
        <v>3640</v>
      </c>
      <c r="CB72" s="14">
        <f>VLOOKUP(t_Parts[[Plant]:[Plant]],t_Plants[],Plants!DA$1,FALSE)</f>
        <v>280</v>
      </c>
      <c r="CC72" s="14">
        <f>VLOOKUP(t_Parts[[Plant]:[Plant]],t_Plants[],Plants!DB$1,FALSE)</f>
        <v>280</v>
      </c>
      <c r="CD72" s="14">
        <f>VLOOKUP(t_Parts[[Plant]:[Plant]],t_Plants[],Plants!DC$1,FALSE)</f>
        <v>350</v>
      </c>
      <c r="CE72" s="14">
        <f>VLOOKUP(t_Parts[[Plant]:[Plant]],t_Plants[],Plants!DD$1,FALSE)</f>
        <v>280</v>
      </c>
      <c r="CF72" s="14">
        <f>VLOOKUP(t_Parts[[Plant]:[Plant]],t_Plants[],Plants!DE$1,FALSE)</f>
        <v>280</v>
      </c>
      <c r="CG72" s="14">
        <f>VLOOKUP(t_Parts[[Plant]:[Plant]],t_Plants[],Plants!DF$1,FALSE)</f>
        <v>350</v>
      </c>
      <c r="CH72" s="14">
        <f>VLOOKUP(t_Parts[[Plant]:[Plant]],t_Plants[],Plants!DG$1,FALSE)</f>
        <v>280</v>
      </c>
      <c r="CI72" s="14">
        <f>VLOOKUP(t_Parts[[Plant]:[Plant]],t_Plants[],Plants!DH$1,FALSE)</f>
        <v>280</v>
      </c>
      <c r="CJ72" s="14">
        <f>VLOOKUP(t_Parts[[Plant]:[Plant]],t_Plants[],Plants!DI$1,FALSE)</f>
        <v>350</v>
      </c>
      <c r="CK72" s="14">
        <f>VLOOKUP(t_Parts[[Plant]:[Plant]],t_Plants[],Plants!DJ$1,FALSE)</f>
        <v>280</v>
      </c>
      <c r="CL72" s="14">
        <f>VLOOKUP(t_Parts[[Plant]:[Plant]],t_Plants[],Plants!DK$1,FALSE)</f>
        <v>280</v>
      </c>
      <c r="CM72" s="14">
        <f>VLOOKUP(t_Parts[[Plant]:[Plant]],t_Plants[],Plants!DL$1,FALSE)</f>
        <v>350</v>
      </c>
      <c r="CN72" s="14">
        <f>VLOOKUP(t_Parts[[Plant]:[Plant]],t_Plants[],Plants!DM$1,FALSE)</f>
        <v>3640</v>
      </c>
      <c r="CO72" s="14">
        <f>VLOOKUP(t_Parts[[Plant]:[Plant]],t_Plants[],Plants!DN$1,FALSE)</f>
        <v>3640</v>
      </c>
      <c r="CP72" s="14">
        <f>VLOOKUP(t_Parts[[Plant]:[Plant]],t_Plants[],Plants!DO$1,FALSE)</f>
        <v>3640</v>
      </c>
      <c r="CQ72" s="14">
        <f>VLOOKUP(t_Parts[[Plant]:[Plant]],t_Plants[],Plants!DP$1,FALSE)</f>
        <v>3640</v>
      </c>
      <c r="CR72" s="39">
        <f>IF(AND(AL$3&gt;=VALUE(t_Parts[[SOP]:[SOP]]),AL$3&lt;=VALUE(t_Parts[[EOP]:[EOP]])), t_Parts[[SetupHrsPerMo]:[SetupHrsPerMo]]+(t_Parts[[#This Row],[pv2015.01]]/t_Parts[[NetPPH]:[NetPPH]]),0)</f>
        <v>18.313811188811187</v>
      </c>
      <c r="CS72" s="39">
        <f>IF(AND(AM$3&gt;=VALUE(t_Parts[[SOP]:[SOP]]),AM$3&lt;=VALUE(t_Parts[[EOP]:[EOP]])), t_Parts[[SetupHrsPerMo]:[SetupHrsPerMo]]+(t_Parts[[#This Row],[pv2015.02]]/t_Parts[[NetPPH]:[NetPPH]]),0)</f>
        <v>18.313811188811187</v>
      </c>
      <c r="CT72" s="39">
        <f>IF(AND(AN$3&gt;=VALUE(t_Parts[[SOP]:[SOP]]),AN$3&lt;=VALUE(t_Parts[[EOP]:[EOP]])), t_Parts[[SetupHrsPerMo]:[SetupHrsPerMo]]+(t_Parts[[#This Row],[pv2015.03]]/t_Parts[[NetPPH]:[NetPPH]]),0)</f>
        <v>21.392263986013987</v>
      </c>
      <c r="CU72" s="39">
        <f>IF(AND(AO$3&gt;=VALUE(t_Parts[[SOP]:[SOP]]),AO$3&lt;=VALUE(t_Parts[[EOP]:[EOP]])), t_Parts[[SetupHrsPerMo]:[SetupHrsPerMo]]+(t_Parts[[#This Row],[pv2015.04]]/t_Parts[[NetPPH]:[NetPPH]]),0)</f>
        <v>18.313811188811187</v>
      </c>
      <c r="CV72" s="39">
        <f>IF(AND(AP$3&gt;=VALUE(t_Parts[[SOP]:[SOP]]),AP$3&lt;=VALUE(t_Parts[[EOP]:[EOP]])), t_Parts[[SetupHrsPerMo]:[SetupHrsPerMo]]+(t_Parts[[#This Row],[pv2015.05]]/t_Parts[[NetPPH]:[NetPPH]]),0)</f>
        <v>18.313811188811187</v>
      </c>
      <c r="CW72" s="39">
        <f>IF(AND(AQ$3&gt;=VALUE(t_Parts[[SOP]:[SOP]]),AQ$3&lt;=VALUE(t_Parts[[EOP]:[EOP]])), t_Parts[[SetupHrsPerMo]:[SetupHrsPerMo]]+(t_Parts[[#This Row],[pv2015.06]]/t_Parts[[NetPPH]:[NetPPH]]),0)</f>
        <v>21.392263986013987</v>
      </c>
      <c r="CX72" s="39">
        <f>IF(AND(AR$3&gt;=VALUE(t_Parts[[SOP]:[SOP]]),AR$3&lt;=VALUE(t_Parts[[EOP]:[EOP]])), t_Parts[[SetupHrsPerMo]:[SetupHrsPerMo]]+(t_Parts[[#This Row],[pv2015.07]]/t_Parts[[NetPPH]:[NetPPH]]),0)</f>
        <v>18.313811188811187</v>
      </c>
      <c r="CY72" s="39">
        <f>IF(AND(AS$3&gt;=VALUE(t_Parts[[SOP]:[SOP]]),AS$3&lt;=VALUE(t_Parts[[EOP]:[EOP]])), t_Parts[[SetupHrsPerMo]:[SetupHrsPerMo]]+(t_Parts[[#This Row],[pv2015.08]]/t_Parts[[NetPPH]:[NetPPH]]),0)</f>
        <v>18.313811188811187</v>
      </c>
      <c r="CZ72" s="39">
        <f>IF(AND(AT$3&gt;=VALUE(t_Parts[[SOP]:[SOP]]),AT$3&lt;=VALUE(t_Parts[[EOP]:[EOP]])), t_Parts[[SetupHrsPerMo]:[SetupHrsPerMo]]+(t_Parts[[#This Row],[pv2015.09]]/t_Parts[[NetPPH]:[NetPPH]]),0)</f>
        <v>21.392263986013987</v>
      </c>
      <c r="DA72" s="39">
        <f>IF(AND(AU$3&gt;=VALUE(t_Parts[[SOP]:[SOP]]),AU$3&lt;=VALUE(t_Parts[[EOP]:[EOP]])), t_Parts[[SetupHrsPerMo]:[SetupHrsPerMo]]+(t_Parts[[#This Row],[pv2015.10]]/t_Parts[[NetPPH]:[NetPPH]]),0)</f>
        <v>18.313811188811187</v>
      </c>
      <c r="DB72" s="39">
        <f>IF(AND(AV$3&gt;=VALUE(t_Parts[[SOP]:[SOP]]),AV$3&lt;=VALUE(t_Parts[[EOP]:[EOP]])), t_Parts[[SetupHrsPerMo]:[SetupHrsPerMo]]+(t_Parts[[#This Row],[pv2015.11]]/t_Parts[[NetPPH]:[NetPPH]]),0)</f>
        <v>18.313811188811187</v>
      </c>
      <c r="DC72" s="39">
        <f>IF(AND(AW$3&gt;=VALUE(t_Parts[[SOP]:[SOP]]),AW$3&lt;=VALUE(t_Parts[[EOP]:[EOP]])), t_Parts[[SetupHrsPerMo]:[SetupHrsPerMo]]+(t_Parts[[#This Row],[pv2015.12]]/t_Parts[[NetPPH]:[NetPPH]]),0)</f>
        <v>21.392263986013987</v>
      </c>
      <c r="DD72" s="39">
        <f>SUM(t_Parts[[#This Row],[hp2015.01]:[hp2015.12]])</f>
        <v>232.07954545454544</v>
      </c>
      <c r="DE72" s="39">
        <f>IF(AND(AY$3&gt;=VALUE(t_Parts[[SOP]:[SOP]]),AY$3&lt;=VALUE(t_Parts[[EOP]:[EOP]])), t_Parts[[SetupHrsPerMo]:[SetupHrsPerMo]]+(t_Parts[[#This Row],[pv2016.01]]/t_Parts[[NetPPH]:[NetPPH]]),0)</f>
        <v>18.313811188811187</v>
      </c>
      <c r="DF72" s="39">
        <f>IF(AND(AZ$3&gt;=VALUE(t_Parts[[SOP]:[SOP]]),AZ$3&lt;=VALUE(t_Parts[[EOP]:[EOP]])), t_Parts[[SetupHrsPerMo]:[SetupHrsPerMo]]+(t_Parts[[#This Row],[pv2016.02]]/t_Parts[[NetPPH]:[NetPPH]]),0)</f>
        <v>18.313811188811187</v>
      </c>
      <c r="DG72" s="39">
        <f>IF(AND(BA$3&gt;=VALUE(t_Parts[[SOP]:[SOP]]),BA$3&lt;=VALUE(t_Parts[[EOP]:[EOP]])), t_Parts[[SetupHrsPerMo]:[SetupHrsPerMo]]+(t_Parts[[#This Row],[pv2016.03]]/t_Parts[[NetPPH]:[NetPPH]]),0)</f>
        <v>21.392263986013987</v>
      </c>
      <c r="DH72" s="39">
        <f>IF(AND(BB$3&gt;=VALUE(t_Parts[[SOP]:[SOP]]),BB$3&lt;=VALUE(t_Parts[[EOP]:[EOP]])), t_Parts[[SetupHrsPerMo]:[SetupHrsPerMo]]+(t_Parts[[#This Row],[pv2016.04]]/t_Parts[[NetPPH]:[NetPPH]]),0)</f>
        <v>18.313811188811187</v>
      </c>
      <c r="DI72" s="39">
        <f>IF(AND(BC$3&gt;=VALUE(t_Parts[[SOP]:[SOP]]),BC$3&lt;=VALUE(t_Parts[[EOP]:[EOP]])), t_Parts[[SetupHrsPerMo]:[SetupHrsPerMo]]+(t_Parts[[#This Row],[pv2016.05]]/t_Parts[[NetPPH]:[NetPPH]]),0)</f>
        <v>18.313811188811187</v>
      </c>
      <c r="DJ72" s="39">
        <f>IF(AND(BD$3&gt;=VALUE(t_Parts[[SOP]:[SOP]]),BD$3&lt;=VALUE(t_Parts[[EOP]:[EOP]])), t_Parts[[SetupHrsPerMo]:[SetupHrsPerMo]]+(t_Parts[[#This Row],[pv2016.06]]/t_Parts[[NetPPH]:[NetPPH]]),0)</f>
        <v>21.392263986013987</v>
      </c>
      <c r="DK72" s="39">
        <f>IF(AND(BE$3&gt;=VALUE(t_Parts[[SOP]:[SOP]]),BE$3&lt;=VALUE(t_Parts[[EOP]:[EOP]])), t_Parts[[SetupHrsPerMo]:[SetupHrsPerMo]]+(t_Parts[[#This Row],[pv2016.07]]/t_Parts[[NetPPH]:[NetPPH]]),0)</f>
        <v>18.313811188811187</v>
      </c>
      <c r="DL72" s="39">
        <f>IF(AND(BF$3&gt;=VALUE(t_Parts[[SOP]:[SOP]]),BF$3&lt;=VALUE(t_Parts[[EOP]:[EOP]])), t_Parts[[SetupHrsPerMo]:[SetupHrsPerMo]]+(t_Parts[[#This Row],[pv2016.08]]/t_Parts[[NetPPH]:[NetPPH]]),0)</f>
        <v>18.313811188811187</v>
      </c>
      <c r="DM72" s="39">
        <f>IF(AND(BG$3&gt;=VALUE(t_Parts[[SOP]:[SOP]]),BG$3&lt;=VALUE(t_Parts[[EOP]:[EOP]])), t_Parts[[SetupHrsPerMo]:[SetupHrsPerMo]]+(t_Parts[[#This Row],[pv2016.09]]/t_Parts[[NetPPH]:[NetPPH]]),0)</f>
        <v>21.392263986013987</v>
      </c>
      <c r="DN72" s="39">
        <f>IF(AND(BH$3&gt;=VALUE(t_Parts[[SOP]:[SOP]]),BH$3&lt;=VALUE(t_Parts[[EOP]:[EOP]])), t_Parts[[SetupHrsPerMo]:[SetupHrsPerMo]]+(t_Parts[[#This Row],[pv2016.10]]/t_Parts[[NetPPH]:[NetPPH]]),0)</f>
        <v>18.313811188811187</v>
      </c>
      <c r="DO72" s="39">
        <f>IF(AND(BI$3&gt;=VALUE(t_Parts[[SOP]:[SOP]]),BI$3&lt;=VALUE(t_Parts[[EOP]:[EOP]])), t_Parts[[SetupHrsPerMo]:[SetupHrsPerMo]]+(t_Parts[[#This Row],[pv2016.11]]/t_Parts[[NetPPH]:[NetPPH]]),0)</f>
        <v>18.313811188811187</v>
      </c>
      <c r="DP72" s="39">
        <f>IF(AND(BJ$3&gt;=VALUE(t_Parts[[SOP]:[SOP]]),BJ$3&lt;=VALUE(t_Parts[[EOP]:[EOP]])), t_Parts[[SetupHrsPerMo]:[SetupHrsPerMo]]+(t_Parts[[#This Row],[pv2016.12]]/t_Parts[[NetPPH]:[NetPPH]]),0)</f>
        <v>21.392263986013987</v>
      </c>
      <c r="DQ72" s="39">
        <f>SUM(t_Parts[[#This Row],[hp2016.01]:[hp2016.12]])</f>
        <v>232.07954545454544</v>
      </c>
      <c r="DR72" s="39">
        <f>IF(AND(BL$3&gt;=VALUE(t_Parts[[SOP]:[SOP]]),BL$3&lt;=VALUE(t_Parts[[EOP]:[EOP]])), 12*t_Parts[[SetupHrsPerMo]:[SetupHrsPerMo]]+(t_Parts[[#This Row],[pv2017]]/t_Parts[[NetPPH]:[NetPPH]]),0)</f>
        <v>232.07954545454547</v>
      </c>
      <c r="DS72" s="39">
        <f>IF(AND(BM$3&gt;=VALUE(t_Parts[[SOP]:[SOP]]),BM$3&lt;=VALUE(t_Parts[[EOP]:[EOP]])), 12*t_Parts[[SetupHrsPerMo]:[SetupHrsPerMo]]+(t_Parts[[#This Row],[pv2018]]/t_Parts[[NetPPH]:[NetPPH]]),0)</f>
        <v>232.07954545454547</v>
      </c>
      <c r="DT72" s="39">
        <f>IF(AND(BN$3&gt;=VALUE(t_Parts[[SOP]:[SOP]]),BN$3&lt;=VALUE(t_Parts[[EOP]:[EOP]])), 12*t_Parts[[SetupHrsPerMo]:[SetupHrsPerMo]]+(t_Parts[[#This Row],[pv2019]]/t_Parts[[NetPPH]:[NetPPH]]),0)</f>
        <v>232.07954545454547</v>
      </c>
      <c r="DU72" s="47">
        <f>t_Parts[[#This Row],[hp2015.01]]/t_Parts[[#This Row],[ha2015.01]]</f>
        <v>6.5406468531468517E-2</v>
      </c>
      <c r="DV72" s="47">
        <f>t_Parts[[#This Row],[hp2015.02]]/t_Parts[[#This Row],[ha2015.02]]</f>
        <v>6.5406468531468517E-2</v>
      </c>
      <c r="DW72" s="47">
        <f>t_Parts[[#This Row],[hp2015.03]]/t_Parts[[#This Row],[ha2015.03]]</f>
        <v>6.112075424575425E-2</v>
      </c>
      <c r="DX72" s="47">
        <f>t_Parts[[#This Row],[hp2015.04]]/t_Parts[[#This Row],[ha2015.04]]</f>
        <v>6.5406468531468517E-2</v>
      </c>
      <c r="DY72" s="47">
        <f>t_Parts[[#This Row],[hp2015.05]]/t_Parts[[#This Row],[ha2015.05]]</f>
        <v>6.5406468531468517E-2</v>
      </c>
      <c r="DZ72" s="47">
        <f>t_Parts[[#This Row],[hp2015.06]]/t_Parts[[#This Row],[ha2015.06]]</f>
        <v>6.112075424575425E-2</v>
      </c>
      <c r="EA72" s="47">
        <f>t_Parts[[#This Row],[hp2015.07]]/t_Parts[[#This Row],[ha2015.07]]</f>
        <v>6.5406468531468517E-2</v>
      </c>
      <c r="EB72" s="47">
        <f>t_Parts[[#This Row],[hp2015.08]]/t_Parts[[#This Row],[ha2015.08]]</f>
        <v>6.5406468531468517E-2</v>
      </c>
      <c r="EC72" s="47">
        <f>t_Parts[[#This Row],[hp2015.09]]/t_Parts[[#This Row],[ha2015.09]]</f>
        <v>6.112075424575425E-2</v>
      </c>
      <c r="ED72" s="47">
        <f>t_Parts[[#This Row],[hp2015.10]]/t_Parts[[#This Row],[ha2015.10]]</f>
        <v>6.5406468531468517E-2</v>
      </c>
      <c r="EE72" s="47">
        <f>t_Parts[[#This Row],[hp2015.11]]/t_Parts[[#This Row],[ha2015.11]]</f>
        <v>6.5406468531468517E-2</v>
      </c>
      <c r="EF72" s="47">
        <f>t_Parts[[#This Row],[hp2015.12]]/t_Parts[[#This Row],[ha2015.12]]</f>
        <v>6.112075424575425E-2</v>
      </c>
      <c r="EG72" s="47">
        <f>t_Parts[[#This Row],[hp2015.FY]]/t_Parts[[#This Row],[ha2015.FY]]</f>
        <v>6.3758116883116875E-2</v>
      </c>
      <c r="EH72" s="47">
        <f>t_Parts[[#This Row],[hp2016.01]]/t_Parts[[#This Row],[ha2016.01]]</f>
        <v>6.5406468531468517E-2</v>
      </c>
      <c r="EI72" s="47">
        <f>t_Parts[[#This Row],[hp2016.02]]/t_Parts[[#This Row],[ha2016.02]]</f>
        <v>6.5406468531468517E-2</v>
      </c>
      <c r="EJ72" s="47">
        <f>t_Parts[[#This Row],[hp2016.03]]/t_Parts[[#This Row],[ha2016.03]]</f>
        <v>6.112075424575425E-2</v>
      </c>
      <c r="EK72" s="47">
        <f>t_Parts[[#This Row],[hp2016.04]]/t_Parts[[#This Row],[ha2016.04]]</f>
        <v>6.5406468531468517E-2</v>
      </c>
      <c r="EL72" s="47">
        <f>t_Parts[[#This Row],[hp2016.05]]/t_Parts[[#This Row],[ha2016.05]]</f>
        <v>6.5406468531468517E-2</v>
      </c>
      <c r="EM72" s="47">
        <f>t_Parts[[#This Row],[hp2016.06]]/t_Parts[[#This Row],[ha2016.06]]</f>
        <v>6.112075424575425E-2</v>
      </c>
      <c r="EN72" s="47">
        <f>t_Parts[[#This Row],[hp2016.07]]/t_Parts[[#This Row],[ha2016.07]]</f>
        <v>6.5406468531468517E-2</v>
      </c>
      <c r="EO72" s="47">
        <f>t_Parts[[#This Row],[hp2016.08]]/t_Parts[[#This Row],[ha2016.08]]</f>
        <v>6.5406468531468517E-2</v>
      </c>
      <c r="EP72" s="47">
        <f>t_Parts[[#This Row],[hp2016.09]]/t_Parts[[#This Row],[ha2016.09]]</f>
        <v>6.112075424575425E-2</v>
      </c>
      <c r="EQ72" s="47">
        <f>t_Parts[[#This Row],[hp2016.10]]/t_Parts[[#This Row],[ha2016.10]]</f>
        <v>6.5406468531468517E-2</v>
      </c>
      <c r="ER72" s="47">
        <f>t_Parts[[#This Row],[hp2016.11]]/t_Parts[[#This Row],[ha2016.11]]</f>
        <v>6.5406468531468517E-2</v>
      </c>
      <c r="ES72" s="47">
        <f>t_Parts[[#This Row],[hp2016.12]]/t_Parts[[#This Row],[ha2016.12]]</f>
        <v>6.112075424575425E-2</v>
      </c>
      <c r="ET72" s="47">
        <f>t_Parts[[#This Row],[hp2016.FY]]/t_Parts[[#This Row],[ha2016.FY]]</f>
        <v>6.3758116883116875E-2</v>
      </c>
      <c r="EU72" s="47">
        <f>t_Parts[[#This Row],[hp2017]]/t_Parts[[#This Row],[ha2017]]</f>
        <v>6.3758116883116889E-2</v>
      </c>
      <c r="EV72" s="47">
        <f>t_Parts[[#This Row],[hp2018]]/t_Parts[[#This Row],[ha2018]]</f>
        <v>6.3758116883116889E-2</v>
      </c>
      <c r="EW72" s="47">
        <f>t_Parts[[#This Row],[hp2019]]/t_Parts[[#This Row],[hp2015.01]]</f>
        <v>12.672378406758629</v>
      </c>
      <c r="EX72" s="58">
        <f>(t_Parts[[#This Row],[ha2015.01]]-t_Parts[[#This Row],[hp2015.01]])*t_Parts[[NetPPH]:[NetPPH]]</f>
        <v>138170.30769230769</v>
      </c>
      <c r="EY72" s="58">
        <f>(t_Parts[[#This Row],[ha2015.02]]-t_Parts[[#This Row],[hp2015.02]])*t_Parts[[NetPPH]:[NetPPH]]</f>
        <v>138170.30769230769</v>
      </c>
      <c r="EZ72" s="58">
        <f>(t_Parts[[#This Row],[ha2015.03]]-t_Parts[[#This Row],[hp2015.03]])*t_Parts[[NetPPH]:[NetPPH]]</f>
        <v>173504.88461538462</v>
      </c>
      <c r="FA72" s="58">
        <f>(t_Parts[[#This Row],[ha2015.04]]-t_Parts[[#This Row],[hp2015.04]])*t_Parts[[NetPPH]:[NetPPH]]</f>
        <v>138170.30769230769</v>
      </c>
      <c r="FB72" s="58">
        <f>(t_Parts[[#This Row],[ha2015.05]]-t_Parts[[#This Row],[hp2015.05]])*t_Parts[[NetPPH]:[NetPPH]]</f>
        <v>138170.30769230769</v>
      </c>
      <c r="FC72" s="58">
        <f>(t_Parts[[#This Row],[ha2015.06]]-t_Parts[[#This Row],[hp2015.06]])*t_Parts[[NetPPH]:[NetPPH]]</f>
        <v>173504.88461538462</v>
      </c>
      <c r="FD72" s="58">
        <f>(t_Parts[[#This Row],[ha2015.07]]-t_Parts[[#This Row],[hp2015.07]])*t_Parts[[NetPPH]:[NetPPH]]</f>
        <v>138170.30769230769</v>
      </c>
      <c r="FE72" s="58">
        <f>(t_Parts[[#This Row],[ha2015.08]]-t_Parts[[#This Row],[hp2015.08]])*t_Parts[[NetPPH]:[NetPPH]]</f>
        <v>138170.30769230769</v>
      </c>
      <c r="FF72" s="58">
        <f>(t_Parts[[#This Row],[ha2015.09]]-t_Parts[[#This Row],[hp2015.09]])*t_Parts[[NetPPH]:[NetPPH]]</f>
        <v>173504.88461538462</v>
      </c>
      <c r="FG72" s="58">
        <f>(t_Parts[[#This Row],[ha2015.10]]-t_Parts[[#This Row],[hp2015.10]])*t_Parts[[NetPPH]:[NetPPH]]</f>
        <v>138170.30769230769</v>
      </c>
      <c r="FH72" s="58">
        <f>(t_Parts[[#This Row],[ha2015.11]]-t_Parts[[#This Row],[hp2015.11]])*t_Parts[[NetPPH]:[NetPPH]]</f>
        <v>138170.30769230769</v>
      </c>
      <c r="FI72" s="58">
        <f>(t_Parts[[#This Row],[ha2015.12]]-t_Parts[[#This Row],[hp2015.12]])*t_Parts[[NetPPH]:[NetPPH]]</f>
        <v>173504.88461538462</v>
      </c>
      <c r="FJ72" s="58">
        <f>(t_Parts[[#This Row],[ha2015.FY]]-t_Parts[[#This Row],[hp2015.FY]])*t_Parts[[NetPPH]:[NetPPH]]</f>
        <v>1799382</v>
      </c>
      <c r="FK72" s="58">
        <f>(t_Parts[[#This Row],[ha2016.01]]-t_Parts[[#This Row],[hp2016.01]])*t_Parts[[NetPPH]:[NetPPH]]</f>
        <v>138170.30769230769</v>
      </c>
      <c r="FL72" s="58">
        <f>(t_Parts[[#This Row],[ha2016.02]]-t_Parts[[#This Row],[hp2016.02]])*t_Parts[[NetPPH]:[NetPPH]]</f>
        <v>138170.30769230769</v>
      </c>
      <c r="FM72" s="58">
        <f>(t_Parts[[#This Row],[ha2016.03]]-t_Parts[[#This Row],[hp2016.03]])*t_Parts[[NetPPH]:[NetPPH]]</f>
        <v>173504.88461538462</v>
      </c>
      <c r="FN72" s="58">
        <f>(t_Parts[[#This Row],[ha2016.04]]-t_Parts[[#This Row],[hp2016.04]])*t_Parts[[NetPPH]:[NetPPH]]</f>
        <v>138170.30769230769</v>
      </c>
      <c r="FO72" s="58">
        <f>(t_Parts[[#This Row],[ha2016.05]]-t_Parts[[#This Row],[hp2016.05]])*t_Parts[[NetPPH]:[NetPPH]]</f>
        <v>138170.30769230769</v>
      </c>
      <c r="FP72" s="58">
        <f>(t_Parts[[#This Row],[ha2016.06]]-t_Parts[[#This Row],[hp2016.06]])*t_Parts[[NetPPH]:[NetPPH]]</f>
        <v>173504.88461538462</v>
      </c>
      <c r="FQ72" s="58">
        <f>(t_Parts[[#This Row],[ha2016.07]]-t_Parts[[#This Row],[hp2016.07]])*t_Parts[[NetPPH]:[NetPPH]]</f>
        <v>138170.30769230769</v>
      </c>
      <c r="FR72" s="58">
        <f>(t_Parts[[#This Row],[ha2016.08]]-t_Parts[[#This Row],[hp2016.08]])*t_Parts[[NetPPH]:[NetPPH]]</f>
        <v>138170.30769230769</v>
      </c>
      <c r="FS72" s="58">
        <f>(t_Parts[[#This Row],[ha2016.09]]-t_Parts[[#This Row],[hp2016.09]])*t_Parts[[NetPPH]:[NetPPH]]</f>
        <v>173504.88461538462</v>
      </c>
      <c r="FT72" s="58">
        <f>(t_Parts[[#This Row],[ha2016.10]]-t_Parts[[#This Row],[hp2016.10]])*t_Parts[[NetPPH]:[NetPPH]]</f>
        <v>138170.30769230769</v>
      </c>
      <c r="FU72" s="58">
        <f>(t_Parts[[#This Row],[ha2016.11]]-t_Parts[[#This Row],[hp2016.11]])*t_Parts[[NetPPH]:[NetPPH]]</f>
        <v>138170.30769230769</v>
      </c>
      <c r="FV72" s="58">
        <f>(t_Parts[[#This Row],[ha2016.12]]-t_Parts[[#This Row],[hp2016.12]])*t_Parts[[NetPPH]:[NetPPH]]</f>
        <v>173504.88461538462</v>
      </c>
      <c r="FW72" s="58">
        <f>(t_Parts[[#This Row],[ha2016.FY]]-t_Parts[[#This Row],[hp2016.FY]])*t_Parts[[NetPPH]:[NetPPH]]</f>
        <v>1799382</v>
      </c>
      <c r="FX72" s="58">
        <f>(t_Parts[[#This Row],[ha2017]]-t_Parts[[#This Row],[hp2017]])*t_Parts[[NetPPH]:[NetPPH]]</f>
        <v>1799382</v>
      </c>
      <c r="FY72" s="58">
        <f>(t_Parts[[#This Row],[ha2018]]-t_Parts[[#This Row],[hp2018]])*t_Parts[[NetPPH]:[NetPPH]]</f>
        <v>1799382</v>
      </c>
      <c r="FZ72" s="58">
        <f>(t_Parts[[#This Row],[ha2019]]-t_Parts[[#This Row],[hp2019]])*t_Parts[[NetPPH]:[NetPPH]]</f>
        <v>1799382</v>
      </c>
    </row>
    <row r="73" spans="1:182" s="14" customFormat="1" x14ac:dyDescent="0.25">
      <c r="A73" s="74">
        <v>77011</v>
      </c>
      <c r="B73" s="74"/>
      <c r="C73" s="74">
        <v>21015</v>
      </c>
      <c r="D73" s="75">
        <v>1</v>
      </c>
      <c r="E73" s="73">
        <v>840</v>
      </c>
      <c r="F73" s="76">
        <v>1.5</v>
      </c>
      <c r="G73" s="77">
        <v>4</v>
      </c>
      <c r="H73" s="16">
        <v>2015.01</v>
      </c>
      <c r="I73" s="16" t="s">
        <v>83</v>
      </c>
      <c r="J73" s="73">
        <v>162124</v>
      </c>
      <c r="K73" s="73">
        <v>162124</v>
      </c>
      <c r="L73" s="73">
        <v>162124</v>
      </c>
      <c r="M73" s="73">
        <v>162124</v>
      </c>
      <c r="N73" s="73">
        <v>162124</v>
      </c>
      <c r="O73" s="78">
        <v>72</v>
      </c>
      <c r="P73" s="78">
        <v>234</v>
      </c>
      <c r="Q73" s="79">
        <v>40.86</v>
      </c>
      <c r="R73" s="79"/>
      <c r="S73" s="78">
        <v>530</v>
      </c>
      <c r="T73" s="80">
        <v>26</v>
      </c>
      <c r="U73" s="80" t="s">
        <v>122</v>
      </c>
      <c r="V73" s="81"/>
      <c r="W73" s="82">
        <v>4.03</v>
      </c>
      <c r="X73" s="82" t="s">
        <v>551</v>
      </c>
      <c r="Y73" s="82"/>
      <c r="Z73" s="82"/>
      <c r="AA73" s="82"/>
      <c r="AB73" s="82"/>
      <c r="AC73" s="83" t="s">
        <v>667</v>
      </c>
      <c r="AD73" s="40" t="str">
        <f>VLOOKUP(t_Parts[[#This Row],[Press]],t_Presses[],Press!B$1,FALSE)</f>
        <v>Plainfield</v>
      </c>
      <c r="AE73" s="40" t="str">
        <f>VLOOKUP(t_Parts[[#This Row],[Press]],t_Presses[],Press!E$1,FALSE)</f>
        <v>900-1199</v>
      </c>
      <c r="AF73" s="47">
        <f>VLOOKUP(t_Parts[[#This Row],[Plant]],t_Plants[],Plants!C$1,FALSE)</f>
        <v>0.55000000000000004</v>
      </c>
      <c r="AG73" s="47">
        <f>VLOOKUP(t_Parts[[#This Row],[Press]],t_Presses[],Press!F$1,FALSE)</f>
        <v>0</v>
      </c>
      <c r="AH73" s="84"/>
      <c r="AI73" s="47">
        <f>IF(ISBLANK(t_Parts[[#This Row],[PartOEE]])=FALSE,t_Parts[[#This Row],[PartOEE]], IF(t_Parts[[#This Row],[PressOEE]]&gt;0, t_Parts[[#This Row],[PressOEE]], t_Parts[[#This Row],[PlantOEE]] ))</f>
        <v>0.55000000000000004</v>
      </c>
      <c r="AJ73" s="70">
        <f>t_Parts[[#This Row],[SetupsPerMo]]*t_Parts[[#This Row],[SetupHrs]]</f>
        <v>6</v>
      </c>
      <c r="AK73" s="39">
        <f>(t_Parts[[#This Row],[PartsPerStroke]]*t_Parts[[#This Row],[StrokesPerHr]])*t_Parts[[#This Row],[UseOEE]]</f>
        <v>462.00000000000006</v>
      </c>
      <c r="AL7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12471.076923076922</v>
      </c>
      <c r="AM7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12471.076923076922</v>
      </c>
      <c r="AN7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15588.846153846152</v>
      </c>
      <c r="AO7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12471.076923076922</v>
      </c>
      <c r="AP7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12471.076923076922</v>
      </c>
      <c r="AQ7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15588.846153846152</v>
      </c>
      <c r="AR7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12471.076923076922</v>
      </c>
      <c r="AS7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12471.076923076922</v>
      </c>
      <c r="AT7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15588.846153846152</v>
      </c>
      <c r="AU7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12471.076923076922</v>
      </c>
      <c r="AV7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12471.076923076922</v>
      </c>
      <c r="AW7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15588.846153846152</v>
      </c>
      <c r="AX73" s="39">
        <f>SUM(t_Parts[[#This Row],[pv2015.01]:[pv2015.12]])</f>
        <v>162124.00000000003</v>
      </c>
      <c r="AY7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12471.076923076922</v>
      </c>
      <c r="AZ7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12471.076923076922</v>
      </c>
      <c r="BA7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15588.846153846152</v>
      </c>
      <c r="BB7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12471.076923076922</v>
      </c>
      <c r="BC7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12471.076923076922</v>
      </c>
      <c r="BD7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15588.846153846152</v>
      </c>
      <c r="BE7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12471.076923076922</v>
      </c>
      <c r="BF7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12471.076923076922</v>
      </c>
      <c r="BG7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15588.846153846152</v>
      </c>
      <c r="BH7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12471.076923076922</v>
      </c>
      <c r="BI7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12471.076923076922</v>
      </c>
      <c r="BJ7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15588.846153846152</v>
      </c>
      <c r="BK73" s="39">
        <f>SUM(t_Parts[[#This Row],[pv2016.01]:[pv2016.12]])</f>
        <v>162124.00000000003</v>
      </c>
      <c r="BL73" s="39">
        <f>t_Parts[[#This Row],[2017vol]]</f>
        <v>162124</v>
      </c>
      <c r="BM73" s="39">
        <f>t_Parts[[#This Row],[2018vol]]</f>
        <v>162124</v>
      </c>
      <c r="BN73" s="39">
        <f>t_Parts[[#This Row],[2019vol]]</f>
        <v>162124</v>
      </c>
      <c r="BO73" s="40">
        <f>VLOOKUP(t_Parts[[Plant]:[Plant]],t_Plants[],Plants!CN$1,FALSE)</f>
        <v>280</v>
      </c>
      <c r="BP73" s="14">
        <f>VLOOKUP(t_Parts[[Plant]:[Plant]],t_Plants[],Plants!CO$1,FALSE)</f>
        <v>280</v>
      </c>
      <c r="BQ73" s="14">
        <f>VLOOKUP(t_Parts[[Plant]:[Plant]],t_Plants[],Plants!CP$1,FALSE)</f>
        <v>350</v>
      </c>
      <c r="BR73" s="14">
        <f>VLOOKUP(t_Parts[[Plant]:[Plant]],t_Plants[],Plants!CQ$1,FALSE)</f>
        <v>280</v>
      </c>
      <c r="BS73" s="14">
        <f>VLOOKUP(t_Parts[[Plant]:[Plant]],t_Plants[],Plants!CR$1,FALSE)</f>
        <v>280</v>
      </c>
      <c r="BT73" s="14">
        <f>VLOOKUP(t_Parts[[Plant]:[Plant]],t_Plants[],Plants!CS$1,FALSE)</f>
        <v>350</v>
      </c>
      <c r="BU73" s="14">
        <f>VLOOKUP(t_Parts[[Plant]:[Plant]],t_Plants[],Plants!CT$1,FALSE)</f>
        <v>280</v>
      </c>
      <c r="BV73" s="14">
        <f>VLOOKUP(t_Parts[[Plant]:[Plant]],t_Plants[],Plants!CU$1,FALSE)</f>
        <v>280</v>
      </c>
      <c r="BW73" s="14">
        <f>VLOOKUP(t_Parts[[Plant]:[Plant]],t_Plants[],Plants!CV$1,FALSE)</f>
        <v>350</v>
      </c>
      <c r="BX73" s="14">
        <f>VLOOKUP(t_Parts[[Plant]:[Plant]],t_Plants[],Plants!CW$1,FALSE)</f>
        <v>280</v>
      </c>
      <c r="BY73" s="14">
        <f>VLOOKUP(t_Parts[[Plant]:[Plant]],t_Plants[],Plants!CX$1,FALSE)</f>
        <v>280</v>
      </c>
      <c r="BZ73" s="14">
        <f>VLOOKUP(t_Parts[[Plant]:[Plant]],t_Plants[],Plants!CY$1,FALSE)</f>
        <v>350</v>
      </c>
      <c r="CA73" s="40">
        <f>SUM(t_Parts[[#This Row],[ha2015.01]:[ha2015.12]])</f>
        <v>3640</v>
      </c>
      <c r="CB73" s="14">
        <f>VLOOKUP(t_Parts[[Plant]:[Plant]],t_Plants[],Plants!DA$1,FALSE)</f>
        <v>280</v>
      </c>
      <c r="CC73" s="14">
        <f>VLOOKUP(t_Parts[[Plant]:[Plant]],t_Plants[],Plants!DB$1,FALSE)</f>
        <v>280</v>
      </c>
      <c r="CD73" s="14">
        <f>VLOOKUP(t_Parts[[Plant]:[Plant]],t_Plants[],Plants!DC$1,FALSE)</f>
        <v>350</v>
      </c>
      <c r="CE73" s="14">
        <f>VLOOKUP(t_Parts[[Plant]:[Plant]],t_Plants[],Plants!DD$1,FALSE)</f>
        <v>280</v>
      </c>
      <c r="CF73" s="14">
        <f>VLOOKUP(t_Parts[[Plant]:[Plant]],t_Plants[],Plants!DE$1,FALSE)</f>
        <v>280</v>
      </c>
      <c r="CG73" s="14">
        <f>VLOOKUP(t_Parts[[Plant]:[Plant]],t_Plants[],Plants!DF$1,FALSE)</f>
        <v>350</v>
      </c>
      <c r="CH73" s="14">
        <f>VLOOKUP(t_Parts[[Plant]:[Plant]],t_Plants[],Plants!DG$1,FALSE)</f>
        <v>280</v>
      </c>
      <c r="CI73" s="14">
        <f>VLOOKUP(t_Parts[[Plant]:[Plant]],t_Plants[],Plants!DH$1,FALSE)</f>
        <v>280</v>
      </c>
      <c r="CJ73" s="14">
        <f>VLOOKUP(t_Parts[[Plant]:[Plant]],t_Plants[],Plants!DI$1,FALSE)</f>
        <v>350</v>
      </c>
      <c r="CK73" s="14">
        <f>VLOOKUP(t_Parts[[Plant]:[Plant]],t_Plants[],Plants!DJ$1,FALSE)</f>
        <v>280</v>
      </c>
      <c r="CL73" s="14">
        <f>VLOOKUP(t_Parts[[Plant]:[Plant]],t_Plants[],Plants!DK$1,FALSE)</f>
        <v>280</v>
      </c>
      <c r="CM73" s="14">
        <f>VLOOKUP(t_Parts[[Plant]:[Plant]],t_Plants[],Plants!DL$1,FALSE)</f>
        <v>350</v>
      </c>
      <c r="CN73" s="14">
        <f>VLOOKUP(t_Parts[[Plant]:[Plant]],t_Plants[],Plants!DM$1,FALSE)</f>
        <v>3640</v>
      </c>
      <c r="CO73" s="14">
        <f>VLOOKUP(t_Parts[[Plant]:[Plant]],t_Plants[],Plants!DN$1,FALSE)</f>
        <v>3640</v>
      </c>
      <c r="CP73" s="14">
        <f>VLOOKUP(t_Parts[[Plant]:[Plant]],t_Plants[],Plants!DO$1,FALSE)</f>
        <v>3640</v>
      </c>
      <c r="CQ73" s="14">
        <f>VLOOKUP(t_Parts[[Plant]:[Plant]],t_Plants[],Plants!DP$1,FALSE)</f>
        <v>3640</v>
      </c>
      <c r="CR73" s="39">
        <f>IF(AND(AL$3&gt;=VALUE(t_Parts[[SOP]:[SOP]]),AL$3&lt;=VALUE(t_Parts[[EOP]:[EOP]])), t_Parts[[SetupHrsPerMo]:[SetupHrsPerMo]]+(t_Parts[[#This Row],[pv2015.01]]/t_Parts[[NetPPH]:[NetPPH]]),0)</f>
        <v>32.993672993672988</v>
      </c>
      <c r="CS73" s="39">
        <f>IF(AND(AM$3&gt;=VALUE(t_Parts[[SOP]:[SOP]]),AM$3&lt;=VALUE(t_Parts[[EOP]:[EOP]])), t_Parts[[SetupHrsPerMo]:[SetupHrsPerMo]]+(t_Parts[[#This Row],[pv2015.02]]/t_Parts[[NetPPH]:[NetPPH]]),0)</f>
        <v>32.993672993672988</v>
      </c>
      <c r="CT73" s="39">
        <f>IF(AND(AN$3&gt;=VALUE(t_Parts[[SOP]:[SOP]]),AN$3&lt;=VALUE(t_Parts[[EOP]:[EOP]])), t_Parts[[SetupHrsPerMo]:[SetupHrsPerMo]]+(t_Parts[[#This Row],[pv2015.03]]/t_Parts[[NetPPH]:[NetPPH]]),0)</f>
        <v>39.742091242091234</v>
      </c>
      <c r="CU73" s="39">
        <f>IF(AND(AO$3&gt;=VALUE(t_Parts[[SOP]:[SOP]]),AO$3&lt;=VALUE(t_Parts[[EOP]:[EOP]])), t_Parts[[SetupHrsPerMo]:[SetupHrsPerMo]]+(t_Parts[[#This Row],[pv2015.04]]/t_Parts[[NetPPH]:[NetPPH]]),0)</f>
        <v>32.993672993672988</v>
      </c>
      <c r="CV73" s="39">
        <f>IF(AND(AP$3&gt;=VALUE(t_Parts[[SOP]:[SOP]]),AP$3&lt;=VALUE(t_Parts[[EOP]:[EOP]])), t_Parts[[SetupHrsPerMo]:[SetupHrsPerMo]]+(t_Parts[[#This Row],[pv2015.05]]/t_Parts[[NetPPH]:[NetPPH]]),0)</f>
        <v>32.993672993672988</v>
      </c>
      <c r="CW73" s="39">
        <f>IF(AND(AQ$3&gt;=VALUE(t_Parts[[SOP]:[SOP]]),AQ$3&lt;=VALUE(t_Parts[[EOP]:[EOP]])), t_Parts[[SetupHrsPerMo]:[SetupHrsPerMo]]+(t_Parts[[#This Row],[pv2015.06]]/t_Parts[[NetPPH]:[NetPPH]]),0)</f>
        <v>39.742091242091234</v>
      </c>
      <c r="CX73" s="39">
        <f>IF(AND(AR$3&gt;=VALUE(t_Parts[[SOP]:[SOP]]),AR$3&lt;=VALUE(t_Parts[[EOP]:[EOP]])), t_Parts[[SetupHrsPerMo]:[SetupHrsPerMo]]+(t_Parts[[#This Row],[pv2015.07]]/t_Parts[[NetPPH]:[NetPPH]]),0)</f>
        <v>32.993672993672988</v>
      </c>
      <c r="CY73" s="39">
        <f>IF(AND(AS$3&gt;=VALUE(t_Parts[[SOP]:[SOP]]),AS$3&lt;=VALUE(t_Parts[[EOP]:[EOP]])), t_Parts[[SetupHrsPerMo]:[SetupHrsPerMo]]+(t_Parts[[#This Row],[pv2015.08]]/t_Parts[[NetPPH]:[NetPPH]]),0)</f>
        <v>32.993672993672988</v>
      </c>
      <c r="CZ73" s="39">
        <f>IF(AND(AT$3&gt;=VALUE(t_Parts[[SOP]:[SOP]]),AT$3&lt;=VALUE(t_Parts[[EOP]:[EOP]])), t_Parts[[SetupHrsPerMo]:[SetupHrsPerMo]]+(t_Parts[[#This Row],[pv2015.09]]/t_Parts[[NetPPH]:[NetPPH]]),0)</f>
        <v>39.742091242091234</v>
      </c>
      <c r="DA73" s="39">
        <f>IF(AND(AU$3&gt;=VALUE(t_Parts[[SOP]:[SOP]]),AU$3&lt;=VALUE(t_Parts[[EOP]:[EOP]])), t_Parts[[SetupHrsPerMo]:[SetupHrsPerMo]]+(t_Parts[[#This Row],[pv2015.10]]/t_Parts[[NetPPH]:[NetPPH]]),0)</f>
        <v>32.993672993672988</v>
      </c>
      <c r="DB73" s="39">
        <f>IF(AND(AV$3&gt;=VALUE(t_Parts[[SOP]:[SOP]]),AV$3&lt;=VALUE(t_Parts[[EOP]:[EOP]])), t_Parts[[SetupHrsPerMo]:[SetupHrsPerMo]]+(t_Parts[[#This Row],[pv2015.11]]/t_Parts[[NetPPH]:[NetPPH]]),0)</f>
        <v>32.993672993672988</v>
      </c>
      <c r="DC73" s="39">
        <f>IF(AND(AW$3&gt;=VALUE(t_Parts[[SOP]:[SOP]]),AW$3&lt;=VALUE(t_Parts[[EOP]:[EOP]])), t_Parts[[SetupHrsPerMo]:[SetupHrsPerMo]]+(t_Parts[[#This Row],[pv2015.12]]/t_Parts[[NetPPH]:[NetPPH]]),0)</f>
        <v>39.742091242091234</v>
      </c>
      <c r="DD73" s="39">
        <f>SUM(t_Parts[[#This Row],[hp2015.01]:[hp2015.12]])</f>
        <v>422.9177489177489</v>
      </c>
      <c r="DE73" s="39">
        <f>IF(AND(AY$3&gt;=VALUE(t_Parts[[SOP]:[SOP]]),AY$3&lt;=VALUE(t_Parts[[EOP]:[EOP]])), t_Parts[[SetupHrsPerMo]:[SetupHrsPerMo]]+(t_Parts[[#This Row],[pv2016.01]]/t_Parts[[NetPPH]:[NetPPH]]),0)</f>
        <v>32.993672993672988</v>
      </c>
      <c r="DF73" s="39">
        <f>IF(AND(AZ$3&gt;=VALUE(t_Parts[[SOP]:[SOP]]),AZ$3&lt;=VALUE(t_Parts[[EOP]:[EOP]])), t_Parts[[SetupHrsPerMo]:[SetupHrsPerMo]]+(t_Parts[[#This Row],[pv2016.02]]/t_Parts[[NetPPH]:[NetPPH]]),0)</f>
        <v>32.993672993672988</v>
      </c>
      <c r="DG73" s="39">
        <f>IF(AND(BA$3&gt;=VALUE(t_Parts[[SOP]:[SOP]]),BA$3&lt;=VALUE(t_Parts[[EOP]:[EOP]])), t_Parts[[SetupHrsPerMo]:[SetupHrsPerMo]]+(t_Parts[[#This Row],[pv2016.03]]/t_Parts[[NetPPH]:[NetPPH]]),0)</f>
        <v>39.742091242091234</v>
      </c>
      <c r="DH73" s="39">
        <f>IF(AND(BB$3&gt;=VALUE(t_Parts[[SOP]:[SOP]]),BB$3&lt;=VALUE(t_Parts[[EOP]:[EOP]])), t_Parts[[SetupHrsPerMo]:[SetupHrsPerMo]]+(t_Parts[[#This Row],[pv2016.04]]/t_Parts[[NetPPH]:[NetPPH]]),0)</f>
        <v>32.993672993672988</v>
      </c>
      <c r="DI73" s="39">
        <f>IF(AND(BC$3&gt;=VALUE(t_Parts[[SOP]:[SOP]]),BC$3&lt;=VALUE(t_Parts[[EOP]:[EOP]])), t_Parts[[SetupHrsPerMo]:[SetupHrsPerMo]]+(t_Parts[[#This Row],[pv2016.05]]/t_Parts[[NetPPH]:[NetPPH]]),0)</f>
        <v>32.993672993672988</v>
      </c>
      <c r="DJ73" s="39">
        <f>IF(AND(BD$3&gt;=VALUE(t_Parts[[SOP]:[SOP]]),BD$3&lt;=VALUE(t_Parts[[EOP]:[EOP]])), t_Parts[[SetupHrsPerMo]:[SetupHrsPerMo]]+(t_Parts[[#This Row],[pv2016.06]]/t_Parts[[NetPPH]:[NetPPH]]),0)</f>
        <v>39.742091242091234</v>
      </c>
      <c r="DK73" s="39">
        <f>IF(AND(BE$3&gt;=VALUE(t_Parts[[SOP]:[SOP]]),BE$3&lt;=VALUE(t_Parts[[EOP]:[EOP]])), t_Parts[[SetupHrsPerMo]:[SetupHrsPerMo]]+(t_Parts[[#This Row],[pv2016.07]]/t_Parts[[NetPPH]:[NetPPH]]),0)</f>
        <v>32.993672993672988</v>
      </c>
      <c r="DL73" s="39">
        <f>IF(AND(BF$3&gt;=VALUE(t_Parts[[SOP]:[SOP]]),BF$3&lt;=VALUE(t_Parts[[EOP]:[EOP]])), t_Parts[[SetupHrsPerMo]:[SetupHrsPerMo]]+(t_Parts[[#This Row],[pv2016.08]]/t_Parts[[NetPPH]:[NetPPH]]),0)</f>
        <v>32.993672993672988</v>
      </c>
      <c r="DM73" s="39">
        <f>IF(AND(BG$3&gt;=VALUE(t_Parts[[SOP]:[SOP]]),BG$3&lt;=VALUE(t_Parts[[EOP]:[EOP]])), t_Parts[[SetupHrsPerMo]:[SetupHrsPerMo]]+(t_Parts[[#This Row],[pv2016.09]]/t_Parts[[NetPPH]:[NetPPH]]),0)</f>
        <v>39.742091242091234</v>
      </c>
      <c r="DN73" s="39">
        <f>IF(AND(BH$3&gt;=VALUE(t_Parts[[SOP]:[SOP]]),BH$3&lt;=VALUE(t_Parts[[EOP]:[EOP]])), t_Parts[[SetupHrsPerMo]:[SetupHrsPerMo]]+(t_Parts[[#This Row],[pv2016.10]]/t_Parts[[NetPPH]:[NetPPH]]),0)</f>
        <v>32.993672993672988</v>
      </c>
      <c r="DO73" s="39">
        <f>IF(AND(BI$3&gt;=VALUE(t_Parts[[SOP]:[SOP]]),BI$3&lt;=VALUE(t_Parts[[EOP]:[EOP]])), t_Parts[[SetupHrsPerMo]:[SetupHrsPerMo]]+(t_Parts[[#This Row],[pv2016.11]]/t_Parts[[NetPPH]:[NetPPH]]),0)</f>
        <v>32.993672993672988</v>
      </c>
      <c r="DP73" s="39">
        <f>IF(AND(BJ$3&gt;=VALUE(t_Parts[[SOP]:[SOP]]),BJ$3&lt;=VALUE(t_Parts[[EOP]:[EOP]])), t_Parts[[SetupHrsPerMo]:[SetupHrsPerMo]]+(t_Parts[[#This Row],[pv2016.12]]/t_Parts[[NetPPH]:[NetPPH]]),0)</f>
        <v>39.742091242091234</v>
      </c>
      <c r="DQ73" s="39">
        <f>SUM(t_Parts[[#This Row],[hp2016.01]:[hp2016.12]])</f>
        <v>422.9177489177489</v>
      </c>
      <c r="DR73" s="39">
        <f>IF(AND(BL$3&gt;=VALUE(t_Parts[[SOP]:[SOP]]),BL$3&lt;=VALUE(t_Parts[[EOP]:[EOP]])), 12*t_Parts[[SetupHrsPerMo]:[SetupHrsPerMo]]+(t_Parts[[#This Row],[pv2017]]/t_Parts[[NetPPH]:[NetPPH]]),0)</f>
        <v>422.9177489177489</v>
      </c>
      <c r="DS73" s="39">
        <f>IF(AND(BM$3&gt;=VALUE(t_Parts[[SOP]:[SOP]]),BM$3&lt;=VALUE(t_Parts[[EOP]:[EOP]])), 12*t_Parts[[SetupHrsPerMo]:[SetupHrsPerMo]]+(t_Parts[[#This Row],[pv2018]]/t_Parts[[NetPPH]:[NetPPH]]),0)</f>
        <v>422.9177489177489</v>
      </c>
      <c r="DT73" s="39">
        <f>IF(AND(BN$3&gt;=VALUE(t_Parts[[SOP]:[SOP]]),BN$3&lt;=VALUE(t_Parts[[EOP]:[EOP]])), 12*t_Parts[[SetupHrsPerMo]:[SetupHrsPerMo]]+(t_Parts[[#This Row],[pv2019]]/t_Parts[[NetPPH]:[NetPPH]]),0)</f>
        <v>422.9177489177489</v>
      </c>
      <c r="DU73" s="47">
        <f>t_Parts[[#This Row],[hp2015.01]]/t_Parts[[#This Row],[ha2015.01]]</f>
        <v>0.11783454640597496</v>
      </c>
      <c r="DV73" s="47">
        <f>t_Parts[[#This Row],[hp2015.02]]/t_Parts[[#This Row],[ha2015.02]]</f>
        <v>0.11783454640597496</v>
      </c>
      <c r="DW73" s="47">
        <f>t_Parts[[#This Row],[hp2015.03]]/t_Parts[[#This Row],[ha2015.03]]</f>
        <v>0.11354883212026066</v>
      </c>
      <c r="DX73" s="47">
        <f>t_Parts[[#This Row],[hp2015.04]]/t_Parts[[#This Row],[ha2015.04]]</f>
        <v>0.11783454640597496</v>
      </c>
      <c r="DY73" s="47">
        <f>t_Parts[[#This Row],[hp2015.05]]/t_Parts[[#This Row],[ha2015.05]]</f>
        <v>0.11783454640597496</v>
      </c>
      <c r="DZ73" s="47">
        <f>t_Parts[[#This Row],[hp2015.06]]/t_Parts[[#This Row],[ha2015.06]]</f>
        <v>0.11354883212026066</v>
      </c>
      <c r="EA73" s="47">
        <f>t_Parts[[#This Row],[hp2015.07]]/t_Parts[[#This Row],[ha2015.07]]</f>
        <v>0.11783454640597496</v>
      </c>
      <c r="EB73" s="47">
        <f>t_Parts[[#This Row],[hp2015.08]]/t_Parts[[#This Row],[ha2015.08]]</f>
        <v>0.11783454640597496</v>
      </c>
      <c r="EC73" s="47">
        <f>t_Parts[[#This Row],[hp2015.09]]/t_Parts[[#This Row],[ha2015.09]]</f>
        <v>0.11354883212026066</v>
      </c>
      <c r="ED73" s="47">
        <f>t_Parts[[#This Row],[hp2015.10]]/t_Parts[[#This Row],[ha2015.10]]</f>
        <v>0.11783454640597496</v>
      </c>
      <c r="EE73" s="47">
        <f>t_Parts[[#This Row],[hp2015.11]]/t_Parts[[#This Row],[ha2015.11]]</f>
        <v>0.11783454640597496</v>
      </c>
      <c r="EF73" s="47">
        <f>t_Parts[[#This Row],[hp2015.12]]/t_Parts[[#This Row],[ha2015.12]]</f>
        <v>0.11354883212026066</v>
      </c>
      <c r="EG73" s="47">
        <f>t_Parts[[#This Row],[hp2015.FY]]/t_Parts[[#This Row],[ha2015.FY]]</f>
        <v>0.11618619475762332</v>
      </c>
      <c r="EH73" s="47">
        <f>t_Parts[[#This Row],[hp2016.01]]/t_Parts[[#This Row],[ha2016.01]]</f>
        <v>0.11783454640597496</v>
      </c>
      <c r="EI73" s="47">
        <f>t_Parts[[#This Row],[hp2016.02]]/t_Parts[[#This Row],[ha2016.02]]</f>
        <v>0.11783454640597496</v>
      </c>
      <c r="EJ73" s="47">
        <f>t_Parts[[#This Row],[hp2016.03]]/t_Parts[[#This Row],[ha2016.03]]</f>
        <v>0.11354883212026066</v>
      </c>
      <c r="EK73" s="47">
        <f>t_Parts[[#This Row],[hp2016.04]]/t_Parts[[#This Row],[ha2016.04]]</f>
        <v>0.11783454640597496</v>
      </c>
      <c r="EL73" s="47">
        <f>t_Parts[[#This Row],[hp2016.05]]/t_Parts[[#This Row],[ha2016.05]]</f>
        <v>0.11783454640597496</v>
      </c>
      <c r="EM73" s="47">
        <f>t_Parts[[#This Row],[hp2016.06]]/t_Parts[[#This Row],[ha2016.06]]</f>
        <v>0.11354883212026066</v>
      </c>
      <c r="EN73" s="47">
        <f>t_Parts[[#This Row],[hp2016.07]]/t_Parts[[#This Row],[ha2016.07]]</f>
        <v>0.11783454640597496</v>
      </c>
      <c r="EO73" s="47">
        <f>t_Parts[[#This Row],[hp2016.08]]/t_Parts[[#This Row],[ha2016.08]]</f>
        <v>0.11783454640597496</v>
      </c>
      <c r="EP73" s="47">
        <f>t_Parts[[#This Row],[hp2016.09]]/t_Parts[[#This Row],[ha2016.09]]</f>
        <v>0.11354883212026066</v>
      </c>
      <c r="EQ73" s="47">
        <f>t_Parts[[#This Row],[hp2016.10]]/t_Parts[[#This Row],[ha2016.10]]</f>
        <v>0.11783454640597496</v>
      </c>
      <c r="ER73" s="47">
        <f>t_Parts[[#This Row],[hp2016.11]]/t_Parts[[#This Row],[ha2016.11]]</f>
        <v>0.11783454640597496</v>
      </c>
      <c r="ES73" s="47">
        <f>t_Parts[[#This Row],[hp2016.12]]/t_Parts[[#This Row],[ha2016.12]]</f>
        <v>0.11354883212026066</v>
      </c>
      <c r="ET73" s="47">
        <f>t_Parts[[#This Row],[hp2016.FY]]/t_Parts[[#This Row],[ha2016.FY]]</f>
        <v>0.11618619475762332</v>
      </c>
      <c r="EU73" s="47">
        <f>t_Parts[[#This Row],[hp2017]]/t_Parts[[#This Row],[ha2017]]</f>
        <v>0.11618619475762332</v>
      </c>
      <c r="EV73" s="47">
        <f>t_Parts[[#This Row],[hp2018]]/t_Parts[[#This Row],[ha2018]]</f>
        <v>0.11618619475762332</v>
      </c>
      <c r="EW73" s="47">
        <f>t_Parts[[#This Row],[hp2019]]/t_Parts[[#This Row],[hp2015.01]]</f>
        <v>12.818146951958015</v>
      </c>
      <c r="EX73" s="58">
        <f>(t_Parts[[#This Row],[ha2015.01]]-t_Parts[[#This Row],[hp2015.01]])*t_Parts[[NetPPH]:[NetPPH]]</f>
        <v>114116.92307692309</v>
      </c>
      <c r="EY73" s="58">
        <f>(t_Parts[[#This Row],[ha2015.02]]-t_Parts[[#This Row],[hp2015.02]])*t_Parts[[NetPPH]:[NetPPH]]</f>
        <v>114116.92307692309</v>
      </c>
      <c r="EZ73" s="58">
        <f>(t_Parts[[#This Row],[ha2015.03]]-t_Parts[[#This Row],[hp2015.03]])*t_Parts[[NetPPH]:[NetPPH]]</f>
        <v>143339.15384615387</v>
      </c>
      <c r="FA73" s="58">
        <f>(t_Parts[[#This Row],[ha2015.04]]-t_Parts[[#This Row],[hp2015.04]])*t_Parts[[NetPPH]:[NetPPH]]</f>
        <v>114116.92307692309</v>
      </c>
      <c r="FB73" s="58">
        <f>(t_Parts[[#This Row],[ha2015.05]]-t_Parts[[#This Row],[hp2015.05]])*t_Parts[[NetPPH]:[NetPPH]]</f>
        <v>114116.92307692309</v>
      </c>
      <c r="FC73" s="58">
        <f>(t_Parts[[#This Row],[ha2015.06]]-t_Parts[[#This Row],[hp2015.06]])*t_Parts[[NetPPH]:[NetPPH]]</f>
        <v>143339.15384615387</v>
      </c>
      <c r="FD73" s="58">
        <f>(t_Parts[[#This Row],[ha2015.07]]-t_Parts[[#This Row],[hp2015.07]])*t_Parts[[NetPPH]:[NetPPH]]</f>
        <v>114116.92307692309</v>
      </c>
      <c r="FE73" s="58">
        <f>(t_Parts[[#This Row],[ha2015.08]]-t_Parts[[#This Row],[hp2015.08]])*t_Parts[[NetPPH]:[NetPPH]]</f>
        <v>114116.92307692309</v>
      </c>
      <c r="FF73" s="58">
        <f>(t_Parts[[#This Row],[ha2015.09]]-t_Parts[[#This Row],[hp2015.09]])*t_Parts[[NetPPH]:[NetPPH]]</f>
        <v>143339.15384615387</v>
      </c>
      <c r="FG73" s="58">
        <f>(t_Parts[[#This Row],[ha2015.10]]-t_Parts[[#This Row],[hp2015.10]])*t_Parts[[NetPPH]:[NetPPH]]</f>
        <v>114116.92307692309</v>
      </c>
      <c r="FH73" s="58">
        <f>(t_Parts[[#This Row],[ha2015.11]]-t_Parts[[#This Row],[hp2015.11]])*t_Parts[[NetPPH]:[NetPPH]]</f>
        <v>114116.92307692309</v>
      </c>
      <c r="FI73" s="58">
        <f>(t_Parts[[#This Row],[ha2015.12]]-t_Parts[[#This Row],[hp2015.12]])*t_Parts[[NetPPH]:[NetPPH]]</f>
        <v>143339.15384615387</v>
      </c>
      <c r="FJ73" s="58">
        <f>(t_Parts[[#This Row],[ha2015.FY]]-t_Parts[[#This Row],[hp2015.FY]])*t_Parts[[NetPPH]:[NetPPH]]</f>
        <v>1486292</v>
      </c>
      <c r="FK73" s="58">
        <f>(t_Parts[[#This Row],[ha2016.01]]-t_Parts[[#This Row],[hp2016.01]])*t_Parts[[NetPPH]:[NetPPH]]</f>
        <v>114116.92307692309</v>
      </c>
      <c r="FL73" s="58">
        <f>(t_Parts[[#This Row],[ha2016.02]]-t_Parts[[#This Row],[hp2016.02]])*t_Parts[[NetPPH]:[NetPPH]]</f>
        <v>114116.92307692309</v>
      </c>
      <c r="FM73" s="58">
        <f>(t_Parts[[#This Row],[ha2016.03]]-t_Parts[[#This Row],[hp2016.03]])*t_Parts[[NetPPH]:[NetPPH]]</f>
        <v>143339.15384615387</v>
      </c>
      <c r="FN73" s="58">
        <f>(t_Parts[[#This Row],[ha2016.04]]-t_Parts[[#This Row],[hp2016.04]])*t_Parts[[NetPPH]:[NetPPH]]</f>
        <v>114116.92307692309</v>
      </c>
      <c r="FO73" s="58">
        <f>(t_Parts[[#This Row],[ha2016.05]]-t_Parts[[#This Row],[hp2016.05]])*t_Parts[[NetPPH]:[NetPPH]]</f>
        <v>114116.92307692309</v>
      </c>
      <c r="FP73" s="58">
        <f>(t_Parts[[#This Row],[ha2016.06]]-t_Parts[[#This Row],[hp2016.06]])*t_Parts[[NetPPH]:[NetPPH]]</f>
        <v>143339.15384615387</v>
      </c>
      <c r="FQ73" s="58">
        <f>(t_Parts[[#This Row],[ha2016.07]]-t_Parts[[#This Row],[hp2016.07]])*t_Parts[[NetPPH]:[NetPPH]]</f>
        <v>114116.92307692309</v>
      </c>
      <c r="FR73" s="58">
        <f>(t_Parts[[#This Row],[ha2016.08]]-t_Parts[[#This Row],[hp2016.08]])*t_Parts[[NetPPH]:[NetPPH]]</f>
        <v>114116.92307692309</v>
      </c>
      <c r="FS73" s="58">
        <f>(t_Parts[[#This Row],[ha2016.09]]-t_Parts[[#This Row],[hp2016.09]])*t_Parts[[NetPPH]:[NetPPH]]</f>
        <v>143339.15384615387</v>
      </c>
      <c r="FT73" s="58">
        <f>(t_Parts[[#This Row],[ha2016.10]]-t_Parts[[#This Row],[hp2016.10]])*t_Parts[[NetPPH]:[NetPPH]]</f>
        <v>114116.92307692309</v>
      </c>
      <c r="FU73" s="58">
        <f>(t_Parts[[#This Row],[ha2016.11]]-t_Parts[[#This Row],[hp2016.11]])*t_Parts[[NetPPH]:[NetPPH]]</f>
        <v>114116.92307692309</v>
      </c>
      <c r="FV73" s="58">
        <f>(t_Parts[[#This Row],[ha2016.12]]-t_Parts[[#This Row],[hp2016.12]])*t_Parts[[NetPPH]:[NetPPH]]</f>
        <v>143339.15384615387</v>
      </c>
      <c r="FW73" s="58">
        <f>(t_Parts[[#This Row],[ha2016.FY]]-t_Parts[[#This Row],[hp2016.FY]])*t_Parts[[NetPPH]:[NetPPH]]</f>
        <v>1486292</v>
      </c>
      <c r="FX73" s="58">
        <f>(t_Parts[[#This Row],[ha2017]]-t_Parts[[#This Row],[hp2017]])*t_Parts[[NetPPH]:[NetPPH]]</f>
        <v>1486292</v>
      </c>
      <c r="FY73" s="58">
        <f>(t_Parts[[#This Row],[ha2018]]-t_Parts[[#This Row],[hp2018]])*t_Parts[[NetPPH]:[NetPPH]]</f>
        <v>1486292</v>
      </c>
      <c r="FZ73" s="58">
        <f>(t_Parts[[#This Row],[ha2019]]-t_Parts[[#This Row],[hp2019]])*t_Parts[[NetPPH]:[NetPPH]]</f>
        <v>1486292</v>
      </c>
    </row>
    <row r="74" spans="1:182" s="14" customFormat="1" x14ac:dyDescent="0.25">
      <c r="A74" s="74">
        <v>77005</v>
      </c>
      <c r="B74" s="74"/>
      <c r="C74" s="74">
        <v>21015</v>
      </c>
      <c r="D74" s="75">
        <v>1</v>
      </c>
      <c r="E74" s="73">
        <v>720</v>
      </c>
      <c r="F74" s="76">
        <v>1.5</v>
      </c>
      <c r="G74" s="77">
        <v>4</v>
      </c>
      <c r="H74" s="16">
        <v>2015.01</v>
      </c>
      <c r="I74" s="16" t="s">
        <v>92</v>
      </c>
      <c r="J74" s="73">
        <v>77602</v>
      </c>
      <c r="K74" s="73">
        <v>77602</v>
      </c>
      <c r="L74" s="73">
        <v>77602</v>
      </c>
      <c r="M74" s="73">
        <v>77602</v>
      </c>
      <c r="N74" s="73">
        <v>77602</v>
      </c>
      <c r="O74" s="78">
        <v>72</v>
      </c>
      <c r="P74" s="78">
        <v>240</v>
      </c>
      <c r="Q74" s="79">
        <v>40.825000000000003</v>
      </c>
      <c r="R74" s="79"/>
      <c r="S74" s="78">
        <v>750</v>
      </c>
      <c r="T74" s="80">
        <v>25.5</v>
      </c>
      <c r="U74" s="80" t="s">
        <v>122</v>
      </c>
      <c r="V74" s="81" t="s">
        <v>581</v>
      </c>
      <c r="W74" s="82">
        <v>13</v>
      </c>
      <c r="X74" s="82" t="s">
        <v>551</v>
      </c>
      <c r="Y74" s="82"/>
      <c r="Z74" s="82"/>
      <c r="AA74" s="82"/>
      <c r="AB74" s="82"/>
      <c r="AC74" s="83" t="s">
        <v>667</v>
      </c>
      <c r="AD74" s="40" t="str">
        <f>VLOOKUP(t_Parts[[#This Row],[Press]],t_Presses[],Press!B$1,FALSE)</f>
        <v>Plainfield</v>
      </c>
      <c r="AE74" s="40" t="str">
        <f>VLOOKUP(t_Parts[[#This Row],[Press]],t_Presses[],Press!E$1,FALSE)</f>
        <v>900-1199</v>
      </c>
      <c r="AF74" s="47">
        <f>VLOOKUP(t_Parts[[#This Row],[Plant]],t_Plants[],Plants!C$1,FALSE)</f>
        <v>0.55000000000000004</v>
      </c>
      <c r="AG74" s="47">
        <f>VLOOKUP(t_Parts[[#This Row],[Press]],t_Presses[],Press!F$1,FALSE)</f>
        <v>0</v>
      </c>
      <c r="AH74" s="84"/>
      <c r="AI74" s="47">
        <f>IF(ISBLANK(t_Parts[[#This Row],[PartOEE]])=FALSE,t_Parts[[#This Row],[PartOEE]], IF(t_Parts[[#This Row],[PressOEE]]&gt;0, t_Parts[[#This Row],[PressOEE]], t_Parts[[#This Row],[PlantOEE]] ))</f>
        <v>0.55000000000000004</v>
      </c>
      <c r="AJ74" s="70">
        <f>t_Parts[[#This Row],[SetupsPerMo]]*t_Parts[[#This Row],[SetupHrs]]</f>
        <v>6</v>
      </c>
      <c r="AK74" s="39">
        <f>(t_Parts[[#This Row],[PartsPerStroke]]*t_Parts[[#This Row],[StrokesPerHr]])*t_Parts[[#This Row],[UseOEE]]</f>
        <v>396.00000000000006</v>
      </c>
      <c r="AL7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5969.3846153846152</v>
      </c>
      <c r="AM7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5969.3846153846152</v>
      </c>
      <c r="AN7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7461.7307692307686</v>
      </c>
      <c r="AO7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5969.3846153846152</v>
      </c>
      <c r="AP7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5969.3846153846152</v>
      </c>
      <c r="AQ7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7461.7307692307686</v>
      </c>
      <c r="AR7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5969.3846153846152</v>
      </c>
      <c r="AS7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5969.3846153846152</v>
      </c>
      <c r="AT7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7461.7307692307686</v>
      </c>
      <c r="AU7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5969.3846153846152</v>
      </c>
      <c r="AV7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5969.3846153846152</v>
      </c>
      <c r="AW7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7461.7307692307686</v>
      </c>
      <c r="AX74" s="39">
        <f>SUM(t_Parts[[#This Row],[pv2015.01]:[pv2015.12]])</f>
        <v>77602</v>
      </c>
      <c r="AY7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7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7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7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7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7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7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7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7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7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7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7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74" s="39">
        <f>SUM(t_Parts[[#This Row],[pv2016.01]:[pv2016.12]])</f>
        <v>0</v>
      </c>
      <c r="BL74" s="39">
        <f>t_Parts[[#This Row],[2017vol]]</f>
        <v>77602</v>
      </c>
      <c r="BM74" s="39">
        <f>t_Parts[[#This Row],[2018vol]]</f>
        <v>77602</v>
      </c>
      <c r="BN74" s="39">
        <f>t_Parts[[#This Row],[2019vol]]</f>
        <v>77602</v>
      </c>
      <c r="BO74" s="40">
        <f>VLOOKUP(t_Parts[[Plant]:[Plant]],t_Plants[],Plants!CN$1,FALSE)</f>
        <v>280</v>
      </c>
      <c r="BP74" s="14">
        <f>VLOOKUP(t_Parts[[Plant]:[Plant]],t_Plants[],Plants!CO$1,FALSE)</f>
        <v>280</v>
      </c>
      <c r="BQ74" s="14">
        <f>VLOOKUP(t_Parts[[Plant]:[Plant]],t_Plants[],Plants!CP$1,FALSE)</f>
        <v>350</v>
      </c>
      <c r="BR74" s="14">
        <f>VLOOKUP(t_Parts[[Plant]:[Plant]],t_Plants[],Plants!CQ$1,FALSE)</f>
        <v>280</v>
      </c>
      <c r="BS74" s="14">
        <f>VLOOKUP(t_Parts[[Plant]:[Plant]],t_Plants[],Plants!CR$1,FALSE)</f>
        <v>280</v>
      </c>
      <c r="BT74" s="14">
        <f>VLOOKUP(t_Parts[[Plant]:[Plant]],t_Plants[],Plants!CS$1,FALSE)</f>
        <v>350</v>
      </c>
      <c r="BU74" s="14">
        <f>VLOOKUP(t_Parts[[Plant]:[Plant]],t_Plants[],Plants!CT$1,FALSE)</f>
        <v>280</v>
      </c>
      <c r="BV74" s="14">
        <f>VLOOKUP(t_Parts[[Plant]:[Plant]],t_Plants[],Plants!CU$1,FALSE)</f>
        <v>280</v>
      </c>
      <c r="BW74" s="14">
        <f>VLOOKUP(t_Parts[[Plant]:[Plant]],t_Plants[],Plants!CV$1,FALSE)</f>
        <v>350</v>
      </c>
      <c r="BX74" s="14">
        <f>VLOOKUP(t_Parts[[Plant]:[Plant]],t_Plants[],Plants!CW$1,FALSE)</f>
        <v>280</v>
      </c>
      <c r="BY74" s="14">
        <f>VLOOKUP(t_Parts[[Plant]:[Plant]],t_Plants[],Plants!CX$1,FALSE)</f>
        <v>280</v>
      </c>
      <c r="BZ74" s="14">
        <f>VLOOKUP(t_Parts[[Plant]:[Plant]],t_Plants[],Plants!CY$1,FALSE)</f>
        <v>350</v>
      </c>
      <c r="CA74" s="40">
        <f>SUM(t_Parts[[#This Row],[ha2015.01]:[ha2015.12]])</f>
        <v>3640</v>
      </c>
      <c r="CB74" s="14">
        <f>VLOOKUP(t_Parts[[Plant]:[Plant]],t_Plants[],Plants!DA$1,FALSE)</f>
        <v>280</v>
      </c>
      <c r="CC74" s="14">
        <f>VLOOKUP(t_Parts[[Plant]:[Plant]],t_Plants[],Plants!DB$1,FALSE)</f>
        <v>280</v>
      </c>
      <c r="CD74" s="14">
        <f>VLOOKUP(t_Parts[[Plant]:[Plant]],t_Plants[],Plants!DC$1,FALSE)</f>
        <v>350</v>
      </c>
      <c r="CE74" s="14">
        <f>VLOOKUP(t_Parts[[Plant]:[Plant]],t_Plants[],Plants!DD$1,FALSE)</f>
        <v>280</v>
      </c>
      <c r="CF74" s="14">
        <f>VLOOKUP(t_Parts[[Plant]:[Plant]],t_Plants[],Plants!DE$1,FALSE)</f>
        <v>280</v>
      </c>
      <c r="CG74" s="14">
        <f>VLOOKUP(t_Parts[[Plant]:[Plant]],t_Plants[],Plants!DF$1,FALSE)</f>
        <v>350</v>
      </c>
      <c r="CH74" s="14">
        <f>VLOOKUP(t_Parts[[Plant]:[Plant]],t_Plants[],Plants!DG$1,FALSE)</f>
        <v>280</v>
      </c>
      <c r="CI74" s="14">
        <f>VLOOKUP(t_Parts[[Plant]:[Plant]],t_Plants[],Plants!DH$1,FALSE)</f>
        <v>280</v>
      </c>
      <c r="CJ74" s="14">
        <f>VLOOKUP(t_Parts[[Plant]:[Plant]],t_Plants[],Plants!DI$1,FALSE)</f>
        <v>350</v>
      </c>
      <c r="CK74" s="14">
        <f>VLOOKUP(t_Parts[[Plant]:[Plant]],t_Plants[],Plants!DJ$1,FALSE)</f>
        <v>280</v>
      </c>
      <c r="CL74" s="14">
        <f>VLOOKUP(t_Parts[[Plant]:[Plant]],t_Plants[],Plants!DK$1,FALSE)</f>
        <v>280</v>
      </c>
      <c r="CM74" s="14">
        <f>VLOOKUP(t_Parts[[Plant]:[Plant]],t_Plants[],Plants!DL$1,FALSE)</f>
        <v>350</v>
      </c>
      <c r="CN74" s="14">
        <f>VLOOKUP(t_Parts[[Plant]:[Plant]],t_Plants[],Plants!DM$1,FALSE)</f>
        <v>3640</v>
      </c>
      <c r="CO74" s="14">
        <f>VLOOKUP(t_Parts[[Plant]:[Plant]],t_Plants[],Plants!DN$1,FALSE)</f>
        <v>3640</v>
      </c>
      <c r="CP74" s="14">
        <f>VLOOKUP(t_Parts[[Plant]:[Plant]],t_Plants[],Plants!DO$1,FALSE)</f>
        <v>3640</v>
      </c>
      <c r="CQ74" s="14">
        <f>VLOOKUP(t_Parts[[Plant]:[Plant]],t_Plants[],Plants!DP$1,FALSE)</f>
        <v>3640</v>
      </c>
      <c r="CR74" s="39">
        <f>IF(AND(AL$3&gt;=VALUE(t_Parts[[SOP]:[SOP]]),AL$3&lt;=VALUE(t_Parts[[EOP]:[EOP]])), t_Parts[[SetupHrsPerMo]:[SetupHrsPerMo]]+(t_Parts[[#This Row],[pv2015.01]]/t_Parts[[NetPPH]:[NetPPH]]),0)</f>
        <v>21.074203574203572</v>
      </c>
      <c r="CS74" s="39">
        <f>IF(AND(AM$3&gt;=VALUE(t_Parts[[SOP]:[SOP]]),AM$3&lt;=VALUE(t_Parts[[EOP]:[EOP]])), t_Parts[[SetupHrsPerMo]:[SetupHrsPerMo]]+(t_Parts[[#This Row],[pv2015.02]]/t_Parts[[NetPPH]:[NetPPH]]),0)</f>
        <v>21.074203574203572</v>
      </c>
      <c r="CT74" s="39">
        <f>IF(AND(AN$3&gt;=VALUE(t_Parts[[SOP]:[SOP]]),AN$3&lt;=VALUE(t_Parts[[EOP]:[EOP]])), t_Parts[[SetupHrsPerMo]:[SetupHrsPerMo]]+(t_Parts[[#This Row],[pv2015.03]]/t_Parts[[NetPPH]:[NetPPH]]),0)</f>
        <v>24.842754467754464</v>
      </c>
      <c r="CU74" s="39">
        <f>IF(AND(AO$3&gt;=VALUE(t_Parts[[SOP]:[SOP]]),AO$3&lt;=VALUE(t_Parts[[EOP]:[EOP]])), t_Parts[[SetupHrsPerMo]:[SetupHrsPerMo]]+(t_Parts[[#This Row],[pv2015.04]]/t_Parts[[NetPPH]:[NetPPH]]),0)</f>
        <v>21.074203574203572</v>
      </c>
      <c r="CV74" s="39">
        <f>IF(AND(AP$3&gt;=VALUE(t_Parts[[SOP]:[SOP]]),AP$3&lt;=VALUE(t_Parts[[EOP]:[EOP]])), t_Parts[[SetupHrsPerMo]:[SetupHrsPerMo]]+(t_Parts[[#This Row],[pv2015.05]]/t_Parts[[NetPPH]:[NetPPH]]),0)</f>
        <v>21.074203574203572</v>
      </c>
      <c r="CW74" s="39">
        <f>IF(AND(AQ$3&gt;=VALUE(t_Parts[[SOP]:[SOP]]),AQ$3&lt;=VALUE(t_Parts[[EOP]:[EOP]])), t_Parts[[SetupHrsPerMo]:[SetupHrsPerMo]]+(t_Parts[[#This Row],[pv2015.06]]/t_Parts[[NetPPH]:[NetPPH]]),0)</f>
        <v>24.842754467754464</v>
      </c>
      <c r="CX74" s="39">
        <f>IF(AND(AR$3&gt;=VALUE(t_Parts[[SOP]:[SOP]]),AR$3&lt;=VALUE(t_Parts[[EOP]:[EOP]])), t_Parts[[SetupHrsPerMo]:[SetupHrsPerMo]]+(t_Parts[[#This Row],[pv2015.07]]/t_Parts[[NetPPH]:[NetPPH]]),0)</f>
        <v>21.074203574203572</v>
      </c>
      <c r="CY74" s="39">
        <f>IF(AND(AS$3&gt;=VALUE(t_Parts[[SOP]:[SOP]]),AS$3&lt;=VALUE(t_Parts[[EOP]:[EOP]])), t_Parts[[SetupHrsPerMo]:[SetupHrsPerMo]]+(t_Parts[[#This Row],[pv2015.08]]/t_Parts[[NetPPH]:[NetPPH]]),0)</f>
        <v>21.074203574203572</v>
      </c>
      <c r="CZ74" s="39">
        <f>IF(AND(AT$3&gt;=VALUE(t_Parts[[SOP]:[SOP]]),AT$3&lt;=VALUE(t_Parts[[EOP]:[EOP]])), t_Parts[[SetupHrsPerMo]:[SetupHrsPerMo]]+(t_Parts[[#This Row],[pv2015.09]]/t_Parts[[NetPPH]:[NetPPH]]),0)</f>
        <v>24.842754467754464</v>
      </c>
      <c r="DA74" s="39">
        <f>IF(AND(AU$3&gt;=VALUE(t_Parts[[SOP]:[SOP]]),AU$3&lt;=VALUE(t_Parts[[EOP]:[EOP]])), t_Parts[[SetupHrsPerMo]:[SetupHrsPerMo]]+(t_Parts[[#This Row],[pv2015.10]]/t_Parts[[NetPPH]:[NetPPH]]),0)</f>
        <v>21.074203574203572</v>
      </c>
      <c r="DB74" s="39">
        <f>IF(AND(AV$3&gt;=VALUE(t_Parts[[SOP]:[SOP]]),AV$3&lt;=VALUE(t_Parts[[EOP]:[EOP]])), t_Parts[[SetupHrsPerMo]:[SetupHrsPerMo]]+(t_Parts[[#This Row],[pv2015.11]]/t_Parts[[NetPPH]:[NetPPH]]),0)</f>
        <v>21.074203574203572</v>
      </c>
      <c r="DC74" s="39">
        <f>IF(AND(AW$3&gt;=VALUE(t_Parts[[SOP]:[SOP]]),AW$3&lt;=VALUE(t_Parts[[EOP]:[EOP]])), t_Parts[[SetupHrsPerMo]:[SetupHrsPerMo]]+(t_Parts[[#This Row],[pv2015.12]]/t_Parts[[NetPPH]:[NetPPH]]),0)</f>
        <v>24.842754467754464</v>
      </c>
      <c r="DD74" s="39">
        <f>SUM(t_Parts[[#This Row],[hp2015.01]:[hp2015.12]])</f>
        <v>267.96464646464648</v>
      </c>
      <c r="DE74" s="39">
        <f>IF(AND(AY$3&gt;=VALUE(t_Parts[[SOP]:[SOP]]),AY$3&lt;=VALUE(t_Parts[[EOP]:[EOP]])), t_Parts[[SetupHrsPerMo]:[SetupHrsPerMo]]+(t_Parts[[#This Row],[pv2016.01]]/t_Parts[[NetPPH]:[NetPPH]]),0)</f>
        <v>0</v>
      </c>
      <c r="DF74" s="39">
        <f>IF(AND(AZ$3&gt;=VALUE(t_Parts[[SOP]:[SOP]]),AZ$3&lt;=VALUE(t_Parts[[EOP]:[EOP]])), t_Parts[[SetupHrsPerMo]:[SetupHrsPerMo]]+(t_Parts[[#This Row],[pv2016.02]]/t_Parts[[NetPPH]:[NetPPH]]),0)</f>
        <v>0</v>
      </c>
      <c r="DG74" s="39">
        <f>IF(AND(BA$3&gt;=VALUE(t_Parts[[SOP]:[SOP]]),BA$3&lt;=VALUE(t_Parts[[EOP]:[EOP]])), t_Parts[[SetupHrsPerMo]:[SetupHrsPerMo]]+(t_Parts[[#This Row],[pv2016.03]]/t_Parts[[NetPPH]:[NetPPH]]),0)</f>
        <v>0</v>
      </c>
      <c r="DH74" s="39">
        <f>IF(AND(BB$3&gt;=VALUE(t_Parts[[SOP]:[SOP]]),BB$3&lt;=VALUE(t_Parts[[EOP]:[EOP]])), t_Parts[[SetupHrsPerMo]:[SetupHrsPerMo]]+(t_Parts[[#This Row],[pv2016.04]]/t_Parts[[NetPPH]:[NetPPH]]),0)</f>
        <v>0</v>
      </c>
      <c r="DI74" s="39">
        <f>IF(AND(BC$3&gt;=VALUE(t_Parts[[SOP]:[SOP]]),BC$3&lt;=VALUE(t_Parts[[EOP]:[EOP]])), t_Parts[[SetupHrsPerMo]:[SetupHrsPerMo]]+(t_Parts[[#This Row],[pv2016.05]]/t_Parts[[NetPPH]:[NetPPH]]),0)</f>
        <v>0</v>
      </c>
      <c r="DJ74" s="39">
        <f>IF(AND(BD$3&gt;=VALUE(t_Parts[[SOP]:[SOP]]),BD$3&lt;=VALUE(t_Parts[[EOP]:[EOP]])), t_Parts[[SetupHrsPerMo]:[SetupHrsPerMo]]+(t_Parts[[#This Row],[pv2016.06]]/t_Parts[[NetPPH]:[NetPPH]]),0)</f>
        <v>0</v>
      </c>
      <c r="DK74" s="39">
        <f>IF(AND(BE$3&gt;=VALUE(t_Parts[[SOP]:[SOP]]),BE$3&lt;=VALUE(t_Parts[[EOP]:[EOP]])), t_Parts[[SetupHrsPerMo]:[SetupHrsPerMo]]+(t_Parts[[#This Row],[pv2016.07]]/t_Parts[[NetPPH]:[NetPPH]]),0)</f>
        <v>0</v>
      </c>
      <c r="DL74" s="39">
        <f>IF(AND(BF$3&gt;=VALUE(t_Parts[[SOP]:[SOP]]),BF$3&lt;=VALUE(t_Parts[[EOP]:[EOP]])), t_Parts[[SetupHrsPerMo]:[SetupHrsPerMo]]+(t_Parts[[#This Row],[pv2016.08]]/t_Parts[[NetPPH]:[NetPPH]]),0)</f>
        <v>0</v>
      </c>
      <c r="DM74" s="39">
        <f>IF(AND(BG$3&gt;=VALUE(t_Parts[[SOP]:[SOP]]),BG$3&lt;=VALUE(t_Parts[[EOP]:[EOP]])), t_Parts[[SetupHrsPerMo]:[SetupHrsPerMo]]+(t_Parts[[#This Row],[pv2016.09]]/t_Parts[[NetPPH]:[NetPPH]]),0)</f>
        <v>0</v>
      </c>
      <c r="DN74" s="39">
        <f>IF(AND(BH$3&gt;=VALUE(t_Parts[[SOP]:[SOP]]),BH$3&lt;=VALUE(t_Parts[[EOP]:[EOP]])), t_Parts[[SetupHrsPerMo]:[SetupHrsPerMo]]+(t_Parts[[#This Row],[pv2016.10]]/t_Parts[[NetPPH]:[NetPPH]]),0)</f>
        <v>0</v>
      </c>
      <c r="DO74" s="39">
        <f>IF(AND(BI$3&gt;=VALUE(t_Parts[[SOP]:[SOP]]),BI$3&lt;=VALUE(t_Parts[[EOP]:[EOP]])), t_Parts[[SetupHrsPerMo]:[SetupHrsPerMo]]+(t_Parts[[#This Row],[pv2016.11]]/t_Parts[[NetPPH]:[NetPPH]]),0)</f>
        <v>0</v>
      </c>
      <c r="DP74" s="39">
        <f>IF(AND(BJ$3&gt;=VALUE(t_Parts[[SOP]:[SOP]]),BJ$3&lt;=VALUE(t_Parts[[EOP]:[EOP]])), t_Parts[[SetupHrsPerMo]:[SetupHrsPerMo]]+(t_Parts[[#This Row],[pv2016.12]]/t_Parts[[NetPPH]:[NetPPH]]),0)</f>
        <v>0</v>
      </c>
      <c r="DQ74" s="39">
        <f>SUM(t_Parts[[#This Row],[hp2016.01]:[hp2016.12]])</f>
        <v>0</v>
      </c>
      <c r="DR74" s="39">
        <f>IF(AND(BL$3&gt;=VALUE(t_Parts[[SOP]:[SOP]]),BL$3&lt;=VALUE(t_Parts[[EOP]:[EOP]])), 12*t_Parts[[SetupHrsPerMo]:[SetupHrsPerMo]]+(t_Parts[[#This Row],[pv2017]]/t_Parts[[NetPPH]:[NetPPH]]),0)</f>
        <v>0</v>
      </c>
      <c r="DS74" s="39">
        <f>IF(AND(BM$3&gt;=VALUE(t_Parts[[SOP]:[SOP]]),BM$3&lt;=VALUE(t_Parts[[EOP]:[EOP]])), 12*t_Parts[[SetupHrsPerMo]:[SetupHrsPerMo]]+(t_Parts[[#This Row],[pv2018]]/t_Parts[[NetPPH]:[NetPPH]]),0)</f>
        <v>0</v>
      </c>
      <c r="DT74" s="39">
        <f>IF(AND(BN$3&gt;=VALUE(t_Parts[[SOP]:[SOP]]),BN$3&lt;=VALUE(t_Parts[[EOP]:[EOP]])), 12*t_Parts[[SetupHrsPerMo]:[SetupHrsPerMo]]+(t_Parts[[#This Row],[pv2019]]/t_Parts[[NetPPH]:[NetPPH]]),0)</f>
        <v>0</v>
      </c>
      <c r="DU74" s="47">
        <f>t_Parts[[#This Row],[hp2015.01]]/t_Parts[[#This Row],[ha2015.01]]</f>
        <v>7.5265012765012754E-2</v>
      </c>
      <c r="DV74" s="47">
        <f>t_Parts[[#This Row],[hp2015.02]]/t_Parts[[#This Row],[ha2015.02]]</f>
        <v>7.5265012765012754E-2</v>
      </c>
      <c r="DW74" s="47">
        <f>t_Parts[[#This Row],[hp2015.03]]/t_Parts[[#This Row],[ha2015.03]]</f>
        <v>7.0979298479298472E-2</v>
      </c>
      <c r="DX74" s="47">
        <f>t_Parts[[#This Row],[hp2015.04]]/t_Parts[[#This Row],[ha2015.04]]</f>
        <v>7.5265012765012754E-2</v>
      </c>
      <c r="DY74" s="47">
        <f>t_Parts[[#This Row],[hp2015.05]]/t_Parts[[#This Row],[ha2015.05]]</f>
        <v>7.5265012765012754E-2</v>
      </c>
      <c r="DZ74" s="47">
        <f>t_Parts[[#This Row],[hp2015.06]]/t_Parts[[#This Row],[ha2015.06]]</f>
        <v>7.0979298479298472E-2</v>
      </c>
      <c r="EA74" s="47">
        <f>t_Parts[[#This Row],[hp2015.07]]/t_Parts[[#This Row],[ha2015.07]]</f>
        <v>7.5265012765012754E-2</v>
      </c>
      <c r="EB74" s="47">
        <f>t_Parts[[#This Row],[hp2015.08]]/t_Parts[[#This Row],[ha2015.08]]</f>
        <v>7.5265012765012754E-2</v>
      </c>
      <c r="EC74" s="47">
        <f>t_Parts[[#This Row],[hp2015.09]]/t_Parts[[#This Row],[ha2015.09]]</f>
        <v>7.0979298479298472E-2</v>
      </c>
      <c r="ED74" s="47">
        <f>t_Parts[[#This Row],[hp2015.10]]/t_Parts[[#This Row],[ha2015.10]]</f>
        <v>7.5265012765012754E-2</v>
      </c>
      <c r="EE74" s="47">
        <f>t_Parts[[#This Row],[hp2015.11]]/t_Parts[[#This Row],[ha2015.11]]</f>
        <v>7.5265012765012754E-2</v>
      </c>
      <c r="EF74" s="47">
        <f>t_Parts[[#This Row],[hp2015.12]]/t_Parts[[#This Row],[ha2015.12]]</f>
        <v>7.0979298479298472E-2</v>
      </c>
      <c r="EG74" s="47">
        <f>t_Parts[[#This Row],[hp2015.FY]]/t_Parts[[#This Row],[ha2015.FY]]</f>
        <v>7.3616661116661125E-2</v>
      </c>
      <c r="EH74" s="47">
        <f>t_Parts[[#This Row],[hp2016.01]]/t_Parts[[#This Row],[ha2016.01]]</f>
        <v>0</v>
      </c>
      <c r="EI74" s="47">
        <f>t_Parts[[#This Row],[hp2016.02]]/t_Parts[[#This Row],[ha2016.02]]</f>
        <v>0</v>
      </c>
      <c r="EJ74" s="47">
        <f>t_Parts[[#This Row],[hp2016.03]]/t_Parts[[#This Row],[ha2016.03]]</f>
        <v>0</v>
      </c>
      <c r="EK74" s="47">
        <f>t_Parts[[#This Row],[hp2016.04]]/t_Parts[[#This Row],[ha2016.04]]</f>
        <v>0</v>
      </c>
      <c r="EL74" s="47">
        <f>t_Parts[[#This Row],[hp2016.05]]/t_Parts[[#This Row],[ha2016.05]]</f>
        <v>0</v>
      </c>
      <c r="EM74" s="47">
        <f>t_Parts[[#This Row],[hp2016.06]]/t_Parts[[#This Row],[ha2016.06]]</f>
        <v>0</v>
      </c>
      <c r="EN74" s="47">
        <f>t_Parts[[#This Row],[hp2016.07]]/t_Parts[[#This Row],[ha2016.07]]</f>
        <v>0</v>
      </c>
      <c r="EO74" s="47">
        <f>t_Parts[[#This Row],[hp2016.08]]/t_Parts[[#This Row],[ha2016.08]]</f>
        <v>0</v>
      </c>
      <c r="EP74" s="47">
        <f>t_Parts[[#This Row],[hp2016.09]]/t_Parts[[#This Row],[ha2016.09]]</f>
        <v>0</v>
      </c>
      <c r="EQ74" s="47">
        <f>t_Parts[[#This Row],[hp2016.10]]/t_Parts[[#This Row],[ha2016.10]]</f>
        <v>0</v>
      </c>
      <c r="ER74" s="47">
        <f>t_Parts[[#This Row],[hp2016.11]]/t_Parts[[#This Row],[ha2016.11]]</f>
        <v>0</v>
      </c>
      <c r="ES74" s="47">
        <f>t_Parts[[#This Row],[hp2016.12]]/t_Parts[[#This Row],[ha2016.12]]</f>
        <v>0</v>
      </c>
      <c r="ET74" s="47">
        <f>t_Parts[[#This Row],[hp2016.FY]]/t_Parts[[#This Row],[ha2016.FY]]</f>
        <v>0</v>
      </c>
      <c r="EU74" s="47">
        <f>t_Parts[[#This Row],[hp2017]]/t_Parts[[#This Row],[ha2017]]</f>
        <v>0</v>
      </c>
      <c r="EV74" s="47">
        <f>t_Parts[[#This Row],[hp2018]]/t_Parts[[#This Row],[ha2018]]</f>
        <v>0</v>
      </c>
      <c r="EW74" s="47">
        <f>t_Parts[[#This Row],[hp2019]]/t_Parts[[#This Row],[hp2015.01]]</f>
        <v>0</v>
      </c>
      <c r="EX74" s="58">
        <f>(t_Parts[[#This Row],[ha2015.01]]-t_Parts[[#This Row],[hp2015.01]])*t_Parts[[NetPPH]:[NetPPH]]</f>
        <v>102534.61538461539</v>
      </c>
      <c r="EY74" s="58">
        <f>(t_Parts[[#This Row],[ha2015.02]]-t_Parts[[#This Row],[hp2015.02]])*t_Parts[[NetPPH]:[NetPPH]]</f>
        <v>102534.61538461539</v>
      </c>
      <c r="EZ74" s="58">
        <f>(t_Parts[[#This Row],[ha2015.03]]-t_Parts[[#This Row],[hp2015.03]])*t_Parts[[NetPPH]:[NetPPH]]</f>
        <v>128762.26923076926</v>
      </c>
      <c r="FA74" s="58">
        <f>(t_Parts[[#This Row],[ha2015.04]]-t_Parts[[#This Row],[hp2015.04]])*t_Parts[[NetPPH]:[NetPPH]]</f>
        <v>102534.61538461539</v>
      </c>
      <c r="FB74" s="58">
        <f>(t_Parts[[#This Row],[ha2015.05]]-t_Parts[[#This Row],[hp2015.05]])*t_Parts[[NetPPH]:[NetPPH]]</f>
        <v>102534.61538461539</v>
      </c>
      <c r="FC74" s="58">
        <f>(t_Parts[[#This Row],[ha2015.06]]-t_Parts[[#This Row],[hp2015.06]])*t_Parts[[NetPPH]:[NetPPH]]</f>
        <v>128762.26923076926</v>
      </c>
      <c r="FD74" s="58">
        <f>(t_Parts[[#This Row],[ha2015.07]]-t_Parts[[#This Row],[hp2015.07]])*t_Parts[[NetPPH]:[NetPPH]]</f>
        <v>102534.61538461539</v>
      </c>
      <c r="FE74" s="58">
        <f>(t_Parts[[#This Row],[ha2015.08]]-t_Parts[[#This Row],[hp2015.08]])*t_Parts[[NetPPH]:[NetPPH]]</f>
        <v>102534.61538461539</v>
      </c>
      <c r="FF74" s="58">
        <f>(t_Parts[[#This Row],[ha2015.09]]-t_Parts[[#This Row],[hp2015.09]])*t_Parts[[NetPPH]:[NetPPH]]</f>
        <v>128762.26923076926</v>
      </c>
      <c r="FG74" s="58">
        <f>(t_Parts[[#This Row],[ha2015.10]]-t_Parts[[#This Row],[hp2015.10]])*t_Parts[[NetPPH]:[NetPPH]]</f>
        <v>102534.61538461539</v>
      </c>
      <c r="FH74" s="58">
        <f>(t_Parts[[#This Row],[ha2015.11]]-t_Parts[[#This Row],[hp2015.11]])*t_Parts[[NetPPH]:[NetPPH]]</f>
        <v>102534.61538461539</v>
      </c>
      <c r="FI74" s="58">
        <f>(t_Parts[[#This Row],[ha2015.12]]-t_Parts[[#This Row],[hp2015.12]])*t_Parts[[NetPPH]:[NetPPH]]</f>
        <v>128762.26923076926</v>
      </c>
      <c r="FJ74" s="58">
        <f>(t_Parts[[#This Row],[ha2015.FY]]-t_Parts[[#This Row],[hp2015.FY]])*t_Parts[[NetPPH]:[NetPPH]]</f>
        <v>1335326.0000000002</v>
      </c>
      <c r="FK74" s="58">
        <f>(t_Parts[[#This Row],[ha2016.01]]-t_Parts[[#This Row],[hp2016.01]])*t_Parts[[NetPPH]:[NetPPH]]</f>
        <v>110880.00000000001</v>
      </c>
      <c r="FL74" s="58">
        <f>(t_Parts[[#This Row],[ha2016.02]]-t_Parts[[#This Row],[hp2016.02]])*t_Parts[[NetPPH]:[NetPPH]]</f>
        <v>110880.00000000001</v>
      </c>
      <c r="FM74" s="58">
        <f>(t_Parts[[#This Row],[ha2016.03]]-t_Parts[[#This Row],[hp2016.03]])*t_Parts[[NetPPH]:[NetPPH]]</f>
        <v>138600.00000000003</v>
      </c>
      <c r="FN74" s="58">
        <f>(t_Parts[[#This Row],[ha2016.04]]-t_Parts[[#This Row],[hp2016.04]])*t_Parts[[NetPPH]:[NetPPH]]</f>
        <v>110880.00000000001</v>
      </c>
      <c r="FO74" s="58">
        <f>(t_Parts[[#This Row],[ha2016.05]]-t_Parts[[#This Row],[hp2016.05]])*t_Parts[[NetPPH]:[NetPPH]]</f>
        <v>110880.00000000001</v>
      </c>
      <c r="FP74" s="58">
        <f>(t_Parts[[#This Row],[ha2016.06]]-t_Parts[[#This Row],[hp2016.06]])*t_Parts[[NetPPH]:[NetPPH]]</f>
        <v>138600.00000000003</v>
      </c>
      <c r="FQ74" s="58">
        <f>(t_Parts[[#This Row],[ha2016.07]]-t_Parts[[#This Row],[hp2016.07]])*t_Parts[[NetPPH]:[NetPPH]]</f>
        <v>110880.00000000001</v>
      </c>
      <c r="FR74" s="58">
        <f>(t_Parts[[#This Row],[ha2016.08]]-t_Parts[[#This Row],[hp2016.08]])*t_Parts[[NetPPH]:[NetPPH]]</f>
        <v>110880.00000000001</v>
      </c>
      <c r="FS74" s="58">
        <f>(t_Parts[[#This Row],[ha2016.09]]-t_Parts[[#This Row],[hp2016.09]])*t_Parts[[NetPPH]:[NetPPH]]</f>
        <v>138600.00000000003</v>
      </c>
      <c r="FT74" s="58">
        <f>(t_Parts[[#This Row],[ha2016.10]]-t_Parts[[#This Row],[hp2016.10]])*t_Parts[[NetPPH]:[NetPPH]]</f>
        <v>110880.00000000001</v>
      </c>
      <c r="FU74" s="58">
        <f>(t_Parts[[#This Row],[ha2016.11]]-t_Parts[[#This Row],[hp2016.11]])*t_Parts[[NetPPH]:[NetPPH]]</f>
        <v>110880.00000000001</v>
      </c>
      <c r="FV74" s="58">
        <f>(t_Parts[[#This Row],[ha2016.12]]-t_Parts[[#This Row],[hp2016.12]])*t_Parts[[NetPPH]:[NetPPH]]</f>
        <v>138600.00000000003</v>
      </c>
      <c r="FW74" s="58">
        <f>(t_Parts[[#This Row],[ha2016.FY]]-t_Parts[[#This Row],[hp2016.FY]])*t_Parts[[NetPPH]:[NetPPH]]</f>
        <v>1441440.0000000002</v>
      </c>
      <c r="FX74" s="58">
        <f>(t_Parts[[#This Row],[ha2017]]-t_Parts[[#This Row],[hp2017]])*t_Parts[[NetPPH]:[NetPPH]]</f>
        <v>1441440.0000000002</v>
      </c>
      <c r="FY74" s="58">
        <f>(t_Parts[[#This Row],[ha2018]]-t_Parts[[#This Row],[hp2018]])*t_Parts[[NetPPH]:[NetPPH]]</f>
        <v>1441440.0000000002</v>
      </c>
      <c r="FZ74" s="58">
        <f>(t_Parts[[#This Row],[ha2019]]-t_Parts[[#This Row],[hp2019]])*t_Parts[[NetPPH]:[NetPPH]]</f>
        <v>1441440.0000000002</v>
      </c>
    </row>
    <row r="75" spans="1:182" s="14" customFormat="1" x14ac:dyDescent="0.25">
      <c r="A75" s="74">
        <v>77002</v>
      </c>
      <c r="B75" s="74"/>
      <c r="C75" s="74">
        <v>21015</v>
      </c>
      <c r="D75" s="75">
        <v>1</v>
      </c>
      <c r="E75" s="73">
        <v>960</v>
      </c>
      <c r="F75" s="76">
        <v>1.5</v>
      </c>
      <c r="G75" s="77">
        <v>4</v>
      </c>
      <c r="H75" s="16">
        <v>2015.01</v>
      </c>
      <c r="I75" s="16" t="s">
        <v>92</v>
      </c>
      <c r="J75" s="73">
        <v>77602</v>
      </c>
      <c r="K75" s="73">
        <v>77602</v>
      </c>
      <c r="L75" s="73">
        <v>77602</v>
      </c>
      <c r="M75" s="73">
        <v>77602</v>
      </c>
      <c r="N75" s="73">
        <v>77602</v>
      </c>
      <c r="O75" s="78">
        <v>72</v>
      </c>
      <c r="P75" s="78">
        <v>181</v>
      </c>
      <c r="Q75" s="79">
        <v>40.854999999999997</v>
      </c>
      <c r="R75" s="79"/>
      <c r="S75" s="78">
        <v>580</v>
      </c>
      <c r="T75" s="80">
        <v>25.5</v>
      </c>
      <c r="U75" s="80" t="s">
        <v>122</v>
      </c>
      <c r="V75" s="81" t="s">
        <v>580</v>
      </c>
      <c r="W75" s="82">
        <v>4.3</v>
      </c>
      <c r="X75" s="82" t="s">
        <v>551</v>
      </c>
      <c r="Y75" s="82"/>
      <c r="Z75" s="82"/>
      <c r="AA75" s="82"/>
      <c r="AB75" s="82"/>
      <c r="AC75" s="83" t="s">
        <v>667</v>
      </c>
      <c r="AD75" s="40" t="str">
        <f>VLOOKUP(t_Parts[[#This Row],[Press]],t_Presses[],Press!B$1,FALSE)</f>
        <v>Plainfield</v>
      </c>
      <c r="AE75" s="40" t="str">
        <f>VLOOKUP(t_Parts[[#This Row],[Press]],t_Presses[],Press!E$1,FALSE)</f>
        <v>900-1199</v>
      </c>
      <c r="AF75" s="47">
        <f>VLOOKUP(t_Parts[[#This Row],[Plant]],t_Plants[],Plants!C$1,FALSE)</f>
        <v>0.55000000000000004</v>
      </c>
      <c r="AG75" s="47">
        <f>VLOOKUP(t_Parts[[#This Row],[Press]],t_Presses[],Press!F$1,FALSE)</f>
        <v>0</v>
      </c>
      <c r="AH75" s="84"/>
      <c r="AI75" s="47">
        <f>IF(ISBLANK(t_Parts[[#This Row],[PartOEE]])=FALSE,t_Parts[[#This Row],[PartOEE]], IF(t_Parts[[#This Row],[PressOEE]]&gt;0, t_Parts[[#This Row],[PressOEE]], t_Parts[[#This Row],[PlantOEE]] ))</f>
        <v>0.55000000000000004</v>
      </c>
      <c r="AJ75" s="70">
        <f>t_Parts[[#This Row],[SetupsPerMo]]*t_Parts[[#This Row],[SetupHrs]]</f>
        <v>6</v>
      </c>
      <c r="AK75" s="39">
        <f>(t_Parts[[#This Row],[PartsPerStroke]]*t_Parts[[#This Row],[StrokesPerHr]])*t_Parts[[#This Row],[UseOEE]]</f>
        <v>528</v>
      </c>
      <c r="AL7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5969.3846153846152</v>
      </c>
      <c r="AM7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5969.3846153846152</v>
      </c>
      <c r="AN7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7461.7307692307686</v>
      </c>
      <c r="AO7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5969.3846153846152</v>
      </c>
      <c r="AP7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5969.3846153846152</v>
      </c>
      <c r="AQ7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7461.7307692307686</v>
      </c>
      <c r="AR7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5969.3846153846152</v>
      </c>
      <c r="AS7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5969.3846153846152</v>
      </c>
      <c r="AT7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7461.7307692307686</v>
      </c>
      <c r="AU7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5969.3846153846152</v>
      </c>
      <c r="AV7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5969.3846153846152</v>
      </c>
      <c r="AW7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7461.7307692307686</v>
      </c>
      <c r="AX75" s="39">
        <f>SUM(t_Parts[[#This Row],[pv2015.01]:[pv2015.12]])</f>
        <v>77602</v>
      </c>
      <c r="AY7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7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7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7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7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7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7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7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7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7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7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7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75" s="39">
        <f>SUM(t_Parts[[#This Row],[pv2016.01]:[pv2016.12]])</f>
        <v>0</v>
      </c>
      <c r="BL75" s="39">
        <f>t_Parts[[#This Row],[2017vol]]</f>
        <v>77602</v>
      </c>
      <c r="BM75" s="39">
        <f>t_Parts[[#This Row],[2018vol]]</f>
        <v>77602</v>
      </c>
      <c r="BN75" s="39">
        <f>t_Parts[[#This Row],[2019vol]]</f>
        <v>77602</v>
      </c>
      <c r="BO75" s="40">
        <f>VLOOKUP(t_Parts[[Plant]:[Plant]],t_Plants[],Plants!CN$1,FALSE)</f>
        <v>280</v>
      </c>
      <c r="BP75" s="14">
        <f>VLOOKUP(t_Parts[[Plant]:[Plant]],t_Plants[],Plants!CO$1,FALSE)</f>
        <v>280</v>
      </c>
      <c r="BQ75" s="14">
        <f>VLOOKUP(t_Parts[[Plant]:[Plant]],t_Plants[],Plants!CP$1,FALSE)</f>
        <v>350</v>
      </c>
      <c r="BR75" s="14">
        <f>VLOOKUP(t_Parts[[Plant]:[Plant]],t_Plants[],Plants!CQ$1,FALSE)</f>
        <v>280</v>
      </c>
      <c r="BS75" s="14">
        <f>VLOOKUP(t_Parts[[Plant]:[Plant]],t_Plants[],Plants!CR$1,FALSE)</f>
        <v>280</v>
      </c>
      <c r="BT75" s="14">
        <f>VLOOKUP(t_Parts[[Plant]:[Plant]],t_Plants[],Plants!CS$1,FALSE)</f>
        <v>350</v>
      </c>
      <c r="BU75" s="14">
        <f>VLOOKUP(t_Parts[[Plant]:[Plant]],t_Plants[],Plants!CT$1,FALSE)</f>
        <v>280</v>
      </c>
      <c r="BV75" s="14">
        <f>VLOOKUP(t_Parts[[Plant]:[Plant]],t_Plants[],Plants!CU$1,FALSE)</f>
        <v>280</v>
      </c>
      <c r="BW75" s="14">
        <f>VLOOKUP(t_Parts[[Plant]:[Plant]],t_Plants[],Plants!CV$1,FALSE)</f>
        <v>350</v>
      </c>
      <c r="BX75" s="14">
        <f>VLOOKUP(t_Parts[[Plant]:[Plant]],t_Plants[],Plants!CW$1,FALSE)</f>
        <v>280</v>
      </c>
      <c r="BY75" s="14">
        <f>VLOOKUP(t_Parts[[Plant]:[Plant]],t_Plants[],Plants!CX$1,FALSE)</f>
        <v>280</v>
      </c>
      <c r="BZ75" s="14">
        <f>VLOOKUP(t_Parts[[Plant]:[Plant]],t_Plants[],Plants!CY$1,FALSE)</f>
        <v>350</v>
      </c>
      <c r="CA75" s="40">
        <f>SUM(t_Parts[[#This Row],[ha2015.01]:[ha2015.12]])</f>
        <v>3640</v>
      </c>
      <c r="CB75" s="14">
        <f>VLOOKUP(t_Parts[[Plant]:[Plant]],t_Plants[],Plants!DA$1,FALSE)</f>
        <v>280</v>
      </c>
      <c r="CC75" s="14">
        <f>VLOOKUP(t_Parts[[Plant]:[Plant]],t_Plants[],Plants!DB$1,FALSE)</f>
        <v>280</v>
      </c>
      <c r="CD75" s="14">
        <f>VLOOKUP(t_Parts[[Plant]:[Plant]],t_Plants[],Plants!DC$1,FALSE)</f>
        <v>350</v>
      </c>
      <c r="CE75" s="14">
        <f>VLOOKUP(t_Parts[[Plant]:[Plant]],t_Plants[],Plants!DD$1,FALSE)</f>
        <v>280</v>
      </c>
      <c r="CF75" s="14">
        <f>VLOOKUP(t_Parts[[Plant]:[Plant]],t_Plants[],Plants!DE$1,FALSE)</f>
        <v>280</v>
      </c>
      <c r="CG75" s="14">
        <f>VLOOKUP(t_Parts[[Plant]:[Plant]],t_Plants[],Plants!DF$1,FALSE)</f>
        <v>350</v>
      </c>
      <c r="CH75" s="14">
        <f>VLOOKUP(t_Parts[[Plant]:[Plant]],t_Plants[],Plants!DG$1,FALSE)</f>
        <v>280</v>
      </c>
      <c r="CI75" s="14">
        <f>VLOOKUP(t_Parts[[Plant]:[Plant]],t_Plants[],Plants!DH$1,FALSE)</f>
        <v>280</v>
      </c>
      <c r="CJ75" s="14">
        <f>VLOOKUP(t_Parts[[Plant]:[Plant]],t_Plants[],Plants!DI$1,FALSE)</f>
        <v>350</v>
      </c>
      <c r="CK75" s="14">
        <f>VLOOKUP(t_Parts[[Plant]:[Plant]],t_Plants[],Plants!DJ$1,FALSE)</f>
        <v>280</v>
      </c>
      <c r="CL75" s="14">
        <f>VLOOKUP(t_Parts[[Plant]:[Plant]],t_Plants[],Plants!DK$1,FALSE)</f>
        <v>280</v>
      </c>
      <c r="CM75" s="14">
        <f>VLOOKUP(t_Parts[[Plant]:[Plant]],t_Plants[],Plants!DL$1,FALSE)</f>
        <v>350</v>
      </c>
      <c r="CN75" s="14">
        <f>VLOOKUP(t_Parts[[Plant]:[Plant]],t_Plants[],Plants!DM$1,FALSE)</f>
        <v>3640</v>
      </c>
      <c r="CO75" s="14">
        <f>VLOOKUP(t_Parts[[Plant]:[Plant]],t_Plants[],Plants!DN$1,FALSE)</f>
        <v>3640</v>
      </c>
      <c r="CP75" s="14">
        <f>VLOOKUP(t_Parts[[Plant]:[Plant]],t_Plants[],Plants!DO$1,FALSE)</f>
        <v>3640</v>
      </c>
      <c r="CQ75" s="14">
        <f>VLOOKUP(t_Parts[[Plant]:[Plant]],t_Plants[],Plants!DP$1,FALSE)</f>
        <v>3640</v>
      </c>
      <c r="CR75" s="39">
        <f>IF(AND(AL$3&gt;=VALUE(t_Parts[[SOP]:[SOP]]),AL$3&lt;=VALUE(t_Parts[[EOP]:[EOP]])), t_Parts[[SetupHrsPerMo]:[SetupHrsPerMo]]+(t_Parts[[#This Row],[pv2015.01]]/t_Parts[[NetPPH]:[NetPPH]]),0)</f>
        <v>17.305652680652681</v>
      </c>
      <c r="CS75" s="39">
        <f>IF(AND(AM$3&gt;=VALUE(t_Parts[[SOP]:[SOP]]),AM$3&lt;=VALUE(t_Parts[[EOP]:[EOP]])), t_Parts[[SetupHrsPerMo]:[SetupHrsPerMo]]+(t_Parts[[#This Row],[pv2015.02]]/t_Parts[[NetPPH]:[NetPPH]]),0)</f>
        <v>17.305652680652681</v>
      </c>
      <c r="CT75" s="39">
        <f>IF(AND(AN$3&gt;=VALUE(t_Parts[[SOP]:[SOP]]),AN$3&lt;=VALUE(t_Parts[[EOP]:[EOP]])), t_Parts[[SetupHrsPerMo]:[SetupHrsPerMo]]+(t_Parts[[#This Row],[pv2015.03]]/t_Parts[[NetPPH]:[NetPPH]]),0)</f>
        <v>20.132065850815849</v>
      </c>
      <c r="CU75" s="39">
        <f>IF(AND(AO$3&gt;=VALUE(t_Parts[[SOP]:[SOP]]),AO$3&lt;=VALUE(t_Parts[[EOP]:[EOP]])), t_Parts[[SetupHrsPerMo]:[SetupHrsPerMo]]+(t_Parts[[#This Row],[pv2015.04]]/t_Parts[[NetPPH]:[NetPPH]]),0)</f>
        <v>17.305652680652681</v>
      </c>
      <c r="CV75" s="39">
        <f>IF(AND(AP$3&gt;=VALUE(t_Parts[[SOP]:[SOP]]),AP$3&lt;=VALUE(t_Parts[[EOP]:[EOP]])), t_Parts[[SetupHrsPerMo]:[SetupHrsPerMo]]+(t_Parts[[#This Row],[pv2015.05]]/t_Parts[[NetPPH]:[NetPPH]]),0)</f>
        <v>17.305652680652681</v>
      </c>
      <c r="CW75" s="39">
        <f>IF(AND(AQ$3&gt;=VALUE(t_Parts[[SOP]:[SOP]]),AQ$3&lt;=VALUE(t_Parts[[EOP]:[EOP]])), t_Parts[[SetupHrsPerMo]:[SetupHrsPerMo]]+(t_Parts[[#This Row],[pv2015.06]]/t_Parts[[NetPPH]:[NetPPH]]),0)</f>
        <v>20.132065850815849</v>
      </c>
      <c r="CX75" s="39">
        <f>IF(AND(AR$3&gt;=VALUE(t_Parts[[SOP]:[SOP]]),AR$3&lt;=VALUE(t_Parts[[EOP]:[EOP]])), t_Parts[[SetupHrsPerMo]:[SetupHrsPerMo]]+(t_Parts[[#This Row],[pv2015.07]]/t_Parts[[NetPPH]:[NetPPH]]),0)</f>
        <v>17.305652680652681</v>
      </c>
      <c r="CY75" s="39">
        <f>IF(AND(AS$3&gt;=VALUE(t_Parts[[SOP]:[SOP]]),AS$3&lt;=VALUE(t_Parts[[EOP]:[EOP]])), t_Parts[[SetupHrsPerMo]:[SetupHrsPerMo]]+(t_Parts[[#This Row],[pv2015.08]]/t_Parts[[NetPPH]:[NetPPH]]),0)</f>
        <v>17.305652680652681</v>
      </c>
      <c r="CZ75" s="39">
        <f>IF(AND(AT$3&gt;=VALUE(t_Parts[[SOP]:[SOP]]),AT$3&lt;=VALUE(t_Parts[[EOP]:[EOP]])), t_Parts[[SetupHrsPerMo]:[SetupHrsPerMo]]+(t_Parts[[#This Row],[pv2015.09]]/t_Parts[[NetPPH]:[NetPPH]]),0)</f>
        <v>20.132065850815849</v>
      </c>
      <c r="DA75" s="39">
        <f>IF(AND(AU$3&gt;=VALUE(t_Parts[[SOP]:[SOP]]),AU$3&lt;=VALUE(t_Parts[[EOP]:[EOP]])), t_Parts[[SetupHrsPerMo]:[SetupHrsPerMo]]+(t_Parts[[#This Row],[pv2015.10]]/t_Parts[[NetPPH]:[NetPPH]]),0)</f>
        <v>17.305652680652681</v>
      </c>
      <c r="DB75" s="39">
        <f>IF(AND(AV$3&gt;=VALUE(t_Parts[[SOP]:[SOP]]),AV$3&lt;=VALUE(t_Parts[[EOP]:[EOP]])), t_Parts[[SetupHrsPerMo]:[SetupHrsPerMo]]+(t_Parts[[#This Row],[pv2015.11]]/t_Parts[[NetPPH]:[NetPPH]]),0)</f>
        <v>17.305652680652681</v>
      </c>
      <c r="DC75" s="39">
        <f>IF(AND(AW$3&gt;=VALUE(t_Parts[[SOP]:[SOP]]),AW$3&lt;=VALUE(t_Parts[[EOP]:[EOP]])), t_Parts[[SetupHrsPerMo]:[SetupHrsPerMo]]+(t_Parts[[#This Row],[pv2015.12]]/t_Parts[[NetPPH]:[NetPPH]]),0)</f>
        <v>20.132065850815849</v>
      </c>
      <c r="DD75" s="39">
        <f>SUM(t_Parts[[#This Row],[hp2015.01]:[hp2015.12]])</f>
        <v>218.97348484848484</v>
      </c>
      <c r="DE75" s="39">
        <f>IF(AND(AY$3&gt;=VALUE(t_Parts[[SOP]:[SOP]]),AY$3&lt;=VALUE(t_Parts[[EOP]:[EOP]])), t_Parts[[SetupHrsPerMo]:[SetupHrsPerMo]]+(t_Parts[[#This Row],[pv2016.01]]/t_Parts[[NetPPH]:[NetPPH]]),0)</f>
        <v>0</v>
      </c>
      <c r="DF75" s="39">
        <f>IF(AND(AZ$3&gt;=VALUE(t_Parts[[SOP]:[SOP]]),AZ$3&lt;=VALUE(t_Parts[[EOP]:[EOP]])), t_Parts[[SetupHrsPerMo]:[SetupHrsPerMo]]+(t_Parts[[#This Row],[pv2016.02]]/t_Parts[[NetPPH]:[NetPPH]]),0)</f>
        <v>0</v>
      </c>
      <c r="DG75" s="39">
        <f>IF(AND(BA$3&gt;=VALUE(t_Parts[[SOP]:[SOP]]),BA$3&lt;=VALUE(t_Parts[[EOP]:[EOP]])), t_Parts[[SetupHrsPerMo]:[SetupHrsPerMo]]+(t_Parts[[#This Row],[pv2016.03]]/t_Parts[[NetPPH]:[NetPPH]]),0)</f>
        <v>0</v>
      </c>
      <c r="DH75" s="39">
        <f>IF(AND(BB$3&gt;=VALUE(t_Parts[[SOP]:[SOP]]),BB$3&lt;=VALUE(t_Parts[[EOP]:[EOP]])), t_Parts[[SetupHrsPerMo]:[SetupHrsPerMo]]+(t_Parts[[#This Row],[pv2016.04]]/t_Parts[[NetPPH]:[NetPPH]]),0)</f>
        <v>0</v>
      </c>
      <c r="DI75" s="39">
        <f>IF(AND(BC$3&gt;=VALUE(t_Parts[[SOP]:[SOP]]),BC$3&lt;=VALUE(t_Parts[[EOP]:[EOP]])), t_Parts[[SetupHrsPerMo]:[SetupHrsPerMo]]+(t_Parts[[#This Row],[pv2016.05]]/t_Parts[[NetPPH]:[NetPPH]]),0)</f>
        <v>0</v>
      </c>
      <c r="DJ75" s="39">
        <f>IF(AND(BD$3&gt;=VALUE(t_Parts[[SOP]:[SOP]]),BD$3&lt;=VALUE(t_Parts[[EOP]:[EOP]])), t_Parts[[SetupHrsPerMo]:[SetupHrsPerMo]]+(t_Parts[[#This Row],[pv2016.06]]/t_Parts[[NetPPH]:[NetPPH]]),0)</f>
        <v>0</v>
      </c>
      <c r="DK75" s="39">
        <f>IF(AND(BE$3&gt;=VALUE(t_Parts[[SOP]:[SOP]]),BE$3&lt;=VALUE(t_Parts[[EOP]:[EOP]])), t_Parts[[SetupHrsPerMo]:[SetupHrsPerMo]]+(t_Parts[[#This Row],[pv2016.07]]/t_Parts[[NetPPH]:[NetPPH]]),0)</f>
        <v>0</v>
      </c>
      <c r="DL75" s="39">
        <f>IF(AND(BF$3&gt;=VALUE(t_Parts[[SOP]:[SOP]]),BF$3&lt;=VALUE(t_Parts[[EOP]:[EOP]])), t_Parts[[SetupHrsPerMo]:[SetupHrsPerMo]]+(t_Parts[[#This Row],[pv2016.08]]/t_Parts[[NetPPH]:[NetPPH]]),0)</f>
        <v>0</v>
      </c>
      <c r="DM75" s="39">
        <f>IF(AND(BG$3&gt;=VALUE(t_Parts[[SOP]:[SOP]]),BG$3&lt;=VALUE(t_Parts[[EOP]:[EOP]])), t_Parts[[SetupHrsPerMo]:[SetupHrsPerMo]]+(t_Parts[[#This Row],[pv2016.09]]/t_Parts[[NetPPH]:[NetPPH]]),0)</f>
        <v>0</v>
      </c>
      <c r="DN75" s="39">
        <f>IF(AND(BH$3&gt;=VALUE(t_Parts[[SOP]:[SOP]]),BH$3&lt;=VALUE(t_Parts[[EOP]:[EOP]])), t_Parts[[SetupHrsPerMo]:[SetupHrsPerMo]]+(t_Parts[[#This Row],[pv2016.10]]/t_Parts[[NetPPH]:[NetPPH]]),0)</f>
        <v>0</v>
      </c>
      <c r="DO75" s="39">
        <f>IF(AND(BI$3&gt;=VALUE(t_Parts[[SOP]:[SOP]]),BI$3&lt;=VALUE(t_Parts[[EOP]:[EOP]])), t_Parts[[SetupHrsPerMo]:[SetupHrsPerMo]]+(t_Parts[[#This Row],[pv2016.11]]/t_Parts[[NetPPH]:[NetPPH]]),0)</f>
        <v>0</v>
      </c>
      <c r="DP75" s="39">
        <f>IF(AND(BJ$3&gt;=VALUE(t_Parts[[SOP]:[SOP]]),BJ$3&lt;=VALUE(t_Parts[[EOP]:[EOP]])), t_Parts[[SetupHrsPerMo]:[SetupHrsPerMo]]+(t_Parts[[#This Row],[pv2016.12]]/t_Parts[[NetPPH]:[NetPPH]]),0)</f>
        <v>0</v>
      </c>
      <c r="DQ75" s="39">
        <f>SUM(t_Parts[[#This Row],[hp2016.01]:[hp2016.12]])</f>
        <v>0</v>
      </c>
      <c r="DR75" s="39">
        <f>IF(AND(BL$3&gt;=VALUE(t_Parts[[SOP]:[SOP]]),BL$3&lt;=VALUE(t_Parts[[EOP]:[EOP]])), 12*t_Parts[[SetupHrsPerMo]:[SetupHrsPerMo]]+(t_Parts[[#This Row],[pv2017]]/t_Parts[[NetPPH]:[NetPPH]]),0)</f>
        <v>0</v>
      </c>
      <c r="DS75" s="39">
        <f>IF(AND(BM$3&gt;=VALUE(t_Parts[[SOP]:[SOP]]),BM$3&lt;=VALUE(t_Parts[[EOP]:[EOP]])), 12*t_Parts[[SetupHrsPerMo]:[SetupHrsPerMo]]+(t_Parts[[#This Row],[pv2018]]/t_Parts[[NetPPH]:[NetPPH]]),0)</f>
        <v>0</v>
      </c>
      <c r="DT75" s="39">
        <f>IF(AND(BN$3&gt;=VALUE(t_Parts[[SOP]:[SOP]]),BN$3&lt;=VALUE(t_Parts[[EOP]:[EOP]])), 12*t_Parts[[SetupHrsPerMo]:[SetupHrsPerMo]]+(t_Parts[[#This Row],[pv2019]]/t_Parts[[NetPPH]:[NetPPH]]),0)</f>
        <v>0</v>
      </c>
      <c r="DU75" s="47">
        <f>t_Parts[[#This Row],[hp2015.01]]/t_Parts[[#This Row],[ha2015.01]]</f>
        <v>6.1805902430902435E-2</v>
      </c>
      <c r="DV75" s="47">
        <f>t_Parts[[#This Row],[hp2015.02]]/t_Parts[[#This Row],[ha2015.02]]</f>
        <v>6.1805902430902435E-2</v>
      </c>
      <c r="DW75" s="47">
        <f>t_Parts[[#This Row],[hp2015.03]]/t_Parts[[#This Row],[ha2015.03]]</f>
        <v>5.7520188145188139E-2</v>
      </c>
      <c r="DX75" s="47">
        <f>t_Parts[[#This Row],[hp2015.04]]/t_Parts[[#This Row],[ha2015.04]]</f>
        <v>6.1805902430902435E-2</v>
      </c>
      <c r="DY75" s="47">
        <f>t_Parts[[#This Row],[hp2015.05]]/t_Parts[[#This Row],[ha2015.05]]</f>
        <v>6.1805902430902435E-2</v>
      </c>
      <c r="DZ75" s="47">
        <f>t_Parts[[#This Row],[hp2015.06]]/t_Parts[[#This Row],[ha2015.06]]</f>
        <v>5.7520188145188139E-2</v>
      </c>
      <c r="EA75" s="47">
        <f>t_Parts[[#This Row],[hp2015.07]]/t_Parts[[#This Row],[ha2015.07]]</f>
        <v>6.1805902430902435E-2</v>
      </c>
      <c r="EB75" s="47">
        <f>t_Parts[[#This Row],[hp2015.08]]/t_Parts[[#This Row],[ha2015.08]]</f>
        <v>6.1805902430902435E-2</v>
      </c>
      <c r="EC75" s="47">
        <f>t_Parts[[#This Row],[hp2015.09]]/t_Parts[[#This Row],[ha2015.09]]</f>
        <v>5.7520188145188139E-2</v>
      </c>
      <c r="ED75" s="47">
        <f>t_Parts[[#This Row],[hp2015.10]]/t_Parts[[#This Row],[ha2015.10]]</f>
        <v>6.1805902430902435E-2</v>
      </c>
      <c r="EE75" s="47">
        <f>t_Parts[[#This Row],[hp2015.11]]/t_Parts[[#This Row],[ha2015.11]]</f>
        <v>6.1805902430902435E-2</v>
      </c>
      <c r="EF75" s="47">
        <f>t_Parts[[#This Row],[hp2015.12]]/t_Parts[[#This Row],[ha2015.12]]</f>
        <v>5.7520188145188139E-2</v>
      </c>
      <c r="EG75" s="47">
        <f>t_Parts[[#This Row],[hp2015.FY]]/t_Parts[[#This Row],[ha2015.FY]]</f>
        <v>6.0157550782550778E-2</v>
      </c>
      <c r="EH75" s="47">
        <f>t_Parts[[#This Row],[hp2016.01]]/t_Parts[[#This Row],[ha2016.01]]</f>
        <v>0</v>
      </c>
      <c r="EI75" s="47">
        <f>t_Parts[[#This Row],[hp2016.02]]/t_Parts[[#This Row],[ha2016.02]]</f>
        <v>0</v>
      </c>
      <c r="EJ75" s="47">
        <f>t_Parts[[#This Row],[hp2016.03]]/t_Parts[[#This Row],[ha2016.03]]</f>
        <v>0</v>
      </c>
      <c r="EK75" s="47">
        <f>t_Parts[[#This Row],[hp2016.04]]/t_Parts[[#This Row],[ha2016.04]]</f>
        <v>0</v>
      </c>
      <c r="EL75" s="47">
        <f>t_Parts[[#This Row],[hp2016.05]]/t_Parts[[#This Row],[ha2016.05]]</f>
        <v>0</v>
      </c>
      <c r="EM75" s="47">
        <f>t_Parts[[#This Row],[hp2016.06]]/t_Parts[[#This Row],[ha2016.06]]</f>
        <v>0</v>
      </c>
      <c r="EN75" s="47">
        <f>t_Parts[[#This Row],[hp2016.07]]/t_Parts[[#This Row],[ha2016.07]]</f>
        <v>0</v>
      </c>
      <c r="EO75" s="47">
        <f>t_Parts[[#This Row],[hp2016.08]]/t_Parts[[#This Row],[ha2016.08]]</f>
        <v>0</v>
      </c>
      <c r="EP75" s="47">
        <f>t_Parts[[#This Row],[hp2016.09]]/t_Parts[[#This Row],[ha2016.09]]</f>
        <v>0</v>
      </c>
      <c r="EQ75" s="47">
        <f>t_Parts[[#This Row],[hp2016.10]]/t_Parts[[#This Row],[ha2016.10]]</f>
        <v>0</v>
      </c>
      <c r="ER75" s="47">
        <f>t_Parts[[#This Row],[hp2016.11]]/t_Parts[[#This Row],[ha2016.11]]</f>
        <v>0</v>
      </c>
      <c r="ES75" s="47">
        <f>t_Parts[[#This Row],[hp2016.12]]/t_Parts[[#This Row],[ha2016.12]]</f>
        <v>0</v>
      </c>
      <c r="ET75" s="47">
        <f>t_Parts[[#This Row],[hp2016.FY]]/t_Parts[[#This Row],[ha2016.FY]]</f>
        <v>0</v>
      </c>
      <c r="EU75" s="47">
        <f>t_Parts[[#This Row],[hp2017]]/t_Parts[[#This Row],[ha2017]]</f>
        <v>0</v>
      </c>
      <c r="EV75" s="47">
        <f>t_Parts[[#This Row],[hp2018]]/t_Parts[[#This Row],[ha2018]]</f>
        <v>0</v>
      </c>
      <c r="EW75" s="47">
        <f>t_Parts[[#This Row],[hp2019]]/t_Parts[[#This Row],[hp2015.01]]</f>
        <v>0</v>
      </c>
      <c r="EX75" s="58">
        <f>(t_Parts[[#This Row],[ha2015.01]]-t_Parts[[#This Row],[hp2015.01]])*t_Parts[[NetPPH]:[NetPPH]]</f>
        <v>138702.6153846154</v>
      </c>
      <c r="EY75" s="58">
        <f>(t_Parts[[#This Row],[ha2015.02]]-t_Parts[[#This Row],[hp2015.02]])*t_Parts[[NetPPH]:[NetPPH]]</f>
        <v>138702.6153846154</v>
      </c>
      <c r="EZ75" s="58">
        <f>(t_Parts[[#This Row],[ha2015.03]]-t_Parts[[#This Row],[hp2015.03]])*t_Parts[[NetPPH]:[NetPPH]]</f>
        <v>174170.26923076925</v>
      </c>
      <c r="FA75" s="58">
        <f>(t_Parts[[#This Row],[ha2015.04]]-t_Parts[[#This Row],[hp2015.04]])*t_Parts[[NetPPH]:[NetPPH]]</f>
        <v>138702.6153846154</v>
      </c>
      <c r="FB75" s="58">
        <f>(t_Parts[[#This Row],[ha2015.05]]-t_Parts[[#This Row],[hp2015.05]])*t_Parts[[NetPPH]:[NetPPH]]</f>
        <v>138702.6153846154</v>
      </c>
      <c r="FC75" s="58">
        <f>(t_Parts[[#This Row],[ha2015.06]]-t_Parts[[#This Row],[hp2015.06]])*t_Parts[[NetPPH]:[NetPPH]]</f>
        <v>174170.26923076925</v>
      </c>
      <c r="FD75" s="58">
        <f>(t_Parts[[#This Row],[ha2015.07]]-t_Parts[[#This Row],[hp2015.07]])*t_Parts[[NetPPH]:[NetPPH]]</f>
        <v>138702.6153846154</v>
      </c>
      <c r="FE75" s="58">
        <f>(t_Parts[[#This Row],[ha2015.08]]-t_Parts[[#This Row],[hp2015.08]])*t_Parts[[NetPPH]:[NetPPH]]</f>
        <v>138702.6153846154</v>
      </c>
      <c r="FF75" s="58">
        <f>(t_Parts[[#This Row],[ha2015.09]]-t_Parts[[#This Row],[hp2015.09]])*t_Parts[[NetPPH]:[NetPPH]]</f>
        <v>174170.26923076925</v>
      </c>
      <c r="FG75" s="58">
        <f>(t_Parts[[#This Row],[ha2015.10]]-t_Parts[[#This Row],[hp2015.10]])*t_Parts[[NetPPH]:[NetPPH]]</f>
        <v>138702.6153846154</v>
      </c>
      <c r="FH75" s="58">
        <f>(t_Parts[[#This Row],[ha2015.11]]-t_Parts[[#This Row],[hp2015.11]])*t_Parts[[NetPPH]:[NetPPH]]</f>
        <v>138702.6153846154</v>
      </c>
      <c r="FI75" s="58">
        <f>(t_Parts[[#This Row],[ha2015.12]]-t_Parts[[#This Row],[hp2015.12]])*t_Parts[[NetPPH]:[NetPPH]]</f>
        <v>174170.26923076925</v>
      </c>
      <c r="FJ75" s="58">
        <f>(t_Parts[[#This Row],[ha2015.FY]]-t_Parts[[#This Row],[hp2015.FY]])*t_Parts[[NetPPH]:[NetPPH]]</f>
        <v>1806302</v>
      </c>
      <c r="FK75" s="58">
        <f>(t_Parts[[#This Row],[ha2016.01]]-t_Parts[[#This Row],[hp2016.01]])*t_Parts[[NetPPH]:[NetPPH]]</f>
        <v>147840</v>
      </c>
      <c r="FL75" s="58">
        <f>(t_Parts[[#This Row],[ha2016.02]]-t_Parts[[#This Row],[hp2016.02]])*t_Parts[[NetPPH]:[NetPPH]]</f>
        <v>147840</v>
      </c>
      <c r="FM75" s="58">
        <f>(t_Parts[[#This Row],[ha2016.03]]-t_Parts[[#This Row],[hp2016.03]])*t_Parts[[NetPPH]:[NetPPH]]</f>
        <v>184800</v>
      </c>
      <c r="FN75" s="58">
        <f>(t_Parts[[#This Row],[ha2016.04]]-t_Parts[[#This Row],[hp2016.04]])*t_Parts[[NetPPH]:[NetPPH]]</f>
        <v>147840</v>
      </c>
      <c r="FO75" s="58">
        <f>(t_Parts[[#This Row],[ha2016.05]]-t_Parts[[#This Row],[hp2016.05]])*t_Parts[[NetPPH]:[NetPPH]]</f>
        <v>147840</v>
      </c>
      <c r="FP75" s="58">
        <f>(t_Parts[[#This Row],[ha2016.06]]-t_Parts[[#This Row],[hp2016.06]])*t_Parts[[NetPPH]:[NetPPH]]</f>
        <v>184800</v>
      </c>
      <c r="FQ75" s="58">
        <f>(t_Parts[[#This Row],[ha2016.07]]-t_Parts[[#This Row],[hp2016.07]])*t_Parts[[NetPPH]:[NetPPH]]</f>
        <v>147840</v>
      </c>
      <c r="FR75" s="58">
        <f>(t_Parts[[#This Row],[ha2016.08]]-t_Parts[[#This Row],[hp2016.08]])*t_Parts[[NetPPH]:[NetPPH]]</f>
        <v>147840</v>
      </c>
      <c r="FS75" s="58">
        <f>(t_Parts[[#This Row],[ha2016.09]]-t_Parts[[#This Row],[hp2016.09]])*t_Parts[[NetPPH]:[NetPPH]]</f>
        <v>184800</v>
      </c>
      <c r="FT75" s="58">
        <f>(t_Parts[[#This Row],[ha2016.10]]-t_Parts[[#This Row],[hp2016.10]])*t_Parts[[NetPPH]:[NetPPH]]</f>
        <v>147840</v>
      </c>
      <c r="FU75" s="58">
        <f>(t_Parts[[#This Row],[ha2016.11]]-t_Parts[[#This Row],[hp2016.11]])*t_Parts[[NetPPH]:[NetPPH]]</f>
        <v>147840</v>
      </c>
      <c r="FV75" s="58">
        <f>(t_Parts[[#This Row],[ha2016.12]]-t_Parts[[#This Row],[hp2016.12]])*t_Parts[[NetPPH]:[NetPPH]]</f>
        <v>184800</v>
      </c>
      <c r="FW75" s="58">
        <f>(t_Parts[[#This Row],[ha2016.FY]]-t_Parts[[#This Row],[hp2016.FY]])*t_Parts[[NetPPH]:[NetPPH]]</f>
        <v>1921920</v>
      </c>
      <c r="FX75" s="58">
        <f>(t_Parts[[#This Row],[ha2017]]-t_Parts[[#This Row],[hp2017]])*t_Parts[[NetPPH]:[NetPPH]]</f>
        <v>1921920</v>
      </c>
      <c r="FY75" s="58">
        <f>(t_Parts[[#This Row],[ha2018]]-t_Parts[[#This Row],[hp2018]])*t_Parts[[NetPPH]:[NetPPH]]</f>
        <v>1921920</v>
      </c>
      <c r="FZ75" s="58">
        <f>(t_Parts[[#This Row],[ha2019]]-t_Parts[[#This Row],[hp2019]])*t_Parts[[NetPPH]:[NetPPH]]</f>
        <v>1921920</v>
      </c>
    </row>
    <row r="76" spans="1:182" s="14" customFormat="1" x14ac:dyDescent="0.25">
      <c r="A76" s="74">
        <v>75065</v>
      </c>
      <c r="B76" s="74"/>
      <c r="C76" s="74">
        <v>21001</v>
      </c>
      <c r="D76" s="75">
        <v>1</v>
      </c>
      <c r="E76" s="73">
        <v>2100</v>
      </c>
      <c r="F76" s="76">
        <v>1</v>
      </c>
      <c r="G76" s="77">
        <v>4</v>
      </c>
      <c r="H76" s="16">
        <v>2015.01</v>
      </c>
      <c r="I76" s="16" t="s">
        <v>332</v>
      </c>
      <c r="J76" s="73">
        <v>136715</v>
      </c>
      <c r="K76" s="73">
        <v>136715</v>
      </c>
      <c r="L76" s="73">
        <v>136715</v>
      </c>
      <c r="M76" s="73">
        <v>136715</v>
      </c>
      <c r="N76" s="73">
        <v>136715</v>
      </c>
      <c r="O76" s="78">
        <v>37</v>
      </c>
      <c r="P76" s="78">
        <v>84</v>
      </c>
      <c r="Q76" s="79">
        <v>22.965</v>
      </c>
      <c r="R76" s="79"/>
      <c r="S76" s="78"/>
      <c r="T76" s="80">
        <v>12</v>
      </c>
      <c r="U76" s="80" t="s">
        <v>121</v>
      </c>
      <c r="V76" s="81" t="s">
        <v>612</v>
      </c>
      <c r="W76" s="82">
        <v>1.71</v>
      </c>
      <c r="X76" s="82" t="s">
        <v>497</v>
      </c>
      <c r="Y76" s="82"/>
      <c r="Z76" s="82"/>
      <c r="AA76" s="82"/>
      <c r="AB76" s="82"/>
      <c r="AC76" s="83" t="s">
        <v>667</v>
      </c>
      <c r="AD76" s="40" t="str">
        <f>VLOOKUP(t_Parts[[#This Row],[Press]],t_Presses[],Press!B$1,FALSE)</f>
        <v>Plainfield</v>
      </c>
      <c r="AE76" s="40" t="str">
        <f>VLOOKUP(t_Parts[[#This Row],[Press]],t_Presses[],Press!E$1,FALSE)</f>
        <v>300-599</v>
      </c>
      <c r="AF76" s="47">
        <f>VLOOKUP(t_Parts[[#This Row],[Plant]],t_Plants[],Plants!C$1,FALSE)</f>
        <v>0.55000000000000004</v>
      </c>
      <c r="AG76" s="47">
        <f>VLOOKUP(t_Parts[[#This Row],[Press]],t_Presses[],Press!F$1,FALSE)</f>
        <v>0</v>
      </c>
      <c r="AH76" s="84"/>
      <c r="AI76" s="47">
        <f>IF(ISBLANK(t_Parts[[#This Row],[PartOEE]])=FALSE,t_Parts[[#This Row],[PartOEE]], IF(t_Parts[[#This Row],[PressOEE]]&gt;0, t_Parts[[#This Row],[PressOEE]], t_Parts[[#This Row],[PlantOEE]] ))</f>
        <v>0.55000000000000004</v>
      </c>
      <c r="AJ76" s="70">
        <f>t_Parts[[#This Row],[SetupsPerMo]]*t_Parts[[#This Row],[SetupHrs]]</f>
        <v>4</v>
      </c>
      <c r="AK76" s="39">
        <f>(t_Parts[[#This Row],[PartsPerStroke]]*t_Parts[[#This Row],[StrokesPerHr]])*t_Parts[[#This Row],[UseOEE]]</f>
        <v>1155</v>
      </c>
      <c r="AL7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10516.538461538461</v>
      </c>
      <c r="AM7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10516.538461538461</v>
      </c>
      <c r="AN7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13145.673076923076</v>
      </c>
      <c r="AO7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10516.538461538461</v>
      </c>
      <c r="AP7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10516.538461538461</v>
      </c>
      <c r="AQ7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13145.673076923076</v>
      </c>
      <c r="AR7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10516.538461538461</v>
      </c>
      <c r="AS7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10516.538461538461</v>
      </c>
      <c r="AT7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13145.673076923076</v>
      </c>
      <c r="AU7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10516.538461538461</v>
      </c>
      <c r="AV7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10516.538461538461</v>
      </c>
      <c r="AW7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13145.673076923076</v>
      </c>
      <c r="AX76" s="39">
        <f>SUM(t_Parts[[#This Row],[pv2015.01]:[pv2015.12]])</f>
        <v>136715</v>
      </c>
      <c r="AY7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10516.538461538461</v>
      </c>
      <c r="AZ7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10516.538461538461</v>
      </c>
      <c r="BA7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13145.673076923076</v>
      </c>
      <c r="BB7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10516.538461538461</v>
      </c>
      <c r="BC7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10516.538461538461</v>
      </c>
      <c r="BD7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13145.673076923076</v>
      </c>
      <c r="BE7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10516.538461538461</v>
      </c>
      <c r="BF7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10516.538461538461</v>
      </c>
      <c r="BG7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13145.673076923076</v>
      </c>
      <c r="BH7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10516.538461538461</v>
      </c>
      <c r="BI7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10516.538461538461</v>
      </c>
      <c r="BJ7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13145.673076923076</v>
      </c>
      <c r="BK76" s="39">
        <f>SUM(t_Parts[[#This Row],[pv2016.01]:[pv2016.12]])</f>
        <v>136715</v>
      </c>
      <c r="BL76" s="39">
        <f>t_Parts[[#This Row],[2017vol]]</f>
        <v>136715</v>
      </c>
      <c r="BM76" s="39">
        <f>t_Parts[[#This Row],[2018vol]]</f>
        <v>136715</v>
      </c>
      <c r="BN76" s="39">
        <f>t_Parts[[#This Row],[2019vol]]</f>
        <v>136715</v>
      </c>
      <c r="BO76" s="40">
        <f>VLOOKUP(t_Parts[[Plant]:[Plant]],t_Plants[],Plants!CN$1,FALSE)</f>
        <v>280</v>
      </c>
      <c r="BP76" s="14">
        <f>VLOOKUP(t_Parts[[Plant]:[Plant]],t_Plants[],Plants!CO$1,FALSE)</f>
        <v>280</v>
      </c>
      <c r="BQ76" s="14">
        <f>VLOOKUP(t_Parts[[Plant]:[Plant]],t_Plants[],Plants!CP$1,FALSE)</f>
        <v>350</v>
      </c>
      <c r="BR76" s="14">
        <f>VLOOKUP(t_Parts[[Plant]:[Plant]],t_Plants[],Plants!CQ$1,FALSE)</f>
        <v>280</v>
      </c>
      <c r="BS76" s="14">
        <f>VLOOKUP(t_Parts[[Plant]:[Plant]],t_Plants[],Plants!CR$1,FALSE)</f>
        <v>280</v>
      </c>
      <c r="BT76" s="14">
        <f>VLOOKUP(t_Parts[[Plant]:[Plant]],t_Plants[],Plants!CS$1,FALSE)</f>
        <v>350</v>
      </c>
      <c r="BU76" s="14">
        <f>VLOOKUP(t_Parts[[Plant]:[Plant]],t_Plants[],Plants!CT$1,FALSE)</f>
        <v>280</v>
      </c>
      <c r="BV76" s="14">
        <f>VLOOKUP(t_Parts[[Plant]:[Plant]],t_Plants[],Plants!CU$1,FALSE)</f>
        <v>280</v>
      </c>
      <c r="BW76" s="14">
        <f>VLOOKUP(t_Parts[[Plant]:[Plant]],t_Plants[],Plants!CV$1,FALSE)</f>
        <v>350</v>
      </c>
      <c r="BX76" s="14">
        <f>VLOOKUP(t_Parts[[Plant]:[Plant]],t_Plants[],Plants!CW$1,FALSE)</f>
        <v>280</v>
      </c>
      <c r="BY76" s="14">
        <f>VLOOKUP(t_Parts[[Plant]:[Plant]],t_Plants[],Plants!CX$1,FALSE)</f>
        <v>280</v>
      </c>
      <c r="BZ76" s="14">
        <f>VLOOKUP(t_Parts[[Plant]:[Plant]],t_Plants[],Plants!CY$1,FALSE)</f>
        <v>350</v>
      </c>
      <c r="CA76" s="40">
        <f>SUM(t_Parts[[#This Row],[ha2015.01]:[ha2015.12]])</f>
        <v>3640</v>
      </c>
      <c r="CB76" s="14">
        <f>VLOOKUP(t_Parts[[Plant]:[Plant]],t_Plants[],Plants!DA$1,FALSE)</f>
        <v>280</v>
      </c>
      <c r="CC76" s="14">
        <f>VLOOKUP(t_Parts[[Plant]:[Plant]],t_Plants[],Plants!DB$1,FALSE)</f>
        <v>280</v>
      </c>
      <c r="CD76" s="14">
        <f>VLOOKUP(t_Parts[[Plant]:[Plant]],t_Plants[],Plants!DC$1,FALSE)</f>
        <v>350</v>
      </c>
      <c r="CE76" s="14">
        <f>VLOOKUP(t_Parts[[Plant]:[Plant]],t_Plants[],Plants!DD$1,FALSE)</f>
        <v>280</v>
      </c>
      <c r="CF76" s="14">
        <f>VLOOKUP(t_Parts[[Plant]:[Plant]],t_Plants[],Plants!DE$1,FALSE)</f>
        <v>280</v>
      </c>
      <c r="CG76" s="14">
        <f>VLOOKUP(t_Parts[[Plant]:[Plant]],t_Plants[],Plants!DF$1,FALSE)</f>
        <v>350</v>
      </c>
      <c r="CH76" s="14">
        <f>VLOOKUP(t_Parts[[Plant]:[Plant]],t_Plants[],Plants!DG$1,FALSE)</f>
        <v>280</v>
      </c>
      <c r="CI76" s="14">
        <f>VLOOKUP(t_Parts[[Plant]:[Plant]],t_Plants[],Plants!DH$1,FALSE)</f>
        <v>280</v>
      </c>
      <c r="CJ76" s="14">
        <f>VLOOKUP(t_Parts[[Plant]:[Plant]],t_Plants[],Plants!DI$1,FALSE)</f>
        <v>350</v>
      </c>
      <c r="CK76" s="14">
        <f>VLOOKUP(t_Parts[[Plant]:[Plant]],t_Plants[],Plants!DJ$1,FALSE)</f>
        <v>280</v>
      </c>
      <c r="CL76" s="14">
        <f>VLOOKUP(t_Parts[[Plant]:[Plant]],t_Plants[],Plants!DK$1,FALSE)</f>
        <v>280</v>
      </c>
      <c r="CM76" s="14">
        <f>VLOOKUP(t_Parts[[Plant]:[Plant]],t_Plants[],Plants!DL$1,FALSE)</f>
        <v>350</v>
      </c>
      <c r="CN76" s="14">
        <f>VLOOKUP(t_Parts[[Plant]:[Plant]],t_Plants[],Plants!DM$1,FALSE)</f>
        <v>3640</v>
      </c>
      <c r="CO76" s="14">
        <f>VLOOKUP(t_Parts[[Plant]:[Plant]],t_Plants[],Plants!DN$1,FALSE)</f>
        <v>3640</v>
      </c>
      <c r="CP76" s="14">
        <f>VLOOKUP(t_Parts[[Plant]:[Plant]],t_Plants[],Plants!DO$1,FALSE)</f>
        <v>3640</v>
      </c>
      <c r="CQ76" s="14">
        <f>VLOOKUP(t_Parts[[Plant]:[Plant]],t_Plants[],Plants!DP$1,FALSE)</f>
        <v>3640</v>
      </c>
      <c r="CR76" s="39">
        <f>IF(AND(AL$3&gt;=VALUE(t_Parts[[SOP]:[SOP]]),AL$3&lt;=VALUE(t_Parts[[EOP]:[EOP]])), t_Parts[[SetupHrsPerMo]:[SetupHrsPerMo]]+(t_Parts[[#This Row],[pv2015.01]]/t_Parts[[NetPPH]:[NetPPH]]),0)</f>
        <v>13.105228105228104</v>
      </c>
      <c r="CS76" s="39">
        <f>IF(AND(AM$3&gt;=VALUE(t_Parts[[SOP]:[SOP]]),AM$3&lt;=VALUE(t_Parts[[EOP]:[EOP]])), t_Parts[[SetupHrsPerMo]:[SetupHrsPerMo]]+(t_Parts[[#This Row],[pv2015.02]]/t_Parts[[NetPPH]:[NetPPH]]),0)</f>
        <v>13.105228105228104</v>
      </c>
      <c r="CT76" s="39">
        <f>IF(AND(AN$3&gt;=VALUE(t_Parts[[SOP]:[SOP]]),AN$3&lt;=VALUE(t_Parts[[EOP]:[EOP]])), t_Parts[[SetupHrsPerMo]:[SetupHrsPerMo]]+(t_Parts[[#This Row],[pv2015.03]]/t_Parts[[NetPPH]:[NetPPH]]),0)</f>
        <v>15.381535131535131</v>
      </c>
      <c r="CU76" s="39">
        <f>IF(AND(AO$3&gt;=VALUE(t_Parts[[SOP]:[SOP]]),AO$3&lt;=VALUE(t_Parts[[EOP]:[EOP]])), t_Parts[[SetupHrsPerMo]:[SetupHrsPerMo]]+(t_Parts[[#This Row],[pv2015.04]]/t_Parts[[NetPPH]:[NetPPH]]),0)</f>
        <v>13.105228105228104</v>
      </c>
      <c r="CV76" s="39">
        <f>IF(AND(AP$3&gt;=VALUE(t_Parts[[SOP]:[SOP]]),AP$3&lt;=VALUE(t_Parts[[EOP]:[EOP]])), t_Parts[[SetupHrsPerMo]:[SetupHrsPerMo]]+(t_Parts[[#This Row],[pv2015.05]]/t_Parts[[NetPPH]:[NetPPH]]),0)</f>
        <v>13.105228105228104</v>
      </c>
      <c r="CW76" s="39">
        <f>IF(AND(AQ$3&gt;=VALUE(t_Parts[[SOP]:[SOP]]),AQ$3&lt;=VALUE(t_Parts[[EOP]:[EOP]])), t_Parts[[SetupHrsPerMo]:[SetupHrsPerMo]]+(t_Parts[[#This Row],[pv2015.06]]/t_Parts[[NetPPH]:[NetPPH]]),0)</f>
        <v>15.381535131535131</v>
      </c>
      <c r="CX76" s="39">
        <f>IF(AND(AR$3&gt;=VALUE(t_Parts[[SOP]:[SOP]]),AR$3&lt;=VALUE(t_Parts[[EOP]:[EOP]])), t_Parts[[SetupHrsPerMo]:[SetupHrsPerMo]]+(t_Parts[[#This Row],[pv2015.07]]/t_Parts[[NetPPH]:[NetPPH]]),0)</f>
        <v>13.105228105228104</v>
      </c>
      <c r="CY76" s="39">
        <f>IF(AND(AS$3&gt;=VALUE(t_Parts[[SOP]:[SOP]]),AS$3&lt;=VALUE(t_Parts[[EOP]:[EOP]])), t_Parts[[SetupHrsPerMo]:[SetupHrsPerMo]]+(t_Parts[[#This Row],[pv2015.08]]/t_Parts[[NetPPH]:[NetPPH]]),0)</f>
        <v>13.105228105228104</v>
      </c>
      <c r="CZ76" s="39">
        <f>IF(AND(AT$3&gt;=VALUE(t_Parts[[SOP]:[SOP]]),AT$3&lt;=VALUE(t_Parts[[EOP]:[EOP]])), t_Parts[[SetupHrsPerMo]:[SetupHrsPerMo]]+(t_Parts[[#This Row],[pv2015.09]]/t_Parts[[NetPPH]:[NetPPH]]),0)</f>
        <v>15.381535131535131</v>
      </c>
      <c r="DA76" s="39">
        <f>IF(AND(AU$3&gt;=VALUE(t_Parts[[SOP]:[SOP]]),AU$3&lt;=VALUE(t_Parts[[EOP]:[EOP]])), t_Parts[[SetupHrsPerMo]:[SetupHrsPerMo]]+(t_Parts[[#This Row],[pv2015.10]]/t_Parts[[NetPPH]:[NetPPH]]),0)</f>
        <v>13.105228105228104</v>
      </c>
      <c r="DB76" s="39">
        <f>IF(AND(AV$3&gt;=VALUE(t_Parts[[SOP]:[SOP]]),AV$3&lt;=VALUE(t_Parts[[EOP]:[EOP]])), t_Parts[[SetupHrsPerMo]:[SetupHrsPerMo]]+(t_Parts[[#This Row],[pv2015.11]]/t_Parts[[NetPPH]:[NetPPH]]),0)</f>
        <v>13.105228105228104</v>
      </c>
      <c r="DC76" s="39">
        <f>IF(AND(AW$3&gt;=VALUE(t_Parts[[SOP]:[SOP]]),AW$3&lt;=VALUE(t_Parts[[EOP]:[EOP]])), t_Parts[[SetupHrsPerMo]:[SetupHrsPerMo]]+(t_Parts[[#This Row],[pv2015.12]]/t_Parts[[NetPPH]:[NetPPH]]),0)</f>
        <v>15.381535131535131</v>
      </c>
      <c r="DD76" s="39">
        <f>SUM(t_Parts[[#This Row],[hp2015.01]:[hp2015.12]])</f>
        <v>166.36796536796533</v>
      </c>
      <c r="DE76" s="39">
        <f>IF(AND(AY$3&gt;=VALUE(t_Parts[[SOP]:[SOP]]),AY$3&lt;=VALUE(t_Parts[[EOP]:[EOP]])), t_Parts[[SetupHrsPerMo]:[SetupHrsPerMo]]+(t_Parts[[#This Row],[pv2016.01]]/t_Parts[[NetPPH]:[NetPPH]]),0)</f>
        <v>13.105228105228104</v>
      </c>
      <c r="DF76" s="39">
        <f>IF(AND(AZ$3&gt;=VALUE(t_Parts[[SOP]:[SOP]]),AZ$3&lt;=VALUE(t_Parts[[EOP]:[EOP]])), t_Parts[[SetupHrsPerMo]:[SetupHrsPerMo]]+(t_Parts[[#This Row],[pv2016.02]]/t_Parts[[NetPPH]:[NetPPH]]),0)</f>
        <v>13.105228105228104</v>
      </c>
      <c r="DG76" s="39">
        <f>IF(AND(BA$3&gt;=VALUE(t_Parts[[SOP]:[SOP]]),BA$3&lt;=VALUE(t_Parts[[EOP]:[EOP]])), t_Parts[[SetupHrsPerMo]:[SetupHrsPerMo]]+(t_Parts[[#This Row],[pv2016.03]]/t_Parts[[NetPPH]:[NetPPH]]),0)</f>
        <v>15.381535131535131</v>
      </c>
      <c r="DH76" s="39">
        <f>IF(AND(BB$3&gt;=VALUE(t_Parts[[SOP]:[SOP]]),BB$3&lt;=VALUE(t_Parts[[EOP]:[EOP]])), t_Parts[[SetupHrsPerMo]:[SetupHrsPerMo]]+(t_Parts[[#This Row],[pv2016.04]]/t_Parts[[NetPPH]:[NetPPH]]),0)</f>
        <v>13.105228105228104</v>
      </c>
      <c r="DI76" s="39">
        <f>IF(AND(BC$3&gt;=VALUE(t_Parts[[SOP]:[SOP]]),BC$3&lt;=VALUE(t_Parts[[EOP]:[EOP]])), t_Parts[[SetupHrsPerMo]:[SetupHrsPerMo]]+(t_Parts[[#This Row],[pv2016.05]]/t_Parts[[NetPPH]:[NetPPH]]),0)</f>
        <v>13.105228105228104</v>
      </c>
      <c r="DJ76" s="39">
        <f>IF(AND(BD$3&gt;=VALUE(t_Parts[[SOP]:[SOP]]),BD$3&lt;=VALUE(t_Parts[[EOP]:[EOP]])), t_Parts[[SetupHrsPerMo]:[SetupHrsPerMo]]+(t_Parts[[#This Row],[pv2016.06]]/t_Parts[[NetPPH]:[NetPPH]]),0)</f>
        <v>15.381535131535131</v>
      </c>
      <c r="DK76" s="39">
        <f>IF(AND(BE$3&gt;=VALUE(t_Parts[[SOP]:[SOP]]),BE$3&lt;=VALUE(t_Parts[[EOP]:[EOP]])), t_Parts[[SetupHrsPerMo]:[SetupHrsPerMo]]+(t_Parts[[#This Row],[pv2016.07]]/t_Parts[[NetPPH]:[NetPPH]]),0)</f>
        <v>13.105228105228104</v>
      </c>
      <c r="DL76" s="39">
        <f>IF(AND(BF$3&gt;=VALUE(t_Parts[[SOP]:[SOP]]),BF$3&lt;=VALUE(t_Parts[[EOP]:[EOP]])), t_Parts[[SetupHrsPerMo]:[SetupHrsPerMo]]+(t_Parts[[#This Row],[pv2016.08]]/t_Parts[[NetPPH]:[NetPPH]]),0)</f>
        <v>13.105228105228104</v>
      </c>
      <c r="DM76" s="39">
        <f>IF(AND(BG$3&gt;=VALUE(t_Parts[[SOP]:[SOP]]),BG$3&lt;=VALUE(t_Parts[[EOP]:[EOP]])), t_Parts[[SetupHrsPerMo]:[SetupHrsPerMo]]+(t_Parts[[#This Row],[pv2016.09]]/t_Parts[[NetPPH]:[NetPPH]]),0)</f>
        <v>15.381535131535131</v>
      </c>
      <c r="DN76" s="39">
        <f>IF(AND(BH$3&gt;=VALUE(t_Parts[[SOP]:[SOP]]),BH$3&lt;=VALUE(t_Parts[[EOP]:[EOP]])), t_Parts[[SetupHrsPerMo]:[SetupHrsPerMo]]+(t_Parts[[#This Row],[pv2016.10]]/t_Parts[[NetPPH]:[NetPPH]]),0)</f>
        <v>13.105228105228104</v>
      </c>
      <c r="DO76" s="39">
        <f>IF(AND(BI$3&gt;=VALUE(t_Parts[[SOP]:[SOP]]),BI$3&lt;=VALUE(t_Parts[[EOP]:[EOP]])), t_Parts[[SetupHrsPerMo]:[SetupHrsPerMo]]+(t_Parts[[#This Row],[pv2016.11]]/t_Parts[[NetPPH]:[NetPPH]]),0)</f>
        <v>13.105228105228104</v>
      </c>
      <c r="DP76" s="39">
        <f>IF(AND(BJ$3&gt;=VALUE(t_Parts[[SOP]:[SOP]]),BJ$3&lt;=VALUE(t_Parts[[EOP]:[EOP]])), t_Parts[[SetupHrsPerMo]:[SetupHrsPerMo]]+(t_Parts[[#This Row],[pv2016.12]]/t_Parts[[NetPPH]:[NetPPH]]),0)</f>
        <v>15.381535131535131</v>
      </c>
      <c r="DQ76" s="39">
        <f>SUM(t_Parts[[#This Row],[hp2016.01]:[hp2016.12]])</f>
        <v>166.36796536796533</v>
      </c>
      <c r="DR76" s="39">
        <f>IF(AND(BL$3&gt;=VALUE(t_Parts[[SOP]:[SOP]]),BL$3&lt;=VALUE(t_Parts[[EOP]:[EOP]])), 12*t_Parts[[SetupHrsPerMo]:[SetupHrsPerMo]]+(t_Parts[[#This Row],[pv2017]]/t_Parts[[NetPPH]:[NetPPH]]),0)</f>
        <v>0</v>
      </c>
      <c r="DS76" s="39">
        <f>IF(AND(BM$3&gt;=VALUE(t_Parts[[SOP]:[SOP]]),BM$3&lt;=VALUE(t_Parts[[EOP]:[EOP]])), 12*t_Parts[[SetupHrsPerMo]:[SetupHrsPerMo]]+(t_Parts[[#This Row],[pv2018]]/t_Parts[[NetPPH]:[NetPPH]]),0)</f>
        <v>0</v>
      </c>
      <c r="DT76" s="39">
        <f>IF(AND(BN$3&gt;=VALUE(t_Parts[[SOP]:[SOP]]),BN$3&lt;=VALUE(t_Parts[[EOP]:[EOP]])), 12*t_Parts[[SetupHrsPerMo]:[SetupHrsPerMo]]+(t_Parts[[#This Row],[pv2019]]/t_Parts[[NetPPH]:[NetPPH]]),0)</f>
        <v>0</v>
      </c>
      <c r="DU76" s="47">
        <f>t_Parts[[#This Row],[hp2015.01]]/t_Parts[[#This Row],[ha2015.01]]</f>
        <v>4.6804386090100368E-2</v>
      </c>
      <c r="DV76" s="47">
        <f>t_Parts[[#This Row],[hp2015.02]]/t_Parts[[#This Row],[ha2015.02]]</f>
        <v>4.6804386090100368E-2</v>
      </c>
      <c r="DW76" s="47">
        <f>t_Parts[[#This Row],[hp2015.03]]/t_Parts[[#This Row],[ha2015.03]]</f>
        <v>4.3947243232957518E-2</v>
      </c>
      <c r="DX76" s="47">
        <f>t_Parts[[#This Row],[hp2015.04]]/t_Parts[[#This Row],[ha2015.04]]</f>
        <v>4.6804386090100368E-2</v>
      </c>
      <c r="DY76" s="47">
        <f>t_Parts[[#This Row],[hp2015.05]]/t_Parts[[#This Row],[ha2015.05]]</f>
        <v>4.6804386090100368E-2</v>
      </c>
      <c r="DZ76" s="47">
        <f>t_Parts[[#This Row],[hp2015.06]]/t_Parts[[#This Row],[ha2015.06]]</f>
        <v>4.3947243232957518E-2</v>
      </c>
      <c r="EA76" s="47">
        <f>t_Parts[[#This Row],[hp2015.07]]/t_Parts[[#This Row],[ha2015.07]]</f>
        <v>4.6804386090100368E-2</v>
      </c>
      <c r="EB76" s="47">
        <f>t_Parts[[#This Row],[hp2015.08]]/t_Parts[[#This Row],[ha2015.08]]</f>
        <v>4.6804386090100368E-2</v>
      </c>
      <c r="EC76" s="47">
        <f>t_Parts[[#This Row],[hp2015.09]]/t_Parts[[#This Row],[ha2015.09]]</f>
        <v>4.3947243232957518E-2</v>
      </c>
      <c r="ED76" s="47">
        <f>t_Parts[[#This Row],[hp2015.10]]/t_Parts[[#This Row],[ha2015.10]]</f>
        <v>4.6804386090100368E-2</v>
      </c>
      <c r="EE76" s="47">
        <f>t_Parts[[#This Row],[hp2015.11]]/t_Parts[[#This Row],[ha2015.11]]</f>
        <v>4.6804386090100368E-2</v>
      </c>
      <c r="EF76" s="47">
        <f>t_Parts[[#This Row],[hp2015.12]]/t_Parts[[#This Row],[ha2015.12]]</f>
        <v>4.3947243232957518E-2</v>
      </c>
      <c r="EG76" s="47">
        <f>t_Parts[[#This Row],[hp2015.FY]]/t_Parts[[#This Row],[ha2015.FY]]</f>
        <v>4.5705484991199266E-2</v>
      </c>
      <c r="EH76" s="47">
        <f>t_Parts[[#This Row],[hp2016.01]]/t_Parts[[#This Row],[ha2016.01]]</f>
        <v>4.6804386090100368E-2</v>
      </c>
      <c r="EI76" s="47">
        <f>t_Parts[[#This Row],[hp2016.02]]/t_Parts[[#This Row],[ha2016.02]]</f>
        <v>4.6804386090100368E-2</v>
      </c>
      <c r="EJ76" s="47">
        <f>t_Parts[[#This Row],[hp2016.03]]/t_Parts[[#This Row],[ha2016.03]]</f>
        <v>4.3947243232957518E-2</v>
      </c>
      <c r="EK76" s="47">
        <f>t_Parts[[#This Row],[hp2016.04]]/t_Parts[[#This Row],[ha2016.04]]</f>
        <v>4.6804386090100368E-2</v>
      </c>
      <c r="EL76" s="47">
        <f>t_Parts[[#This Row],[hp2016.05]]/t_Parts[[#This Row],[ha2016.05]]</f>
        <v>4.6804386090100368E-2</v>
      </c>
      <c r="EM76" s="47">
        <f>t_Parts[[#This Row],[hp2016.06]]/t_Parts[[#This Row],[ha2016.06]]</f>
        <v>4.3947243232957518E-2</v>
      </c>
      <c r="EN76" s="47">
        <f>t_Parts[[#This Row],[hp2016.07]]/t_Parts[[#This Row],[ha2016.07]]</f>
        <v>4.6804386090100368E-2</v>
      </c>
      <c r="EO76" s="47">
        <f>t_Parts[[#This Row],[hp2016.08]]/t_Parts[[#This Row],[ha2016.08]]</f>
        <v>4.6804386090100368E-2</v>
      </c>
      <c r="EP76" s="47">
        <f>t_Parts[[#This Row],[hp2016.09]]/t_Parts[[#This Row],[ha2016.09]]</f>
        <v>4.3947243232957518E-2</v>
      </c>
      <c r="EQ76" s="47">
        <f>t_Parts[[#This Row],[hp2016.10]]/t_Parts[[#This Row],[ha2016.10]]</f>
        <v>4.6804386090100368E-2</v>
      </c>
      <c r="ER76" s="47">
        <f>t_Parts[[#This Row],[hp2016.11]]/t_Parts[[#This Row],[ha2016.11]]</f>
        <v>4.6804386090100368E-2</v>
      </c>
      <c r="ES76" s="47">
        <f>t_Parts[[#This Row],[hp2016.12]]/t_Parts[[#This Row],[ha2016.12]]</f>
        <v>4.3947243232957518E-2</v>
      </c>
      <c r="ET76" s="47">
        <f>t_Parts[[#This Row],[hp2016.FY]]/t_Parts[[#This Row],[ha2016.FY]]</f>
        <v>4.5705484991199266E-2</v>
      </c>
      <c r="EU76" s="47">
        <f>t_Parts[[#This Row],[hp2017]]/t_Parts[[#This Row],[ha2017]]</f>
        <v>0</v>
      </c>
      <c r="EV76" s="47">
        <f>t_Parts[[#This Row],[hp2018]]/t_Parts[[#This Row],[ha2018]]</f>
        <v>0</v>
      </c>
      <c r="EW76" s="47">
        <f>t_Parts[[#This Row],[hp2019]]/t_Parts[[#This Row],[hp2015.01]]</f>
        <v>0</v>
      </c>
      <c r="EX76" s="58">
        <f>(t_Parts[[#This Row],[ha2015.01]]-t_Parts[[#This Row],[hp2015.01]])*t_Parts[[NetPPH]:[NetPPH]]</f>
        <v>308263.46153846156</v>
      </c>
      <c r="EY76" s="58">
        <f>(t_Parts[[#This Row],[ha2015.02]]-t_Parts[[#This Row],[hp2015.02]])*t_Parts[[NetPPH]:[NetPPH]]</f>
        <v>308263.46153846156</v>
      </c>
      <c r="EZ76" s="58">
        <f>(t_Parts[[#This Row],[ha2015.03]]-t_Parts[[#This Row],[hp2015.03]])*t_Parts[[NetPPH]:[NetPPH]]</f>
        <v>386484.32692307694</v>
      </c>
      <c r="FA76" s="58">
        <f>(t_Parts[[#This Row],[ha2015.04]]-t_Parts[[#This Row],[hp2015.04]])*t_Parts[[NetPPH]:[NetPPH]]</f>
        <v>308263.46153846156</v>
      </c>
      <c r="FB76" s="58">
        <f>(t_Parts[[#This Row],[ha2015.05]]-t_Parts[[#This Row],[hp2015.05]])*t_Parts[[NetPPH]:[NetPPH]]</f>
        <v>308263.46153846156</v>
      </c>
      <c r="FC76" s="58">
        <f>(t_Parts[[#This Row],[ha2015.06]]-t_Parts[[#This Row],[hp2015.06]])*t_Parts[[NetPPH]:[NetPPH]]</f>
        <v>386484.32692307694</v>
      </c>
      <c r="FD76" s="58">
        <f>(t_Parts[[#This Row],[ha2015.07]]-t_Parts[[#This Row],[hp2015.07]])*t_Parts[[NetPPH]:[NetPPH]]</f>
        <v>308263.46153846156</v>
      </c>
      <c r="FE76" s="58">
        <f>(t_Parts[[#This Row],[ha2015.08]]-t_Parts[[#This Row],[hp2015.08]])*t_Parts[[NetPPH]:[NetPPH]]</f>
        <v>308263.46153846156</v>
      </c>
      <c r="FF76" s="58">
        <f>(t_Parts[[#This Row],[ha2015.09]]-t_Parts[[#This Row],[hp2015.09]])*t_Parts[[NetPPH]:[NetPPH]]</f>
        <v>386484.32692307694</v>
      </c>
      <c r="FG76" s="58">
        <f>(t_Parts[[#This Row],[ha2015.10]]-t_Parts[[#This Row],[hp2015.10]])*t_Parts[[NetPPH]:[NetPPH]]</f>
        <v>308263.46153846156</v>
      </c>
      <c r="FH76" s="58">
        <f>(t_Parts[[#This Row],[ha2015.11]]-t_Parts[[#This Row],[hp2015.11]])*t_Parts[[NetPPH]:[NetPPH]]</f>
        <v>308263.46153846156</v>
      </c>
      <c r="FI76" s="58">
        <f>(t_Parts[[#This Row],[ha2015.12]]-t_Parts[[#This Row],[hp2015.12]])*t_Parts[[NetPPH]:[NetPPH]]</f>
        <v>386484.32692307694</v>
      </c>
      <c r="FJ76" s="58">
        <f>(t_Parts[[#This Row],[ha2015.FY]]-t_Parts[[#This Row],[hp2015.FY]])*t_Parts[[NetPPH]:[NetPPH]]</f>
        <v>4012045</v>
      </c>
      <c r="FK76" s="58">
        <f>(t_Parts[[#This Row],[ha2016.01]]-t_Parts[[#This Row],[hp2016.01]])*t_Parts[[NetPPH]:[NetPPH]]</f>
        <v>308263.46153846156</v>
      </c>
      <c r="FL76" s="58">
        <f>(t_Parts[[#This Row],[ha2016.02]]-t_Parts[[#This Row],[hp2016.02]])*t_Parts[[NetPPH]:[NetPPH]]</f>
        <v>308263.46153846156</v>
      </c>
      <c r="FM76" s="58">
        <f>(t_Parts[[#This Row],[ha2016.03]]-t_Parts[[#This Row],[hp2016.03]])*t_Parts[[NetPPH]:[NetPPH]]</f>
        <v>386484.32692307694</v>
      </c>
      <c r="FN76" s="58">
        <f>(t_Parts[[#This Row],[ha2016.04]]-t_Parts[[#This Row],[hp2016.04]])*t_Parts[[NetPPH]:[NetPPH]]</f>
        <v>308263.46153846156</v>
      </c>
      <c r="FO76" s="58">
        <f>(t_Parts[[#This Row],[ha2016.05]]-t_Parts[[#This Row],[hp2016.05]])*t_Parts[[NetPPH]:[NetPPH]]</f>
        <v>308263.46153846156</v>
      </c>
      <c r="FP76" s="58">
        <f>(t_Parts[[#This Row],[ha2016.06]]-t_Parts[[#This Row],[hp2016.06]])*t_Parts[[NetPPH]:[NetPPH]]</f>
        <v>386484.32692307694</v>
      </c>
      <c r="FQ76" s="58">
        <f>(t_Parts[[#This Row],[ha2016.07]]-t_Parts[[#This Row],[hp2016.07]])*t_Parts[[NetPPH]:[NetPPH]]</f>
        <v>308263.46153846156</v>
      </c>
      <c r="FR76" s="58">
        <f>(t_Parts[[#This Row],[ha2016.08]]-t_Parts[[#This Row],[hp2016.08]])*t_Parts[[NetPPH]:[NetPPH]]</f>
        <v>308263.46153846156</v>
      </c>
      <c r="FS76" s="58">
        <f>(t_Parts[[#This Row],[ha2016.09]]-t_Parts[[#This Row],[hp2016.09]])*t_Parts[[NetPPH]:[NetPPH]]</f>
        <v>386484.32692307694</v>
      </c>
      <c r="FT76" s="58">
        <f>(t_Parts[[#This Row],[ha2016.10]]-t_Parts[[#This Row],[hp2016.10]])*t_Parts[[NetPPH]:[NetPPH]]</f>
        <v>308263.46153846156</v>
      </c>
      <c r="FU76" s="58">
        <f>(t_Parts[[#This Row],[ha2016.11]]-t_Parts[[#This Row],[hp2016.11]])*t_Parts[[NetPPH]:[NetPPH]]</f>
        <v>308263.46153846156</v>
      </c>
      <c r="FV76" s="58">
        <f>(t_Parts[[#This Row],[ha2016.12]]-t_Parts[[#This Row],[hp2016.12]])*t_Parts[[NetPPH]:[NetPPH]]</f>
        <v>386484.32692307694</v>
      </c>
      <c r="FW76" s="58">
        <f>(t_Parts[[#This Row],[ha2016.FY]]-t_Parts[[#This Row],[hp2016.FY]])*t_Parts[[NetPPH]:[NetPPH]]</f>
        <v>4012045</v>
      </c>
      <c r="FX76" s="58">
        <f>(t_Parts[[#This Row],[ha2017]]-t_Parts[[#This Row],[hp2017]])*t_Parts[[NetPPH]:[NetPPH]]</f>
        <v>4204200</v>
      </c>
      <c r="FY76" s="58">
        <f>(t_Parts[[#This Row],[ha2018]]-t_Parts[[#This Row],[hp2018]])*t_Parts[[NetPPH]:[NetPPH]]</f>
        <v>4204200</v>
      </c>
      <c r="FZ76" s="58">
        <f>(t_Parts[[#This Row],[ha2019]]-t_Parts[[#This Row],[hp2019]])*t_Parts[[NetPPH]:[NetPPH]]</f>
        <v>4204200</v>
      </c>
    </row>
    <row r="77" spans="1:182" s="14" customFormat="1" x14ac:dyDescent="0.25">
      <c r="A77" s="74">
        <v>75056</v>
      </c>
      <c r="B77" s="74"/>
      <c r="C77" s="74">
        <v>21003</v>
      </c>
      <c r="D77" s="75">
        <v>1</v>
      </c>
      <c r="E77" s="73">
        <v>2100</v>
      </c>
      <c r="F77" s="76">
        <v>1</v>
      </c>
      <c r="G77" s="77">
        <v>4</v>
      </c>
      <c r="H77" s="16">
        <v>2015.01</v>
      </c>
      <c r="I77" s="16" t="s">
        <v>332</v>
      </c>
      <c r="J77" s="73">
        <v>694067</v>
      </c>
      <c r="K77" s="73">
        <v>694067</v>
      </c>
      <c r="L77" s="73">
        <v>694067</v>
      </c>
      <c r="M77" s="73">
        <v>694067</v>
      </c>
      <c r="N77" s="73">
        <v>694067</v>
      </c>
      <c r="O77" s="78">
        <v>36</v>
      </c>
      <c r="P77" s="78">
        <v>88</v>
      </c>
      <c r="Q77" s="79">
        <v>22.521000000000001</v>
      </c>
      <c r="R77" s="79"/>
      <c r="S77" s="78">
        <v>258</v>
      </c>
      <c r="T77" s="80">
        <v>16.5</v>
      </c>
      <c r="U77" s="80" t="s">
        <v>121</v>
      </c>
      <c r="V77" s="81" t="s">
        <v>664</v>
      </c>
      <c r="W77" s="82">
        <v>1.75</v>
      </c>
      <c r="X77" s="82" t="s">
        <v>497</v>
      </c>
      <c r="Y77" s="82"/>
      <c r="Z77" s="82"/>
      <c r="AA77" s="82"/>
      <c r="AB77" s="82"/>
      <c r="AC77" s="83" t="s">
        <v>667</v>
      </c>
      <c r="AD77" s="40" t="str">
        <f>VLOOKUP(t_Parts[[#This Row],[Press]],t_Presses[],Press!B$1,FALSE)</f>
        <v>Plainfield</v>
      </c>
      <c r="AE77" s="40" t="str">
        <f>VLOOKUP(t_Parts[[#This Row],[Press]],t_Presses[],Press!E$1,FALSE)</f>
        <v>300-599</v>
      </c>
      <c r="AF77" s="47">
        <f>VLOOKUP(t_Parts[[#This Row],[Plant]],t_Plants[],Plants!C$1,FALSE)</f>
        <v>0.55000000000000004</v>
      </c>
      <c r="AG77" s="47">
        <f>VLOOKUP(t_Parts[[#This Row],[Press]],t_Presses[],Press!F$1,FALSE)</f>
        <v>0</v>
      </c>
      <c r="AH77" s="84"/>
      <c r="AI77" s="47">
        <f>IF(ISBLANK(t_Parts[[#This Row],[PartOEE]])=FALSE,t_Parts[[#This Row],[PartOEE]], IF(t_Parts[[#This Row],[PressOEE]]&gt;0, t_Parts[[#This Row],[PressOEE]], t_Parts[[#This Row],[PlantOEE]] ))</f>
        <v>0.55000000000000004</v>
      </c>
      <c r="AJ77" s="70">
        <f>t_Parts[[#This Row],[SetupsPerMo]]*t_Parts[[#This Row],[SetupHrs]]</f>
        <v>4</v>
      </c>
      <c r="AK77" s="39">
        <f>(t_Parts[[#This Row],[PartsPerStroke]]*t_Parts[[#This Row],[StrokesPerHr]])*t_Parts[[#This Row],[UseOEE]]</f>
        <v>1155</v>
      </c>
      <c r="AL7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53389.769230769234</v>
      </c>
      <c r="AM7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53389.769230769234</v>
      </c>
      <c r="AN7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66737.211538461546</v>
      </c>
      <c r="AO7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53389.769230769234</v>
      </c>
      <c r="AP7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53389.769230769234</v>
      </c>
      <c r="AQ7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66737.211538461546</v>
      </c>
      <c r="AR7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53389.769230769234</v>
      </c>
      <c r="AS7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53389.769230769234</v>
      </c>
      <c r="AT7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66737.211538461546</v>
      </c>
      <c r="AU7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53389.769230769234</v>
      </c>
      <c r="AV7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53389.769230769234</v>
      </c>
      <c r="AW7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66737.211538461546</v>
      </c>
      <c r="AX77" s="39">
        <f>SUM(t_Parts[[#This Row],[pv2015.01]:[pv2015.12]])</f>
        <v>694067.00000000012</v>
      </c>
      <c r="AY7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53389.769230769234</v>
      </c>
      <c r="AZ7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53389.769230769234</v>
      </c>
      <c r="BA7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66737.211538461546</v>
      </c>
      <c r="BB7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53389.769230769234</v>
      </c>
      <c r="BC7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53389.769230769234</v>
      </c>
      <c r="BD7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66737.211538461546</v>
      </c>
      <c r="BE7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53389.769230769234</v>
      </c>
      <c r="BF7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53389.769230769234</v>
      </c>
      <c r="BG7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66737.211538461546</v>
      </c>
      <c r="BH7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53389.769230769234</v>
      </c>
      <c r="BI7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53389.769230769234</v>
      </c>
      <c r="BJ7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66737.211538461546</v>
      </c>
      <c r="BK77" s="39">
        <f>SUM(t_Parts[[#This Row],[pv2016.01]:[pv2016.12]])</f>
        <v>694067.00000000012</v>
      </c>
      <c r="BL77" s="39">
        <f>t_Parts[[#This Row],[2017vol]]</f>
        <v>694067</v>
      </c>
      <c r="BM77" s="39">
        <f>t_Parts[[#This Row],[2018vol]]</f>
        <v>694067</v>
      </c>
      <c r="BN77" s="39">
        <f>t_Parts[[#This Row],[2019vol]]</f>
        <v>694067</v>
      </c>
      <c r="BO77" s="40">
        <f>VLOOKUP(t_Parts[[Plant]:[Plant]],t_Plants[],Plants!CN$1,FALSE)</f>
        <v>280</v>
      </c>
      <c r="BP77" s="14">
        <f>VLOOKUP(t_Parts[[Plant]:[Plant]],t_Plants[],Plants!CO$1,FALSE)</f>
        <v>280</v>
      </c>
      <c r="BQ77" s="14">
        <f>VLOOKUP(t_Parts[[Plant]:[Plant]],t_Plants[],Plants!CP$1,FALSE)</f>
        <v>350</v>
      </c>
      <c r="BR77" s="14">
        <f>VLOOKUP(t_Parts[[Plant]:[Plant]],t_Plants[],Plants!CQ$1,FALSE)</f>
        <v>280</v>
      </c>
      <c r="BS77" s="14">
        <f>VLOOKUP(t_Parts[[Plant]:[Plant]],t_Plants[],Plants!CR$1,FALSE)</f>
        <v>280</v>
      </c>
      <c r="BT77" s="14">
        <f>VLOOKUP(t_Parts[[Plant]:[Plant]],t_Plants[],Plants!CS$1,FALSE)</f>
        <v>350</v>
      </c>
      <c r="BU77" s="14">
        <f>VLOOKUP(t_Parts[[Plant]:[Plant]],t_Plants[],Plants!CT$1,FALSE)</f>
        <v>280</v>
      </c>
      <c r="BV77" s="14">
        <f>VLOOKUP(t_Parts[[Plant]:[Plant]],t_Plants[],Plants!CU$1,FALSE)</f>
        <v>280</v>
      </c>
      <c r="BW77" s="14">
        <f>VLOOKUP(t_Parts[[Plant]:[Plant]],t_Plants[],Plants!CV$1,FALSE)</f>
        <v>350</v>
      </c>
      <c r="BX77" s="14">
        <f>VLOOKUP(t_Parts[[Plant]:[Plant]],t_Plants[],Plants!CW$1,FALSE)</f>
        <v>280</v>
      </c>
      <c r="BY77" s="14">
        <f>VLOOKUP(t_Parts[[Plant]:[Plant]],t_Plants[],Plants!CX$1,FALSE)</f>
        <v>280</v>
      </c>
      <c r="BZ77" s="14">
        <f>VLOOKUP(t_Parts[[Plant]:[Plant]],t_Plants[],Plants!CY$1,FALSE)</f>
        <v>350</v>
      </c>
      <c r="CA77" s="40">
        <f>SUM(t_Parts[[#This Row],[ha2015.01]:[ha2015.12]])</f>
        <v>3640</v>
      </c>
      <c r="CB77" s="14">
        <f>VLOOKUP(t_Parts[[Plant]:[Plant]],t_Plants[],Plants!DA$1,FALSE)</f>
        <v>280</v>
      </c>
      <c r="CC77" s="14">
        <f>VLOOKUP(t_Parts[[Plant]:[Plant]],t_Plants[],Plants!DB$1,FALSE)</f>
        <v>280</v>
      </c>
      <c r="CD77" s="14">
        <f>VLOOKUP(t_Parts[[Plant]:[Plant]],t_Plants[],Plants!DC$1,FALSE)</f>
        <v>350</v>
      </c>
      <c r="CE77" s="14">
        <f>VLOOKUP(t_Parts[[Plant]:[Plant]],t_Plants[],Plants!DD$1,FALSE)</f>
        <v>280</v>
      </c>
      <c r="CF77" s="14">
        <f>VLOOKUP(t_Parts[[Plant]:[Plant]],t_Plants[],Plants!DE$1,FALSE)</f>
        <v>280</v>
      </c>
      <c r="CG77" s="14">
        <f>VLOOKUP(t_Parts[[Plant]:[Plant]],t_Plants[],Plants!DF$1,FALSE)</f>
        <v>350</v>
      </c>
      <c r="CH77" s="14">
        <f>VLOOKUP(t_Parts[[Plant]:[Plant]],t_Plants[],Plants!DG$1,FALSE)</f>
        <v>280</v>
      </c>
      <c r="CI77" s="14">
        <f>VLOOKUP(t_Parts[[Plant]:[Plant]],t_Plants[],Plants!DH$1,FALSE)</f>
        <v>280</v>
      </c>
      <c r="CJ77" s="14">
        <f>VLOOKUP(t_Parts[[Plant]:[Plant]],t_Plants[],Plants!DI$1,FALSE)</f>
        <v>350</v>
      </c>
      <c r="CK77" s="14">
        <f>VLOOKUP(t_Parts[[Plant]:[Plant]],t_Plants[],Plants!DJ$1,FALSE)</f>
        <v>280</v>
      </c>
      <c r="CL77" s="14">
        <f>VLOOKUP(t_Parts[[Plant]:[Plant]],t_Plants[],Plants!DK$1,FALSE)</f>
        <v>280</v>
      </c>
      <c r="CM77" s="14">
        <f>VLOOKUP(t_Parts[[Plant]:[Plant]],t_Plants[],Plants!DL$1,FALSE)</f>
        <v>350</v>
      </c>
      <c r="CN77" s="14">
        <f>VLOOKUP(t_Parts[[Plant]:[Plant]],t_Plants[],Plants!DM$1,FALSE)</f>
        <v>3640</v>
      </c>
      <c r="CO77" s="14">
        <f>VLOOKUP(t_Parts[[Plant]:[Plant]],t_Plants[],Plants!DN$1,FALSE)</f>
        <v>3640</v>
      </c>
      <c r="CP77" s="14">
        <f>VLOOKUP(t_Parts[[Plant]:[Plant]],t_Plants[],Plants!DO$1,FALSE)</f>
        <v>3640</v>
      </c>
      <c r="CQ77" s="14">
        <f>VLOOKUP(t_Parts[[Plant]:[Plant]],t_Plants[],Plants!DP$1,FALSE)</f>
        <v>3640</v>
      </c>
      <c r="CR77" s="39">
        <f>IF(AND(AL$3&gt;=VALUE(t_Parts[[SOP]:[SOP]]),AL$3&lt;=VALUE(t_Parts[[EOP]:[EOP]])), t_Parts[[SetupHrsPerMo]:[SetupHrsPerMo]]+(t_Parts[[#This Row],[pv2015.01]]/t_Parts[[NetPPH]:[NetPPH]]),0)</f>
        <v>50.224908424908428</v>
      </c>
      <c r="CS77" s="39">
        <f>IF(AND(AM$3&gt;=VALUE(t_Parts[[SOP]:[SOP]]),AM$3&lt;=VALUE(t_Parts[[EOP]:[EOP]])), t_Parts[[SetupHrsPerMo]:[SetupHrsPerMo]]+(t_Parts[[#This Row],[pv2015.02]]/t_Parts[[NetPPH]:[NetPPH]]),0)</f>
        <v>50.224908424908428</v>
      </c>
      <c r="CT77" s="39">
        <f>IF(AND(AN$3&gt;=VALUE(t_Parts[[SOP]:[SOP]]),AN$3&lt;=VALUE(t_Parts[[EOP]:[EOP]])), t_Parts[[SetupHrsPerMo]:[SetupHrsPerMo]]+(t_Parts[[#This Row],[pv2015.03]]/t_Parts[[NetPPH]:[NetPPH]]),0)</f>
        <v>61.78113553113554</v>
      </c>
      <c r="CU77" s="39">
        <f>IF(AND(AO$3&gt;=VALUE(t_Parts[[SOP]:[SOP]]),AO$3&lt;=VALUE(t_Parts[[EOP]:[EOP]])), t_Parts[[SetupHrsPerMo]:[SetupHrsPerMo]]+(t_Parts[[#This Row],[pv2015.04]]/t_Parts[[NetPPH]:[NetPPH]]),0)</f>
        <v>50.224908424908428</v>
      </c>
      <c r="CV77" s="39">
        <f>IF(AND(AP$3&gt;=VALUE(t_Parts[[SOP]:[SOP]]),AP$3&lt;=VALUE(t_Parts[[EOP]:[EOP]])), t_Parts[[SetupHrsPerMo]:[SetupHrsPerMo]]+(t_Parts[[#This Row],[pv2015.05]]/t_Parts[[NetPPH]:[NetPPH]]),0)</f>
        <v>50.224908424908428</v>
      </c>
      <c r="CW77" s="39">
        <f>IF(AND(AQ$3&gt;=VALUE(t_Parts[[SOP]:[SOP]]),AQ$3&lt;=VALUE(t_Parts[[EOP]:[EOP]])), t_Parts[[SetupHrsPerMo]:[SetupHrsPerMo]]+(t_Parts[[#This Row],[pv2015.06]]/t_Parts[[NetPPH]:[NetPPH]]),0)</f>
        <v>61.78113553113554</v>
      </c>
      <c r="CX77" s="39">
        <f>IF(AND(AR$3&gt;=VALUE(t_Parts[[SOP]:[SOP]]),AR$3&lt;=VALUE(t_Parts[[EOP]:[EOP]])), t_Parts[[SetupHrsPerMo]:[SetupHrsPerMo]]+(t_Parts[[#This Row],[pv2015.07]]/t_Parts[[NetPPH]:[NetPPH]]),0)</f>
        <v>50.224908424908428</v>
      </c>
      <c r="CY77" s="39">
        <f>IF(AND(AS$3&gt;=VALUE(t_Parts[[SOP]:[SOP]]),AS$3&lt;=VALUE(t_Parts[[EOP]:[EOP]])), t_Parts[[SetupHrsPerMo]:[SetupHrsPerMo]]+(t_Parts[[#This Row],[pv2015.08]]/t_Parts[[NetPPH]:[NetPPH]]),0)</f>
        <v>50.224908424908428</v>
      </c>
      <c r="CZ77" s="39">
        <f>IF(AND(AT$3&gt;=VALUE(t_Parts[[SOP]:[SOP]]),AT$3&lt;=VALUE(t_Parts[[EOP]:[EOP]])), t_Parts[[SetupHrsPerMo]:[SetupHrsPerMo]]+(t_Parts[[#This Row],[pv2015.09]]/t_Parts[[NetPPH]:[NetPPH]]),0)</f>
        <v>61.78113553113554</v>
      </c>
      <c r="DA77" s="39">
        <f>IF(AND(AU$3&gt;=VALUE(t_Parts[[SOP]:[SOP]]),AU$3&lt;=VALUE(t_Parts[[EOP]:[EOP]])), t_Parts[[SetupHrsPerMo]:[SetupHrsPerMo]]+(t_Parts[[#This Row],[pv2015.10]]/t_Parts[[NetPPH]:[NetPPH]]),0)</f>
        <v>50.224908424908428</v>
      </c>
      <c r="DB77" s="39">
        <f>IF(AND(AV$3&gt;=VALUE(t_Parts[[SOP]:[SOP]]),AV$3&lt;=VALUE(t_Parts[[EOP]:[EOP]])), t_Parts[[SetupHrsPerMo]:[SetupHrsPerMo]]+(t_Parts[[#This Row],[pv2015.11]]/t_Parts[[NetPPH]:[NetPPH]]),0)</f>
        <v>50.224908424908428</v>
      </c>
      <c r="DC77" s="39">
        <f>IF(AND(AW$3&gt;=VALUE(t_Parts[[SOP]:[SOP]]),AW$3&lt;=VALUE(t_Parts[[EOP]:[EOP]])), t_Parts[[SetupHrsPerMo]:[SetupHrsPerMo]]+(t_Parts[[#This Row],[pv2015.12]]/t_Parts[[NetPPH]:[NetPPH]]),0)</f>
        <v>61.78113553113554</v>
      </c>
      <c r="DD77" s="39">
        <f>SUM(t_Parts[[#This Row],[hp2015.01]:[hp2015.12]])</f>
        <v>648.92380952380961</v>
      </c>
      <c r="DE77" s="39">
        <f>IF(AND(AY$3&gt;=VALUE(t_Parts[[SOP]:[SOP]]),AY$3&lt;=VALUE(t_Parts[[EOP]:[EOP]])), t_Parts[[SetupHrsPerMo]:[SetupHrsPerMo]]+(t_Parts[[#This Row],[pv2016.01]]/t_Parts[[NetPPH]:[NetPPH]]),0)</f>
        <v>50.224908424908428</v>
      </c>
      <c r="DF77" s="39">
        <f>IF(AND(AZ$3&gt;=VALUE(t_Parts[[SOP]:[SOP]]),AZ$3&lt;=VALUE(t_Parts[[EOP]:[EOP]])), t_Parts[[SetupHrsPerMo]:[SetupHrsPerMo]]+(t_Parts[[#This Row],[pv2016.02]]/t_Parts[[NetPPH]:[NetPPH]]),0)</f>
        <v>50.224908424908428</v>
      </c>
      <c r="DG77" s="39">
        <f>IF(AND(BA$3&gt;=VALUE(t_Parts[[SOP]:[SOP]]),BA$3&lt;=VALUE(t_Parts[[EOP]:[EOP]])), t_Parts[[SetupHrsPerMo]:[SetupHrsPerMo]]+(t_Parts[[#This Row],[pv2016.03]]/t_Parts[[NetPPH]:[NetPPH]]),0)</f>
        <v>61.78113553113554</v>
      </c>
      <c r="DH77" s="39">
        <f>IF(AND(BB$3&gt;=VALUE(t_Parts[[SOP]:[SOP]]),BB$3&lt;=VALUE(t_Parts[[EOP]:[EOP]])), t_Parts[[SetupHrsPerMo]:[SetupHrsPerMo]]+(t_Parts[[#This Row],[pv2016.04]]/t_Parts[[NetPPH]:[NetPPH]]),0)</f>
        <v>50.224908424908428</v>
      </c>
      <c r="DI77" s="39">
        <f>IF(AND(BC$3&gt;=VALUE(t_Parts[[SOP]:[SOP]]),BC$3&lt;=VALUE(t_Parts[[EOP]:[EOP]])), t_Parts[[SetupHrsPerMo]:[SetupHrsPerMo]]+(t_Parts[[#This Row],[pv2016.05]]/t_Parts[[NetPPH]:[NetPPH]]),0)</f>
        <v>50.224908424908428</v>
      </c>
      <c r="DJ77" s="39">
        <f>IF(AND(BD$3&gt;=VALUE(t_Parts[[SOP]:[SOP]]),BD$3&lt;=VALUE(t_Parts[[EOP]:[EOP]])), t_Parts[[SetupHrsPerMo]:[SetupHrsPerMo]]+(t_Parts[[#This Row],[pv2016.06]]/t_Parts[[NetPPH]:[NetPPH]]),0)</f>
        <v>61.78113553113554</v>
      </c>
      <c r="DK77" s="39">
        <f>IF(AND(BE$3&gt;=VALUE(t_Parts[[SOP]:[SOP]]),BE$3&lt;=VALUE(t_Parts[[EOP]:[EOP]])), t_Parts[[SetupHrsPerMo]:[SetupHrsPerMo]]+(t_Parts[[#This Row],[pv2016.07]]/t_Parts[[NetPPH]:[NetPPH]]),0)</f>
        <v>50.224908424908428</v>
      </c>
      <c r="DL77" s="39">
        <f>IF(AND(BF$3&gt;=VALUE(t_Parts[[SOP]:[SOP]]),BF$3&lt;=VALUE(t_Parts[[EOP]:[EOP]])), t_Parts[[SetupHrsPerMo]:[SetupHrsPerMo]]+(t_Parts[[#This Row],[pv2016.08]]/t_Parts[[NetPPH]:[NetPPH]]),0)</f>
        <v>50.224908424908428</v>
      </c>
      <c r="DM77" s="39">
        <f>IF(AND(BG$3&gt;=VALUE(t_Parts[[SOP]:[SOP]]),BG$3&lt;=VALUE(t_Parts[[EOP]:[EOP]])), t_Parts[[SetupHrsPerMo]:[SetupHrsPerMo]]+(t_Parts[[#This Row],[pv2016.09]]/t_Parts[[NetPPH]:[NetPPH]]),0)</f>
        <v>61.78113553113554</v>
      </c>
      <c r="DN77" s="39">
        <f>IF(AND(BH$3&gt;=VALUE(t_Parts[[SOP]:[SOP]]),BH$3&lt;=VALUE(t_Parts[[EOP]:[EOP]])), t_Parts[[SetupHrsPerMo]:[SetupHrsPerMo]]+(t_Parts[[#This Row],[pv2016.10]]/t_Parts[[NetPPH]:[NetPPH]]),0)</f>
        <v>50.224908424908428</v>
      </c>
      <c r="DO77" s="39">
        <f>IF(AND(BI$3&gt;=VALUE(t_Parts[[SOP]:[SOP]]),BI$3&lt;=VALUE(t_Parts[[EOP]:[EOP]])), t_Parts[[SetupHrsPerMo]:[SetupHrsPerMo]]+(t_Parts[[#This Row],[pv2016.11]]/t_Parts[[NetPPH]:[NetPPH]]),0)</f>
        <v>50.224908424908428</v>
      </c>
      <c r="DP77" s="39">
        <f>IF(AND(BJ$3&gt;=VALUE(t_Parts[[SOP]:[SOP]]),BJ$3&lt;=VALUE(t_Parts[[EOP]:[EOP]])), t_Parts[[SetupHrsPerMo]:[SetupHrsPerMo]]+(t_Parts[[#This Row],[pv2016.12]]/t_Parts[[NetPPH]:[NetPPH]]),0)</f>
        <v>61.78113553113554</v>
      </c>
      <c r="DQ77" s="39">
        <f>SUM(t_Parts[[#This Row],[hp2016.01]:[hp2016.12]])</f>
        <v>648.92380952380961</v>
      </c>
      <c r="DR77" s="39">
        <f>IF(AND(BL$3&gt;=VALUE(t_Parts[[SOP]:[SOP]]),BL$3&lt;=VALUE(t_Parts[[EOP]:[EOP]])), 12*t_Parts[[SetupHrsPerMo]:[SetupHrsPerMo]]+(t_Parts[[#This Row],[pv2017]]/t_Parts[[NetPPH]:[NetPPH]]),0)</f>
        <v>0</v>
      </c>
      <c r="DS77" s="39">
        <f>IF(AND(BM$3&gt;=VALUE(t_Parts[[SOP]:[SOP]]),BM$3&lt;=VALUE(t_Parts[[EOP]:[EOP]])), 12*t_Parts[[SetupHrsPerMo]:[SetupHrsPerMo]]+(t_Parts[[#This Row],[pv2018]]/t_Parts[[NetPPH]:[NetPPH]]),0)</f>
        <v>0</v>
      </c>
      <c r="DT77" s="39">
        <f>IF(AND(BN$3&gt;=VALUE(t_Parts[[SOP]:[SOP]]),BN$3&lt;=VALUE(t_Parts[[EOP]:[EOP]])), 12*t_Parts[[SetupHrsPerMo]:[SetupHrsPerMo]]+(t_Parts[[#This Row],[pv2019]]/t_Parts[[NetPPH]:[NetPPH]]),0)</f>
        <v>0</v>
      </c>
      <c r="DU77" s="47">
        <f>t_Parts[[#This Row],[hp2015.01]]/t_Parts[[#This Row],[ha2015.01]]</f>
        <v>0.17937467294610152</v>
      </c>
      <c r="DV77" s="47">
        <f>t_Parts[[#This Row],[hp2015.02]]/t_Parts[[#This Row],[ha2015.02]]</f>
        <v>0.17937467294610152</v>
      </c>
      <c r="DW77" s="47">
        <f>t_Parts[[#This Row],[hp2015.03]]/t_Parts[[#This Row],[ha2015.03]]</f>
        <v>0.17651753008895868</v>
      </c>
      <c r="DX77" s="47">
        <f>t_Parts[[#This Row],[hp2015.04]]/t_Parts[[#This Row],[ha2015.04]]</f>
        <v>0.17937467294610152</v>
      </c>
      <c r="DY77" s="47">
        <f>t_Parts[[#This Row],[hp2015.05]]/t_Parts[[#This Row],[ha2015.05]]</f>
        <v>0.17937467294610152</v>
      </c>
      <c r="DZ77" s="47">
        <f>t_Parts[[#This Row],[hp2015.06]]/t_Parts[[#This Row],[ha2015.06]]</f>
        <v>0.17651753008895868</v>
      </c>
      <c r="EA77" s="47">
        <f>t_Parts[[#This Row],[hp2015.07]]/t_Parts[[#This Row],[ha2015.07]]</f>
        <v>0.17937467294610152</v>
      </c>
      <c r="EB77" s="47">
        <f>t_Parts[[#This Row],[hp2015.08]]/t_Parts[[#This Row],[ha2015.08]]</f>
        <v>0.17937467294610152</v>
      </c>
      <c r="EC77" s="47">
        <f>t_Parts[[#This Row],[hp2015.09]]/t_Parts[[#This Row],[ha2015.09]]</f>
        <v>0.17651753008895868</v>
      </c>
      <c r="ED77" s="47">
        <f>t_Parts[[#This Row],[hp2015.10]]/t_Parts[[#This Row],[ha2015.10]]</f>
        <v>0.17937467294610152</v>
      </c>
      <c r="EE77" s="47">
        <f>t_Parts[[#This Row],[hp2015.11]]/t_Parts[[#This Row],[ha2015.11]]</f>
        <v>0.17937467294610152</v>
      </c>
      <c r="EF77" s="47">
        <f>t_Parts[[#This Row],[hp2015.12]]/t_Parts[[#This Row],[ha2015.12]]</f>
        <v>0.17651753008895868</v>
      </c>
      <c r="EG77" s="47">
        <f>t_Parts[[#This Row],[hp2015.FY]]/t_Parts[[#This Row],[ha2015.FY]]</f>
        <v>0.17827577184720045</v>
      </c>
      <c r="EH77" s="47">
        <f>t_Parts[[#This Row],[hp2016.01]]/t_Parts[[#This Row],[ha2016.01]]</f>
        <v>0.17937467294610152</v>
      </c>
      <c r="EI77" s="47">
        <f>t_Parts[[#This Row],[hp2016.02]]/t_Parts[[#This Row],[ha2016.02]]</f>
        <v>0.17937467294610152</v>
      </c>
      <c r="EJ77" s="47">
        <f>t_Parts[[#This Row],[hp2016.03]]/t_Parts[[#This Row],[ha2016.03]]</f>
        <v>0.17651753008895868</v>
      </c>
      <c r="EK77" s="47">
        <f>t_Parts[[#This Row],[hp2016.04]]/t_Parts[[#This Row],[ha2016.04]]</f>
        <v>0.17937467294610152</v>
      </c>
      <c r="EL77" s="47">
        <f>t_Parts[[#This Row],[hp2016.05]]/t_Parts[[#This Row],[ha2016.05]]</f>
        <v>0.17937467294610152</v>
      </c>
      <c r="EM77" s="47">
        <f>t_Parts[[#This Row],[hp2016.06]]/t_Parts[[#This Row],[ha2016.06]]</f>
        <v>0.17651753008895868</v>
      </c>
      <c r="EN77" s="47">
        <f>t_Parts[[#This Row],[hp2016.07]]/t_Parts[[#This Row],[ha2016.07]]</f>
        <v>0.17937467294610152</v>
      </c>
      <c r="EO77" s="47">
        <f>t_Parts[[#This Row],[hp2016.08]]/t_Parts[[#This Row],[ha2016.08]]</f>
        <v>0.17937467294610152</v>
      </c>
      <c r="EP77" s="47">
        <f>t_Parts[[#This Row],[hp2016.09]]/t_Parts[[#This Row],[ha2016.09]]</f>
        <v>0.17651753008895868</v>
      </c>
      <c r="EQ77" s="47">
        <f>t_Parts[[#This Row],[hp2016.10]]/t_Parts[[#This Row],[ha2016.10]]</f>
        <v>0.17937467294610152</v>
      </c>
      <c r="ER77" s="47">
        <f>t_Parts[[#This Row],[hp2016.11]]/t_Parts[[#This Row],[ha2016.11]]</f>
        <v>0.17937467294610152</v>
      </c>
      <c r="ES77" s="47">
        <f>t_Parts[[#This Row],[hp2016.12]]/t_Parts[[#This Row],[ha2016.12]]</f>
        <v>0.17651753008895868</v>
      </c>
      <c r="ET77" s="47">
        <f>t_Parts[[#This Row],[hp2016.FY]]/t_Parts[[#This Row],[ha2016.FY]]</f>
        <v>0.17827577184720045</v>
      </c>
      <c r="EU77" s="47">
        <f>t_Parts[[#This Row],[hp2017]]/t_Parts[[#This Row],[ha2017]]</f>
        <v>0</v>
      </c>
      <c r="EV77" s="47">
        <f>t_Parts[[#This Row],[hp2018]]/t_Parts[[#This Row],[ha2018]]</f>
        <v>0</v>
      </c>
      <c r="EW77" s="47">
        <f>t_Parts[[#This Row],[hp2019]]/t_Parts[[#This Row],[hp2015.01]]</f>
        <v>0</v>
      </c>
      <c r="EX77" s="58">
        <f>(t_Parts[[#This Row],[ha2015.01]]-t_Parts[[#This Row],[hp2015.01]])*t_Parts[[NetPPH]:[NetPPH]]</f>
        <v>265390.23076923075</v>
      </c>
      <c r="EY77" s="58">
        <f>(t_Parts[[#This Row],[ha2015.02]]-t_Parts[[#This Row],[hp2015.02]])*t_Parts[[NetPPH]:[NetPPH]]</f>
        <v>265390.23076923075</v>
      </c>
      <c r="EZ77" s="58">
        <f>(t_Parts[[#This Row],[ha2015.03]]-t_Parts[[#This Row],[hp2015.03]])*t_Parts[[NetPPH]:[NetPPH]]</f>
        <v>332892.78846153844</v>
      </c>
      <c r="FA77" s="58">
        <f>(t_Parts[[#This Row],[ha2015.04]]-t_Parts[[#This Row],[hp2015.04]])*t_Parts[[NetPPH]:[NetPPH]]</f>
        <v>265390.23076923075</v>
      </c>
      <c r="FB77" s="58">
        <f>(t_Parts[[#This Row],[ha2015.05]]-t_Parts[[#This Row],[hp2015.05]])*t_Parts[[NetPPH]:[NetPPH]]</f>
        <v>265390.23076923075</v>
      </c>
      <c r="FC77" s="58">
        <f>(t_Parts[[#This Row],[ha2015.06]]-t_Parts[[#This Row],[hp2015.06]])*t_Parts[[NetPPH]:[NetPPH]]</f>
        <v>332892.78846153844</v>
      </c>
      <c r="FD77" s="58">
        <f>(t_Parts[[#This Row],[ha2015.07]]-t_Parts[[#This Row],[hp2015.07]])*t_Parts[[NetPPH]:[NetPPH]]</f>
        <v>265390.23076923075</v>
      </c>
      <c r="FE77" s="58">
        <f>(t_Parts[[#This Row],[ha2015.08]]-t_Parts[[#This Row],[hp2015.08]])*t_Parts[[NetPPH]:[NetPPH]]</f>
        <v>265390.23076923075</v>
      </c>
      <c r="FF77" s="58">
        <f>(t_Parts[[#This Row],[ha2015.09]]-t_Parts[[#This Row],[hp2015.09]])*t_Parts[[NetPPH]:[NetPPH]]</f>
        <v>332892.78846153844</v>
      </c>
      <c r="FG77" s="58">
        <f>(t_Parts[[#This Row],[ha2015.10]]-t_Parts[[#This Row],[hp2015.10]])*t_Parts[[NetPPH]:[NetPPH]]</f>
        <v>265390.23076923075</v>
      </c>
      <c r="FH77" s="58">
        <f>(t_Parts[[#This Row],[ha2015.11]]-t_Parts[[#This Row],[hp2015.11]])*t_Parts[[NetPPH]:[NetPPH]]</f>
        <v>265390.23076923075</v>
      </c>
      <c r="FI77" s="58">
        <f>(t_Parts[[#This Row],[ha2015.12]]-t_Parts[[#This Row],[hp2015.12]])*t_Parts[[NetPPH]:[NetPPH]]</f>
        <v>332892.78846153844</v>
      </c>
      <c r="FJ77" s="58">
        <f>(t_Parts[[#This Row],[ha2015.FY]]-t_Parts[[#This Row],[hp2015.FY]])*t_Parts[[NetPPH]:[NetPPH]]</f>
        <v>3454693</v>
      </c>
      <c r="FK77" s="58">
        <f>(t_Parts[[#This Row],[ha2016.01]]-t_Parts[[#This Row],[hp2016.01]])*t_Parts[[NetPPH]:[NetPPH]]</f>
        <v>265390.23076923075</v>
      </c>
      <c r="FL77" s="58">
        <f>(t_Parts[[#This Row],[ha2016.02]]-t_Parts[[#This Row],[hp2016.02]])*t_Parts[[NetPPH]:[NetPPH]]</f>
        <v>265390.23076923075</v>
      </c>
      <c r="FM77" s="58">
        <f>(t_Parts[[#This Row],[ha2016.03]]-t_Parts[[#This Row],[hp2016.03]])*t_Parts[[NetPPH]:[NetPPH]]</f>
        <v>332892.78846153844</v>
      </c>
      <c r="FN77" s="58">
        <f>(t_Parts[[#This Row],[ha2016.04]]-t_Parts[[#This Row],[hp2016.04]])*t_Parts[[NetPPH]:[NetPPH]]</f>
        <v>265390.23076923075</v>
      </c>
      <c r="FO77" s="58">
        <f>(t_Parts[[#This Row],[ha2016.05]]-t_Parts[[#This Row],[hp2016.05]])*t_Parts[[NetPPH]:[NetPPH]]</f>
        <v>265390.23076923075</v>
      </c>
      <c r="FP77" s="58">
        <f>(t_Parts[[#This Row],[ha2016.06]]-t_Parts[[#This Row],[hp2016.06]])*t_Parts[[NetPPH]:[NetPPH]]</f>
        <v>332892.78846153844</v>
      </c>
      <c r="FQ77" s="58">
        <f>(t_Parts[[#This Row],[ha2016.07]]-t_Parts[[#This Row],[hp2016.07]])*t_Parts[[NetPPH]:[NetPPH]]</f>
        <v>265390.23076923075</v>
      </c>
      <c r="FR77" s="58">
        <f>(t_Parts[[#This Row],[ha2016.08]]-t_Parts[[#This Row],[hp2016.08]])*t_Parts[[NetPPH]:[NetPPH]]</f>
        <v>265390.23076923075</v>
      </c>
      <c r="FS77" s="58">
        <f>(t_Parts[[#This Row],[ha2016.09]]-t_Parts[[#This Row],[hp2016.09]])*t_Parts[[NetPPH]:[NetPPH]]</f>
        <v>332892.78846153844</v>
      </c>
      <c r="FT77" s="58">
        <f>(t_Parts[[#This Row],[ha2016.10]]-t_Parts[[#This Row],[hp2016.10]])*t_Parts[[NetPPH]:[NetPPH]]</f>
        <v>265390.23076923075</v>
      </c>
      <c r="FU77" s="58">
        <f>(t_Parts[[#This Row],[ha2016.11]]-t_Parts[[#This Row],[hp2016.11]])*t_Parts[[NetPPH]:[NetPPH]]</f>
        <v>265390.23076923075</v>
      </c>
      <c r="FV77" s="58">
        <f>(t_Parts[[#This Row],[ha2016.12]]-t_Parts[[#This Row],[hp2016.12]])*t_Parts[[NetPPH]:[NetPPH]]</f>
        <v>332892.78846153844</v>
      </c>
      <c r="FW77" s="58">
        <f>(t_Parts[[#This Row],[ha2016.FY]]-t_Parts[[#This Row],[hp2016.FY]])*t_Parts[[NetPPH]:[NetPPH]]</f>
        <v>3454693</v>
      </c>
      <c r="FX77" s="58">
        <f>(t_Parts[[#This Row],[ha2017]]-t_Parts[[#This Row],[hp2017]])*t_Parts[[NetPPH]:[NetPPH]]</f>
        <v>4204200</v>
      </c>
      <c r="FY77" s="58">
        <f>(t_Parts[[#This Row],[ha2018]]-t_Parts[[#This Row],[hp2018]])*t_Parts[[NetPPH]:[NetPPH]]</f>
        <v>4204200</v>
      </c>
      <c r="FZ77" s="58">
        <f>(t_Parts[[#This Row],[ha2019]]-t_Parts[[#This Row],[hp2019]])*t_Parts[[NetPPH]:[NetPPH]]</f>
        <v>4204200</v>
      </c>
    </row>
    <row r="78" spans="1:182" s="14" customFormat="1" x14ac:dyDescent="0.25">
      <c r="A78" s="74">
        <v>50849</v>
      </c>
      <c r="B78" s="74"/>
      <c r="C78" s="74">
        <v>21015</v>
      </c>
      <c r="D78" s="75">
        <v>1</v>
      </c>
      <c r="E78" s="73">
        <v>720</v>
      </c>
      <c r="F78" s="76">
        <v>1.5</v>
      </c>
      <c r="G78" s="77">
        <v>1</v>
      </c>
      <c r="H78" s="16">
        <v>2015.01</v>
      </c>
      <c r="I78" s="16" t="s">
        <v>82</v>
      </c>
      <c r="J78" s="73">
        <v>20000</v>
      </c>
      <c r="K78" s="73">
        <v>20000</v>
      </c>
      <c r="L78" s="73">
        <v>20000</v>
      </c>
      <c r="M78" s="73">
        <v>20000</v>
      </c>
      <c r="N78" s="73">
        <v>20000</v>
      </c>
      <c r="O78" s="78">
        <v>72</v>
      </c>
      <c r="P78" s="78">
        <v>150</v>
      </c>
      <c r="Q78" s="79">
        <v>37.840000000000003</v>
      </c>
      <c r="R78" s="79"/>
      <c r="S78" s="78">
        <v>639</v>
      </c>
      <c r="T78" s="80">
        <v>26.5</v>
      </c>
      <c r="U78" s="80" t="s">
        <v>122</v>
      </c>
      <c r="V78" s="81" t="s">
        <v>530</v>
      </c>
      <c r="W78" s="82">
        <v>22.76</v>
      </c>
      <c r="X78" s="82" t="s">
        <v>531</v>
      </c>
      <c r="Y78" s="82"/>
      <c r="Z78" s="82"/>
      <c r="AA78" s="82"/>
      <c r="AB78" s="82"/>
      <c r="AC78" s="83" t="s">
        <v>111</v>
      </c>
      <c r="AD78" s="40" t="str">
        <f>VLOOKUP(t_Parts[[#This Row],[Press]],t_Presses[],Press!B$1,FALSE)</f>
        <v>Plainfield</v>
      </c>
      <c r="AE78" s="40" t="str">
        <f>VLOOKUP(t_Parts[[#This Row],[Press]],t_Presses[],Press!E$1,FALSE)</f>
        <v>900-1199</v>
      </c>
      <c r="AF78" s="47">
        <f>VLOOKUP(t_Parts[[#This Row],[Plant]],t_Plants[],Plants!C$1,FALSE)</f>
        <v>0.55000000000000004</v>
      </c>
      <c r="AG78" s="47">
        <f>VLOOKUP(t_Parts[[#This Row],[Press]],t_Presses[],Press!F$1,FALSE)</f>
        <v>0</v>
      </c>
      <c r="AH78" s="84"/>
      <c r="AI78" s="47">
        <f>IF(ISBLANK(t_Parts[[#This Row],[PartOEE]])=FALSE,t_Parts[[#This Row],[PartOEE]], IF(t_Parts[[#This Row],[PressOEE]]&gt;0, t_Parts[[#This Row],[PressOEE]], t_Parts[[#This Row],[PlantOEE]] ))</f>
        <v>0.55000000000000004</v>
      </c>
      <c r="AJ78" s="70">
        <f>t_Parts[[#This Row],[SetupsPerMo]]*t_Parts[[#This Row],[SetupHrs]]</f>
        <v>1.5</v>
      </c>
      <c r="AK78" s="39">
        <f>(t_Parts[[#This Row],[PartsPerStroke]]*t_Parts[[#This Row],[StrokesPerHr]])*t_Parts[[#This Row],[UseOEE]]</f>
        <v>396.00000000000006</v>
      </c>
      <c r="AL7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1538.4615384615383</v>
      </c>
      <c r="AM7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1538.4615384615383</v>
      </c>
      <c r="AN7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1923.0769230769229</v>
      </c>
      <c r="AO7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1538.4615384615383</v>
      </c>
      <c r="AP7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1538.4615384615383</v>
      </c>
      <c r="AQ7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1923.0769230769229</v>
      </c>
      <c r="AR7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1538.4615384615383</v>
      </c>
      <c r="AS7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1538.4615384615383</v>
      </c>
      <c r="AT7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1923.0769230769229</v>
      </c>
      <c r="AU7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1538.4615384615383</v>
      </c>
      <c r="AV7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1538.4615384615383</v>
      </c>
      <c r="AW7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1923.0769230769229</v>
      </c>
      <c r="AX78" s="39">
        <f>SUM(t_Parts[[#This Row],[pv2015.01]:[pv2015.12]])</f>
        <v>20000</v>
      </c>
      <c r="AY7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1538.4615384615383</v>
      </c>
      <c r="AZ7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1538.4615384615383</v>
      </c>
      <c r="BA7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1923.0769230769229</v>
      </c>
      <c r="BB7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1538.4615384615383</v>
      </c>
      <c r="BC7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1538.4615384615383</v>
      </c>
      <c r="BD7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1923.0769230769229</v>
      </c>
      <c r="BE7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1538.4615384615383</v>
      </c>
      <c r="BF7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1538.4615384615383</v>
      </c>
      <c r="BG7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1923.0769230769229</v>
      </c>
      <c r="BH7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1538.4615384615383</v>
      </c>
      <c r="BI7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1538.4615384615383</v>
      </c>
      <c r="BJ7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1923.0769230769229</v>
      </c>
      <c r="BK78" s="39">
        <f>SUM(t_Parts[[#This Row],[pv2016.01]:[pv2016.12]])</f>
        <v>20000</v>
      </c>
      <c r="BL78" s="39">
        <f>t_Parts[[#This Row],[2017vol]]</f>
        <v>20000</v>
      </c>
      <c r="BM78" s="39">
        <f>t_Parts[[#This Row],[2018vol]]</f>
        <v>20000</v>
      </c>
      <c r="BN78" s="39">
        <f>t_Parts[[#This Row],[2019vol]]</f>
        <v>20000</v>
      </c>
      <c r="BO78" s="40">
        <f>VLOOKUP(t_Parts[[Plant]:[Plant]],t_Plants[],Plants!CN$1,FALSE)</f>
        <v>280</v>
      </c>
      <c r="BP78" s="14">
        <f>VLOOKUP(t_Parts[[Plant]:[Plant]],t_Plants[],Plants!CO$1,FALSE)</f>
        <v>280</v>
      </c>
      <c r="BQ78" s="14">
        <f>VLOOKUP(t_Parts[[Plant]:[Plant]],t_Plants[],Plants!CP$1,FALSE)</f>
        <v>350</v>
      </c>
      <c r="BR78" s="14">
        <f>VLOOKUP(t_Parts[[Plant]:[Plant]],t_Plants[],Plants!CQ$1,FALSE)</f>
        <v>280</v>
      </c>
      <c r="BS78" s="14">
        <f>VLOOKUP(t_Parts[[Plant]:[Plant]],t_Plants[],Plants!CR$1,FALSE)</f>
        <v>280</v>
      </c>
      <c r="BT78" s="14">
        <f>VLOOKUP(t_Parts[[Plant]:[Plant]],t_Plants[],Plants!CS$1,FALSE)</f>
        <v>350</v>
      </c>
      <c r="BU78" s="14">
        <f>VLOOKUP(t_Parts[[Plant]:[Plant]],t_Plants[],Plants!CT$1,FALSE)</f>
        <v>280</v>
      </c>
      <c r="BV78" s="14">
        <f>VLOOKUP(t_Parts[[Plant]:[Plant]],t_Plants[],Plants!CU$1,FALSE)</f>
        <v>280</v>
      </c>
      <c r="BW78" s="14">
        <f>VLOOKUP(t_Parts[[Plant]:[Plant]],t_Plants[],Plants!CV$1,FALSE)</f>
        <v>350</v>
      </c>
      <c r="BX78" s="14">
        <f>VLOOKUP(t_Parts[[Plant]:[Plant]],t_Plants[],Plants!CW$1,FALSE)</f>
        <v>280</v>
      </c>
      <c r="BY78" s="14">
        <f>VLOOKUP(t_Parts[[Plant]:[Plant]],t_Plants[],Plants!CX$1,FALSE)</f>
        <v>280</v>
      </c>
      <c r="BZ78" s="14">
        <f>VLOOKUP(t_Parts[[Plant]:[Plant]],t_Plants[],Plants!CY$1,FALSE)</f>
        <v>350</v>
      </c>
      <c r="CA78" s="40">
        <f>SUM(t_Parts[[#This Row],[ha2015.01]:[ha2015.12]])</f>
        <v>3640</v>
      </c>
      <c r="CB78" s="14">
        <f>VLOOKUP(t_Parts[[Plant]:[Plant]],t_Plants[],Plants!DA$1,FALSE)</f>
        <v>280</v>
      </c>
      <c r="CC78" s="14">
        <f>VLOOKUP(t_Parts[[Plant]:[Plant]],t_Plants[],Plants!DB$1,FALSE)</f>
        <v>280</v>
      </c>
      <c r="CD78" s="14">
        <f>VLOOKUP(t_Parts[[Plant]:[Plant]],t_Plants[],Plants!DC$1,FALSE)</f>
        <v>350</v>
      </c>
      <c r="CE78" s="14">
        <f>VLOOKUP(t_Parts[[Plant]:[Plant]],t_Plants[],Plants!DD$1,FALSE)</f>
        <v>280</v>
      </c>
      <c r="CF78" s="14">
        <f>VLOOKUP(t_Parts[[Plant]:[Plant]],t_Plants[],Plants!DE$1,FALSE)</f>
        <v>280</v>
      </c>
      <c r="CG78" s="14">
        <f>VLOOKUP(t_Parts[[Plant]:[Plant]],t_Plants[],Plants!DF$1,FALSE)</f>
        <v>350</v>
      </c>
      <c r="CH78" s="14">
        <f>VLOOKUP(t_Parts[[Plant]:[Plant]],t_Plants[],Plants!DG$1,FALSE)</f>
        <v>280</v>
      </c>
      <c r="CI78" s="14">
        <f>VLOOKUP(t_Parts[[Plant]:[Plant]],t_Plants[],Plants!DH$1,FALSE)</f>
        <v>280</v>
      </c>
      <c r="CJ78" s="14">
        <f>VLOOKUP(t_Parts[[Plant]:[Plant]],t_Plants[],Plants!DI$1,FALSE)</f>
        <v>350</v>
      </c>
      <c r="CK78" s="14">
        <f>VLOOKUP(t_Parts[[Plant]:[Plant]],t_Plants[],Plants!DJ$1,FALSE)</f>
        <v>280</v>
      </c>
      <c r="CL78" s="14">
        <f>VLOOKUP(t_Parts[[Plant]:[Plant]],t_Plants[],Plants!DK$1,FALSE)</f>
        <v>280</v>
      </c>
      <c r="CM78" s="14">
        <f>VLOOKUP(t_Parts[[Plant]:[Plant]],t_Plants[],Plants!DL$1,FALSE)</f>
        <v>350</v>
      </c>
      <c r="CN78" s="14">
        <f>VLOOKUP(t_Parts[[Plant]:[Plant]],t_Plants[],Plants!DM$1,FALSE)</f>
        <v>3640</v>
      </c>
      <c r="CO78" s="14">
        <f>VLOOKUP(t_Parts[[Plant]:[Plant]],t_Plants[],Plants!DN$1,FALSE)</f>
        <v>3640</v>
      </c>
      <c r="CP78" s="14">
        <f>VLOOKUP(t_Parts[[Plant]:[Plant]],t_Plants[],Plants!DO$1,FALSE)</f>
        <v>3640</v>
      </c>
      <c r="CQ78" s="14">
        <f>VLOOKUP(t_Parts[[Plant]:[Plant]],t_Plants[],Plants!DP$1,FALSE)</f>
        <v>3640</v>
      </c>
      <c r="CR78" s="39">
        <f>IF(AND(AL$3&gt;=VALUE(t_Parts[[SOP]:[SOP]]),AL$3&lt;=VALUE(t_Parts[[EOP]:[EOP]])), t_Parts[[SetupHrsPerMo]:[SetupHrsPerMo]]+(t_Parts[[#This Row],[pv2015.01]]/t_Parts[[NetPPH]:[NetPPH]]),0)</f>
        <v>5.3850038850038846</v>
      </c>
      <c r="CS78" s="39">
        <f>IF(AND(AM$3&gt;=VALUE(t_Parts[[SOP]:[SOP]]),AM$3&lt;=VALUE(t_Parts[[EOP]:[EOP]])), t_Parts[[SetupHrsPerMo]:[SetupHrsPerMo]]+(t_Parts[[#This Row],[pv2015.02]]/t_Parts[[NetPPH]:[NetPPH]]),0)</f>
        <v>5.3850038850038846</v>
      </c>
      <c r="CT78" s="39">
        <f>IF(AND(AN$3&gt;=VALUE(t_Parts[[SOP]:[SOP]]),AN$3&lt;=VALUE(t_Parts[[EOP]:[EOP]])), t_Parts[[SetupHrsPerMo]:[SetupHrsPerMo]]+(t_Parts[[#This Row],[pv2015.03]]/t_Parts[[NetPPH]:[NetPPH]]),0)</f>
        <v>6.3562548562548553</v>
      </c>
      <c r="CU78" s="39">
        <f>IF(AND(AO$3&gt;=VALUE(t_Parts[[SOP]:[SOP]]),AO$3&lt;=VALUE(t_Parts[[EOP]:[EOP]])), t_Parts[[SetupHrsPerMo]:[SetupHrsPerMo]]+(t_Parts[[#This Row],[pv2015.04]]/t_Parts[[NetPPH]:[NetPPH]]),0)</f>
        <v>5.3850038850038846</v>
      </c>
      <c r="CV78" s="39">
        <f>IF(AND(AP$3&gt;=VALUE(t_Parts[[SOP]:[SOP]]),AP$3&lt;=VALUE(t_Parts[[EOP]:[EOP]])), t_Parts[[SetupHrsPerMo]:[SetupHrsPerMo]]+(t_Parts[[#This Row],[pv2015.05]]/t_Parts[[NetPPH]:[NetPPH]]),0)</f>
        <v>5.3850038850038846</v>
      </c>
      <c r="CW78" s="39">
        <f>IF(AND(AQ$3&gt;=VALUE(t_Parts[[SOP]:[SOP]]),AQ$3&lt;=VALUE(t_Parts[[EOP]:[EOP]])), t_Parts[[SetupHrsPerMo]:[SetupHrsPerMo]]+(t_Parts[[#This Row],[pv2015.06]]/t_Parts[[NetPPH]:[NetPPH]]),0)</f>
        <v>6.3562548562548553</v>
      </c>
      <c r="CX78" s="39">
        <f>IF(AND(AR$3&gt;=VALUE(t_Parts[[SOP]:[SOP]]),AR$3&lt;=VALUE(t_Parts[[EOP]:[EOP]])), t_Parts[[SetupHrsPerMo]:[SetupHrsPerMo]]+(t_Parts[[#This Row],[pv2015.07]]/t_Parts[[NetPPH]:[NetPPH]]),0)</f>
        <v>5.3850038850038846</v>
      </c>
      <c r="CY78" s="39">
        <f>IF(AND(AS$3&gt;=VALUE(t_Parts[[SOP]:[SOP]]),AS$3&lt;=VALUE(t_Parts[[EOP]:[EOP]])), t_Parts[[SetupHrsPerMo]:[SetupHrsPerMo]]+(t_Parts[[#This Row],[pv2015.08]]/t_Parts[[NetPPH]:[NetPPH]]),0)</f>
        <v>5.3850038850038846</v>
      </c>
      <c r="CZ78" s="39">
        <f>IF(AND(AT$3&gt;=VALUE(t_Parts[[SOP]:[SOP]]),AT$3&lt;=VALUE(t_Parts[[EOP]:[EOP]])), t_Parts[[SetupHrsPerMo]:[SetupHrsPerMo]]+(t_Parts[[#This Row],[pv2015.09]]/t_Parts[[NetPPH]:[NetPPH]]),0)</f>
        <v>6.3562548562548553</v>
      </c>
      <c r="DA78" s="39">
        <f>IF(AND(AU$3&gt;=VALUE(t_Parts[[SOP]:[SOP]]),AU$3&lt;=VALUE(t_Parts[[EOP]:[EOP]])), t_Parts[[SetupHrsPerMo]:[SetupHrsPerMo]]+(t_Parts[[#This Row],[pv2015.10]]/t_Parts[[NetPPH]:[NetPPH]]),0)</f>
        <v>5.3850038850038846</v>
      </c>
      <c r="DB78" s="39">
        <f>IF(AND(AV$3&gt;=VALUE(t_Parts[[SOP]:[SOP]]),AV$3&lt;=VALUE(t_Parts[[EOP]:[EOP]])), t_Parts[[SetupHrsPerMo]:[SetupHrsPerMo]]+(t_Parts[[#This Row],[pv2015.11]]/t_Parts[[NetPPH]:[NetPPH]]),0)</f>
        <v>5.3850038850038846</v>
      </c>
      <c r="DC78" s="39">
        <f>IF(AND(AW$3&gt;=VALUE(t_Parts[[SOP]:[SOP]]),AW$3&lt;=VALUE(t_Parts[[EOP]:[EOP]])), t_Parts[[SetupHrsPerMo]:[SetupHrsPerMo]]+(t_Parts[[#This Row],[pv2015.12]]/t_Parts[[NetPPH]:[NetPPH]]),0)</f>
        <v>6.3562548562548553</v>
      </c>
      <c r="DD78" s="39">
        <f>SUM(t_Parts[[#This Row],[hp2015.01]:[hp2015.12]])</f>
        <v>68.505050505050491</v>
      </c>
      <c r="DE78" s="39">
        <f>IF(AND(AY$3&gt;=VALUE(t_Parts[[SOP]:[SOP]]),AY$3&lt;=VALUE(t_Parts[[EOP]:[EOP]])), t_Parts[[SetupHrsPerMo]:[SetupHrsPerMo]]+(t_Parts[[#This Row],[pv2016.01]]/t_Parts[[NetPPH]:[NetPPH]]),0)</f>
        <v>5.3850038850038846</v>
      </c>
      <c r="DF78" s="39">
        <f>IF(AND(AZ$3&gt;=VALUE(t_Parts[[SOP]:[SOP]]),AZ$3&lt;=VALUE(t_Parts[[EOP]:[EOP]])), t_Parts[[SetupHrsPerMo]:[SetupHrsPerMo]]+(t_Parts[[#This Row],[pv2016.02]]/t_Parts[[NetPPH]:[NetPPH]]),0)</f>
        <v>5.3850038850038846</v>
      </c>
      <c r="DG78" s="39">
        <f>IF(AND(BA$3&gt;=VALUE(t_Parts[[SOP]:[SOP]]),BA$3&lt;=VALUE(t_Parts[[EOP]:[EOP]])), t_Parts[[SetupHrsPerMo]:[SetupHrsPerMo]]+(t_Parts[[#This Row],[pv2016.03]]/t_Parts[[NetPPH]:[NetPPH]]),0)</f>
        <v>6.3562548562548553</v>
      </c>
      <c r="DH78" s="39">
        <f>IF(AND(BB$3&gt;=VALUE(t_Parts[[SOP]:[SOP]]),BB$3&lt;=VALUE(t_Parts[[EOP]:[EOP]])), t_Parts[[SetupHrsPerMo]:[SetupHrsPerMo]]+(t_Parts[[#This Row],[pv2016.04]]/t_Parts[[NetPPH]:[NetPPH]]),0)</f>
        <v>5.3850038850038846</v>
      </c>
      <c r="DI78" s="39">
        <f>IF(AND(BC$3&gt;=VALUE(t_Parts[[SOP]:[SOP]]),BC$3&lt;=VALUE(t_Parts[[EOP]:[EOP]])), t_Parts[[SetupHrsPerMo]:[SetupHrsPerMo]]+(t_Parts[[#This Row],[pv2016.05]]/t_Parts[[NetPPH]:[NetPPH]]),0)</f>
        <v>5.3850038850038846</v>
      </c>
      <c r="DJ78" s="39">
        <f>IF(AND(BD$3&gt;=VALUE(t_Parts[[SOP]:[SOP]]),BD$3&lt;=VALUE(t_Parts[[EOP]:[EOP]])), t_Parts[[SetupHrsPerMo]:[SetupHrsPerMo]]+(t_Parts[[#This Row],[pv2016.06]]/t_Parts[[NetPPH]:[NetPPH]]),0)</f>
        <v>6.3562548562548553</v>
      </c>
      <c r="DK78" s="39">
        <f>IF(AND(BE$3&gt;=VALUE(t_Parts[[SOP]:[SOP]]),BE$3&lt;=VALUE(t_Parts[[EOP]:[EOP]])), t_Parts[[SetupHrsPerMo]:[SetupHrsPerMo]]+(t_Parts[[#This Row],[pv2016.07]]/t_Parts[[NetPPH]:[NetPPH]]),0)</f>
        <v>5.3850038850038846</v>
      </c>
      <c r="DL78" s="39">
        <f>IF(AND(BF$3&gt;=VALUE(t_Parts[[SOP]:[SOP]]),BF$3&lt;=VALUE(t_Parts[[EOP]:[EOP]])), t_Parts[[SetupHrsPerMo]:[SetupHrsPerMo]]+(t_Parts[[#This Row],[pv2016.08]]/t_Parts[[NetPPH]:[NetPPH]]),0)</f>
        <v>5.3850038850038846</v>
      </c>
      <c r="DM78" s="39">
        <f>IF(AND(BG$3&gt;=VALUE(t_Parts[[SOP]:[SOP]]),BG$3&lt;=VALUE(t_Parts[[EOP]:[EOP]])), t_Parts[[SetupHrsPerMo]:[SetupHrsPerMo]]+(t_Parts[[#This Row],[pv2016.09]]/t_Parts[[NetPPH]:[NetPPH]]),0)</f>
        <v>6.3562548562548553</v>
      </c>
      <c r="DN78" s="39">
        <f>IF(AND(BH$3&gt;=VALUE(t_Parts[[SOP]:[SOP]]),BH$3&lt;=VALUE(t_Parts[[EOP]:[EOP]])), t_Parts[[SetupHrsPerMo]:[SetupHrsPerMo]]+(t_Parts[[#This Row],[pv2016.10]]/t_Parts[[NetPPH]:[NetPPH]]),0)</f>
        <v>5.3850038850038846</v>
      </c>
      <c r="DO78" s="39">
        <f>IF(AND(BI$3&gt;=VALUE(t_Parts[[SOP]:[SOP]]),BI$3&lt;=VALUE(t_Parts[[EOP]:[EOP]])), t_Parts[[SetupHrsPerMo]:[SetupHrsPerMo]]+(t_Parts[[#This Row],[pv2016.11]]/t_Parts[[NetPPH]:[NetPPH]]),0)</f>
        <v>5.3850038850038846</v>
      </c>
      <c r="DP78" s="39">
        <f>IF(AND(BJ$3&gt;=VALUE(t_Parts[[SOP]:[SOP]]),BJ$3&lt;=VALUE(t_Parts[[EOP]:[EOP]])), t_Parts[[SetupHrsPerMo]:[SetupHrsPerMo]]+(t_Parts[[#This Row],[pv2016.12]]/t_Parts[[NetPPH]:[NetPPH]]),0)</f>
        <v>6.3562548562548553</v>
      </c>
      <c r="DQ78" s="39">
        <f>SUM(t_Parts[[#This Row],[hp2016.01]:[hp2016.12]])</f>
        <v>68.505050505050491</v>
      </c>
      <c r="DR78" s="39">
        <f>IF(AND(BL$3&gt;=VALUE(t_Parts[[SOP]:[SOP]]),BL$3&lt;=VALUE(t_Parts[[EOP]:[EOP]])), 12*t_Parts[[SetupHrsPerMo]:[SetupHrsPerMo]]+(t_Parts[[#This Row],[pv2017]]/t_Parts[[NetPPH]:[NetPPH]]),0)</f>
        <v>68.505050505050491</v>
      </c>
      <c r="DS78" s="39">
        <f>IF(AND(BM$3&gt;=VALUE(t_Parts[[SOP]:[SOP]]),BM$3&lt;=VALUE(t_Parts[[EOP]:[EOP]])), 12*t_Parts[[SetupHrsPerMo]:[SetupHrsPerMo]]+(t_Parts[[#This Row],[pv2018]]/t_Parts[[NetPPH]:[NetPPH]]),0)</f>
        <v>68.505050505050491</v>
      </c>
      <c r="DT78" s="39">
        <f>IF(AND(BN$3&gt;=VALUE(t_Parts[[SOP]:[SOP]]),BN$3&lt;=VALUE(t_Parts[[EOP]:[EOP]])), 12*t_Parts[[SetupHrsPerMo]:[SetupHrsPerMo]]+(t_Parts[[#This Row],[pv2019]]/t_Parts[[NetPPH]:[NetPPH]]),0)</f>
        <v>0</v>
      </c>
      <c r="DU78" s="47">
        <f>t_Parts[[#This Row],[hp2015.01]]/t_Parts[[#This Row],[ha2015.01]]</f>
        <v>1.9232156732156731E-2</v>
      </c>
      <c r="DV78" s="47">
        <f>t_Parts[[#This Row],[hp2015.02]]/t_Parts[[#This Row],[ha2015.02]]</f>
        <v>1.9232156732156731E-2</v>
      </c>
      <c r="DW78" s="47">
        <f>t_Parts[[#This Row],[hp2015.03]]/t_Parts[[#This Row],[ha2015.03]]</f>
        <v>1.8160728160728157E-2</v>
      </c>
      <c r="DX78" s="47">
        <f>t_Parts[[#This Row],[hp2015.04]]/t_Parts[[#This Row],[ha2015.04]]</f>
        <v>1.9232156732156731E-2</v>
      </c>
      <c r="DY78" s="47">
        <f>t_Parts[[#This Row],[hp2015.05]]/t_Parts[[#This Row],[ha2015.05]]</f>
        <v>1.9232156732156731E-2</v>
      </c>
      <c r="DZ78" s="47">
        <f>t_Parts[[#This Row],[hp2015.06]]/t_Parts[[#This Row],[ha2015.06]]</f>
        <v>1.8160728160728157E-2</v>
      </c>
      <c r="EA78" s="47">
        <f>t_Parts[[#This Row],[hp2015.07]]/t_Parts[[#This Row],[ha2015.07]]</f>
        <v>1.9232156732156731E-2</v>
      </c>
      <c r="EB78" s="47">
        <f>t_Parts[[#This Row],[hp2015.08]]/t_Parts[[#This Row],[ha2015.08]]</f>
        <v>1.9232156732156731E-2</v>
      </c>
      <c r="EC78" s="47">
        <f>t_Parts[[#This Row],[hp2015.09]]/t_Parts[[#This Row],[ha2015.09]]</f>
        <v>1.8160728160728157E-2</v>
      </c>
      <c r="ED78" s="47">
        <f>t_Parts[[#This Row],[hp2015.10]]/t_Parts[[#This Row],[ha2015.10]]</f>
        <v>1.9232156732156731E-2</v>
      </c>
      <c r="EE78" s="47">
        <f>t_Parts[[#This Row],[hp2015.11]]/t_Parts[[#This Row],[ha2015.11]]</f>
        <v>1.9232156732156731E-2</v>
      </c>
      <c r="EF78" s="47">
        <f>t_Parts[[#This Row],[hp2015.12]]/t_Parts[[#This Row],[ha2015.12]]</f>
        <v>1.8160728160728157E-2</v>
      </c>
      <c r="EG78" s="47">
        <f>t_Parts[[#This Row],[hp2015.FY]]/t_Parts[[#This Row],[ha2015.FY]]</f>
        <v>1.8820068820068817E-2</v>
      </c>
      <c r="EH78" s="47">
        <f>t_Parts[[#This Row],[hp2016.01]]/t_Parts[[#This Row],[ha2016.01]]</f>
        <v>1.9232156732156731E-2</v>
      </c>
      <c r="EI78" s="47">
        <f>t_Parts[[#This Row],[hp2016.02]]/t_Parts[[#This Row],[ha2016.02]]</f>
        <v>1.9232156732156731E-2</v>
      </c>
      <c r="EJ78" s="47">
        <f>t_Parts[[#This Row],[hp2016.03]]/t_Parts[[#This Row],[ha2016.03]]</f>
        <v>1.8160728160728157E-2</v>
      </c>
      <c r="EK78" s="47">
        <f>t_Parts[[#This Row],[hp2016.04]]/t_Parts[[#This Row],[ha2016.04]]</f>
        <v>1.9232156732156731E-2</v>
      </c>
      <c r="EL78" s="47">
        <f>t_Parts[[#This Row],[hp2016.05]]/t_Parts[[#This Row],[ha2016.05]]</f>
        <v>1.9232156732156731E-2</v>
      </c>
      <c r="EM78" s="47">
        <f>t_Parts[[#This Row],[hp2016.06]]/t_Parts[[#This Row],[ha2016.06]]</f>
        <v>1.8160728160728157E-2</v>
      </c>
      <c r="EN78" s="47">
        <f>t_Parts[[#This Row],[hp2016.07]]/t_Parts[[#This Row],[ha2016.07]]</f>
        <v>1.9232156732156731E-2</v>
      </c>
      <c r="EO78" s="47">
        <f>t_Parts[[#This Row],[hp2016.08]]/t_Parts[[#This Row],[ha2016.08]]</f>
        <v>1.9232156732156731E-2</v>
      </c>
      <c r="EP78" s="47">
        <f>t_Parts[[#This Row],[hp2016.09]]/t_Parts[[#This Row],[ha2016.09]]</f>
        <v>1.8160728160728157E-2</v>
      </c>
      <c r="EQ78" s="47">
        <f>t_Parts[[#This Row],[hp2016.10]]/t_Parts[[#This Row],[ha2016.10]]</f>
        <v>1.9232156732156731E-2</v>
      </c>
      <c r="ER78" s="47">
        <f>t_Parts[[#This Row],[hp2016.11]]/t_Parts[[#This Row],[ha2016.11]]</f>
        <v>1.9232156732156731E-2</v>
      </c>
      <c r="ES78" s="47">
        <f>t_Parts[[#This Row],[hp2016.12]]/t_Parts[[#This Row],[ha2016.12]]</f>
        <v>1.8160728160728157E-2</v>
      </c>
      <c r="ET78" s="47">
        <f>t_Parts[[#This Row],[hp2016.FY]]/t_Parts[[#This Row],[ha2016.FY]]</f>
        <v>1.8820068820068817E-2</v>
      </c>
      <c r="EU78" s="47">
        <f>t_Parts[[#This Row],[hp2017]]/t_Parts[[#This Row],[ha2017]]</f>
        <v>1.8820068820068817E-2</v>
      </c>
      <c r="EV78" s="47">
        <f>t_Parts[[#This Row],[hp2018]]/t_Parts[[#This Row],[ha2018]]</f>
        <v>1.8820068820068817E-2</v>
      </c>
      <c r="EW78" s="47">
        <f>t_Parts[[#This Row],[hp2019]]/t_Parts[[#This Row],[hp2015.01]]</f>
        <v>0</v>
      </c>
      <c r="EX78" s="58">
        <f>(t_Parts[[#This Row],[ha2015.01]]-t_Parts[[#This Row],[hp2015.01]])*t_Parts[[NetPPH]:[NetPPH]]</f>
        <v>108747.53846153848</v>
      </c>
      <c r="EY78" s="58">
        <f>(t_Parts[[#This Row],[ha2015.02]]-t_Parts[[#This Row],[hp2015.02]])*t_Parts[[NetPPH]:[NetPPH]]</f>
        <v>108747.53846153848</v>
      </c>
      <c r="EZ78" s="58">
        <f>(t_Parts[[#This Row],[ha2015.03]]-t_Parts[[#This Row],[hp2015.03]])*t_Parts[[NetPPH]:[NetPPH]]</f>
        <v>136082.92307692309</v>
      </c>
      <c r="FA78" s="58">
        <f>(t_Parts[[#This Row],[ha2015.04]]-t_Parts[[#This Row],[hp2015.04]])*t_Parts[[NetPPH]:[NetPPH]]</f>
        <v>108747.53846153848</v>
      </c>
      <c r="FB78" s="58">
        <f>(t_Parts[[#This Row],[ha2015.05]]-t_Parts[[#This Row],[hp2015.05]])*t_Parts[[NetPPH]:[NetPPH]]</f>
        <v>108747.53846153848</v>
      </c>
      <c r="FC78" s="58">
        <f>(t_Parts[[#This Row],[ha2015.06]]-t_Parts[[#This Row],[hp2015.06]])*t_Parts[[NetPPH]:[NetPPH]]</f>
        <v>136082.92307692309</v>
      </c>
      <c r="FD78" s="58">
        <f>(t_Parts[[#This Row],[ha2015.07]]-t_Parts[[#This Row],[hp2015.07]])*t_Parts[[NetPPH]:[NetPPH]]</f>
        <v>108747.53846153848</v>
      </c>
      <c r="FE78" s="58">
        <f>(t_Parts[[#This Row],[ha2015.08]]-t_Parts[[#This Row],[hp2015.08]])*t_Parts[[NetPPH]:[NetPPH]]</f>
        <v>108747.53846153848</v>
      </c>
      <c r="FF78" s="58">
        <f>(t_Parts[[#This Row],[ha2015.09]]-t_Parts[[#This Row],[hp2015.09]])*t_Parts[[NetPPH]:[NetPPH]]</f>
        <v>136082.92307692309</v>
      </c>
      <c r="FG78" s="58">
        <f>(t_Parts[[#This Row],[ha2015.10]]-t_Parts[[#This Row],[hp2015.10]])*t_Parts[[NetPPH]:[NetPPH]]</f>
        <v>108747.53846153848</v>
      </c>
      <c r="FH78" s="58">
        <f>(t_Parts[[#This Row],[ha2015.11]]-t_Parts[[#This Row],[hp2015.11]])*t_Parts[[NetPPH]:[NetPPH]]</f>
        <v>108747.53846153848</v>
      </c>
      <c r="FI78" s="58">
        <f>(t_Parts[[#This Row],[ha2015.12]]-t_Parts[[#This Row],[hp2015.12]])*t_Parts[[NetPPH]:[NetPPH]]</f>
        <v>136082.92307692309</v>
      </c>
      <c r="FJ78" s="58">
        <f>(t_Parts[[#This Row],[ha2015.FY]]-t_Parts[[#This Row],[hp2015.FY]])*t_Parts[[NetPPH]:[NetPPH]]</f>
        <v>1414312.0000000002</v>
      </c>
      <c r="FK78" s="58">
        <f>(t_Parts[[#This Row],[ha2016.01]]-t_Parts[[#This Row],[hp2016.01]])*t_Parts[[NetPPH]:[NetPPH]]</f>
        <v>108747.53846153848</v>
      </c>
      <c r="FL78" s="58">
        <f>(t_Parts[[#This Row],[ha2016.02]]-t_Parts[[#This Row],[hp2016.02]])*t_Parts[[NetPPH]:[NetPPH]]</f>
        <v>108747.53846153848</v>
      </c>
      <c r="FM78" s="58">
        <f>(t_Parts[[#This Row],[ha2016.03]]-t_Parts[[#This Row],[hp2016.03]])*t_Parts[[NetPPH]:[NetPPH]]</f>
        <v>136082.92307692309</v>
      </c>
      <c r="FN78" s="58">
        <f>(t_Parts[[#This Row],[ha2016.04]]-t_Parts[[#This Row],[hp2016.04]])*t_Parts[[NetPPH]:[NetPPH]]</f>
        <v>108747.53846153848</v>
      </c>
      <c r="FO78" s="58">
        <f>(t_Parts[[#This Row],[ha2016.05]]-t_Parts[[#This Row],[hp2016.05]])*t_Parts[[NetPPH]:[NetPPH]]</f>
        <v>108747.53846153848</v>
      </c>
      <c r="FP78" s="58">
        <f>(t_Parts[[#This Row],[ha2016.06]]-t_Parts[[#This Row],[hp2016.06]])*t_Parts[[NetPPH]:[NetPPH]]</f>
        <v>136082.92307692309</v>
      </c>
      <c r="FQ78" s="58">
        <f>(t_Parts[[#This Row],[ha2016.07]]-t_Parts[[#This Row],[hp2016.07]])*t_Parts[[NetPPH]:[NetPPH]]</f>
        <v>108747.53846153848</v>
      </c>
      <c r="FR78" s="58">
        <f>(t_Parts[[#This Row],[ha2016.08]]-t_Parts[[#This Row],[hp2016.08]])*t_Parts[[NetPPH]:[NetPPH]]</f>
        <v>108747.53846153848</v>
      </c>
      <c r="FS78" s="58">
        <f>(t_Parts[[#This Row],[ha2016.09]]-t_Parts[[#This Row],[hp2016.09]])*t_Parts[[NetPPH]:[NetPPH]]</f>
        <v>136082.92307692309</v>
      </c>
      <c r="FT78" s="58">
        <f>(t_Parts[[#This Row],[ha2016.10]]-t_Parts[[#This Row],[hp2016.10]])*t_Parts[[NetPPH]:[NetPPH]]</f>
        <v>108747.53846153848</v>
      </c>
      <c r="FU78" s="58">
        <f>(t_Parts[[#This Row],[ha2016.11]]-t_Parts[[#This Row],[hp2016.11]])*t_Parts[[NetPPH]:[NetPPH]]</f>
        <v>108747.53846153848</v>
      </c>
      <c r="FV78" s="58">
        <f>(t_Parts[[#This Row],[ha2016.12]]-t_Parts[[#This Row],[hp2016.12]])*t_Parts[[NetPPH]:[NetPPH]]</f>
        <v>136082.92307692309</v>
      </c>
      <c r="FW78" s="58">
        <f>(t_Parts[[#This Row],[ha2016.FY]]-t_Parts[[#This Row],[hp2016.FY]])*t_Parts[[NetPPH]:[NetPPH]]</f>
        <v>1414312.0000000002</v>
      </c>
      <c r="FX78" s="58">
        <f>(t_Parts[[#This Row],[ha2017]]-t_Parts[[#This Row],[hp2017]])*t_Parts[[NetPPH]:[NetPPH]]</f>
        <v>1414312.0000000002</v>
      </c>
      <c r="FY78" s="58">
        <f>(t_Parts[[#This Row],[ha2018]]-t_Parts[[#This Row],[hp2018]])*t_Parts[[NetPPH]:[NetPPH]]</f>
        <v>1414312.0000000002</v>
      </c>
      <c r="FZ78" s="58">
        <f>(t_Parts[[#This Row],[ha2019]]-t_Parts[[#This Row],[hp2019]])*t_Parts[[NetPPH]:[NetPPH]]</f>
        <v>1441440.0000000002</v>
      </c>
    </row>
    <row r="79" spans="1:182" s="14" customFormat="1" x14ac:dyDescent="0.25">
      <c r="A79" s="74">
        <v>38256</v>
      </c>
      <c r="B79" s="74"/>
      <c r="C79" s="74">
        <v>21013</v>
      </c>
      <c r="D79" s="75">
        <v>1</v>
      </c>
      <c r="E79" s="73">
        <v>3000</v>
      </c>
      <c r="F79" s="76">
        <v>1</v>
      </c>
      <c r="G79" s="77">
        <v>2</v>
      </c>
      <c r="H79" s="16">
        <v>2015.01</v>
      </c>
      <c r="I79" s="16" t="s">
        <v>92</v>
      </c>
      <c r="J79" s="73">
        <v>74992</v>
      </c>
      <c r="K79" s="73">
        <v>74992</v>
      </c>
      <c r="L79" s="73">
        <v>74992</v>
      </c>
      <c r="M79" s="73">
        <v>74992</v>
      </c>
      <c r="N79" s="73">
        <v>74992</v>
      </c>
      <c r="O79" s="78"/>
      <c r="P79" s="78"/>
      <c r="Q79" s="79"/>
      <c r="R79" s="79"/>
      <c r="S79" s="78" t="s">
        <v>513</v>
      </c>
      <c r="T79" s="80"/>
      <c r="U79" s="80" t="s">
        <v>121</v>
      </c>
      <c r="V79" s="81"/>
      <c r="W79" s="82"/>
      <c r="X79" s="82" t="s">
        <v>501</v>
      </c>
      <c r="Y79" s="82"/>
      <c r="Z79" s="82"/>
      <c r="AA79" s="82"/>
      <c r="AB79" s="82"/>
      <c r="AC79" s="83" t="s">
        <v>667</v>
      </c>
      <c r="AD79" s="40" t="str">
        <f>VLOOKUP(t_Parts[[#This Row],[Press]],t_Presses[],Press!B$1,FALSE)</f>
        <v>Plainfield</v>
      </c>
      <c r="AE79" s="40" t="str">
        <f>VLOOKUP(t_Parts[[#This Row],[Press]],t_Presses[],Press!E$1,FALSE)</f>
        <v>0-299</v>
      </c>
      <c r="AF79" s="47">
        <f>VLOOKUP(t_Parts[[#This Row],[Plant]],t_Plants[],Plants!C$1,FALSE)</f>
        <v>0.55000000000000004</v>
      </c>
      <c r="AG79" s="47">
        <f>VLOOKUP(t_Parts[[#This Row],[Press]],t_Presses[],Press!F$1,FALSE)</f>
        <v>0</v>
      </c>
      <c r="AH79" s="84"/>
      <c r="AI79" s="47">
        <f>IF(ISBLANK(t_Parts[[#This Row],[PartOEE]])=FALSE,t_Parts[[#This Row],[PartOEE]], IF(t_Parts[[#This Row],[PressOEE]]&gt;0, t_Parts[[#This Row],[PressOEE]], t_Parts[[#This Row],[PlantOEE]] ))</f>
        <v>0.55000000000000004</v>
      </c>
      <c r="AJ79" s="70">
        <f>t_Parts[[#This Row],[SetupsPerMo]]*t_Parts[[#This Row],[SetupHrs]]</f>
        <v>2</v>
      </c>
      <c r="AK79" s="39">
        <f>(t_Parts[[#This Row],[PartsPerStroke]]*t_Parts[[#This Row],[StrokesPerHr]])*t_Parts[[#This Row],[UseOEE]]</f>
        <v>1650.0000000000002</v>
      </c>
      <c r="AL7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5768.6153846153848</v>
      </c>
      <c r="AM7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5768.6153846153848</v>
      </c>
      <c r="AN7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7210.7692307692305</v>
      </c>
      <c r="AO7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5768.6153846153848</v>
      </c>
      <c r="AP7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5768.6153846153848</v>
      </c>
      <c r="AQ7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7210.7692307692305</v>
      </c>
      <c r="AR7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5768.6153846153848</v>
      </c>
      <c r="AS7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5768.6153846153848</v>
      </c>
      <c r="AT7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7210.7692307692305</v>
      </c>
      <c r="AU7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5768.6153846153848</v>
      </c>
      <c r="AV7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5768.6153846153848</v>
      </c>
      <c r="AW7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7210.7692307692305</v>
      </c>
      <c r="AX79" s="39">
        <f>SUM(t_Parts[[#This Row],[pv2015.01]:[pv2015.12]])</f>
        <v>74992</v>
      </c>
      <c r="AY7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7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7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7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7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7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7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7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7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7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7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7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79" s="39">
        <f>SUM(t_Parts[[#This Row],[pv2016.01]:[pv2016.12]])</f>
        <v>0</v>
      </c>
      <c r="BL79" s="39">
        <f>t_Parts[[#This Row],[2017vol]]</f>
        <v>74992</v>
      </c>
      <c r="BM79" s="39">
        <f>t_Parts[[#This Row],[2018vol]]</f>
        <v>74992</v>
      </c>
      <c r="BN79" s="39">
        <f>t_Parts[[#This Row],[2019vol]]</f>
        <v>74992</v>
      </c>
      <c r="BO79" s="40">
        <f>VLOOKUP(t_Parts[[Plant]:[Plant]],t_Plants[],Plants!CN$1,FALSE)</f>
        <v>280</v>
      </c>
      <c r="BP79" s="14">
        <f>VLOOKUP(t_Parts[[Plant]:[Plant]],t_Plants[],Plants!CO$1,FALSE)</f>
        <v>280</v>
      </c>
      <c r="BQ79" s="14">
        <f>VLOOKUP(t_Parts[[Plant]:[Plant]],t_Plants[],Plants!CP$1,FALSE)</f>
        <v>350</v>
      </c>
      <c r="BR79" s="14">
        <f>VLOOKUP(t_Parts[[Plant]:[Plant]],t_Plants[],Plants!CQ$1,FALSE)</f>
        <v>280</v>
      </c>
      <c r="BS79" s="14">
        <f>VLOOKUP(t_Parts[[Plant]:[Plant]],t_Plants[],Plants!CR$1,FALSE)</f>
        <v>280</v>
      </c>
      <c r="BT79" s="14">
        <f>VLOOKUP(t_Parts[[Plant]:[Plant]],t_Plants[],Plants!CS$1,FALSE)</f>
        <v>350</v>
      </c>
      <c r="BU79" s="14">
        <f>VLOOKUP(t_Parts[[Plant]:[Plant]],t_Plants[],Plants!CT$1,FALSE)</f>
        <v>280</v>
      </c>
      <c r="BV79" s="14">
        <f>VLOOKUP(t_Parts[[Plant]:[Plant]],t_Plants[],Plants!CU$1,FALSE)</f>
        <v>280</v>
      </c>
      <c r="BW79" s="14">
        <f>VLOOKUP(t_Parts[[Plant]:[Plant]],t_Plants[],Plants!CV$1,FALSE)</f>
        <v>350</v>
      </c>
      <c r="BX79" s="14">
        <f>VLOOKUP(t_Parts[[Plant]:[Plant]],t_Plants[],Plants!CW$1,FALSE)</f>
        <v>280</v>
      </c>
      <c r="BY79" s="14">
        <f>VLOOKUP(t_Parts[[Plant]:[Plant]],t_Plants[],Plants!CX$1,FALSE)</f>
        <v>280</v>
      </c>
      <c r="BZ79" s="14">
        <f>VLOOKUP(t_Parts[[Plant]:[Plant]],t_Plants[],Plants!CY$1,FALSE)</f>
        <v>350</v>
      </c>
      <c r="CA79" s="40">
        <f>SUM(t_Parts[[#This Row],[ha2015.01]:[ha2015.12]])</f>
        <v>3640</v>
      </c>
      <c r="CB79" s="14">
        <f>VLOOKUP(t_Parts[[Plant]:[Plant]],t_Plants[],Plants!DA$1,FALSE)</f>
        <v>280</v>
      </c>
      <c r="CC79" s="14">
        <f>VLOOKUP(t_Parts[[Plant]:[Plant]],t_Plants[],Plants!DB$1,FALSE)</f>
        <v>280</v>
      </c>
      <c r="CD79" s="14">
        <f>VLOOKUP(t_Parts[[Plant]:[Plant]],t_Plants[],Plants!DC$1,FALSE)</f>
        <v>350</v>
      </c>
      <c r="CE79" s="14">
        <f>VLOOKUP(t_Parts[[Plant]:[Plant]],t_Plants[],Plants!DD$1,FALSE)</f>
        <v>280</v>
      </c>
      <c r="CF79" s="14">
        <f>VLOOKUP(t_Parts[[Plant]:[Plant]],t_Plants[],Plants!DE$1,FALSE)</f>
        <v>280</v>
      </c>
      <c r="CG79" s="14">
        <f>VLOOKUP(t_Parts[[Plant]:[Plant]],t_Plants[],Plants!DF$1,FALSE)</f>
        <v>350</v>
      </c>
      <c r="CH79" s="14">
        <f>VLOOKUP(t_Parts[[Plant]:[Plant]],t_Plants[],Plants!DG$1,FALSE)</f>
        <v>280</v>
      </c>
      <c r="CI79" s="14">
        <f>VLOOKUP(t_Parts[[Plant]:[Plant]],t_Plants[],Plants!DH$1,FALSE)</f>
        <v>280</v>
      </c>
      <c r="CJ79" s="14">
        <f>VLOOKUP(t_Parts[[Plant]:[Plant]],t_Plants[],Plants!DI$1,FALSE)</f>
        <v>350</v>
      </c>
      <c r="CK79" s="14">
        <f>VLOOKUP(t_Parts[[Plant]:[Plant]],t_Plants[],Plants!DJ$1,FALSE)</f>
        <v>280</v>
      </c>
      <c r="CL79" s="14">
        <f>VLOOKUP(t_Parts[[Plant]:[Plant]],t_Plants[],Plants!DK$1,FALSE)</f>
        <v>280</v>
      </c>
      <c r="CM79" s="14">
        <f>VLOOKUP(t_Parts[[Plant]:[Plant]],t_Plants[],Plants!DL$1,FALSE)</f>
        <v>350</v>
      </c>
      <c r="CN79" s="14">
        <f>VLOOKUP(t_Parts[[Plant]:[Plant]],t_Plants[],Plants!DM$1,FALSE)</f>
        <v>3640</v>
      </c>
      <c r="CO79" s="14">
        <f>VLOOKUP(t_Parts[[Plant]:[Plant]],t_Plants[],Plants!DN$1,FALSE)</f>
        <v>3640</v>
      </c>
      <c r="CP79" s="14">
        <f>VLOOKUP(t_Parts[[Plant]:[Plant]],t_Plants[],Plants!DO$1,FALSE)</f>
        <v>3640</v>
      </c>
      <c r="CQ79" s="14">
        <f>VLOOKUP(t_Parts[[Plant]:[Plant]],t_Plants[],Plants!DP$1,FALSE)</f>
        <v>3640</v>
      </c>
      <c r="CR79" s="39">
        <f>IF(AND(AL$3&gt;=VALUE(t_Parts[[SOP]:[SOP]]),AL$3&lt;=VALUE(t_Parts[[EOP]:[EOP]])), t_Parts[[SetupHrsPerMo]:[SetupHrsPerMo]]+(t_Parts[[#This Row],[pv2015.01]]/t_Parts[[NetPPH]:[NetPPH]]),0)</f>
        <v>5.4961305361305364</v>
      </c>
      <c r="CS79" s="39">
        <f>IF(AND(AM$3&gt;=VALUE(t_Parts[[SOP]:[SOP]]),AM$3&lt;=VALUE(t_Parts[[EOP]:[EOP]])), t_Parts[[SetupHrsPerMo]:[SetupHrsPerMo]]+(t_Parts[[#This Row],[pv2015.02]]/t_Parts[[NetPPH]:[NetPPH]]),0)</f>
        <v>5.4961305361305364</v>
      </c>
      <c r="CT79" s="39">
        <f>IF(AND(AN$3&gt;=VALUE(t_Parts[[SOP]:[SOP]]),AN$3&lt;=VALUE(t_Parts[[EOP]:[EOP]])), t_Parts[[SetupHrsPerMo]:[SetupHrsPerMo]]+(t_Parts[[#This Row],[pv2015.03]]/t_Parts[[NetPPH]:[NetPPH]]),0)</f>
        <v>6.3701631701631696</v>
      </c>
      <c r="CU79" s="39">
        <f>IF(AND(AO$3&gt;=VALUE(t_Parts[[SOP]:[SOP]]),AO$3&lt;=VALUE(t_Parts[[EOP]:[EOP]])), t_Parts[[SetupHrsPerMo]:[SetupHrsPerMo]]+(t_Parts[[#This Row],[pv2015.04]]/t_Parts[[NetPPH]:[NetPPH]]),0)</f>
        <v>5.4961305361305364</v>
      </c>
      <c r="CV79" s="39">
        <f>IF(AND(AP$3&gt;=VALUE(t_Parts[[SOP]:[SOP]]),AP$3&lt;=VALUE(t_Parts[[EOP]:[EOP]])), t_Parts[[SetupHrsPerMo]:[SetupHrsPerMo]]+(t_Parts[[#This Row],[pv2015.05]]/t_Parts[[NetPPH]:[NetPPH]]),0)</f>
        <v>5.4961305361305364</v>
      </c>
      <c r="CW79" s="39">
        <f>IF(AND(AQ$3&gt;=VALUE(t_Parts[[SOP]:[SOP]]),AQ$3&lt;=VALUE(t_Parts[[EOP]:[EOP]])), t_Parts[[SetupHrsPerMo]:[SetupHrsPerMo]]+(t_Parts[[#This Row],[pv2015.06]]/t_Parts[[NetPPH]:[NetPPH]]),0)</f>
        <v>6.3701631701631696</v>
      </c>
      <c r="CX79" s="39">
        <f>IF(AND(AR$3&gt;=VALUE(t_Parts[[SOP]:[SOP]]),AR$3&lt;=VALUE(t_Parts[[EOP]:[EOP]])), t_Parts[[SetupHrsPerMo]:[SetupHrsPerMo]]+(t_Parts[[#This Row],[pv2015.07]]/t_Parts[[NetPPH]:[NetPPH]]),0)</f>
        <v>5.4961305361305364</v>
      </c>
      <c r="CY79" s="39">
        <f>IF(AND(AS$3&gt;=VALUE(t_Parts[[SOP]:[SOP]]),AS$3&lt;=VALUE(t_Parts[[EOP]:[EOP]])), t_Parts[[SetupHrsPerMo]:[SetupHrsPerMo]]+(t_Parts[[#This Row],[pv2015.08]]/t_Parts[[NetPPH]:[NetPPH]]),0)</f>
        <v>5.4961305361305364</v>
      </c>
      <c r="CZ79" s="39">
        <f>IF(AND(AT$3&gt;=VALUE(t_Parts[[SOP]:[SOP]]),AT$3&lt;=VALUE(t_Parts[[EOP]:[EOP]])), t_Parts[[SetupHrsPerMo]:[SetupHrsPerMo]]+(t_Parts[[#This Row],[pv2015.09]]/t_Parts[[NetPPH]:[NetPPH]]),0)</f>
        <v>6.3701631701631696</v>
      </c>
      <c r="DA79" s="39">
        <f>IF(AND(AU$3&gt;=VALUE(t_Parts[[SOP]:[SOP]]),AU$3&lt;=VALUE(t_Parts[[EOP]:[EOP]])), t_Parts[[SetupHrsPerMo]:[SetupHrsPerMo]]+(t_Parts[[#This Row],[pv2015.10]]/t_Parts[[NetPPH]:[NetPPH]]),0)</f>
        <v>5.4961305361305364</v>
      </c>
      <c r="DB79" s="39">
        <f>IF(AND(AV$3&gt;=VALUE(t_Parts[[SOP]:[SOP]]),AV$3&lt;=VALUE(t_Parts[[EOP]:[EOP]])), t_Parts[[SetupHrsPerMo]:[SetupHrsPerMo]]+(t_Parts[[#This Row],[pv2015.11]]/t_Parts[[NetPPH]:[NetPPH]]),0)</f>
        <v>5.4961305361305364</v>
      </c>
      <c r="DC79" s="39">
        <f>IF(AND(AW$3&gt;=VALUE(t_Parts[[SOP]:[SOP]]),AW$3&lt;=VALUE(t_Parts[[EOP]:[EOP]])), t_Parts[[SetupHrsPerMo]:[SetupHrsPerMo]]+(t_Parts[[#This Row],[pv2015.12]]/t_Parts[[NetPPH]:[NetPPH]]),0)</f>
        <v>6.3701631701631696</v>
      </c>
      <c r="DD79" s="39">
        <f>SUM(t_Parts[[#This Row],[hp2015.01]:[hp2015.12]])</f>
        <v>69.449696969696973</v>
      </c>
      <c r="DE79" s="39">
        <f>IF(AND(AY$3&gt;=VALUE(t_Parts[[SOP]:[SOP]]),AY$3&lt;=VALUE(t_Parts[[EOP]:[EOP]])), t_Parts[[SetupHrsPerMo]:[SetupHrsPerMo]]+(t_Parts[[#This Row],[pv2016.01]]/t_Parts[[NetPPH]:[NetPPH]]),0)</f>
        <v>0</v>
      </c>
      <c r="DF79" s="39">
        <f>IF(AND(AZ$3&gt;=VALUE(t_Parts[[SOP]:[SOP]]),AZ$3&lt;=VALUE(t_Parts[[EOP]:[EOP]])), t_Parts[[SetupHrsPerMo]:[SetupHrsPerMo]]+(t_Parts[[#This Row],[pv2016.02]]/t_Parts[[NetPPH]:[NetPPH]]),0)</f>
        <v>0</v>
      </c>
      <c r="DG79" s="39">
        <f>IF(AND(BA$3&gt;=VALUE(t_Parts[[SOP]:[SOP]]),BA$3&lt;=VALUE(t_Parts[[EOP]:[EOP]])), t_Parts[[SetupHrsPerMo]:[SetupHrsPerMo]]+(t_Parts[[#This Row],[pv2016.03]]/t_Parts[[NetPPH]:[NetPPH]]),0)</f>
        <v>0</v>
      </c>
      <c r="DH79" s="39">
        <f>IF(AND(BB$3&gt;=VALUE(t_Parts[[SOP]:[SOP]]),BB$3&lt;=VALUE(t_Parts[[EOP]:[EOP]])), t_Parts[[SetupHrsPerMo]:[SetupHrsPerMo]]+(t_Parts[[#This Row],[pv2016.04]]/t_Parts[[NetPPH]:[NetPPH]]),0)</f>
        <v>0</v>
      </c>
      <c r="DI79" s="39">
        <f>IF(AND(BC$3&gt;=VALUE(t_Parts[[SOP]:[SOP]]),BC$3&lt;=VALUE(t_Parts[[EOP]:[EOP]])), t_Parts[[SetupHrsPerMo]:[SetupHrsPerMo]]+(t_Parts[[#This Row],[pv2016.05]]/t_Parts[[NetPPH]:[NetPPH]]),0)</f>
        <v>0</v>
      </c>
      <c r="DJ79" s="39">
        <f>IF(AND(BD$3&gt;=VALUE(t_Parts[[SOP]:[SOP]]),BD$3&lt;=VALUE(t_Parts[[EOP]:[EOP]])), t_Parts[[SetupHrsPerMo]:[SetupHrsPerMo]]+(t_Parts[[#This Row],[pv2016.06]]/t_Parts[[NetPPH]:[NetPPH]]),0)</f>
        <v>0</v>
      </c>
      <c r="DK79" s="39">
        <f>IF(AND(BE$3&gt;=VALUE(t_Parts[[SOP]:[SOP]]),BE$3&lt;=VALUE(t_Parts[[EOP]:[EOP]])), t_Parts[[SetupHrsPerMo]:[SetupHrsPerMo]]+(t_Parts[[#This Row],[pv2016.07]]/t_Parts[[NetPPH]:[NetPPH]]),0)</f>
        <v>0</v>
      </c>
      <c r="DL79" s="39">
        <f>IF(AND(BF$3&gt;=VALUE(t_Parts[[SOP]:[SOP]]),BF$3&lt;=VALUE(t_Parts[[EOP]:[EOP]])), t_Parts[[SetupHrsPerMo]:[SetupHrsPerMo]]+(t_Parts[[#This Row],[pv2016.08]]/t_Parts[[NetPPH]:[NetPPH]]),0)</f>
        <v>0</v>
      </c>
      <c r="DM79" s="39">
        <f>IF(AND(BG$3&gt;=VALUE(t_Parts[[SOP]:[SOP]]),BG$3&lt;=VALUE(t_Parts[[EOP]:[EOP]])), t_Parts[[SetupHrsPerMo]:[SetupHrsPerMo]]+(t_Parts[[#This Row],[pv2016.09]]/t_Parts[[NetPPH]:[NetPPH]]),0)</f>
        <v>0</v>
      </c>
      <c r="DN79" s="39">
        <f>IF(AND(BH$3&gt;=VALUE(t_Parts[[SOP]:[SOP]]),BH$3&lt;=VALUE(t_Parts[[EOP]:[EOP]])), t_Parts[[SetupHrsPerMo]:[SetupHrsPerMo]]+(t_Parts[[#This Row],[pv2016.10]]/t_Parts[[NetPPH]:[NetPPH]]),0)</f>
        <v>0</v>
      </c>
      <c r="DO79" s="39">
        <f>IF(AND(BI$3&gt;=VALUE(t_Parts[[SOP]:[SOP]]),BI$3&lt;=VALUE(t_Parts[[EOP]:[EOP]])), t_Parts[[SetupHrsPerMo]:[SetupHrsPerMo]]+(t_Parts[[#This Row],[pv2016.11]]/t_Parts[[NetPPH]:[NetPPH]]),0)</f>
        <v>0</v>
      </c>
      <c r="DP79" s="39">
        <f>IF(AND(BJ$3&gt;=VALUE(t_Parts[[SOP]:[SOP]]),BJ$3&lt;=VALUE(t_Parts[[EOP]:[EOP]])), t_Parts[[SetupHrsPerMo]:[SetupHrsPerMo]]+(t_Parts[[#This Row],[pv2016.12]]/t_Parts[[NetPPH]:[NetPPH]]),0)</f>
        <v>0</v>
      </c>
      <c r="DQ79" s="39">
        <f>SUM(t_Parts[[#This Row],[hp2016.01]:[hp2016.12]])</f>
        <v>0</v>
      </c>
      <c r="DR79" s="39">
        <f>IF(AND(BL$3&gt;=VALUE(t_Parts[[SOP]:[SOP]]),BL$3&lt;=VALUE(t_Parts[[EOP]:[EOP]])), 12*t_Parts[[SetupHrsPerMo]:[SetupHrsPerMo]]+(t_Parts[[#This Row],[pv2017]]/t_Parts[[NetPPH]:[NetPPH]]),0)</f>
        <v>0</v>
      </c>
      <c r="DS79" s="39">
        <f>IF(AND(BM$3&gt;=VALUE(t_Parts[[SOP]:[SOP]]),BM$3&lt;=VALUE(t_Parts[[EOP]:[EOP]])), 12*t_Parts[[SetupHrsPerMo]:[SetupHrsPerMo]]+(t_Parts[[#This Row],[pv2018]]/t_Parts[[NetPPH]:[NetPPH]]),0)</f>
        <v>0</v>
      </c>
      <c r="DT79" s="39">
        <f>IF(AND(BN$3&gt;=VALUE(t_Parts[[SOP]:[SOP]]),BN$3&lt;=VALUE(t_Parts[[EOP]:[EOP]])), 12*t_Parts[[SetupHrsPerMo]:[SetupHrsPerMo]]+(t_Parts[[#This Row],[pv2019]]/t_Parts[[NetPPH]:[NetPPH]]),0)</f>
        <v>0</v>
      </c>
      <c r="DU79" s="47">
        <f>t_Parts[[#This Row],[hp2015.01]]/t_Parts[[#This Row],[ha2015.01]]</f>
        <v>1.9629037629037629E-2</v>
      </c>
      <c r="DV79" s="47">
        <f>t_Parts[[#This Row],[hp2015.02]]/t_Parts[[#This Row],[ha2015.02]]</f>
        <v>1.9629037629037629E-2</v>
      </c>
      <c r="DW79" s="47">
        <f>t_Parts[[#This Row],[hp2015.03]]/t_Parts[[#This Row],[ha2015.03]]</f>
        <v>1.8200466200466198E-2</v>
      </c>
      <c r="DX79" s="47">
        <f>t_Parts[[#This Row],[hp2015.04]]/t_Parts[[#This Row],[ha2015.04]]</f>
        <v>1.9629037629037629E-2</v>
      </c>
      <c r="DY79" s="47">
        <f>t_Parts[[#This Row],[hp2015.05]]/t_Parts[[#This Row],[ha2015.05]]</f>
        <v>1.9629037629037629E-2</v>
      </c>
      <c r="DZ79" s="47">
        <f>t_Parts[[#This Row],[hp2015.06]]/t_Parts[[#This Row],[ha2015.06]]</f>
        <v>1.8200466200466198E-2</v>
      </c>
      <c r="EA79" s="47">
        <f>t_Parts[[#This Row],[hp2015.07]]/t_Parts[[#This Row],[ha2015.07]]</f>
        <v>1.9629037629037629E-2</v>
      </c>
      <c r="EB79" s="47">
        <f>t_Parts[[#This Row],[hp2015.08]]/t_Parts[[#This Row],[ha2015.08]]</f>
        <v>1.9629037629037629E-2</v>
      </c>
      <c r="EC79" s="47">
        <f>t_Parts[[#This Row],[hp2015.09]]/t_Parts[[#This Row],[ha2015.09]]</f>
        <v>1.8200466200466198E-2</v>
      </c>
      <c r="ED79" s="47">
        <f>t_Parts[[#This Row],[hp2015.10]]/t_Parts[[#This Row],[ha2015.10]]</f>
        <v>1.9629037629037629E-2</v>
      </c>
      <c r="EE79" s="47">
        <f>t_Parts[[#This Row],[hp2015.11]]/t_Parts[[#This Row],[ha2015.11]]</f>
        <v>1.9629037629037629E-2</v>
      </c>
      <c r="EF79" s="47">
        <f>t_Parts[[#This Row],[hp2015.12]]/t_Parts[[#This Row],[ha2015.12]]</f>
        <v>1.8200466200466198E-2</v>
      </c>
      <c r="EG79" s="47">
        <f>t_Parts[[#This Row],[hp2015.FY]]/t_Parts[[#This Row],[ha2015.FY]]</f>
        <v>1.9079587079587082E-2</v>
      </c>
      <c r="EH79" s="47">
        <f>t_Parts[[#This Row],[hp2016.01]]/t_Parts[[#This Row],[ha2016.01]]</f>
        <v>0</v>
      </c>
      <c r="EI79" s="47">
        <f>t_Parts[[#This Row],[hp2016.02]]/t_Parts[[#This Row],[ha2016.02]]</f>
        <v>0</v>
      </c>
      <c r="EJ79" s="47">
        <f>t_Parts[[#This Row],[hp2016.03]]/t_Parts[[#This Row],[ha2016.03]]</f>
        <v>0</v>
      </c>
      <c r="EK79" s="47">
        <f>t_Parts[[#This Row],[hp2016.04]]/t_Parts[[#This Row],[ha2016.04]]</f>
        <v>0</v>
      </c>
      <c r="EL79" s="47">
        <f>t_Parts[[#This Row],[hp2016.05]]/t_Parts[[#This Row],[ha2016.05]]</f>
        <v>0</v>
      </c>
      <c r="EM79" s="47">
        <f>t_Parts[[#This Row],[hp2016.06]]/t_Parts[[#This Row],[ha2016.06]]</f>
        <v>0</v>
      </c>
      <c r="EN79" s="47">
        <f>t_Parts[[#This Row],[hp2016.07]]/t_Parts[[#This Row],[ha2016.07]]</f>
        <v>0</v>
      </c>
      <c r="EO79" s="47">
        <f>t_Parts[[#This Row],[hp2016.08]]/t_Parts[[#This Row],[ha2016.08]]</f>
        <v>0</v>
      </c>
      <c r="EP79" s="47">
        <f>t_Parts[[#This Row],[hp2016.09]]/t_Parts[[#This Row],[ha2016.09]]</f>
        <v>0</v>
      </c>
      <c r="EQ79" s="47">
        <f>t_Parts[[#This Row],[hp2016.10]]/t_Parts[[#This Row],[ha2016.10]]</f>
        <v>0</v>
      </c>
      <c r="ER79" s="47">
        <f>t_Parts[[#This Row],[hp2016.11]]/t_Parts[[#This Row],[ha2016.11]]</f>
        <v>0</v>
      </c>
      <c r="ES79" s="47">
        <f>t_Parts[[#This Row],[hp2016.12]]/t_Parts[[#This Row],[ha2016.12]]</f>
        <v>0</v>
      </c>
      <c r="ET79" s="47">
        <f>t_Parts[[#This Row],[hp2016.FY]]/t_Parts[[#This Row],[ha2016.FY]]</f>
        <v>0</v>
      </c>
      <c r="EU79" s="47">
        <f>t_Parts[[#This Row],[hp2017]]/t_Parts[[#This Row],[ha2017]]</f>
        <v>0</v>
      </c>
      <c r="EV79" s="47">
        <f>t_Parts[[#This Row],[hp2018]]/t_Parts[[#This Row],[ha2018]]</f>
        <v>0</v>
      </c>
      <c r="EW79" s="47">
        <f>t_Parts[[#This Row],[hp2019]]/t_Parts[[#This Row],[hp2015.01]]</f>
        <v>0</v>
      </c>
      <c r="EX79" s="58">
        <f>(t_Parts[[#This Row],[ha2015.01]]-t_Parts[[#This Row],[hp2015.01]])*t_Parts[[NetPPH]:[NetPPH]]</f>
        <v>452931.38461538468</v>
      </c>
      <c r="EY79" s="58">
        <f>(t_Parts[[#This Row],[ha2015.02]]-t_Parts[[#This Row],[hp2015.02]])*t_Parts[[NetPPH]:[NetPPH]]</f>
        <v>452931.38461538468</v>
      </c>
      <c r="EZ79" s="58">
        <f>(t_Parts[[#This Row],[ha2015.03]]-t_Parts[[#This Row],[hp2015.03]])*t_Parts[[NetPPH]:[NetPPH]]</f>
        <v>566989.23076923087</v>
      </c>
      <c r="FA79" s="58">
        <f>(t_Parts[[#This Row],[ha2015.04]]-t_Parts[[#This Row],[hp2015.04]])*t_Parts[[NetPPH]:[NetPPH]]</f>
        <v>452931.38461538468</v>
      </c>
      <c r="FB79" s="58">
        <f>(t_Parts[[#This Row],[ha2015.05]]-t_Parts[[#This Row],[hp2015.05]])*t_Parts[[NetPPH]:[NetPPH]]</f>
        <v>452931.38461538468</v>
      </c>
      <c r="FC79" s="58">
        <f>(t_Parts[[#This Row],[ha2015.06]]-t_Parts[[#This Row],[hp2015.06]])*t_Parts[[NetPPH]:[NetPPH]]</f>
        <v>566989.23076923087</v>
      </c>
      <c r="FD79" s="58">
        <f>(t_Parts[[#This Row],[ha2015.07]]-t_Parts[[#This Row],[hp2015.07]])*t_Parts[[NetPPH]:[NetPPH]]</f>
        <v>452931.38461538468</v>
      </c>
      <c r="FE79" s="58">
        <f>(t_Parts[[#This Row],[ha2015.08]]-t_Parts[[#This Row],[hp2015.08]])*t_Parts[[NetPPH]:[NetPPH]]</f>
        <v>452931.38461538468</v>
      </c>
      <c r="FF79" s="58">
        <f>(t_Parts[[#This Row],[ha2015.09]]-t_Parts[[#This Row],[hp2015.09]])*t_Parts[[NetPPH]:[NetPPH]]</f>
        <v>566989.23076923087</v>
      </c>
      <c r="FG79" s="58">
        <f>(t_Parts[[#This Row],[ha2015.10]]-t_Parts[[#This Row],[hp2015.10]])*t_Parts[[NetPPH]:[NetPPH]]</f>
        <v>452931.38461538468</v>
      </c>
      <c r="FH79" s="58">
        <f>(t_Parts[[#This Row],[ha2015.11]]-t_Parts[[#This Row],[hp2015.11]])*t_Parts[[NetPPH]:[NetPPH]]</f>
        <v>452931.38461538468</v>
      </c>
      <c r="FI79" s="58">
        <f>(t_Parts[[#This Row],[ha2015.12]]-t_Parts[[#This Row],[hp2015.12]])*t_Parts[[NetPPH]:[NetPPH]]</f>
        <v>566989.23076923087</v>
      </c>
      <c r="FJ79" s="58">
        <f>(t_Parts[[#This Row],[ha2015.FY]]-t_Parts[[#This Row],[hp2015.FY]])*t_Parts[[NetPPH]:[NetPPH]]</f>
        <v>5891408.0000000009</v>
      </c>
      <c r="FK79" s="58">
        <f>(t_Parts[[#This Row],[ha2016.01]]-t_Parts[[#This Row],[hp2016.01]])*t_Parts[[NetPPH]:[NetPPH]]</f>
        <v>462000.00000000006</v>
      </c>
      <c r="FL79" s="58">
        <f>(t_Parts[[#This Row],[ha2016.02]]-t_Parts[[#This Row],[hp2016.02]])*t_Parts[[NetPPH]:[NetPPH]]</f>
        <v>462000.00000000006</v>
      </c>
      <c r="FM79" s="58">
        <f>(t_Parts[[#This Row],[ha2016.03]]-t_Parts[[#This Row],[hp2016.03]])*t_Parts[[NetPPH]:[NetPPH]]</f>
        <v>577500.00000000012</v>
      </c>
      <c r="FN79" s="58">
        <f>(t_Parts[[#This Row],[ha2016.04]]-t_Parts[[#This Row],[hp2016.04]])*t_Parts[[NetPPH]:[NetPPH]]</f>
        <v>462000.00000000006</v>
      </c>
      <c r="FO79" s="58">
        <f>(t_Parts[[#This Row],[ha2016.05]]-t_Parts[[#This Row],[hp2016.05]])*t_Parts[[NetPPH]:[NetPPH]]</f>
        <v>462000.00000000006</v>
      </c>
      <c r="FP79" s="58">
        <f>(t_Parts[[#This Row],[ha2016.06]]-t_Parts[[#This Row],[hp2016.06]])*t_Parts[[NetPPH]:[NetPPH]]</f>
        <v>577500.00000000012</v>
      </c>
      <c r="FQ79" s="58">
        <f>(t_Parts[[#This Row],[ha2016.07]]-t_Parts[[#This Row],[hp2016.07]])*t_Parts[[NetPPH]:[NetPPH]]</f>
        <v>462000.00000000006</v>
      </c>
      <c r="FR79" s="58">
        <f>(t_Parts[[#This Row],[ha2016.08]]-t_Parts[[#This Row],[hp2016.08]])*t_Parts[[NetPPH]:[NetPPH]]</f>
        <v>462000.00000000006</v>
      </c>
      <c r="FS79" s="58">
        <f>(t_Parts[[#This Row],[ha2016.09]]-t_Parts[[#This Row],[hp2016.09]])*t_Parts[[NetPPH]:[NetPPH]]</f>
        <v>577500.00000000012</v>
      </c>
      <c r="FT79" s="58">
        <f>(t_Parts[[#This Row],[ha2016.10]]-t_Parts[[#This Row],[hp2016.10]])*t_Parts[[NetPPH]:[NetPPH]]</f>
        <v>462000.00000000006</v>
      </c>
      <c r="FU79" s="58">
        <f>(t_Parts[[#This Row],[ha2016.11]]-t_Parts[[#This Row],[hp2016.11]])*t_Parts[[NetPPH]:[NetPPH]]</f>
        <v>462000.00000000006</v>
      </c>
      <c r="FV79" s="58">
        <f>(t_Parts[[#This Row],[ha2016.12]]-t_Parts[[#This Row],[hp2016.12]])*t_Parts[[NetPPH]:[NetPPH]]</f>
        <v>577500.00000000012</v>
      </c>
      <c r="FW79" s="58">
        <f>(t_Parts[[#This Row],[ha2016.FY]]-t_Parts[[#This Row],[hp2016.FY]])*t_Parts[[NetPPH]:[NetPPH]]</f>
        <v>6006000.0000000009</v>
      </c>
      <c r="FX79" s="58">
        <f>(t_Parts[[#This Row],[ha2017]]-t_Parts[[#This Row],[hp2017]])*t_Parts[[NetPPH]:[NetPPH]]</f>
        <v>6006000.0000000009</v>
      </c>
      <c r="FY79" s="58">
        <f>(t_Parts[[#This Row],[ha2018]]-t_Parts[[#This Row],[hp2018]])*t_Parts[[NetPPH]:[NetPPH]]</f>
        <v>6006000.0000000009</v>
      </c>
      <c r="FZ79" s="58">
        <f>(t_Parts[[#This Row],[ha2019]]-t_Parts[[#This Row],[hp2019]])*t_Parts[[NetPPH]:[NetPPH]]</f>
        <v>6006000.0000000009</v>
      </c>
    </row>
    <row r="80" spans="1:182" s="14" customFormat="1" x14ac:dyDescent="0.25">
      <c r="A80" s="74">
        <v>38254</v>
      </c>
      <c r="B80" s="74"/>
      <c r="C80" s="74">
        <v>21011</v>
      </c>
      <c r="D80" s="75">
        <v>1</v>
      </c>
      <c r="E80" s="73">
        <v>1800</v>
      </c>
      <c r="F80" s="76">
        <v>1</v>
      </c>
      <c r="G80" s="77">
        <v>4</v>
      </c>
      <c r="H80" s="16">
        <v>2015.01</v>
      </c>
      <c r="I80" s="16" t="s">
        <v>82</v>
      </c>
      <c r="J80" s="73">
        <v>90003</v>
      </c>
      <c r="K80" s="73">
        <v>90003</v>
      </c>
      <c r="L80" s="73">
        <v>90003</v>
      </c>
      <c r="M80" s="73">
        <v>90003</v>
      </c>
      <c r="N80" s="73">
        <v>90003</v>
      </c>
      <c r="O80" s="78">
        <v>40</v>
      </c>
      <c r="P80" s="78">
        <v>116</v>
      </c>
      <c r="Q80" s="79">
        <v>23.984999999999999</v>
      </c>
      <c r="R80" s="79"/>
      <c r="S80" s="78">
        <v>186</v>
      </c>
      <c r="T80" s="80">
        <v>12</v>
      </c>
      <c r="U80" s="80" t="s">
        <v>121</v>
      </c>
      <c r="V80" s="81" t="s">
        <v>599</v>
      </c>
      <c r="W80" s="82">
        <v>0.85199999999999998</v>
      </c>
      <c r="X80" s="82" t="s">
        <v>501</v>
      </c>
      <c r="Y80" s="82"/>
      <c r="Z80" s="82"/>
      <c r="AA80" s="82"/>
      <c r="AB80" s="82"/>
      <c r="AC80" s="83" t="s">
        <v>667</v>
      </c>
      <c r="AD80" s="40" t="str">
        <f>VLOOKUP(t_Parts[[#This Row],[Press]],t_Presses[],Press!B$1,FALSE)</f>
        <v>Plainfield</v>
      </c>
      <c r="AE80" s="40" t="str">
        <f>VLOOKUP(t_Parts[[#This Row],[Press]],t_Presses[],Press!E$1,FALSE)</f>
        <v>300-599</v>
      </c>
      <c r="AF80" s="47">
        <f>VLOOKUP(t_Parts[[#This Row],[Plant]],t_Plants[],Plants!C$1,FALSE)</f>
        <v>0.55000000000000004</v>
      </c>
      <c r="AG80" s="47">
        <f>VLOOKUP(t_Parts[[#This Row],[Press]],t_Presses[],Press!F$1,FALSE)</f>
        <v>0</v>
      </c>
      <c r="AH80" s="84"/>
      <c r="AI80" s="47">
        <f>IF(ISBLANK(t_Parts[[#This Row],[PartOEE]])=FALSE,t_Parts[[#This Row],[PartOEE]], IF(t_Parts[[#This Row],[PressOEE]]&gt;0, t_Parts[[#This Row],[PressOEE]], t_Parts[[#This Row],[PlantOEE]] ))</f>
        <v>0.55000000000000004</v>
      </c>
      <c r="AJ80" s="70">
        <f>t_Parts[[#This Row],[SetupsPerMo]]*t_Parts[[#This Row],[SetupHrs]]</f>
        <v>4</v>
      </c>
      <c r="AK80" s="39">
        <f>(t_Parts[[#This Row],[PartsPerStroke]]*t_Parts[[#This Row],[StrokesPerHr]])*t_Parts[[#This Row],[UseOEE]]</f>
        <v>990.00000000000011</v>
      </c>
      <c r="AL8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6923.3076923076924</v>
      </c>
      <c r="AM8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6923.3076923076924</v>
      </c>
      <c r="AN8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8654.1346153846152</v>
      </c>
      <c r="AO8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6923.3076923076924</v>
      </c>
      <c r="AP8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6923.3076923076924</v>
      </c>
      <c r="AQ8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8654.1346153846152</v>
      </c>
      <c r="AR8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6923.3076923076924</v>
      </c>
      <c r="AS8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6923.3076923076924</v>
      </c>
      <c r="AT8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8654.1346153846152</v>
      </c>
      <c r="AU8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6923.3076923076924</v>
      </c>
      <c r="AV8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6923.3076923076924</v>
      </c>
      <c r="AW8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8654.1346153846152</v>
      </c>
      <c r="AX80" s="39">
        <f>SUM(t_Parts[[#This Row],[pv2015.01]:[pv2015.12]])</f>
        <v>90002.999999999985</v>
      </c>
      <c r="AY8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6923.3076923076924</v>
      </c>
      <c r="AZ8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6923.3076923076924</v>
      </c>
      <c r="BA8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8654.1346153846152</v>
      </c>
      <c r="BB8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6923.3076923076924</v>
      </c>
      <c r="BC8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6923.3076923076924</v>
      </c>
      <c r="BD8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8654.1346153846152</v>
      </c>
      <c r="BE8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6923.3076923076924</v>
      </c>
      <c r="BF8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6923.3076923076924</v>
      </c>
      <c r="BG8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8654.1346153846152</v>
      </c>
      <c r="BH8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6923.3076923076924</v>
      </c>
      <c r="BI8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6923.3076923076924</v>
      </c>
      <c r="BJ8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8654.1346153846152</v>
      </c>
      <c r="BK80" s="39">
        <f>SUM(t_Parts[[#This Row],[pv2016.01]:[pv2016.12]])</f>
        <v>90002.999999999985</v>
      </c>
      <c r="BL80" s="39">
        <f>t_Parts[[#This Row],[2017vol]]</f>
        <v>90003</v>
      </c>
      <c r="BM80" s="39">
        <f>t_Parts[[#This Row],[2018vol]]</f>
        <v>90003</v>
      </c>
      <c r="BN80" s="39">
        <f>t_Parts[[#This Row],[2019vol]]</f>
        <v>90003</v>
      </c>
      <c r="BO80" s="40">
        <f>VLOOKUP(t_Parts[[Plant]:[Plant]],t_Plants[],Plants!CN$1,FALSE)</f>
        <v>280</v>
      </c>
      <c r="BP80" s="14">
        <f>VLOOKUP(t_Parts[[Plant]:[Plant]],t_Plants[],Plants!CO$1,FALSE)</f>
        <v>280</v>
      </c>
      <c r="BQ80" s="14">
        <f>VLOOKUP(t_Parts[[Plant]:[Plant]],t_Plants[],Plants!CP$1,FALSE)</f>
        <v>350</v>
      </c>
      <c r="BR80" s="14">
        <f>VLOOKUP(t_Parts[[Plant]:[Plant]],t_Plants[],Plants!CQ$1,FALSE)</f>
        <v>280</v>
      </c>
      <c r="BS80" s="14">
        <f>VLOOKUP(t_Parts[[Plant]:[Plant]],t_Plants[],Plants!CR$1,FALSE)</f>
        <v>280</v>
      </c>
      <c r="BT80" s="14">
        <f>VLOOKUP(t_Parts[[Plant]:[Plant]],t_Plants[],Plants!CS$1,FALSE)</f>
        <v>350</v>
      </c>
      <c r="BU80" s="14">
        <f>VLOOKUP(t_Parts[[Plant]:[Plant]],t_Plants[],Plants!CT$1,FALSE)</f>
        <v>280</v>
      </c>
      <c r="BV80" s="14">
        <f>VLOOKUP(t_Parts[[Plant]:[Plant]],t_Plants[],Plants!CU$1,FALSE)</f>
        <v>280</v>
      </c>
      <c r="BW80" s="14">
        <f>VLOOKUP(t_Parts[[Plant]:[Plant]],t_Plants[],Plants!CV$1,FALSE)</f>
        <v>350</v>
      </c>
      <c r="BX80" s="14">
        <f>VLOOKUP(t_Parts[[Plant]:[Plant]],t_Plants[],Plants!CW$1,FALSE)</f>
        <v>280</v>
      </c>
      <c r="BY80" s="14">
        <f>VLOOKUP(t_Parts[[Plant]:[Plant]],t_Plants[],Plants!CX$1,FALSE)</f>
        <v>280</v>
      </c>
      <c r="BZ80" s="14">
        <f>VLOOKUP(t_Parts[[Plant]:[Plant]],t_Plants[],Plants!CY$1,FALSE)</f>
        <v>350</v>
      </c>
      <c r="CA80" s="40">
        <f>SUM(t_Parts[[#This Row],[ha2015.01]:[ha2015.12]])</f>
        <v>3640</v>
      </c>
      <c r="CB80" s="14">
        <f>VLOOKUP(t_Parts[[Plant]:[Plant]],t_Plants[],Plants!DA$1,FALSE)</f>
        <v>280</v>
      </c>
      <c r="CC80" s="14">
        <f>VLOOKUP(t_Parts[[Plant]:[Plant]],t_Plants[],Plants!DB$1,FALSE)</f>
        <v>280</v>
      </c>
      <c r="CD80" s="14">
        <f>VLOOKUP(t_Parts[[Plant]:[Plant]],t_Plants[],Plants!DC$1,FALSE)</f>
        <v>350</v>
      </c>
      <c r="CE80" s="14">
        <f>VLOOKUP(t_Parts[[Plant]:[Plant]],t_Plants[],Plants!DD$1,FALSE)</f>
        <v>280</v>
      </c>
      <c r="CF80" s="14">
        <f>VLOOKUP(t_Parts[[Plant]:[Plant]],t_Plants[],Plants!DE$1,FALSE)</f>
        <v>280</v>
      </c>
      <c r="CG80" s="14">
        <f>VLOOKUP(t_Parts[[Plant]:[Plant]],t_Plants[],Plants!DF$1,FALSE)</f>
        <v>350</v>
      </c>
      <c r="CH80" s="14">
        <f>VLOOKUP(t_Parts[[Plant]:[Plant]],t_Plants[],Plants!DG$1,FALSE)</f>
        <v>280</v>
      </c>
      <c r="CI80" s="14">
        <f>VLOOKUP(t_Parts[[Plant]:[Plant]],t_Plants[],Plants!DH$1,FALSE)</f>
        <v>280</v>
      </c>
      <c r="CJ80" s="14">
        <f>VLOOKUP(t_Parts[[Plant]:[Plant]],t_Plants[],Plants!DI$1,FALSE)</f>
        <v>350</v>
      </c>
      <c r="CK80" s="14">
        <f>VLOOKUP(t_Parts[[Plant]:[Plant]],t_Plants[],Plants!DJ$1,FALSE)</f>
        <v>280</v>
      </c>
      <c r="CL80" s="14">
        <f>VLOOKUP(t_Parts[[Plant]:[Plant]],t_Plants[],Plants!DK$1,FALSE)</f>
        <v>280</v>
      </c>
      <c r="CM80" s="14">
        <f>VLOOKUP(t_Parts[[Plant]:[Plant]],t_Plants[],Plants!DL$1,FALSE)</f>
        <v>350</v>
      </c>
      <c r="CN80" s="14">
        <f>VLOOKUP(t_Parts[[Plant]:[Plant]],t_Plants[],Plants!DM$1,FALSE)</f>
        <v>3640</v>
      </c>
      <c r="CO80" s="14">
        <f>VLOOKUP(t_Parts[[Plant]:[Plant]],t_Plants[],Plants!DN$1,FALSE)</f>
        <v>3640</v>
      </c>
      <c r="CP80" s="14">
        <f>VLOOKUP(t_Parts[[Plant]:[Plant]],t_Plants[],Plants!DO$1,FALSE)</f>
        <v>3640</v>
      </c>
      <c r="CQ80" s="14">
        <f>VLOOKUP(t_Parts[[Plant]:[Plant]],t_Plants[],Plants!DP$1,FALSE)</f>
        <v>3640</v>
      </c>
      <c r="CR80" s="39">
        <f>IF(AND(AL$3&gt;=VALUE(t_Parts[[SOP]:[SOP]]),AL$3&lt;=VALUE(t_Parts[[EOP]:[EOP]])), t_Parts[[SetupHrsPerMo]:[SetupHrsPerMo]]+(t_Parts[[#This Row],[pv2015.01]]/t_Parts[[NetPPH]:[NetPPH]]),0)</f>
        <v>10.993240093240093</v>
      </c>
      <c r="CS80" s="39">
        <f>IF(AND(AM$3&gt;=VALUE(t_Parts[[SOP]:[SOP]]),AM$3&lt;=VALUE(t_Parts[[EOP]:[EOP]])), t_Parts[[SetupHrsPerMo]:[SetupHrsPerMo]]+(t_Parts[[#This Row],[pv2015.02]]/t_Parts[[NetPPH]:[NetPPH]]),0)</f>
        <v>10.993240093240093</v>
      </c>
      <c r="CT80" s="39">
        <f>IF(AND(AN$3&gt;=VALUE(t_Parts[[SOP]:[SOP]]),AN$3&lt;=VALUE(t_Parts[[EOP]:[EOP]])), t_Parts[[SetupHrsPerMo]:[SetupHrsPerMo]]+(t_Parts[[#This Row],[pv2015.03]]/t_Parts[[NetPPH]:[NetPPH]]),0)</f>
        <v>12.741550116550115</v>
      </c>
      <c r="CU80" s="39">
        <f>IF(AND(AO$3&gt;=VALUE(t_Parts[[SOP]:[SOP]]),AO$3&lt;=VALUE(t_Parts[[EOP]:[EOP]])), t_Parts[[SetupHrsPerMo]:[SetupHrsPerMo]]+(t_Parts[[#This Row],[pv2015.04]]/t_Parts[[NetPPH]:[NetPPH]]),0)</f>
        <v>10.993240093240093</v>
      </c>
      <c r="CV80" s="39">
        <f>IF(AND(AP$3&gt;=VALUE(t_Parts[[SOP]:[SOP]]),AP$3&lt;=VALUE(t_Parts[[EOP]:[EOP]])), t_Parts[[SetupHrsPerMo]:[SetupHrsPerMo]]+(t_Parts[[#This Row],[pv2015.05]]/t_Parts[[NetPPH]:[NetPPH]]),0)</f>
        <v>10.993240093240093</v>
      </c>
      <c r="CW80" s="39">
        <f>IF(AND(AQ$3&gt;=VALUE(t_Parts[[SOP]:[SOP]]),AQ$3&lt;=VALUE(t_Parts[[EOP]:[EOP]])), t_Parts[[SetupHrsPerMo]:[SetupHrsPerMo]]+(t_Parts[[#This Row],[pv2015.06]]/t_Parts[[NetPPH]:[NetPPH]]),0)</f>
        <v>12.741550116550115</v>
      </c>
      <c r="CX80" s="39">
        <f>IF(AND(AR$3&gt;=VALUE(t_Parts[[SOP]:[SOP]]),AR$3&lt;=VALUE(t_Parts[[EOP]:[EOP]])), t_Parts[[SetupHrsPerMo]:[SetupHrsPerMo]]+(t_Parts[[#This Row],[pv2015.07]]/t_Parts[[NetPPH]:[NetPPH]]),0)</f>
        <v>10.993240093240093</v>
      </c>
      <c r="CY80" s="39">
        <f>IF(AND(AS$3&gt;=VALUE(t_Parts[[SOP]:[SOP]]),AS$3&lt;=VALUE(t_Parts[[EOP]:[EOP]])), t_Parts[[SetupHrsPerMo]:[SetupHrsPerMo]]+(t_Parts[[#This Row],[pv2015.08]]/t_Parts[[NetPPH]:[NetPPH]]),0)</f>
        <v>10.993240093240093</v>
      </c>
      <c r="CZ80" s="39">
        <f>IF(AND(AT$3&gt;=VALUE(t_Parts[[SOP]:[SOP]]),AT$3&lt;=VALUE(t_Parts[[EOP]:[EOP]])), t_Parts[[SetupHrsPerMo]:[SetupHrsPerMo]]+(t_Parts[[#This Row],[pv2015.09]]/t_Parts[[NetPPH]:[NetPPH]]),0)</f>
        <v>12.741550116550115</v>
      </c>
      <c r="DA80" s="39">
        <f>IF(AND(AU$3&gt;=VALUE(t_Parts[[SOP]:[SOP]]),AU$3&lt;=VALUE(t_Parts[[EOP]:[EOP]])), t_Parts[[SetupHrsPerMo]:[SetupHrsPerMo]]+(t_Parts[[#This Row],[pv2015.10]]/t_Parts[[NetPPH]:[NetPPH]]),0)</f>
        <v>10.993240093240093</v>
      </c>
      <c r="DB80" s="39">
        <f>IF(AND(AV$3&gt;=VALUE(t_Parts[[SOP]:[SOP]]),AV$3&lt;=VALUE(t_Parts[[EOP]:[EOP]])), t_Parts[[SetupHrsPerMo]:[SetupHrsPerMo]]+(t_Parts[[#This Row],[pv2015.11]]/t_Parts[[NetPPH]:[NetPPH]]),0)</f>
        <v>10.993240093240093</v>
      </c>
      <c r="DC80" s="39">
        <f>IF(AND(AW$3&gt;=VALUE(t_Parts[[SOP]:[SOP]]),AW$3&lt;=VALUE(t_Parts[[EOP]:[EOP]])), t_Parts[[SetupHrsPerMo]:[SetupHrsPerMo]]+(t_Parts[[#This Row],[pv2015.12]]/t_Parts[[NetPPH]:[NetPPH]]),0)</f>
        <v>12.741550116550115</v>
      </c>
      <c r="DD80" s="39">
        <f>SUM(t_Parts[[#This Row],[hp2015.01]:[hp2015.12]])</f>
        <v>138.91212121212118</v>
      </c>
      <c r="DE80" s="39">
        <f>IF(AND(AY$3&gt;=VALUE(t_Parts[[SOP]:[SOP]]),AY$3&lt;=VALUE(t_Parts[[EOP]:[EOP]])), t_Parts[[SetupHrsPerMo]:[SetupHrsPerMo]]+(t_Parts[[#This Row],[pv2016.01]]/t_Parts[[NetPPH]:[NetPPH]]),0)</f>
        <v>10.993240093240093</v>
      </c>
      <c r="DF80" s="39">
        <f>IF(AND(AZ$3&gt;=VALUE(t_Parts[[SOP]:[SOP]]),AZ$3&lt;=VALUE(t_Parts[[EOP]:[EOP]])), t_Parts[[SetupHrsPerMo]:[SetupHrsPerMo]]+(t_Parts[[#This Row],[pv2016.02]]/t_Parts[[NetPPH]:[NetPPH]]),0)</f>
        <v>10.993240093240093</v>
      </c>
      <c r="DG80" s="39">
        <f>IF(AND(BA$3&gt;=VALUE(t_Parts[[SOP]:[SOP]]),BA$3&lt;=VALUE(t_Parts[[EOP]:[EOP]])), t_Parts[[SetupHrsPerMo]:[SetupHrsPerMo]]+(t_Parts[[#This Row],[pv2016.03]]/t_Parts[[NetPPH]:[NetPPH]]),0)</f>
        <v>12.741550116550115</v>
      </c>
      <c r="DH80" s="39">
        <f>IF(AND(BB$3&gt;=VALUE(t_Parts[[SOP]:[SOP]]),BB$3&lt;=VALUE(t_Parts[[EOP]:[EOP]])), t_Parts[[SetupHrsPerMo]:[SetupHrsPerMo]]+(t_Parts[[#This Row],[pv2016.04]]/t_Parts[[NetPPH]:[NetPPH]]),0)</f>
        <v>10.993240093240093</v>
      </c>
      <c r="DI80" s="39">
        <f>IF(AND(BC$3&gt;=VALUE(t_Parts[[SOP]:[SOP]]),BC$3&lt;=VALUE(t_Parts[[EOP]:[EOP]])), t_Parts[[SetupHrsPerMo]:[SetupHrsPerMo]]+(t_Parts[[#This Row],[pv2016.05]]/t_Parts[[NetPPH]:[NetPPH]]),0)</f>
        <v>10.993240093240093</v>
      </c>
      <c r="DJ80" s="39">
        <f>IF(AND(BD$3&gt;=VALUE(t_Parts[[SOP]:[SOP]]),BD$3&lt;=VALUE(t_Parts[[EOP]:[EOP]])), t_Parts[[SetupHrsPerMo]:[SetupHrsPerMo]]+(t_Parts[[#This Row],[pv2016.06]]/t_Parts[[NetPPH]:[NetPPH]]),0)</f>
        <v>12.741550116550115</v>
      </c>
      <c r="DK80" s="39">
        <f>IF(AND(BE$3&gt;=VALUE(t_Parts[[SOP]:[SOP]]),BE$3&lt;=VALUE(t_Parts[[EOP]:[EOP]])), t_Parts[[SetupHrsPerMo]:[SetupHrsPerMo]]+(t_Parts[[#This Row],[pv2016.07]]/t_Parts[[NetPPH]:[NetPPH]]),0)</f>
        <v>10.993240093240093</v>
      </c>
      <c r="DL80" s="39">
        <f>IF(AND(BF$3&gt;=VALUE(t_Parts[[SOP]:[SOP]]),BF$3&lt;=VALUE(t_Parts[[EOP]:[EOP]])), t_Parts[[SetupHrsPerMo]:[SetupHrsPerMo]]+(t_Parts[[#This Row],[pv2016.08]]/t_Parts[[NetPPH]:[NetPPH]]),0)</f>
        <v>10.993240093240093</v>
      </c>
      <c r="DM80" s="39">
        <f>IF(AND(BG$3&gt;=VALUE(t_Parts[[SOP]:[SOP]]),BG$3&lt;=VALUE(t_Parts[[EOP]:[EOP]])), t_Parts[[SetupHrsPerMo]:[SetupHrsPerMo]]+(t_Parts[[#This Row],[pv2016.09]]/t_Parts[[NetPPH]:[NetPPH]]),0)</f>
        <v>12.741550116550115</v>
      </c>
      <c r="DN80" s="39">
        <f>IF(AND(BH$3&gt;=VALUE(t_Parts[[SOP]:[SOP]]),BH$3&lt;=VALUE(t_Parts[[EOP]:[EOP]])), t_Parts[[SetupHrsPerMo]:[SetupHrsPerMo]]+(t_Parts[[#This Row],[pv2016.10]]/t_Parts[[NetPPH]:[NetPPH]]),0)</f>
        <v>10.993240093240093</v>
      </c>
      <c r="DO80" s="39">
        <f>IF(AND(BI$3&gt;=VALUE(t_Parts[[SOP]:[SOP]]),BI$3&lt;=VALUE(t_Parts[[EOP]:[EOP]])), t_Parts[[SetupHrsPerMo]:[SetupHrsPerMo]]+(t_Parts[[#This Row],[pv2016.11]]/t_Parts[[NetPPH]:[NetPPH]]),0)</f>
        <v>10.993240093240093</v>
      </c>
      <c r="DP80" s="39">
        <f>IF(AND(BJ$3&gt;=VALUE(t_Parts[[SOP]:[SOP]]),BJ$3&lt;=VALUE(t_Parts[[EOP]:[EOP]])), t_Parts[[SetupHrsPerMo]:[SetupHrsPerMo]]+(t_Parts[[#This Row],[pv2016.12]]/t_Parts[[NetPPH]:[NetPPH]]),0)</f>
        <v>12.741550116550115</v>
      </c>
      <c r="DQ80" s="39">
        <f>SUM(t_Parts[[#This Row],[hp2016.01]:[hp2016.12]])</f>
        <v>138.91212121212118</v>
      </c>
      <c r="DR80" s="39">
        <f>IF(AND(BL$3&gt;=VALUE(t_Parts[[SOP]:[SOP]]),BL$3&lt;=VALUE(t_Parts[[EOP]:[EOP]])), 12*t_Parts[[SetupHrsPerMo]:[SetupHrsPerMo]]+(t_Parts[[#This Row],[pv2017]]/t_Parts[[NetPPH]:[NetPPH]]),0)</f>
        <v>138.91212121212121</v>
      </c>
      <c r="DS80" s="39">
        <f>IF(AND(BM$3&gt;=VALUE(t_Parts[[SOP]:[SOP]]),BM$3&lt;=VALUE(t_Parts[[EOP]:[EOP]])), 12*t_Parts[[SetupHrsPerMo]:[SetupHrsPerMo]]+(t_Parts[[#This Row],[pv2018]]/t_Parts[[NetPPH]:[NetPPH]]),0)</f>
        <v>138.91212121212121</v>
      </c>
      <c r="DT80" s="39">
        <f>IF(AND(BN$3&gt;=VALUE(t_Parts[[SOP]:[SOP]]),BN$3&lt;=VALUE(t_Parts[[EOP]:[EOP]])), 12*t_Parts[[SetupHrsPerMo]:[SetupHrsPerMo]]+(t_Parts[[#This Row],[pv2019]]/t_Parts[[NetPPH]:[NetPPH]]),0)</f>
        <v>0</v>
      </c>
      <c r="DU80" s="47">
        <f>t_Parts[[#This Row],[hp2015.01]]/t_Parts[[#This Row],[ha2015.01]]</f>
        <v>3.9261571761571759E-2</v>
      </c>
      <c r="DV80" s="47">
        <f>t_Parts[[#This Row],[hp2015.02]]/t_Parts[[#This Row],[ha2015.02]]</f>
        <v>3.9261571761571759E-2</v>
      </c>
      <c r="DW80" s="47">
        <f>t_Parts[[#This Row],[hp2015.03]]/t_Parts[[#This Row],[ha2015.03]]</f>
        <v>3.6404428904428902E-2</v>
      </c>
      <c r="DX80" s="47">
        <f>t_Parts[[#This Row],[hp2015.04]]/t_Parts[[#This Row],[ha2015.04]]</f>
        <v>3.9261571761571759E-2</v>
      </c>
      <c r="DY80" s="47">
        <f>t_Parts[[#This Row],[hp2015.05]]/t_Parts[[#This Row],[ha2015.05]]</f>
        <v>3.9261571761571759E-2</v>
      </c>
      <c r="DZ80" s="47">
        <f>t_Parts[[#This Row],[hp2015.06]]/t_Parts[[#This Row],[ha2015.06]]</f>
        <v>3.6404428904428902E-2</v>
      </c>
      <c r="EA80" s="47">
        <f>t_Parts[[#This Row],[hp2015.07]]/t_Parts[[#This Row],[ha2015.07]]</f>
        <v>3.9261571761571759E-2</v>
      </c>
      <c r="EB80" s="47">
        <f>t_Parts[[#This Row],[hp2015.08]]/t_Parts[[#This Row],[ha2015.08]]</f>
        <v>3.9261571761571759E-2</v>
      </c>
      <c r="EC80" s="47">
        <f>t_Parts[[#This Row],[hp2015.09]]/t_Parts[[#This Row],[ha2015.09]]</f>
        <v>3.6404428904428902E-2</v>
      </c>
      <c r="ED80" s="47">
        <f>t_Parts[[#This Row],[hp2015.10]]/t_Parts[[#This Row],[ha2015.10]]</f>
        <v>3.9261571761571759E-2</v>
      </c>
      <c r="EE80" s="47">
        <f>t_Parts[[#This Row],[hp2015.11]]/t_Parts[[#This Row],[ha2015.11]]</f>
        <v>3.9261571761571759E-2</v>
      </c>
      <c r="EF80" s="47">
        <f>t_Parts[[#This Row],[hp2015.12]]/t_Parts[[#This Row],[ha2015.12]]</f>
        <v>3.6404428904428902E-2</v>
      </c>
      <c r="EG80" s="47">
        <f>t_Parts[[#This Row],[hp2015.FY]]/t_Parts[[#This Row],[ha2015.FY]]</f>
        <v>3.816267066267065E-2</v>
      </c>
      <c r="EH80" s="47">
        <f>t_Parts[[#This Row],[hp2016.01]]/t_Parts[[#This Row],[ha2016.01]]</f>
        <v>3.9261571761571759E-2</v>
      </c>
      <c r="EI80" s="47">
        <f>t_Parts[[#This Row],[hp2016.02]]/t_Parts[[#This Row],[ha2016.02]]</f>
        <v>3.9261571761571759E-2</v>
      </c>
      <c r="EJ80" s="47">
        <f>t_Parts[[#This Row],[hp2016.03]]/t_Parts[[#This Row],[ha2016.03]]</f>
        <v>3.6404428904428902E-2</v>
      </c>
      <c r="EK80" s="47">
        <f>t_Parts[[#This Row],[hp2016.04]]/t_Parts[[#This Row],[ha2016.04]]</f>
        <v>3.9261571761571759E-2</v>
      </c>
      <c r="EL80" s="47">
        <f>t_Parts[[#This Row],[hp2016.05]]/t_Parts[[#This Row],[ha2016.05]]</f>
        <v>3.9261571761571759E-2</v>
      </c>
      <c r="EM80" s="47">
        <f>t_Parts[[#This Row],[hp2016.06]]/t_Parts[[#This Row],[ha2016.06]]</f>
        <v>3.6404428904428902E-2</v>
      </c>
      <c r="EN80" s="47">
        <f>t_Parts[[#This Row],[hp2016.07]]/t_Parts[[#This Row],[ha2016.07]]</f>
        <v>3.9261571761571759E-2</v>
      </c>
      <c r="EO80" s="47">
        <f>t_Parts[[#This Row],[hp2016.08]]/t_Parts[[#This Row],[ha2016.08]]</f>
        <v>3.9261571761571759E-2</v>
      </c>
      <c r="EP80" s="47">
        <f>t_Parts[[#This Row],[hp2016.09]]/t_Parts[[#This Row],[ha2016.09]]</f>
        <v>3.6404428904428902E-2</v>
      </c>
      <c r="EQ80" s="47">
        <f>t_Parts[[#This Row],[hp2016.10]]/t_Parts[[#This Row],[ha2016.10]]</f>
        <v>3.9261571761571759E-2</v>
      </c>
      <c r="ER80" s="47">
        <f>t_Parts[[#This Row],[hp2016.11]]/t_Parts[[#This Row],[ha2016.11]]</f>
        <v>3.9261571761571759E-2</v>
      </c>
      <c r="ES80" s="47">
        <f>t_Parts[[#This Row],[hp2016.12]]/t_Parts[[#This Row],[ha2016.12]]</f>
        <v>3.6404428904428902E-2</v>
      </c>
      <c r="ET80" s="47">
        <f>t_Parts[[#This Row],[hp2016.FY]]/t_Parts[[#This Row],[ha2016.FY]]</f>
        <v>3.816267066267065E-2</v>
      </c>
      <c r="EU80" s="47">
        <f>t_Parts[[#This Row],[hp2017]]/t_Parts[[#This Row],[ha2017]]</f>
        <v>3.8162670662670664E-2</v>
      </c>
      <c r="EV80" s="47">
        <f>t_Parts[[#This Row],[hp2018]]/t_Parts[[#This Row],[ha2018]]</f>
        <v>3.8162670662670664E-2</v>
      </c>
      <c r="EW80" s="47">
        <f>t_Parts[[#This Row],[hp2019]]/t_Parts[[#This Row],[hp2015.01]]</f>
        <v>0</v>
      </c>
      <c r="EX80" s="58">
        <f>(t_Parts[[#This Row],[ha2015.01]]-t_Parts[[#This Row],[hp2015.01]])*t_Parts[[NetPPH]:[NetPPH]]</f>
        <v>266316.69230769231</v>
      </c>
      <c r="EY80" s="58">
        <f>(t_Parts[[#This Row],[ha2015.02]]-t_Parts[[#This Row],[hp2015.02]])*t_Parts[[NetPPH]:[NetPPH]]</f>
        <v>266316.69230769231</v>
      </c>
      <c r="EZ80" s="58">
        <f>(t_Parts[[#This Row],[ha2015.03]]-t_Parts[[#This Row],[hp2015.03]])*t_Parts[[NetPPH]:[NetPPH]]</f>
        <v>333885.86538461543</v>
      </c>
      <c r="FA80" s="58">
        <f>(t_Parts[[#This Row],[ha2015.04]]-t_Parts[[#This Row],[hp2015.04]])*t_Parts[[NetPPH]:[NetPPH]]</f>
        <v>266316.69230769231</v>
      </c>
      <c r="FB80" s="58">
        <f>(t_Parts[[#This Row],[ha2015.05]]-t_Parts[[#This Row],[hp2015.05]])*t_Parts[[NetPPH]:[NetPPH]]</f>
        <v>266316.69230769231</v>
      </c>
      <c r="FC80" s="58">
        <f>(t_Parts[[#This Row],[ha2015.06]]-t_Parts[[#This Row],[hp2015.06]])*t_Parts[[NetPPH]:[NetPPH]]</f>
        <v>333885.86538461543</v>
      </c>
      <c r="FD80" s="58">
        <f>(t_Parts[[#This Row],[ha2015.07]]-t_Parts[[#This Row],[hp2015.07]])*t_Parts[[NetPPH]:[NetPPH]]</f>
        <v>266316.69230769231</v>
      </c>
      <c r="FE80" s="58">
        <f>(t_Parts[[#This Row],[ha2015.08]]-t_Parts[[#This Row],[hp2015.08]])*t_Parts[[NetPPH]:[NetPPH]]</f>
        <v>266316.69230769231</v>
      </c>
      <c r="FF80" s="58">
        <f>(t_Parts[[#This Row],[ha2015.09]]-t_Parts[[#This Row],[hp2015.09]])*t_Parts[[NetPPH]:[NetPPH]]</f>
        <v>333885.86538461543</v>
      </c>
      <c r="FG80" s="58">
        <f>(t_Parts[[#This Row],[ha2015.10]]-t_Parts[[#This Row],[hp2015.10]])*t_Parts[[NetPPH]:[NetPPH]]</f>
        <v>266316.69230769231</v>
      </c>
      <c r="FH80" s="58">
        <f>(t_Parts[[#This Row],[ha2015.11]]-t_Parts[[#This Row],[hp2015.11]])*t_Parts[[NetPPH]:[NetPPH]]</f>
        <v>266316.69230769231</v>
      </c>
      <c r="FI80" s="58">
        <f>(t_Parts[[#This Row],[ha2015.12]]-t_Parts[[#This Row],[hp2015.12]])*t_Parts[[NetPPH]:[NetPPH]]</f>
        <v>333885.86538461543</v>
      </c>
      <c r="FJ80" s="58">
        <f>(t_Parts[[#This Row],[ha2015.FY]]-t_Parts[[#This Row],[hp2015.FY]])*t_Parts[[NetPPH]:[NetPPH]]</f>
        <v>3466077.0000000005</v>
      </c>
      <c r="FK80" s="58">
        <f>(t_Parts[[#This Row],[ha2016.01]]-t_Parts[[#This Row],[hp2016.01]])*t_Parts[[NetPPH]:[NetPPH]]</f>
        <v>266316.69230769231</v>
      </c>
      <c r="FL80" s="58">
        <f>(t_Parts[[#This Row],[ha2016.02]]-t_Parts[[#This Row],[hp2016.02]])*t_Parts[[NetPPH]:[NetPPH]]</f>
        <v>266316.69230769231</v>
      </c>
      <c r="FM80" s="58">
        <f>(t_Parts[[#This Row],[ha2016.03]]-t_Parts[[#This Row],[hp2016.03]])*t_Parts[[NetPPH]:[NetPPH]]</f>
        <v>333885.86538461543</v>
      </c>
      <c r="FN80" s="58">
        <f>(t_Parts[[#This Row],[ha2016.04]]-t_Parts[[#This Row],[hp2016.04]])*t_Parts[[NetPPH]:[NetPPH]]</f>
        <v>266316.69230769231</v>
      </c>
      <c r="FO80" s="58">
        <f>(t_Parts[[#This Row],[ha2016.05]]-t_Parts[[#This Row],[hp2016.05]])*t_Parts[[NetPPH]:[NetPPH]]</f>
        <v>266316.69230769231</v>
      </c>
      <c r="FP80" s="58">
        <f>(t_Parts[[#This Row],[ha2016.06]]-t_Parts[[#This Row],[hp2016.06]])*t_Parts[[NetPPH]:[NetPPH]]</f>
        <v>333885.86538461543</v>
      </c>
      <c r="FQ80" s="58">
        <f>(t_Parts[[#This Row],[ha2016.07]]-t_Parts[[#This Row],[hp2016.07]])*t_Parts[[NetPPH]:[NetPPH]]</f>
        <v>266316.69230769231</v>
      </c>
      <c r="FR80" s="58">
        <f>(t_Parts[[#This Row],[ha2016.08]]-t_Parts[[#This Row],[hp2016.08]])*t_Parts[[NetPPH]:[NetPPH]]</f>
        <v>266316.69230769231</v>
      </c>
      <c r="FS80" s="58">
        <f>(t_Parts[[#This Row],[ha2016.09]]-t_Parts[[#This Row],[hp2016.09]])*t_Parts[[NetPPH]:[NetPPH]]</f>
        <v>333885.86538461543</v>
      </c>
      <c r="FT80" s="58">
        <f>(t_Parts[[#This Row],[ha2016.10]]-t_Parts[[#This Row],[hp2016.10]])*t_Parts[[NetPPH]:[NetPPH]]</f>
        <v>266316.69230769231</v>
      </c>
      <c r="FU80" s="58">
        <f>(t_Parts[[#This Row],[ha2016.11]]-t_Parts[[#This Row],[hp2016.11]])*t_Parts[[NetPPH]:[NetPPH]]</f>
        <v>266316.69230769231</v>
      </c>
      <c r="FV80" s="58">
        <f>(t_Parts[[#This Row],[ha2016.12]]-t_Parts[[#This Row],[hp2016.12]])*t_Parts[[NetPPH]:[NetPPH]]</f>
        <v>333885.86538461543</v>
      </c>
      <c r="FW80" s="58">
        <f>(t_Parts[[#This Row],[ha2016.FY]]-t_Parts[[#This Row],[hp2016.FY]])*t_Parts[[NetPPH]:[NetPPH]]</f>
        <v>3466077.0000000005</v>
      </c>
      <c r="FX80" s="58">
        <f>(t_Parts[[#This Row],[ha2017]]-t_Parts[[#This Row],[hp2017]])*t_Parts[[NetPPH]:[NetPPH]]</f>
        <v>3466077.0000000005</v>
      </c>
      <c r="FY80" s="58">
        <f>(t_Parts[[#This Row],[ha2018]]-t_Parts[[#This Row],[hp2018]])*t_Parts[[NetPPH]:[NetPPH]]</f>
        <v>3466077.0000000005</v>
      </c>
      <c r="FZ80" s="58">
        <f>(t_Parts[[#This Row],[ha2019]]-t_Parts[[#This Row],[hp2019]])*t_Parts[[NetPPH]:[NetPPH]]</f>
        <v>3603600.0000000005</v>
      </c>
    </row>
    <row r="81" spans="1:182" s="14" customFormat="1" x14ac:dyDescent="0.25">
      <c r="A81" s="74">
        <v>38252</v>
      </c>
      <c r="B81" s="74"/>
      <c r="C81" s="74">
        <v>21014</v>
      </c>
      <c r="D81" s="75">
        <v>1</v>
      </c>
      <c r="E81" s="73">
        <v>2100</v>
      </c>
      <c r="F81" s="76">
        <v>1</v>
      </c>
      <c r="G81" s="77">
        <v>4</v>
      </c>
      <c r="H81" s="16">
        <v>2015.01</v>
      </c>
      <c r="I81" s="16" t="s">
        <v>322</v>
      </c>
      <c r="J81" s="73">
        <v>290003</v>
      </c>
      <c r="K81" s="73">
        <v>290003</v>
      </c>
      <c r="L81" s="73">
        <v>290003</v>
      </c>
      <c r="M81" s="73">
        <v>290003</v>
      </c>
      <c r="N81" s="73">
        <v>290003</v>
      </c>
      <c r="O81" s="78">
        <v>48</v>
      </c>
      <c r="P81" s="78">
        <v>67</v>
      </c>
      <c r="Q81" s="79">
        <v>22.535</v>
      </c>
      <c r="R81" s="79"/>
      <c r="S81" s="78">
        <v>345</v>
      </c>
      <c r="T81" s="80">
        <v>14.5</v>
      </c>
      <c r="U81" s="80" t="s">
        <v>121</v>
      </c>
      <c r="V81" s="81" t="s">
        <v>647</v>
      </c>
      <c r="W81" s="82">
        <v>0.84</v>
      </c>
      <c r="X81" s="82" t="s">
        <v>501</v>
      </c>
      <c r="Y81" s="82"/>
      <c r="Z81" s="82"/>
      <c r="AA81" s="82"/>
      <c r="AB81" s="82"/>
      <c r="AC81" s="83" t="s">
        <v>667</v>
      </c>
      <c r="AD81" s="40" t="str">
        <f>VLOOKUP(t_Parts[[#This Row],[Press]],t_Presses[],Press!B$1,FALSE)</f>
        <v>Plainfield</v>
      </c>
      <c r="AE81" s="40" t="str">
        <f>VLOOKUP(t_Parts[[#This Row],[Press]],t_Presses[],Press!E$1,FALSE)</f>
        <v>300-599</v>
      </c>
      <c r="AF81" s="47">
        <f>VLOOKUP(t_Parts[[#This Row],[Plant]],t_Plants[],Plants!C$1,FALSE)</f>
        <v>0.55000000000000004</v>
      </c>
      <c r="AG81" s="47">
        <f>VLOOKUP(t_Parts[[#This Row],[Press]],t_Presses[],Press!F$1,FALSE)</f>
        <v>0</v>
      </c>
      <c r="AH81" s="84"/>
      <c r="AI81" s="47">
        <f>IF(ISBLANK(t_Parts[[#This Row],[PartOEE]])=FALSE,t_Parts[[#This Row],[PartOEE]], IF(t_Parts[[#This Row],[PressOEE]]&gt;0, t_Parts[[#This Row],[PressOEE]], t_Parts[[#This Row],[PlantOEE]] ))</f>
        <v>0.55000000000000004</v>
      </c>
      <c r="AJ81" s="70">
        <f>t_Parts[[#This Row],[SetupsPerMo]]*t_Parts[[#This Row],[SetupHrs]]</f>
        <v>4</v>
      </c>
      <c r="AK81" s="39">
        <f>(t_Parts[[#This Row],[PartsPerStroke]]*t_Parts[[#This Row],[StrokesPerHr]])*t_Parts[[#This Row],[UseOEE]]</f>
        <v>1155</v>
      </c>
      <c r="AL8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22307.923076923078</v>
      </c>
      <c r="AM8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22307.923076923078</v>
      </c>
      <c r="AN8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27884.903846153848</v>
      </c>
      <c r="AO8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22307.923076923078</v>
      </c>
      <c r="AP8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22307.923076923078</v>
      </c>
      <c r="AQ8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27884.903846153848</v>
      </c>
      <c r="AR8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22307.923076923078</v>
      </c>
      <c r="AS8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22307.923076923078</v>
      </c>
      <c r="AT8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27884.903846153848</v>
      </c>
      <c r="AU8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22307.923076923078</v>
      </c>
      <c r="AV8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22307.923076923078</v>
      </c>
      <c r="AW8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27884.903846153848</v>
      </c>
      <c r="AX81" s="39">
        <f>SUM(t_Parts[[#This Row],[pv2015.01]:[pv2015.12]])</f>
        <v>290003</v>
      </c>
      <c r="AY8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22307.923076923078</v>
      </c>
      <c r="AZ8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22307.923076923078</v>
      </c>
      <c r="BA8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1" s="39">
        <f>SUM(t_Parts[[#This Row],[pv2016.01]:[pv2016.12]])</f>
        <v>44615.846153846156</v>
      </c>
      <c r="BL81" s="39">
        <f>t_Parts[[#This Row],[2017vol]]</f>
        <v>290003</v>
      </c>
      <c r="BM81" s="39">
        <f>t_Parts[[#This Row],[2018vol]]</f>
        <v>290003</v>
      </c>
      <c r="BN81" s="39">
        <f>t_Parts[[#This Row],[2019vol]]</f>
        <v>290003</v>
      </c>
      <c r="BO81" s="40">
        <f>VLOOKUP(t_Parts[[Plant]:[Plant]],t_Plants[],Plants!CN$1,FALSE)</f>
        <v>280</v>
      </c>
      <c r="BP81" s="14">
        <f>VLOOKUP(t_Parts[[Plant]:[Plant]],t_Plants[],Plants!CO$1,FALSE)</f>
        <v>280</v>
      </c>
      <c r="BQ81" s="14">
        <f>VLOOKUP(t_Parts[[Plant]:[Plant]],t_Plants[],Plants!CP$1,FALSE)</f>
        <v>350</v>
      </c>
      <c r="BR81" s="14">
        <f>VLOOKUP(t_Parts[[Plant]:[Plant]],t_Plants[],Plants!CQ$1,FALSE)</f>
        <v>280</v>
      </c>
      <c r="BS81" s="14">
        <f>VLOOKUP(t_Parts[[Plant]:[Plant]],t_Plants[],Plants!CR$1,FALSE)</f>
        <v>280</v>
      </c>
      <c r="BT81" s="14">
        <f>VLOOKUP(t_Parts[[Plant]:[Plant]],t_Plants[],Plants!CS$1,FALSE)</f>
        <v>350</v>
      </c>
      <c r="BU81" s="14">
        <f>VLOOKUP(t_Parts[[Plant]:[Plant]],t_Plants[],Plants!CT$1,FALSE)</f>
        <v>280</v>
      </c>
      <c r="BV81" s="14">
        <f>VLOOKUP(t_Parts[[Plant]:[Plant]],t_Plants[],Plants!CU$1,FALSE)</f>
        <v>280</v>
      </c>
      <c r="BW81" s="14">
        <f>VLOOKUP(t_Parts[[Plant]:[Plant]],t_Plants[],Plants!CV$1,FALSE)</f>
        <v>350</v>
      </c>
      <c r="BX81" s="14">
        <f>VLOOKUP(t_Parts[[Plant]:[Plant]],t_Plants[],Plants!CW$1,FALSE)</f>
        <v>280</v>
      </c>
      <c r="BY81" s="14">
        <f>VLOOKUP(t_Parts[[Plant]:[Plant]],t_Plants[],Plants!CX$1,FALSE)</f>
        <v>280</v>
      </c>
      <c r="BZ81" s="14">
        <f>VLOOKUP(t_Parts[[Plant]:[Plant]],t_Plants[],Plants!CY$1,FALSE)</f>
        <v>350</v>
      </c>
      <c r="CA81" s="40">
        <f>SUM(t_Parts[[#This Row],[ha2015.01]:[ha2015.12]])</f>
        <v>3640</v>
      </c>
      <c r="CB81" s="14">
        <f>VLOOKUP(t_Parts[[Plant]:[Plant]],t_Plants[],Plants!DA$1,FALSE)</f>
        <v>280</v>
      </c>
      <c r="CC81" s="14">
        <f>VLOOKUP(t_Parts[[Plant]:[Plant]],t_Plants[],Plants!DB$1,FALSE)</f>
        <v>280</v>
      </c>
      <c r="CD81" s="14">
        <f>VLOOKUP(t_Parts[[Plant]:[Plant]],t_Plants[],Plants!DC$1,FALSE)</f>
        <v>350</v>
      </c>
      <c r="CE81" s="14">
        <f>VLOOKUP(t_Parts[[Plant]:[Plant]],t_Plants[],Plants!DD$1,FALSE)</f>
        <v>280</v>
      </c>
      <c r="CF81" s="14">
        <f>VLOOKUP(t_Parts[[Plant]:[Plant]],t_Plants[],Plants!DE$1,FALSE)</f>
        <v>280</v>
      </c>
      <c r="CG81" s="14">
        <f>VLOOKUP(t_Parts[[Plant]:[Plant]],t_Plants[],Plants!DF$1,FALSE)</f>
        <v>350</v>
      </c>
      <c r="CH81" s="14">
        <f>VLOOKUP(t_Parts[[Plant]:[Plant]],t_Plants[],Plants!DG$1,FALSE)</f>
        <v>280</v>
      </c>
      <c r="CI81" s="14">
        <f>VLOOKUP(t_Parts[[Plant]:[Plant]],t_Plants[],Plants!DH$1,FALSE)</f>
        <v>280</v>
      </c>
      <c r="CJ81" s="14">
        <f>VLOOKUP(t_Parts[[Plant]:[Plant]],t_Plants[],Plants!DI$1,FALSE)</f>
        <v>350</v>
      </c>
      <c r="CK81" s="14">
        <f>VLOOKUP(t_Parts[[Plant]:[Plant]],t_Plants[],Plants!DJ$1,FALSE)</f>
        <v>280</v>
      </c>
      <c r="CL81" s="14">
        <f>VLOOKUP(t_Parts[[Plant]:[Plant]],t_Plants[],Plants!DK$1,FALSE)</f>
        <v>280</v>
      </c>
      <c r="CM81" s="14">
        <f>VLOOKUP(t_Parts[[Plant]:[Plant]],t_Plants[],Plants!DL$1,FALSE)</f>
        <v>350</v>
      </c>
      <c r="CN81" s="14">
        <f>VLOOKUP(t_Parts[[Plant]:[Plant]],t_Plants[],Plants!DM$1,FALSE)</f>
        <v>3640</v>
      </c>
      <c r="CO81" s="14">
        <f>VLOOKUP(t_Parts[[Plant]:[Plant]],t_Plants[],Plants!DN$1,FALSE)</f>
        <v>3640</v>
      </c>
      <c r="CP81" s="14">
        <f>VLOOKUP(t_Parts[[Plant]:[Plant]],t_Plants[],Plants!DO$1,FALSE)</f>
        <v>3640</v>
      </c>
      <c r="CQ81" s="14">
        <f>VLOOKUP(t_Parts[[Plant]:[Plant]],t_Plants[],Plants!DP$1,FALSE)</f>
        <v>3640</v>
      </c>
      <c r="CR81" s="39">
        <f>IF(AND(AL$3&gt;=VALUE(t_Parts[[SOP]:[SOP]]),AL$3&lt;=VALUE(t_Parts[[EOP]:[EOP]])), t_Parts[[SetupHrsPerMo]:[SetupHrsPerMo]]+(t_Parts[[#This Row],[pv2015.01]]/t_Parts[[NetPPH]:[NetPPH]]),0)</f>
        <v>23.314219114219114</v>
      </c>
      <c r="CS81" s="39">
        <f>IF(AND(AM$3&gt;=VALUE(t_Parts[[SOP]:[SOP]]),AM$3&lt;=VALUE(t_Parts[[EOP]:[EOP]])), t_Parts[[SetupHrsPerMo]:[SetupHrsPerMo]]+(t_Parts[[#This Row],[pv2015.02]]/t_Parts[[NetPPH]:[NetPPH]]),0)</f>
        <v>23.314219114219114</v>
      </c>
      <c r="CT81" s="39">
        <f>IF(AND(AN$3&gt;=VALUE(t_Parts[[SOP]:[SOP]]),AN$3&lt;=VALUE(t_Parts[[EOP]:[EOP]])), t_Parts[[SetupHrsPerMo]:[SetupHrsPerMo]]+(t_Parts[[#This Row],[pv2015.03]]/t_Parts[[NetPPH]:[NetPPH]]),0)</f>
        <v>28.142773892773896</v>
      </c>
      <c r="CU81" s="39">
        <f>IF(AND(AO$3&gt;=VALUE(t_Parts[[SOP]:[SOP]]),AO$3&lt;=VALUE(t_Parts[[EOP]:[EOP]])), t_Parts[[SetupHrsPerMo]:[SetupHrsPerMo]]+(t_Parts[[#This Row],[pv2015.04]]/t_Parts[[NetPPH]:[NetPPH]]),0)</f>
        <v>23.314219114219114</v>
      </c>
      <c r="CV81" s="39">
        <f>IF(AND(AP$3&gt;=VALUE(t_Parts[[SOP]:[SOP]]),AP$3&lt;=VALUE(t_Parts[[EOP]:[EOP]])), t_Parts[[SetupHrsPerMo]:[SetupHrsPerMo]]+(t_Parts[[#This Row],[pv2015.05]]/t_Parts[[NetPPH]:[NetPPH]]),0)</f>
        <v>23.314219114219114</v>
      </c>
      <c r="CW81" s="39">
        <f>IF(AND(AQ$3&gt;=VALUE(t_Parts[[SOP]:[SOP]]),AQ$3&lt;=VALUE(t_Parts[[EOP]:[EOP]])), t_Parts[[SetupHrsPerMo]:[SetupHrsPerMo]]+(t_Parts[[#This Row],[pv2015.06]]/t_Parts[[NetPPH]:[NetPPH]]),0)</f>
        <v>28.142773892773896</v>
      </c>
      <c r="CX81" s="39">
        <f>IF(AND(AR$3&gt;=VALUE(t_Parts[[SOP]:[SOP]]),AR$3&lt;=VALUE(t_Parts[[EOP]:[EOP]])), t_Parts[[SetupHrsPerMo]:[SetupHrsPerMo]]+(t_Parts[[#This Row],[pv2015.07]]/t_Parts[[NetPPH]:[NetPPH]]),0)</f>
        <v>23.314219114219114</v>
      </c>
      <c r="CY81" s="39">
        <f>IF(AND(AS$3&gt;=VALUE(t_Parts[[SOP]:[SOP]]),AS$3&lt;=VALUE(t_Parts[[EOP]:[EOP]])), t_Parts[[SetupHrsPerMo]:[SetupHrsPerMo]]+(t_Parts[[#This Row],[pv2015.08]]/t_Parts[[NetPPH]:[NetPPH]]),0)</f>
        <v>23.314219114219114</v>
      </c>
      <c r="CZ81" s="39">
        <f>IF(AND(AT$3&gt;=VALUE(t_Parts[[SOP]:[SOP]]),AT$3&lt;=VALUE(t_Parts[[EOP]:[EOP]])), t_Parts[[SetupHrsPerMo]:[SetupHrsPerMo]]+(t_Parts[[#This Row],[pv2015.09]]/t_Parts[[NetPPH]:[NetPPH]]),0)</f>
        <v>28.142773892773896</v>
      </c>
      <c r="DA81" s="39">
        <f>IF(AND(AU$3&gt;=VALUE(t_Parts[[SOP]:[SOP]]),AU$3&lt;=VALUE(t_Parts[[EOP]:[EOP]])), t_Parts[[SetupHrsPerMo]:[SetupHrsPerMo]]+(t_Parts[[#This Row],[pv2015.10]]/t_Parts[[NetPPH]:[NetPPH]]),0)</f>
        <v>23.314219114219114</v>
      </c>
      <c r="DB81" s="39">
        <f>IF(AND(AV$3&gt;=VALUE(t_Parts[[SOP]:[SOP]]),AV$3&lt;=VALUE(t_Parts[[EOP]:[EOP]])), t_Parts[[SetupHrsPerMo]:[SetupHrsPerMo]]+(t_Parts[[#This Row],[pv2015.11]]/t_Parts[[NetPPH]:[NetPPH]]),0)</f>
        <v>23.314219114219114</v>
      </c>
      <c r="DC81" s="39">
        <f>IF(AND(AW$3&gt;=VALUE(t_Parts[[SOP]:[SOP]]),AW$3&lt;=VALUE(t_Parts[[EOP]:[EOP]])), t_Parts[[SetupHrsPerMo]:[SetupHrsPerMo]]+(t_Parts[[#This Row],[pv2015.12]]/t_Parts[[NetPPH]:[NetPPH]]),0)</f>
        <v>28.142773892773896</v>
      </c>
      <c r="DD81" s="39">
        <f>SUM(t_Parts[[#This Row],[hp2015.01]:[hp2015.12]])</f>
        <v>299.08484848484846</v>
      </c>
      <c r="DE81" s="39">
        <f>IF(AND(AY$3&gt;=VALUE(t_Parts[[SOP]:[SOP]]),AY$3&lt;=VALUE(t_Parts[[EOP]:[EOP]])), t_Parts[[SetupHrsPerMo]:[SetupHrsPerMo]]+(t_Parts[[#This Row],[pv2016.01]]/t_Parts[[NetPPH]:[NetPPH]]),0)</f>
        <v>23.314219114219114</v>
      </c>
      <c r="DF81" s="39">
        <f>IF(AND(AZ$3&gt;=VALUE(t_Parts[[SOP]:[SOP]]),AZ$3&lt;=VALUE(t_Parts[[EOP]:[EOP]])), t_Parts[[SetupHrsPerMo]:[SetupHrsPerMo]]+(t_Parts[[#This Row],[pv2016.02]]/t_Parts[[NetPPH]:[NetPPH]]),0)</f>
        <v>23.314219114219114</v>
      </c>
      <c r="DG81" s="39">
        <f>IF(AND(BA$3&gt;=VALUE(t_Parts[[SOP]:[SOP]]),BA$3&lt;=VALUE(t_Parts[[EOP]:[EOP]])), t_Parts[[SetupHrsPerMo]:[SetupHrsPerMo]]+(t_Parts[[#This Row],[pv2016.03]]/t_Parts[[NetPPH]:[NetPPH]]),0)</f>
        <v>0</v>
      </c>
      <c r="DH81" s="39">
        <f>IF(AND(BB$3&gt;=VALUE(t_Parts[[SOP]:[SOP]]),BB$3&lt;=VALUE(t_Parts[[EOP]:[EOP]])), t_Parts[[SetupHrsPerMo]:[SetupHrsPerMo]]+(t_Parts[[#This Row],[pv2016.04]]/t_Parts[[NetPPH]:[NetPPH]]),0)</f>
        <v>0</v>
      </c>
      <c r="DI81" s="39">
        <f>IF(AND(BC$3&gt;=VALUE(t_Parts[[SOP]:[SOP]]),BC$3&lt;=VALUE(t_Parts[[EOP]:[EOP]])), t_Parts[[SetupHrsPerMo]:[SetupHrsPerMo]]+(t_Parts[[#This Row],[pv2016.05]]/t_Parts[[NetPPH]:[NetPPH]]),0)</f>
        <v>0</v>
      </c>
      <c r="DJ81" s="39">
        <f>IF(AND(BD$3&gt;=VALUE(t_Parts[[SOP]:[SOP]]),BD$3&lt;=VALUE(t_Parts[[EOP]:[EOP]])), t_Parts[[SetupHrsPerMo]:[SetupHrsPerMo]]+(t_Parts[[#This Row],[pv2016.06]]/t_Parts[[NetPPH]:[NetPPH]]),0)</f>
        <v>0</v>
      </c>
      <c r="DK81" s="39">
        <f>IF(AND(BE$3&gt;=VALUE(t_Parts[[SOP]:[SOP]]),BE$3&lt;=VALUE(t_Parts[[EOP]:[EOP]])), t_Parts[[SetupHrsPerMo]:[SetupHrsPerMo]]+(t_Parts[[#This Row],[pv2016.07]]/t_Parts[[NetPPH]:[NetPPH]]),0)</f>
        <v>0</v>
      </c>
      <c r="DL81" s="39">
        <f>IF(AND(BF$3&gt;=VALUE(t_Parts[[SOP]:[SOP]]),BF$3&lt;=VALUE(t_Parts[[EOP]:[EOP]])), t_Parts[[SetupHrsPerMo]:[SetupHrsPerMo]]+(t_Parts[[#This Row],[pv2016.08]]/t_Parts[[NetPPH]:[NetPPH]]),0)</f>
        <v>0</v>
      </c>
      <c r="DM81" s="39">
        <f>IF(AND(BG$3&gt;=VALUE(t_Parts[[SOP]:[SOP]]),BG$3&lt;=VALUE(t_Parts[[EOP]:[EOP]])), t_Parts[[SetupHrsPerMo]:[SetupHrsPerMo]]+(t_Parts[[#This Row],[pv2016.09]]/t_Parts[[NetPPH]:[NetPPH]]),0)</f>
        <v>0</v>
      </c>
      <c r="DN81" s="39">
        <f>IF(AND(BH$3&gt;=VALUE(t_Parts[[SOP]:[SOP]]),BH$3&lt;=VALUE(t_Parts[[EOP]:[EOP]])), t_Parts[[SetupHrsPerMo]:[SetupHrsPerMo]]+(t_Parts[[#This Row],[pv2016.10]]/t_Parts[[NetPPH]:[NetPPH]]),0)</f>
        <v>0</v>
      </c>
      <c r="DO81" s="39">
        <f>IF(AND(BI$3&gt;=VALUE(t_Parts[[SOP]:[SOP]]),BI$3&lt;=VALUE(t_Parts[[EOP]:[EOP]])), t_Parts[[SetupHrsPerMo]:[SetupHrsPerMo]]+(t_Parts[[#This Row],[pv2016.11]]/t_Parts[[NetPPH]:[NetPPH]]),0)</f>
        <v>0</v>
      </c>
      <c r="DP81" s="39">
        <f>IF(AND(BJ$3&gt;=VALUE(t_Parts[[SOP]:[SOP]]),BJ$3&lt;=VALUE(t_Parts[[EOP]:[EOP]])), t_Parts[[SetupHrsPerMo]:[SetupHrsPerMo]]+(t_Parts[[#This Row],[pv2016.12]]/t_Parts[[NetPPH]:[NetPPH]]),0)</f>
        <v>0</v>
      </c>
      <c r="DQ81" s="39">
        <f>SUM(t_Parts[[#This Row],[hp2016.01]:[hp2016.12]])</f>
        <v>46.628438228438227</v>
      </c>
      <c r="DR81" s="39">
        <f>IF(AND(BL$3&gt;=VALUE(t_Parts[[SOP]:[SOP]]),BL$3&lt;=VALUE(t_Parts[[EOP]:[EOP]])), 12*t_Parts[[SetupHrsPerMo]:[SetupHrsPerMo]]+(t_Parts[[#This Row],[pv2017]]/t_Parts[[NetPPH]:[NetPPH]]),0)</f>
        <v>0</v>
      </c>
      <c r="DS81" s="39">
        <f>IF(AND(BM$3&gt;=VALUE(t_Parts[[SOP]:[SOP]]),BM$3&lt;=VALUE(t_Parts[[EOP]:[EOP]])), 12*t_Parts[[SetupHrsPerMo]:[SetupHrsPerMo]]+(t_Parts[[#This Row],[pv2018]]/t_Parts[[NetPPH]:[NetPPH]]),0)</f>
        <v>0</v>
      </c>
      <c r="DT81" s="39">
        <f>IF(AND(BN$3&gt;=VALUE(t_Parts[[SOP]:[SOP]]),BN$3&lt;=VALUE(t_Parts[[EOP]:[EOP]])), 12*t_Parts[[SetupHrsPerMo]:[SetupHrsPerMo]]+(t_Parts[[#This Row],[pv2019]]/t_Parts[[NetPPH]:[NetPPH]]),0)</f>
        <v>0</v>
      </c>
      <c r="DU81" s="47">
        <f>t_Parts[[#This Row],[hp2015.01]]/t_Parts[[#This Row],[ha2015.01]]</f>
        <v>8.3265068265068257E-2</v>
      </c>
      <c r="DV81" s="47">
        <f>t_Parts[[#This Row],[hp2015.02]]/t_Parts[[#This Row],[ha2015.02]]</f>
        <v>8.3265068265068257E-2</v>
      </c>
      <c r="DW81" s="47">
        <f>t_Parts[[#This Row],[hp2015.03]]/t_Parts[[#This Row],[ha2015.03]]</f>
        <v>8.0407925407925421E-2</v>
      </c>
      <c r="DX81" s="47">
        <f>t_Parts[[#This Row],[hp2015.04]]/t_Parts[[#This Row],[ha2015.04]]</f>
        <v>8.3265068265068257E-2</v>
      </c>
      <c r="DY81" s="47">
        <f>t_Parts[[#This Row],[hp2015.05]]/t_Parts[[#This Row],[ha2015.05]]</f>
        <v>8.3265068265068257E-2</v>
      </c>
      <c r="DZ81" s="47">
        <f>t_Parts[[#This Row],[hp2015.06]]/t_Parts[[#This Row],[ha2015.06]]</f>
        <v>8.0407925407925421E-2</v>
      </c>
      <c r="EA81" s="47">
        <f>t_Parts[[#This Row],[hp2015.07]]/t_Parts[[#This Row],[ha2015.07]]</f>
        <v>8.3265068265068257E-2</v>
      </c>
      <c r="EB81" s="47">
        <f>t_Parts[[#This Row],[hp2015.08]]/t_Parts[[#This Row],[ha2015.08]]</f>
        <v>8.3265068265068257E-2</v>
      </c>
      <c r="EC81" s="47">
        <f>t_Parts[[#This Row],[hp2015.09]]/t_Parts[[#This Row],[ha2015.09]]</f>
        <v>8.0407925407925421E-2</v>
      </c>
      <c r="ED81" s="47">
        <f>t_Parts[[#This Row],[hp2015.10]]/t_Parts[[#This Row],[ha2015.10]]</f>
        <v>8.3265068265068257E-2</v>
      </c>
      <c r="EE81" s="47">
        <f>t_Parts[[#This Row],[hp2015.11]]/t_Parts[[#This Row],[ha2015.11]]</f>
        <v>8.3265068265068257E-2</v>
      </c>
      <c r="EF81" s="47">
        <f>t_Parts[[#This Row],[hp2015.12]]/t_Parts[[#This Row],[ha2015.12]]</f>
        <v>8.0407925407925421E-2</v>
      </c>
      <c r="EG81" s="47">
        <f>t_Parts[[#This Row],[hp2015.FY]]/t_Parts[[#This Row],[ha2015.FY]]</f>
        <v>8.2166167166167162E-2</v>
      </c>
      <c r="EH81" s="47">
        <f>t_Parts[[#This Row],[hp2016.01]]/t_Parts[[#This Row],[ha2016.01]]</f>
        <v>8.3265068265068257E-2</v>
      </c>
      <c r="EI81" s="47">
        <f>t_Parts[[#This Row],[hp2016.02]]/t_Parts[[#This Row],[ha2016.02]]</f>
        <v>8.3265068265068257E-2</v>
      </c>
      <c r="EJ81" s="47">
        <f>t_Parts[[#This Row],[hp2016.03]]/t_Parts[[#This Row],[ha2016.03]]</f>
        <v>0</v>
      </c>
      <c r="EK81" s="47">
        <f>t_Parts[[#This Row],[hp2016.04]]/t_Parts[[#This Row],[ha2016.04]]</f>
        <v>0</v>
      </c>
      <c r="EL81" s="47">
        <f>t_Parts[[#This Row],[hp2016.05]]/t_Parts[[#This Row],[ha2016.05]]</f>
        <v>0</v>
      </c>
      <c r="EM81" s="47">
        <f>t_Parts[[#This Row],[hp2016.06]]/t_Parts[[#This Row],[ha2016.06]]</f>
        <v>0</v>
      </c>
      <c r="EN81" s="47">
        <f>t_Parts[[#This Row],[hp2016.07]]/t_Parts[[#This Row],[ha2016.07]]</f>
        <v>0</v>
      </c>
      <c r="EO81" s="47">
        <f>t_Parts[[#This Row],[hp2016.08]]/t_Parts[[#This Row],[ha2016.08]]</f>
        <v>0</v>
      </c>
      <c r="EP81" s="47">
        <f>t_Parts[[#This Row],[hp2016.09]]/t_Parts[[#This Row],[ha2016.09]]</f>
        <v>0</v>
      </c>
      <c r="EQ81" s="47">
        <f>t_Parts[[#This Row],[hp2016.10]]/t_Parts[[#This Row],[ha2016.10]]</f>
        <v>0</v>
      </c>
      <c r="ER81" s="47">
        <f>t_Parts[[#This Row],[hp2016.11]]/t_Parts[[#This Row],[ha2016.11]]</f>
        <v>0</v>
      </c>
      <c r="ES81" s="47">
        <f>t_Parts[[#This Row],[hp2016.12]]/t_Parts[[#This Row],[ha2016.12]]</f>
        <v>0</v>
      </c>
      <c r="ET81" s="47">
        <f>t_Parts[[#This Row],[hp2016.FY]]/t_Parts[[#This Row],[ha2016.FY]]</f>
        <v>1.2810010502318194E-2</v>
      </c>
      <c r="EU81" s="47">
        <f>t_Parts[[#This Row],[hp2017]]/t_Parts[[#This Row],[ha2017]]</f>
        <v>0</v>
      </c>
      <c r="EV81" s="47">
        <f>t_Parts[[#This Row],[hp2018]]/t_Parts[[#This Row],[ha2018]]</f>
        <v>0</v>
      </c>
      <c r="EW81" s="47">
        <f>t_Parts[[#This Row],[hp2019]]/t_Parts[[#This Row],[hp2015.01]]</f>
        <v>0</v>
      </c>
      <c r="EX81" s="58">
        <f>(t_Parts[[#This Row],[ha2015.01]]-t_Parts[[#This Row],[hp2015.01]])*t_Parts[[NetPPH]:[NetPPH]]</f>
        <v>296472.07692307694</v>
      </c>
      <c r="EY81" s="58">
        <f>(t_Parts[[#This Row],[ha2015.02]]-t_Parts[[#This Row],[hp2015.02]])*t_Parts[[NetPPH]:[NetPPH]]</f>
        <v>296472.07692307694</v>
      </c>
      <c r="EZ81" s="58">
        <f>(t_Parts[[#This Row],[ha2015.03]]-t_Parts[[#This Row],[hp2015.03]])*t_Parts[[NetPPH]:[NetPPH]]</f>
        <v>371745.09615384613</v>
      </c>
      <c r="FA81" s="58">
        <f>(t_Parts[[#This Row],[ha2015.04]]-t_Parts[[#This Row],[hp2015.04]])*t_Parts[[NetPPH]:[NetPPH]]</f>
        <v>296472.07692307694</v>
      </c>
      <c r="FB81" s="58">
        <f>(t_Parts[[#This Row],[ha2015.05]]-t_Parts[[#This Row],[hp2015.05]])*t_Parts[[NetPPH]:[NetPPH]]</f>
        <v>296472.07692307694</v>
      </c>
      <c r="FC81" s="58">
        <f>(t_Parts[[#This Row],[ha2015.06]]-t_Parts[[#This Row],[hp2015.06]])*t_Parts[[NetPPH]:[NetPPH]]</f>
        <v>371745.09615384613</v>
      </c>
      <c r="FD81" s="58">
        <f>(t_Parts[[#This Row],[ha2015.07]]-t_Parts[[#This Row],[hp2015.07]])*t_Parts[[NetPPH]:[NetPPH]]</f>
        <v>296472.07692307694</v>
      </c>
      <c r="FE81" s="58">
        <f>(t_Parts[[#This Row],[ha2015.08]]-t_Parts[[#This Row],[hp2015.08]])*t_Parts[[NetPPH]:[NetPPH]]</f>
        <v>296472.07692307694</v>
      </c>
      <c r="FF81" s="58">
        <f>(t_Parts[[#This Row],[ha2015.09]]-t_Parts[[#This Row],[hp2015.09]])*t_Parts[[NetPPH]:[NetPPH]]</f>
        <v>371745.09615384613</v>
      </c>
      <c r="FG81" s="58">
        <f>(t_Parts[[#This Row],[ha2015.10]]-t_Parts[[#This Row],[hp2015.10]])*t_Parts[[NetPPH]:[NetPPH]]</f>
        <v>296472.07692307694</v>
      </c>
      <c r="FH81" s="58">
        <f>(t_Parts[[#This Row],[ha2015.11]]-t_Parts[[#This Row],[hp2015.11]])*t_Parts[[NetPPH]:[NetPPH]]</f>
        <v>296472.07692307694</v>
      </c>
      <c r="FI81" s="58">
        <f>(t_Parts[[#This Row],[ha2015.12]]-t_Parts[[#This Row],[hp2015.12]])*t_Parts[[NetPPH]:[NetPPH]]</f>
        <v>371745.09615384613</v>
      </c>
      <c r="FJ81" s="58">
        <f>(t_Parts[[#This Row],[ha2015.FY]]-t_Parts[[#This Row],[hp2015.FY]])*t_Parts[[NetPPH]:[NetPPH]]</f>
        <v>3858757</v>
      </c>
      <c r="FK81" s="58">
        <f>(t_Parts[[#This Row],[ha2016.01]]-t_Parts[[#This Row],[hp2016.01]])*t_Parts[[NetPPH]:[NetPPH]]</f>
        <v>296472.07692307694</v>
      </c>
      <c r="FL81" s="58">
        <f>(t_Parts[[#This Row],[ha2016.02]]-t_Parts[[#This Row],[hp2016.02]])*t_Parts[[NetPPH]:[NetPPH]]</f>
        <v>296472.07692307694</v>
      </c>
      <c r="FM81" s="58">
        <f>(t_Parts[[#This Row],[ha2016.03]]-t_Parts[[#This Row],[hp2016.03]])*t_Parts[[NetPPH]:[NetPPH]]</f>
        <v>404250</v>
      </c>
      <c r="FN81" s="58">
        <f>(t_Parts[[#This Row],[ha2016.04]]-t_Parts[[#This Row],[hp2016.04]])*t_Parts[[NetPPH]:[NetPPH]]</f>
        <v>323400</v>
      </c>
      <c r="FO81" s="58">
        <f>(t_Parts[[#This Row],[ha2016.05]]-t_Parts[[#This Row],[hp2016.05]])*t_Parts[[NetPPH]:[NetPPH]]</f>
        <v>323400</v>
      </c>
      <c r="FP81" s="58">
        <f>(t_Parts[[#This Row],[ha2016.06]]-t_Parts[[#This Row],[hp2016.06]])*t_Parts[[NetPPH]:[NetPPH]]</f>
        <v>404250</v>
      </c>
      <c r="FQ81" s="58">
        <f>(t_Parts[[#This Row],[ha2016.07]]-t_Parts[[#This Row],[hp2016.07]])*t_Parts[[NetPPH]:[NetPPH]]</f>
        <v>323400</v>
      </c>
      <c r="FR81" s="58">
        <f>(t_Parts[[#This Row],[ha2016.08]]-t_Parts[[#This Row],[hp2016.08]])*t_Parts[[NetPPH]:[NetPPH]]</f>
        <v>323400</v>
      </c>
      <c r="FS81" s="58">
        <f>(t_Parts[[#This Row],[ha2016.09]]-t_Parts[[#This Row],[hp2016.09]])*t_Parts[[NetPPH]:[NetPPH]]</f>
        <v>404250</v>
      </c>
      <c r="FT81" s="58">
        <f>(t_Parts[[#This Row],[ha2016.10]]-t_Parts[[#This Row],[hp2016.10]])*t_Parts[[NetPPH]:[NetPPH]]</f>
        <v>323400</v>
      </c>
      <c r="FU81" s="58">
        <f>(t_Parts[[#This Row],[ha2016.11]]-t_Parts[[#This Row],[hp2016.11]])*t_Parts[[NetPPH]:[NetPPH]]</f>
        <v>323400</v>
      </c>
      <c r="FV81" s="58">
        <f>(t_Parts[[#This Row],[ha2016.12]]-t_Parts[[#This Row],[hp2016.12]])*t_Parts[[NetPPH]:[NetPPH]]</f>
        <v>404250</v>
      </c>
      <c r="FW81" s="58">
        <f>(t_Parts[[#This Row],[ha2016.FY]]-t_Parts[[#This Row],[hp2016.FY]])*t_Parts[[NetPPH]:[NetPPH]]</f>
        <v>4150344.1538461535</v>
      </c>
      <c r="FX81" s="58">
        <f>(t_Parts[[#This Row],[ha2017]]-t_Parts[[#This Row],[hp2017]])*t_Parts[[NetPPH]:[NetPPH]]</f>
        <v>4204200</v>
      </c>
      <c r="FY81" s="58">
        <f>(t_Parts[[#This Row],[ha2018]]-t_Parts[[#This Row],[hp2018]])*t_Parts[[NetPPH]:[NetPPH]]</f>
        <v>4204200</v>
      </c>
      <c r="FZ81" s="58">
        <f>(t_Parts[[#This Row],[ha2019]]-t_Parts[[#This Row],[hp2019]])*t_Parts[[NetPPH]:[NetPPH]]</f>
        <v>4204200</v>
      </c>
    </row>
    <row r="82" spans="1:182" s="14" customFormat="1" x14ac:dyDescent="0.25">
      <c r="A82" s="74">
        <v>38181</v>
      </c>
      <c r="B82" s="74"/>
      <c r="C82" s="74">
        <v>21015</v>
      </c>
      <c r="D82" s="75">
        <v>2</v>
      </c>
      <c r="E82" s="73">
        <v>720</v>
      </c>
      <c r="F82" s="76">
        <v>1</v>
      </c>
      <c r="G82" s="77">
        <v>1</v>
      </c>
      <c r="H82" s="16">
        <v>2015.01</v>
      </c>
      <c r="I82" s="16" t="s">
        <v>332</v>
      </c>
      <c r="J82" s="73">
        <v>52996</v>
      </c>
      <c r="K82" s="73">
        <v>52996</v>
      </c>
      <c r="L82" s="73">
        <v>52996</v>
      </c>
      <c r="M82" s="73">
        <v>52996</v>
      </c>
      <c r="N82" s="73">
        <v>52996</v>
      </c>
      <c r="O82" s="78">
        <v>72</v>
      </c>
      <c r="P82" s="78">
        <v>115</v>
      </c>
      <c r="Q82" s="79">
        <v>33.829000000000001</v>
      </c>
      <c r="R82" s="79"/>
      <c r="S82" s="78">
        <v>778</v>
      </c>
      <c r="T82" s="80">
        <v>22.5</v>
      </c>
      <c r="U82" s="80" t="s">
        <v>121</v>
      </c>
      <c r="V82" s="81" t="s">
        <v>566</v>
      </c>
      <c r="W82" s="82">
        <v>3.65</v>
      </c>
      <c r="X82" s="82" t="s">
        <v>501</v>
      </c>
      <c r="Y82" s="82"/>
      <c r="Z82" s="82"/>
      <c r="AA82" s="82"/>
      <c r="AB82" s="82"/>
      <c r="AC82" s="83" t="s">
        <v>667</v>
      </c>
      <c r="AD82" s="40" t="str">
        <f>VLOOKUP(t_Parts[[#This Row],[Press]],t_Presses[],Press!B$1,FALSE)</f>
        <v>Plainfield</v>
      </c>
      <c r="AE82" s="40" t="str">
        <f>VLOOKUP(t_Parts[[#This Row],[Press]],t_Presses[],Press!E$1,FALSE)</f>
        <v>900-1199</v>
      </c>
      <c r="AF82" s="47">
        <f>VLOOKUP(t_Parts[[#This Row],[Plant]],t_Plants[],Plants!C$1,FALSE)</f>
        <v>0.55000000000000004</v>
      </c>
      <c r="AG82" s="47">
        <f>VLOOKUP(t_Parts[[#This Row],[Press]],t_Presses[],Press!F$1,FALSE)</f>
        <v>0</v>
      </c>
      <c r="AH82" s="84"/>
      <c r="AI82" s="47">
        <f>IF(ISBLANK(t_Parts[[#This Row],[PartOEE]])=FALSE,t_Parts[[#This Row],[PartOEE]], IF(t_Parts[[#This Row],[PressOEE]]&gt;0, t_Parts[[#This Row],[PressOEE]], t_Parts[[#This Row],[PlantOEE]] ))</f>
        <v>0.55000000000000004</v>
      </c>
      <c r="AJ82" s="70">
        <f>t_Parts[[#This Row],[SetupsPerMo]]*t_Parts[[#This Row],[SetupHrs]]</f>
        <v>1</v>
      </c>
      <c r="AK82" s="39">
        <f>(t_Parts[[#This Row],[PartsPerStroke]]*t_Parts[[#This Row],[StrokesPerHr]])*t_Parts[[#This Row],[UseOEE]]</f>
        <v>792.00000000000011</v>
      </c>
      <c r="AL8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4076.6153846153848</v>
      </c>
      <c r="AM8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4076.6153846153848</v>
      </c>
      <c r="AN8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5095.7692307692305</v>
      </c>
      <c r="AO8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4076.6153846153848</v>
      </c>
      <c r="AP8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4076.6153846153848</v>
      </c>
      <c r="AQ8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5095.7692307692305</v>
      </c>
      <c r="AR8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4076.6153846153848</v>
      </c>
      <c r="AS8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4076.6153846153848</v>
      </c>
      <c r="AT8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5095.7692307692305</v>
      </c>
      <c r="AU8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4076.6153846153848</v>
      </c>
      <c r="AV8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4076.6153846153848</v>
      </c>
      <c r="AW8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5095.7692307692305</v>
      </c>
      <c r="AX82" s="39">
        <f>SUM(t_Parts[[#This Row],[pv2015.01]:[pv2015.12]])</f>
        <v>52996</v>
      </c>
      <c r="AY8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4076.6153846153848</v>
      </c>
      <c r="AZ8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4076.6153846153848</v>
      </c>
      <c r="BA8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5095.7692307692305</v>
      </c>
      <c r="BB8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4076.6153846153848</v>
      </c>
      <c r="BC8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4076.6153846153848</v>
      </c>
      <c r="BD8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5095.7692307692305</v>
      </c>
      <c r="BE8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4076.6153846153848</v>
      </c>
      <c r="BF8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4076.6153846153848</v>
      </c>
      <c r="BG8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5095.7692307692305</v>
      </c>
      <c r="BH8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4076.6153846153848</v>
      </c>
      <c r="BI8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4076.6153846153848</v>
      </c>
      <c r="BJ8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5095.7692307692305</v>
      </c>
      <c r="BK82" s="39">
        <f>SUM(t_Parts[[#This Row],[pv2016.01]:[pv2016.12]])</f>
        <v>52996</v>
      </c>
      <c r="BL82" s="39">
        <f>t_Parts[[#This Row],[2017vol]]</f>
        <v>52996</v>
      </c>
      <c r="BM82" s="39">
        <f>t_Parts[[#This Row],[2018vol]]</f>
        <v>52996</v>
      </c>
      <c r="BN82" s="39">
        <f>t_Parts[[#This Row],[2019vol]]</f>
        <v>52996</v>
      </c>
      <c r="BO82" s="40">
        <f>VLOOKUP(t_Parts[[Plant]:[Plant]],t_Plants[],Plants!CN$1,FALSE)</f>
        <v>280</v>
      </c>
      <c r="BP82" s="14">
        <f>VLOOKUP(t_Parts[[Plant]:[Plant]],t_Plants[],Plants!CO$1,FALSE)</f>
        <v>280</v>
      </c>
      <c r="BQ82" s="14">
        <f>VLOOKUP(t_Parts[[Plant]:[Plant]],t_Plants[],Plants!CP$1,FALSE)</f>
        <v>350</v>
      </c>
      <c r="BR82" s="14">
        <f>VLOOKUP(t_Parts[[Plant]:[Plant]],t_Plants[],Plants!CQ$1,FALSE)</f>
        <v>280</v>
      </c>
      <c r="BS82" s="14">
        <f>VLOOKUP(t_Parts[[Plant]:[Plant]],t_Plants[],Plants!CR$1,FALSE)</f>
        <v>280</v>
      </c>
      <c r="BT82" s="14">
        <f>VLOOKUP(t_Parts[[Plant]:[Plant]],t_Plants[],Plants!CS$1,FALSE)</f>
        <v>350</v>
      </c>
      <c r="BU82" s="14">
        <f>VLOOKUP(t_Parts[[Plant]:[Plant]],t_Plants[],Plants!CT$1,FALSE)</f>
        <v>280</v>
      </c>
      <c r="BV82" s="14">
        <f>VLOOKUP(t_Parts[[Plant]:[Plant]],t_Plants[],Plants!CU$1,FALSE)</f>
        <v>280</v>
      </c>
      <c r="BW82" s="14">
        <f>VLOOKUP(t_Parts[[Plant]:[Plant]],t_Plants[],Plants!CV$1,FALSE)</f>
        <v>350</v>
      </c>
      <c r="BX82" s="14">
        <f>VLOOKUP(t_Parts[[Plant]:[Plant]],t_Plants[],Plants!CW$1,FALSE)</f>
        <v>280</v>
      </c>
      <c r="BY82" s="14">
        <f>VLOOKUP(t_Parts[[Plant]:[Plant]],t_Plants[],Plants!CX$1,FALSE)</f>
        <v>280</v>
      </c>
      <c r="BZ82" s="14">
        <f>VLOOKUP(t_Parts[[Plant]:[Plant]],t_Plants[],Plants!CY$1,FALSE)</f>
        <v>350</v>
      </c>
      <c r="CA82" s="40">
        <f>SUM(t_Parts[[#This Row],[ha2015.01]:[ha2015.12]])</f>
        <v>3640</v>
      </c>
      <c r="CB82" s="14">
        <f>VLOOKUP(t_Parts[[Plant]:[Plant]],t_Plants[],Plants!DA$1,FALSE)</f>
        <v>280</v>
      </c>
      <c r="CC82" s="14">
        <f>VLOOKUP(t_Parts[[Plant]:[Plant]],t_Plants[],Plants!DB$1,FALSE)</f>
        <v>280</v>
      </c>
      <c r="CD82" s="14">
        <f>VLOOKUP(t_Parts[[Plant]:[Plant]],t_Plants[],Plants!DC$1,FALSE)</f>
        <v>350</v>
      </c>
      <c r="CE82" s="14">
        <f>VLOOKUP(t_Parts[[Plant]:[Plant]],t_Plants[],Plants!DD$1,FALSE)</f>
        <v>280</v>
      </c>
      <c r="CF82" s="14">
        <f>VLOOKUP(t_Parts[[Plant]:[Plant]],t_Plants[],Plants!DE$1,FALSE)</f>
        <v>280</v>
      </c>
      <c r="CG82" s="14">
        <f>VLOOKUP(t_Parts[[Plant]:[Plant]],t_Plants[],Plants!DF$1,FALSE)</f>
        <v>350</v>
      </c>
      <c r="CH82" s="14">
        <f>VLOOKUP(t_Parts[[Plant]:[Plant]],t_Plants[],Plants!DG$1,FALSE)</f>
        <v>280</v>
      </c>
      <c r="CI82" s="14">
        <f>VLOOKUP(t_Parts[[Plant]:[Plant]],t_Plants[],Plants!DH$1,FALSE)</f>
        <v>280</v>
      </c>
      <c r="CJ82" s="14">
        <f>VLOOKUP(t_Parts[[Plant]:[Plant]],t_Plants[],Plants!DI$1,FALSE)</f>
        <v>350</v>
      </c>
      <c r="CK82" s="14">
        <f>VLOOKUP(t_Parts[[Plant]:[Plant]],t_Plants[],Plants!DJ$1,FALSE)</f>
        <v>280</v>
      </c>
      <c r="CL82" s="14">
        <f>VLOOKUP(t_Parts[[Plant]:[Plant]],t_Plants[],Plants!DK$1,FALSE)</f>
        <v>280</v>
      </c>
      <c r="CM82" s="14">
        <f>VLOOKUP(t_Parts[[Plant]:[Plant]],t_Plants[],Plants!DL$1,FALSE)</f>
        <v>350</v>
      </c>
      <c r="CN82" s="14">
        <f>VLOOKUP(t_Parts[[Plant]:[Plant]],t_Plants[],Plants!DM$1,FALSE)</f>
        <v>3640</v>
      </c>
      <c r="CO82" s="14">
        <f>VLOOKUP(t_Parts[[Plant]:[Plant]],t_Plants[],Plants!DN$1,FALSE)</f>
        <v>3640</v>
      </c>
      <c r="CP82" s="14">
        <f>VLOOKUP(t_Parts[[Plant]:[Plant]],t_Plants[],Plants!DO$1,FALSE)</f>
        <v>3640</v>
      </c>
      <c r="CQ82" s="14">
        <f>VLOOKUP(t_Parts[[Plant]:[Plant]],t_Plants[],Plants!DP$1,FALSE)</f>
        <v>3640</v>
      </c>
      <c r="CR82" s="39">
        <f>IF(AND(AL$3&gt;=VALUE(t_Parts[[SOP]:[SOP]]),AL$3&lt;=VALUE(t_Parts[[EOP]:[EOP]])), t_Parts[[SetupHrsPerMo]:[SetupHrsPerMo]]+(t_Parts[[#This Row],[pv2015.01]]/t_Parts[[NetPPH]:[NetPPH]]),0)</f>
        <v>6.1472416472416471</v>
      </c>
      <c r="CS82" s="39">
        <f>IF(AND(AM$3&gt;=VALUE(t_Parts[[SOP]:[SOP]]),AM$3&lt;=VALUE(t_Parts[[EOP]:[EOP]])), t_Parts[[SetupHrsPerMo]:[SetupHrsPerMo]]+(t_Parts[[#This Row],[pv2015.02]]/t_Parts[[NetPPH]:[NetPPH]]),0)</f>
        <v>6.1472416472416471</v>
      </c>
      <c r="CT82" s="39">
        <f>IF(AND(AN$3&gt;=VALUE(t_Parts[[SOP]:[SOP]]),AN$3&lt;=VALUE(t_Parts[[EOP]:[EOP]])), t_Parts[[SetupHrsPerMo]:[SetupHrsPerMo]]+(t_Parts[[#This Row],[pv2015.03]]/t_Parts[[NetPPH]:[NetPPH]]),0)</f>
        <v>7.4340520590520578</v>
      </c>
      <c r="CU82" s="39">
        <f>IF(AND(AO$3&gt;=VALUE(t_Parts[[SOP]:[SOP]]),AO$3&lt;=VALUE(t_Parts[[EOP]:[EOP]])), t_Parts[[SetupHrsPerMo]:[SetupHrsPerMo]]+(t_Parts[[#This Row],[pv2015.04]]/t_Parts[[NetPPH]:[NetPPH]]),0)</f>
        <v>6.1472416472416471</v>
      </c>
      <c r="CV82" s="39">
        <f>IF(AND(AP$3&gt;=VALUE(t_Parts[[SOP]:[SOP]]),AP$3&lt;=VALUE(t_Parts[[EOP]:[EOP]])), t_Parts[[SetupHrsPerMo]:[SetupHrsPerMo]]+(t_Parts[[#This Row],[pv2015.05]]/t_Parts[[NetPPH]:[NetPPH]]),0)</f>
        <v>6.1472416472416471</v>
      </c>
      <c r="CW82" s="39">
        <f>IF(AND(AQ$3&gt;=VALUE(t_Parts[[SOP]:[SOP]]),AQ$3&lt;=VALUE(t_Parts[[EOP]:[EOP]])), t_Parts[[SetupHrsPerMo]:[SetupHrsPerMo]]+(t_Parts[[#This Row],[pv2015.06]]/t_Parts[[NetPPH]:[NetPPH]]),0)</f>
        <v>7.4340520590520578</v>
      </c>
      <c r="CX82" s="39">
        <f>IF(AND(AR$3&gt;=VALUE(t_Parts[[SOP]:[SOP]]),AR$3&lt;=VALUE(t_Parts[[EOP]:[EOP]])), t_Parts[[SetupHrsPerMo]:[SetupHrsPerMo]]+(t_Parts[[#This Row],[pv2015.07]]/t_Parts[[NetPPH]:[NetPPH]]),0)</f>
        <v>6.1472416472416471</v>
      </c>
      <c r="CY82" s="39">
        <f>IF(AND(AS$3&gt;=VALUE(t_Parts[[SOP]:[SOP]]),AS$3&lt;=VALUE(t_Parts[[EOP]:[EOP]])), t_Parts[[SetupHrsPerMo]:[SetupHrsPerMo]]+(t_Parts[[#This Row],[pv2015.08]]/t_Parts[[NetPPH]:[NetPPH]]),0)</f>
        <v>6.1472416472416471</v>
      </c>
      <c r="CZ82" s="39">
        <f>IF(AND(AT$3&gt;=VALUE(t_Parts[[SOP]:[SOP]]),AT$3&lt;=VALUE(t_Parts[[EOP]:[EOP]])), t_Parts[[SetupHrsPerMo]:[SetupHrsPerMo]]+(t_Parts[[#This Row],[pv2015.09]]/t_Parts[[NetPPH]:[NetPPH]]),0)</f>
        <v>7.4340520590520578</v>
      </c>
      <c r="DA82" s="39">
        <f>IF(AND(AU$3&gt;=VALUE(t_Parts[[SOP]:[SOP]]),AU$3&lt;=VALUE(t_Parts[[EOP]:[EOP]])), t_Parts[[SetupHrsPerMo]:[SetupHrsPerMo]]+(t_Parts[[#This Row],[pv2015.10]]/t_Parts[[NetPPH]:[NetPPH]]),0)</f>
        <v>6.1472416472416471</v>
      </c>
      <c r="DB82" s="39">
        <f>IF(AND(AV$3&gt;=VALUE(t_Parts[[SOP]:[SOP]]),AV$3&lt;=VALUE(t_Parts[[EOP]:[EOP]])), t_Parts[[SetupHrsPerMo]:[SetupHrsPerMo]]+(t_Parts[[#This Row],[pv2015.11]]/t_Parts[[NetPPH]:[NetPPH]]),0)</f>
        <v>6.1472416472416471</v>
      </c>
      <c r="DC82" s="39">
        <f>IF(AND(AW$3&gt;=VALUE(t_Parts[[SOP]:[SOP]]),AW$3&lt;=VALUE(t_Parts[[EOP]:[EOP]])), t_Parts[[SetupHrsPerMo]:[SetupHrsPerMo]]+(t_Parts[[#This Row],[pv2015.12]]/t_Parts[[NetPPH]:[NetPPH]]),0)</f>
        <v>7.4340520590520578</v>
      </c>
      <c r="DD82" s="39">
        <f>SUM(t_Parts[[#This Row],[hp2015.01]:[hp2015.12]])</f>
        <v>78.914141414141412</v>
      </c>
      <c r="DE82" s="39">
        <f>IF(AND(AY$3&gt;=VALUE(t_Parts[[SOP]:[SOP]]),AY$3&lt;=VALUE(t_Parts[[EOP]:[EOP]])), t_Parts[[SetupHrsPerMo]:[SetupHrsPerMo]]+(t_Parts[[#This Row],[pv2016.01]]/t_Parts[[NetPPH]:[NetPPH]]),0)</f>
        <v>6.1472416472416471</v>
      </c>
      <c r="DF82" s="39">
        <f>IF(AND(AZ$3&gt;=VALUE(t_Parts[[SOP]:[SOP]]),AZ$3&lt;=VALUE(t_Parts[[EOP]:[EOP]])), t_Parts[[SetupHrsPerMo]:[SetupHrsPerMo]]+(t_Parts[[#This Row],[pv2016.02]]/t_Parts[[NetPPH]:[NetPPH]]),0)</f>
        <v>6.1472416472416471</v>
      </c>
      <c r="DG82" s="39">
        <f>IF(AND(BA$3&gt;=VALUE(t_Parts[[SOP]:[SOP]]),BA$3&lt;=VALUE(t_Parts[[EOP]:[EOP]])), t_Parts[[SetupHrsPerMo]:[SetupHrsPerMo]]+(t_Parts[[#This Row],[pv2016.03]]/t_Parts[[NetPPH]:[NetPPH]]),0)</f>
        <v>7.4340520590520578</v>
      </c>
      <c r="DH82" s="39">
        <f>IF(AND(BB$3&gt;=VALUE(t_Parts[[SOP]:[SOP]]),BB$3&lt;=VALUE(t_Parts[[EOP]:[EOP]])), t_Parts[[SetupHrsPerMo]:[SetupHrsPerMo]]+(t_Parts[[#This Row],[pv2016.04]]/t_Parts[[NetPPH]:[NetPPH]]),0)</f>
        <v>6.1472416472416471</v>
      </c>
      <c r="DI82" s="39">
        <f>IF(AND(BC$3&gt;=VALUE(t_Parts[[SOP]:[SOP]]),BC$3&lt;=VALUE(t_Parts[[EOP]:[EOP]])), t_Parts[[SetupHrsPerMo]:[SetupHrsPerMo]]+(t_Parts[[#This Row],[pv2016.05]]/t_Parts[[NetPPH]:[NetPPH]]),0)</f>
        <v>6.1472416472416471</v>
      </c>
      <c r="DJ82" s="39">
        <f>IF(AND(BD$3&gt;=VALUE(t_Parts[[SOP]:[SOP]]),BD$3&lt;=VALUE(t_Parts[[EOP]:[EOP]])), t_Parts[[SetupHrsPerMo]:[SetupHrsPerMo]]+(t_Parts[[#This Row],[pv2016.06]]/t_Parts[[NetPPH]:[NetPPH]]),0)</f>
        <v>7.4340520590520578</v>
      </c>
      <c r="DK82" s="39">
        <f>IF(AND(BE$3&gt;=VALUE(t_Parts[[SOP]:[SOP]]),BE$3&lt;=VALUE(t_Parts[[EOP]:[EOP]])), t_Parts[[SetupHrsPerMo]:[SetupHrsPerMo]]+(t_Parts[[#This Row],[pv2016.07]]/t_Parts[[NetPPH]:[NetPPH]]),0)</f>
        <v>6.1472416472416471</v>
      </c>
      <c r="DL82" s="39">
        <f>IF(AND(BF$3&gt;=VALUE(t_Parts[[SOP]:[SOP]]),BF$3&lt;=VALUE(t_Parts[[EOP]:[EOP]])), t_Parts[[SetupHrsPerMo]:[SetupHrsPerMo]]+(t_Parts[[#This Row],[pv2016.08]]/t_Parts[[NetPPH]:[NetPPH]]),0)</f>
        <v>6.1472416472416471</v>
      </c>
      <c r="DM82" s="39">
        <f>IF(AND(BG$3&gt;=VALUE(t_Parts[[SOP]:[SOP]]),BG$3&lt;=VALUE(t_Parts[[EOP]:[EOP]])), t_Parts[[SetupHrsPerMo]:[SetupHrsPerMo]]+(t_Parts[[#This Row],[pv2016.09]]/t_Parts[[NetPPH]:[NetPPH]]),0)</f>
        <v>7.4340520590520578</v>
      </c>
      <c r="DN82" s="39">
        <f>IF(AND(BH$3&gt;=VALUE(t_Parts[[SOP]:[SOP]]),BH$3&lt;=VALUE(t_Parts[[EOP]:[EOP]])), t_Parts[[SetupHrsPerMo]:[SetupHrsPerMo]]+(t_Parts[[#This Row],[pv2016.10]]/t_Parts[[NetPPH]:[NetPPH]]),0)</f>
        <v>6.1472416472416471</v>
      </c>
      <c r="DO82" s="39">
        <f>IF(AND(BI$3&gt;=VALUE(t_Parts[[SOP]:[SOP]]),BI$3&lt;=VALUE(t_Parts[[EOP]:[EOP]])), t_Parts[[SetupHrsPerMo]:[SetupHrsPerMo]]+(t_Parts[[#This Row],[pv2016.11]]/t_Parts[[NetPPH]:[NetPPH]]),0)</f>
        <v>6.1472416472416471</v>
      </c>
      <c r="DP82" s="39">
        <f>IF(AND(BJ$3&gt;=VALUE(t_Parts[[SOP]:[SOP]]),BJ$3&lt;=VALUE(t_Parts[[EOP]:[EOP]])), t_Parts[[SetupHrsPerMo]:[SetupHrsPerMo]]+(t_Parts[[#This Row],[pv2016.12]]/t_Parts[[NetPPH]:[NetPPH]]),0)</f>
        <v>7.4340520590520578</v>
      </c>
      <c r="DQ82" s="39">
        <f>SUM(t_Parts[[#This Row],[hp2016.01]:[hp2016.12]])</f>
        <v>78.914141414141412</v>
      </c>
      <c r="DR82" s="39">
        <f>IF(AND(BL$3&gt;=VALUE(t_Parts[[SOP]:[SOP]]),BL$3&lt;=VALUE(t_Parts[[EOP]:[EOP]])), 12*t_Parts[[SetupHrsPerMo]:[SetupHrsPerMo]]+(t_Parts[[#This Row],[pv2017]]/t_Parts[[NetPPH]:[NetPPH]]),0)</f>
        <v>0</v>
      </c>
      <c r="DS82" s="39">
        <f>IF(AND(BM$3&gt;=VALUE(t_Parts[[SOP]:[SOP]]),BM$3&lt;=VALUE(t_Parts[[EOP]:[EOP]])), 12*t_Parts[[SetupHrsPerMo]:[SetupHrsPerMo]]+(t_Parts[[#This Row],[pv2018]]/t_Parts[[NetPPH]:[NetPPH]]),0)</f>
        <v>0</v>
      </c>
      <c r="DT82" s="39">
        <f>IF(AND(BN$3&gt;=VALUE(t_Parts[[SOP]:[SOP]]),BN$3&lt;=VALUE(t_Parts[[EOP]:[EOP]])), 12*t_Parts[[SetupHrsPerMo]:[SetupHrsPerMo]]+(t_Parts[[#This Row],[pv2019]]/t_Parts[[NetPPH]:[NetPPH]]),0)</f>
        <v>0</v>
      </c>
      <c r="DU82" s="47">
        <f>t_Parts[[#This Row],[hp2015.01]]/t_Parts[[#This Row],[ha2015.01]]</f>
        <v>2.1954434454434454E-2</v>
      </c>
      <c r="DV82" s="47">
        <f>t_Parts[[#This Row],[hp2015.02]]/t_Parts[[#This Row],[ha2015.02]]</f>
        <v>2.1954434454434454E-2</v>
      </c>
      <c r="DW82" s="47">
        <f>t_Parts[[#This Row],[hp2015.03]]/t_Parts[[#This Row],[ha2015.03]]</f>
        <v>2.1240148740148738E-2</v>
      </c>
      <c r="DX82" s="47">
        <f>t_Parts[[#This Row],[hp2015.04]]/t_Parts[[#This Row],[ha2015.04]]</f>
        <v>2.1954434454434454E-2</v>
      </c>
      <c r="DY82" s="47">
        <f>t_Parts[[#This Row],[hp2015.05]]/t_Parts[[#This Row],[ha2015.05]]</f>
        <v>2.1954434454434454E-2</v>
      </c>
      <c r="DZ82" s="47">
        <f>t_Parts[[#This Row],[hp2015.06]]/t_Parts[[#This Row],[ha2015.06]]</f>
        <v>2.1240148740148738E-2</v>
      </c>
      <c r="EA82" s="47">
        <f>t_Parts[[#This Row],[hp2015.07]]/t_Parts[[#This Row],[ha2015.07]]</f>
        <v>2.1954434454434454E-2</v>
      </c>
      <c r="EB82" s="47">
        <f>t_Parts[[#This Row],[hp2015.08]]/t_Parts[[#This Row],[ha2015.08]]</f>
        <v>2.1954434454434454E-2</v>
      </c>
      <c r="EC82" s="47">
        <f>t_Parts[[#This Row],[hp2015.09]]/t_Parts[[#This Row],[ha2015.09]]</f>
        <v>2.1240148740148738E-2</v>
      </c>
      <c r="ED82" s="47">
        <f>t_Parts[[#This Row],[hp2015.10]]/t_Parts[[#This Row],[ha2015.10]]</f>
        <v>2.1954434454434454E-2</v>
      </c>
      <c r="EE82" s="47">
        <f>t_Parts[[#This Row],[hp2015.11]]/t_Parts[[#This Row],[ha2015.11]]</f>
        <v>2.1954434454434454E-2</v>
      </c>
      <c r="EF82" s="47">
        <f>t_Parts[[#This Row],[hp2015.12]]/t_Parts[[#This Row],[ha2015.12]]</f>
        <v>2.1240148740148738E-2</v>
      </c>
      <c r="EG82" s="47">
        <f>t_Parts[[#This Row],[hp2015.FY]]/t_Parts[[#This Row],[ha2015.FY]]</f>
        <v>2.167970917970918E-2</v>
      </c>
      <c r="EH82" s="47">
        <f>t_Parts[[#This Row],[hp2016.01]]/t_Parts[[#This Row],[ha2016.01]]</f>
        <v>2.1954434454434454E-2</v>
      </c>
      <c r="EI82" s="47">
        <f>t_Parts[[#This Row],[hp2016.02]]/t_Parts[[#This Row],[ha2016.02]]</f>
        <v>2.1954434454434454E-2</v>
      </c>
      <c r="EJ82" s="47">
        <f>t_Parts[[#This Row],[hp2016.03]]/t_Parts[[#This Row],[ha2016.03]]</f>
        <v>2.1240148740148738E-2</v>
      </c>
      <c r="EK82" s="47">
        <f>t_Parts[[#This Row],[hp2016.04]]/t_Parts[[#This Row],[ha2016.04]]</f>
        <v>2.1954434454434454E-2</v>
      </c>
      <c r="EL82" s="47">
        <f>t_Parts[[#This Row],[hp2016.05]]/t_Parts[[#This Row],[ha2016.05]]</f>
        <v>2.1954434454434454E-2</v>
      </c>
      <c r="EM82" s="47">
        <f>t_Parts[[#This Row],[hp2016.06]]/t_Parts[[#This Row],[ha2016.06]]</f>
        <v>2.1240148740148738E-2</v>
      </c>
      <c r="EN82" s="47">
        <f>t_Parts[[#This Row],[hp2016.07]]/t_Parts[[#This Row],[ha2016.07]]</f>
        <v>2.1954434454434454E-2</v>
      </c>
      <c r="EO82" s="47">
        <f>t_Parts[[#This Row],[hp2016.08]]/t_Parts[[#This Row],[ha2016.08]]</f>
        <v>2.1954434454434454E-2</v>
      </c>
      <c r="EP82" s="47">
        <f>t_Parts[[#This Row],[hp2016.09]]/t_Parts[[#This Row],[ha2016.09]]</f>
        <v>2.1240148740148738E-2</v>
      </c>
      <c r="EQ82" s="47">
        <f>t_Parts[[#This Row],[hp2016.10]]/t_Parts[[#This Row],[ha2016.10]]</f>
        <v>2.1954434454434454E-2</v>
      </c>
      <c r="ER82" s="47">
        <f>t_Parts[[#This Row],[hp2016.11]]/t_Parts[[#This Row],[ha2016.11]]</f>
        <v>2.1954434454434454E-2</v>
      </c>
      <c r="ES82" s="47">
        <f>t_Parts[[#This Row],[hp2016.12]]/t_Parts[[#This Row],[ha2016.12]]</f>
        <v>2.1240148740148738E-2</v>
      </c>
      <c r="ET82" s="47">
        <f>t_Parts[[#This Row],[hp2016.FY]]/t_Parts[[#This Row],[ha2016.FY]]</f>
        <v>2.167970917970918E-2</v>
      </c>
      <c r="EU82" s="47">
        <f>t_Parts[[#This Row],[hp2017]]/t_Parts[[#This Row],[ha2017]]</f>
        <v>0</v>
      </c>
      <c r="EV82" s="47">
        <f>t_Parts[[#This Row],[hp2018]]/t_Parts[[#This Row],[ha2018]]</f>
        <v>0</v>
      </c>
      <c r="EW82" s="47">
        <f>t_Parts[[#This Row],[hp2019]]/t_Parts[[#This Row],[hp2015.01]]</f>
        <v>0</v>
      </c>
      <c r="EX82" s="58">
        <f>(t_Parts[[#This Row],[ha2015.01]]-t_Parts[[#This Row],[hp2015.01]])*t_Parts[[NetPPH]:[NetPPH]]</f>
        <v>216891.38461538465</v>
      </c>
      <c r="EY82" s="58">
        <f>(t_Parts[[#This Row],[ha2015.02]]-t_Parts[[#This Row],[hp2015.02]])*t_Parts[[NetPPH]:[NetPPH]]</f>
        <v>216891.38461538465</v>
      </c>
      <c r="EZ82" s="58">
        <f>(t_Parts[[#This Row],[ha2015.03]]-t_Parts[[#This Row],[hp2015.03]])*t_Parts[[NetPPH]:[NetPPH]]</f>
        <v>271312.23076923081</v>
      </c>
      <c r="FA82" s="58">
        <f>(t_Parts[[#This Row],[ha2015.04]]-t_Parts[[#This Row],[hp2015.04]])*t_Parts[[NetPPH]:[NetPPH]]</f>
        <v>216891.38461538465</v>
      </c>
      <c r="FB82" s="58">
        <f>(t_Parts[[#This Row],[ha2015.05]]-t_Parts[[#This Row],[hp2015.05]])*t_Parts[[NetPPH]:[NetPPH]]</f>
        <v>216891.38461538465</v>
      </c>
      <c r="FC82" s="58">
        <f>(t_Parts[[#This Row],[ha2015.06]]-t_Parts[[#This Row],[hp2015.06]])*t_Parts[[NetPPH]:[NetPPH]]</f>
        <v>271312.23076923081</v>
      </c>
      <c r="FD82" s="58">
        <f>(t_Parts[[#This Row],[ha2015.07]]-t_Parts[[#This Row],[hp2015.07]])*t_Parts[[NetPPH]:[NetPPH]]</f>
        <v>216891.38461538465</v>
      </c>
      <c r="FE82" s="58">
        <f>(t_Parts[[#This Row],[ha2015.08]]-t_Parts[[#This Row],[hp2015.08]])*t_Parts[[NetPPH]:[NetPPH]]</f>
        <v>216891.38461538465</v>
      </c>
      <c r="FF82" s="58">
        <f>(t_Parts[[#This Row],[ha2015.09]]-t_Parts[[#This Row],[hp2015.09]])*t_Parts[[NetPPH]:[NetPPH]]</f>
        <v>271312.23076923081</v>
      </c>
      <c r="FG82" s="58">
        <f>(t_Parts[[#This Row],[ha2015.10]]-t_Parts[[#This Row],[hp2015.10]])*t_Parts[[NetPPH]:[NetPPH]]</f>
        <v>216891.38461538465</v>
      </c>
      <c r="FH82" s="58">
        <f>(t_Parts[[#This Row],[ha2015.11]]-t_Parts[[#This Row],[hp2015.11]])*t_Parts[[NetPPH]:[NetPPH]]</f>
        <v>216891.38461538465</v>
      </c>
      <c r="FI82" s="58">
        <f>(t_Parts[[#This Row],[ha2015.12]]-t_Parts[[#This Row],[hp2015.12]])*t_Parts[[NetPPH]:[NetPPH]]</f>
        <v>271312.23076923081</v>
      </c>
      <c r="FJ82" s="58">
        <f>(t_Parts[[#This Row],[ha2015.FY]]-t_Parts[[#This Row],[hp2015.FY]])*t_Parts[[NetPPH]:[NetPPH]]</f>
        <v>2820380.0000000005</v>
      </c>
      <c r="FK82" s="58">
        <f>(t_Parts[[#This Row],[ha2016.01]]-t_Parts[[#This Row],[hp2016.01]])*t_Parts[[NetPPH]:[NetPPH]]</f>
        <v>216891.38461538465</v>
      </c>
      <c r="FL82" s="58">
        <f>(t_Parts[[#This Row],[ha2016.02]]-t_Parts[[#This Row],[hp2016.02]])*t_Parts[[NetPPH]:[NetPPH]]</f>
        <v>216891.38461538465</v>
      </c>
      <c r="FM82" s="58">
        <f>(t_Parts[[#This Row],[ha2016.03]]-t_Parts[[#This Row],[hp2016.03]])*t_Parts[[NetPPH]:[NetPPH]]</f>
        <v>271312.23076923081</v>
      </c>
      <c r="FN82" s="58">
        <f>(t_Parts[[#This Row],[ha2016.04]]-t_Parts[[#This Row],[hp2016.04]])*t_Parts[[NetPPH]:[NetPPH]]</f>
        <v>216891.38461538465</v>
      </c>
      <c r="FO82" s="58">
        <f>(t_Parts[[#This Row],[ha2016.05]]-t_Parts[[#This Row],[hp2016.05]])*t_Parts[[NetPPH]:[NetPPH]]</f>
        <v>216891.38461538465</v>
      </c>
      <c r="FP82" s="58">
        <f>(t_Parts[[#This Row],[ha2016.06]]-t_Parts[[#This Row],[hp2016.06]])*t_Parts[[NetPPH]:[NetPPH]]</f>
        <v>271312.23076923081</v>
      </c>
      <c r="FQ82" s="58">
        <f>(t_Parts[[#This Row],[ha2016.07]]-t_Parts[[#This Row],[hp2016.07]])*t_Parts[[NetPPH]:[NetPPH]]</f>
        <v>216891.38461538465</v>
      </c>
      <c r="FR82" s="58">
        <f>(t_Parts[[#This Row],[ha2016.08]]-t_Parts[[#This Row],[hp2016.08]])*t_Parts[[NetPPH]:[NetPPH]]</f>
        <v>216891.38461538465</v>
      </c>
      <c r="FS82" s="58">
        <f>(t_Parts[[#This Row],[ha2016.09]]-t_Parts[[#This Row],[hp2016.09]])*t_Parts[[NetPPH]:[NetPPH]]</f>
        <v>271312.23076923081</v>
      </c>
      <c r="FT82" s="58">
        <f>(t_Parts[[#This Row],[ha2016.10]]-t_Parts[[#This Row],[hp2016.10]])*t_Parts[[NetPPH]:[NetPPH]]</f>
        <v>216891.38461538465</v>
      </c>
      <c r="FU82" s="58">
        <f>(t_Parts[[#This Row],[ha2016.11]]-t_Parts[[#This Row],[hp2016.11]])*t_Parts[[NetPPH]:[NetPPH]]</f>
        <v>216891.38461538465</v>
      </c>
      <c r="FV82" s="58">
        <f>(t_Parts[[#This Row],[ha2016.12]]-t_Parts[[#This Row],[hp2016.12]])*t_Parts[[NetPPH]:[NetPPH]]</f>
        <v>271312.23076923081</v>
      </c>
      <c r="FW82" s="58">
        <f>(t_Parts[[#This Row],[ha2016.FY]]-t_Parts[[#This Row],[hp2016.FY]])*t_Parts[[NetPPH]:[NetPPH]]</f>
        <v>2820380.0000000005</v>
      </c>
      <c r="FX82" s="58">
        <f>(t_Parts[[#This Row],[ha2017]]-t_Parts[[#This Row],[hp2017]])*t_Parts[[NetPPH]:[NetPPH]]</f>
        <v>2882880.0000000005</v>
      </c>
      <c r="FY82" s="58">
        <f>(t_Parts[[#This Row],[ha2018]]-t_Parts[[#This Row],[hp2018]])*t_Parts[[NetPPH]:[NetPPH]]</f>
        <v>2882880.0000000005</v>
      </c>
      <c r="FZ82" s="58">
        <f>(t_Parts[[#This Row],[ha2019]]-t_Parts[[#This Row],[hp2019]])*t_Parts[[NetPPH]:[NetPPH]]</f>
        <v>2882880.0000000005</v>
      </c>
    </row>
    <row r="83" spans="1:182" s="14" customFormat="1" x14ac:dyDescent="0.25">
      <c r="A83" s="74">
        <v>37960</v>
      </c>
      <c r="B83" s="74"/>
      <c r="C83" s="74">
        <v>21013</v>
      </c>
      <c r="D83" s="75">
        <v>1</v>
      </c>
      <c r="E83" s="73">
        <v>4200</v>
      </c>
      <c r="F83" s="76">
        <v>1</v>
      </c>
      <c r="G83" s="77">
        <v>4</v>
      </c>
      <c r="H83" s="16">
        <v>2015.01</v>
      </c>
      <c r="I83" s="16" t="s">
        <v>92</v>
      </c>
      <c r="J83" s="73">
        <v>249166</v>
      </c>
      <c r="K83" s="73">
        <v>249166</v>
      </c>
      <c r="L83" s="73">
        <v>249166</v>
      </c>
      <c r="M83" s="73">
        <v>249166</v>
      </c>
      <c r="N83" s="73">
        <v>249166</v>
      </c>
      <c r="O83" s="78">
        <v>32</v>
      </c>
      <c r="P83" s="78">
        <v>25</v>
      </c>
      <c r="Q83" s="79">
        <v>16.899000000000001</v>
      </c>
      <c r="R83" s="79"/>
      <c r="S83" s="78">
        <v>40</v>
      </c>
      <c r="T83" s="80">
        <v>9</v>
      </c>
      <c r="U83" s="80" t="s">
        <v>121</v>
      </c>
      <c r="V83" s="81" t="s">
        <v>641</v>
      </c>
      <c r="W83" s="82">
        <v>0.13500000000000001</v>
      </c>
      <c r="X83" s="82" t="s">
        <v>501</v>
      </c>
      <c r="Y83" s="82" t="s">
        <v>640</v>
      </c>
      <c r="Z83" s="82"/>
      <c r="AA83" s="82"/>
      <c r="AB83" s="82"/>
      <c r="AC83" s="83" t="s">
        <v>112</v>
      </c>
      <c r="AD83" s="40" t="str">
        <f>VLOOKUP(t_Parts[[#This Row],[Press]],t_Presses[],Press!B$1,FALSE)</f>
        <v>Plainfield</v>
      </c>
      <c r="AE83" s="40" t="str">
        <f>VLOOKUP(t_Parts[[#This Row],[Press]],t_Presses[],Press!E$1,FALSE)</f>
        <v>0-299</v>
      </c>
      <c r="AF83" s="47">
        <f>VLOOKUP(t_Parts[[#This Row],[Plant]],t_Plants[],Plants!C$1,FALSE)</f>
        <v>0.55000000000000004</v>
      </c>
      <c r="AG83" s="47">
        <f>VLOOKUP(t_Parts[[#This Row],[Press]],t_Presses[],Press!F$1,FALSE)</f>
        <v>0</v>
      </c>
      <c r="AH83" s="84"/>
      <c r="AI83" s="47">
        <f>IF(ISBLANK(t_Parts[[#This Row],[PartOEE]])=FALSE,t_Parts[[#This Row],[PartOEE]], IF(t_Parts[[#This Row],[PressOEE]]&gt;0, t_Parts[[#This Row],[PressOEE]], t_Parts[[#This Row],[PlantOEE]] ))</f>
        <v>0.55000000000000004</v>
      </c>
      <c r="AJ83" s="70">
        <f>t_Parts[[#This Row],[SetupsPerMo]]*t_Parts[[#This Row],[SetupHrs]]</f>
        <v>4</v>
      </c>
      <c r="AK83" s="39">
        <f>(t_Parts[[#This Row],[PartsPerStroke]]*t_Parts[[#This Row],[StrokesPerHr]])*t_Parts[[#This Row],[UseOEE]]</f>
        <v>2310</v>
      </c>
      <c r="AL8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19166.615384615387</v>
      </c>
      <c r="AM8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19166.615384615387</v>
      </c>
      <c r="AN8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23958.26923076923</v>
      </c>
      <c r="AO8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19166.615384615387</v>
      </c>
      <c r="AP8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19166.615384615387</v>
      </c>
      <c r="AQ8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23958.26923076923</v>
      </c>
      <c r="AR8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19166.615384615387</v>
      </c>
      <c r="AS8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19166.615384615387</v>
      </c>
      <c r="AT8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23958.26923076923</v>
      </c>
      <c r="AU8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19166.615384615387</v>
      </c>
      <c r="AV8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19166.615384615387</v>
      </c>
      <c r="AW8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23958.26923076923</v>
      </c>
      <c r="AX83" s="39">
        <f>SUM(t_Parts[[#This Row],[pv2015.01]:[pv2015.12]])</f>
        <v>249165.99999999997</v>
      </c>
      <c r="AY8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8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8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3" s="39">
        <f>SUM(t_Parts[[#This Row],[pv2016.01]:[pv2016.12]])</f>
        <v>0</v>
      </c>
      <c r="BL83" s="39">
        <f>t_Parts[[#This Row],[2017vol]]</f>
        <v>249166</v>
      </c>
      <c r="BM83" s="39">
        <f>t_Parts[[#This Row],[2018vol]]</f>
        <v>249166</v>
      </c>
      <c r="BN83" s="39">
        <f>t_Parts[[#This Row],[2019vol]]</f>
        <v>249166</v>
      </c>
      <c r="BO83" s="40">
        <f>VLOOKUP(t_Parts[[Plant]:[Plant]],t_Plants[],Plants!CN$1,FALSE)</f>
        <v>280</v>
      </c>
      <c r="BP83" s="14">
        <f>VLOOKUP(t_Parts[[Plant]:[Plant]],t_Plants[],Plants!CO$1,FALSE)</f>
        <v>280</v>
      </c>
      <c r="BQ83" s="14">
        <f>VLOOKUP(t_Parts[[Plant]:[Plant]],t_Plants[],Plants!CP$1,FALSE)</f>
        <v>350</v>
      </c>
      <c r="BR83" s="14">
        <f>VLOOKUP(t_Parts[[Plant]:[Plant]],t_Plants[],Plants!CQ$1,FALSE)</f>
        <v>280</v>
      </c>
      <c r="BS83" s="14">
        <f>VLOOKUP(t_Parts[[Plant]:[Plant]],t_Plants[],Plants!CR$1,FALSE)</f>
        <v>280</v>
      </c>
      <c r="BT83" s="14">
        <f>VLOOKUP(t_Parts[[Plant]:[Plant]],t_Plants[],Plants!CS$1,FALSE)</f>
        <v>350</v>
      </c>
      <c r="BU83" s="14">
        <f>VLOOKUP(t_Parts[[Plant]:[Plant]],t_Plants[],Plants!CT$1,FALSE)</f>
        <v>280</v>
      </c>
      <c r="BV83" s="14">
        <f>VLOOKUP(t_Parts[[Plant]:[Plant]],t_Plants[],Plants!CU$1,FALSE)</f>
        <v>280</v>
      </c>
      <c r="BW83" s="14">
        <f>VLOOKUP(t_Parts[[Plant]:[Plant]],t_Plants[],Plants!CV$1,FALSE)</f>
        <v>350</v>
      </c>
      <c r="BX83" s="14">
        <f>VLOOKUP(t_Parts[[Plant]:[Plant]],t_Plants[],Plants!CW$1,FALSE)</f>
        <v>280</v>
      </c>
      <c r="BY83" s="14">
        <f>VLOOKUP(t_Parts[[Plant]:[Plant]],t_Plants[],Plants!CX$1,FALSE)</f>
        <v>280</v>
      </c>
      <c r="BZ83" s="14">
        <f>VLOOKUP(t_Parts[[Plant]:[Plant]],t_Plants[],Plants!CY$1,FALSE)</f>
        <v>350</v>
      </c>
      <c r="CA83" s="40">
        <f>SUM(t_Parts[[#This Row],[ha2015.01]:[ha2015.12]])</f>
        <v>3640</v>
      </c>
      <c r="CB83" s="14">
        <f>VLOOKUP(t_Parts[[Plant]:[Plant]],t_Plants[],Plants!DA$1,FALSE)</f>
        <v>280</v>
      </c>
      <c r="CC83" s="14">
        <f>VLOOKUP(t_Parts[[Plant]:[Plant]],t_Plants[],Plants!DB$1,FALSE)</f>
        <v>280</v>
      </c>
      <c r="CD83" s="14">
        <f>VLOOKUP(t_Parts[[Plant]:[Plant]],t_Plants[],Plants!DC$1,FALSE)</f>
        <v>350</v>
      </c>
      <c r="CE83" s="14">
        <f>VLOOKUP(t_Parts[[Plant]:[Plant]],t_Plants[],Plants!DD$1,FALSE)</f>
        <v>280</v>
      </c>
      <c r="CF83" s="14">
        <f>VLOOKUP(t_Parts[[Plant]:[Plant]],t_Plants[],Plants!DE$1,FALSE)</f>
        <v>280</v>
      </c>
      <c r="CG83" s="14">
        <f>VLOOKUP(t_Parts[[Plant]:[Plant]],t_Plants[],Plants!DF$1,FALSE)</f>
        <v>350</v>
      </c>
      <c r="CH83" s="14">
        <f>VLOOKUP(t_Parts[[Plant]:[Plant]],t_Plants[],Plants!DG$1,FALSE)</f>
        <v>280</v>
      </c>
      <c r="CI83" s="14">
        <f>VLOOKUP(t_Parts[[Plant]:[Plant]],t_Plants[],Plants!DH$1,FALSE)</f>
        <v>280</v>
      </c>
      <c r="CJ83" s="14">
        <f>VLOOKUP(t_Parts[[Plant]:[Plant]],t_Plants[],Plants!DI$1,FALSE)</f>
        <v>350</v>
      </c>
      <c r="CK83" s="14">
        <f>VLOOKUP(t_Parts[[Plant]:[Plant]],t_Plants[],Plants!DJ$1,FALSE)</f>
        <v>280</v>
      </c>
      <c r="CL83" s="14">
        <f>VLOOKUP(t_Parts[[Plant]:[Plant]],t_Plants[],Plants!DK$1,FALSE)</f>
        <v>280</v>
      </c>
      <c r="CM83" s="14">
        <f>VLOOKUP(t_Parts[[Plant]:[Plant]],t_Plants[],Plants!DL$1,FALSE)</f>
        <v>350</v>
      </c>
      <c r="CN83" s="14">
        <f>VLOOKUP(t_Parts[[Plant]:[Plant]],t_Plants[],Plants!DM$1,FALSE)</f>
        <v>3640</v>
      </c>
      <c r="CO83" s="14">
        <f>VLOOKUP(t_Parts[[Plant]:[Plant]],t_Plants[],Plants!DN$1,FALSE)</f>
        <v>3640</v>
      </c>
      <c r="CP83" s="14">
        <f>VLOOKUP(t_Parts[[Plant]:[Plant]],t_Plants[],Plants!DO$1,FALSE)</f>
        <v>3640</v>
      </c>
      <c r="CQ83" s="14">
        <f>VLOOKUP(t_Parts[[Plant]:[Plant]],t_Plants[],Plants!DP$1,FALSE)</f>
        <v>3640</v>
      </c>
      <c r="CR83" s="39">
        <f>IF(AND(AL$3&gt;=VALUE(t_Parts[[SOP]:[SOP]]),AL$3&lt;=VALUE(t_Parts[[EOP]:[EOP]])), t_Parts[[SetupHrsPerMo]:[SetupHrsPerMo]]+(t_Parts[[#This Row],[pv2015.01]]/t_Parts[[NetPPH]:[NetPPH]]),0)</f>
        <v>12.297236097236098</v>
      </c>
      <c r="CS83" s="39">
        <f>IF(AND(AM$3&gt;=VALUE(t_Parts[[SOP]:[SOP]]),AM$3&lt;=VALUE(t_Parts[[EOP]:[EOP]])), t_Parts[[SetupHrsPerMo]:[SetupHrsPerMo]]+(t_Parts[[#This Row],[pv2015.02]]/t_Parts[[NetPPH]:[NetPPH]]),0)</f>
        <v>12.297236097236098</v>
      </c>
      <c r="CT83" s="39">
        <f>IF(AND(AN$3&gt;=VALUE(t_Parts[[SOP]:[SOP]]),AN$3&lt;=VALUE(t_Parts[[EOP]:[EOP]])), t_Parts[[SetupHrsPerMo]:[SetupHrsPerMo]]+(t_Parts[[#This Row],[pv2015.03]]/t_Parts[[NetPPH]:[NetPPH]]),0)</f>
        <v>14.371545121545122</v>
      </c>
      <c r="CU83" s="39">
        <f>IF(AND(AO$3&gt;=VALUE(t_Parts[[SOP]:[SOP]]),AO$3&lt;=VALUE(t_Parts[[EOP]:[EOP]])), t_Parts[[SetupHrsPerMo]:[SetupHrsPerMo]]+(t_Parts[[#This Row],[pv2015.04]]/t_Parts[[NetPPH]:[NetPPH]]),0)</f>
        <v>12.297236097236098</v>
      </c>
      <c r="CV83" s="39">
        <f>IF(AND(AP$3&gt;=VALUE(t_Parts[[SOP]:[SOP]]),AP$3&lt;=VALUE(t_Parts[[EOP]:[EOP]])), t_Parts[[SetupHrsPerMo]:[SetupHrsPerMo]]+(t_Parts[[#This Row],[pv2015.05]]/t_Parts[[NetPPH]:[NetPPH]]),0)</f>
        <v>12.297236097236098</v>
      </c>
      <c r="CW83" s="39">
        <f>IF(AND(AQ$3&gt;=VALUE(t_Parts[[SOP]:[SOP]]),AQ$3&lt;=VALUE(t_Parts[[EOP]:[EOP]])), t_Parts[[SetupHrsPerMo]:[SetupHrsPerMo]]+(t_Parts[[#This Row],[pv2015.06]]/t_Parts[[NetPPH]:[NetPPH]]),0)</f>
        <v>14.371545121545122</v>
      </c>
      <c r="CX83" s="39">
        <f>IF(AND(AR$3&gt;=VALUE(t_Parts[[SOP]:[SOP]]),AR$3&lt;=VALUE(t_Parts[[EOP]:[EOP]])), t_Parts[[SetupHrsPerMo]:[SetupHrsPerMo]]+(t_Parts[[#This Row],[pv2015.07]]/t_Parts[[NetPPH]:[NetPPH]]),0)</f>
        <v>12.297236097236098</v>
      </c>
      <c r="CY83" s="39">
        <f>IF(AND(AS$3&gt;=VALUE(t_Parts[[SOP]:[SOP]]),AS$3&lt;=VALUE(t_Parts[[EOP]:[EOP]])), t_Parts[[SetupHrsPerMo]:[SetupHrsPerMo]]+(t_Parts[[#This Row],[pv2015.08]]/t_Parts[[NetPPH]:[NetPPH]]),0)</f>
        <v>12.297236097236098</v>
      </c>
      <c r="CZ83" s="39">
        <f>IF(AND(AT$3&gt;=VALUE(t_Parts[[SOP]:[SOP]]),AT$3&lt;=VALUE(t_Parts[[EOP]:[EOP]])), t_Parts[[SetupHrsPerMo]:[SetupHrsPerMo]]+(t_Parts[[#This Row],[pv2015.09]]/t_Parts[[NetPPH]:[NetPPH]]),0)</f>
        <v>14.371545121545122</v>
      </c>
      <c r="DA83" s="39">
        <f>IF(AND(AU$3&gt;=VALUE(t_Parts[[SOP]:[SOP]]),AU$3&lt;=VALUE(t_Parts[[EOP]:[EOP]])), t_Parts[[SetupHrsPerMo]:[SetupHrsPerMo]]+(t_Parts[[#This Row],[pv2015.10]]/t_Parts[[NetPPH]:[NetPPH]]),0)</f>
        <v>12.297236097236098</v>
      </c>
      <c r="DB83" s="39">
        <f>IF(AND(AV$3&gt;=VALUE(t_Parts[[SOP]:[SOP]]),AV$3&lt;=VALUE(t_Parts[[EOP]:[EOP]])), t_Parts[[SetupHrsPerMo]:[SetupHrsPerMo]]+(t_Parts[[#This Row],[pv2015.11]]/t_Parts[[NetPPH]:[NetPPH]]),0)</f>
        <v>12.297236097236098</v>
      </c>
      <c r="DC83" s="39">
        <f>IF(AND(AW$3&gt;=VALUE(t_Parts[[SOP]:[SOP]]),AW$3&lt;=VALUE(t_Parts[[EOP]:[EOP]])), t_Parts[[SetupHrsPerMo]:[SetupHrsPerMo]]+(t_Parts[[#This Row],[pv2015.12]]/t_Parts[[NetPPH]:[NetPPH]]),0)</f>
        <v>14.371545121545122</v>
      </c>
      <c r="DD83" s="39">
        <f>SUM(t_Parts[[#This Row],[hp2015.01]:[hp2015.12]])</f>
        <v>155.86406926406926</v>
      </c>
      <c r="DE83" s="39">
        <f>IF(AND(AY$3&gt;=VALUE(t_Parts[[SOP]:[SOP]]),AY$3&lt;=VALUE(t_Parts[[EOP]:[EOP]])), t_Parts[[SetupHrsPerMo]:[SetupHrsPerMo]]+(t_Parts[[#This Row],[pv2016.01]]/t_Parts[[NetPPH]:[NetPPH]]),0)</f>
        <v>0</v>
      </c>
      <c r="DF83" s="39">
        <f>IF(AND(AZ$3&gt;=VALUE(t_Parts[[SOP]:[SOP]]),AZ$3&lt;=VALUE(t_Parts[[EOP]:[EOP]])), t_Parts[[SetupHrsPerMo]:[SetupHrsPerMo]]+(t_Parts[[#This Row],[pv2016.02]]/t_Parts[[NetPPH]:[NetPPH]]),0)</f>
        <v>0</v>
      </c>
      <c r="DG83" s="39">
        <f>IF(AND(BA$3&gt;=VALUE(t_Parts[[SOP]:[SOP]]),BA$3&lt;=VALUE(t_Parts[[EOP]:[EOP]])), t_Parts[[SetupHrsPerMo]:[SetupHrsPerMo]]+(t_Parts[[#This Row],[pv2016.03]]/t_Parts[[NetPPH]:[NetPPH]]),0)</f>
        <v>0</v>
      </c>
      <c r="DH83" s="39">
        <f>IF(AND(BB$3&gt;=VALUE(t_Parts[[SOP]:[SOP]]),BB$3&lt;=VALUE(t_Parts[[EOP]:[EOP]])), t_Parts[[SetupHrsPerMo]:[SetupHrsPerMo]]+(t_Parts[[#This Row],[pv2016.04]]/t_Parts[[NetPPH]:[NetPPH]]),0)</f>
        <v>0</v>
      </c>
      <c r="DI83" s="39">
        <f>IF(AND(BC$3&gt;=VALUE(t_Parts[[SOP]:[SOP]]),BC$3&lt;=VALUE(t_Parts[[EOP]:[EOP]])), t_Parts[[SetupHrsPerMo]:[SetupHrsPerMo]]+(t_Parts[[#This Row],[pv2016.05]]/t_Parts[[NetPPH]:[NetPPH]]),0)</f>
        <v>0</v>
      </c>
      <c r="DJ83" s="39">
        <f>IF(AND(BD$3&gt;=VALUE(t_Parts[[SOP]:[SOP]]),BD$3&lt;=VALUE(t_Parts[[EOP]:[EOP]])), t_Parts[[SetupHrsPerMo]:[SetupHrsPerMo]]+(t_Parts[[#This Row],[pv2016.06]]/t_Parts[[NetPPH]:[NetPPH]]),0)</f>
        <v>0</v>
      </c>
      <c r="DK83" s="39">
        <f>IF(AND(BE$3&gt;=VALUE(t_Parts[[SOP]:[SOP]]),BE$3&lt;=VALUE(t_Parts[[EOP]:[EOP]])), t_Parts[[SetupHrsPerMo]:[SetupHrsPerMo]]+(t_Parts[[#This Row],[pv2016.07]]/t_Parts[[NetPPH]:[NetPPH]]),0)</f>
        <v>0</v>
      </c>
      <c r="DL83" s="39">
        <f>IF(AND(BF$3&gt;=VALUE(t_Parts[[SOP]:[SOP]]),BF$3&lt;=VALUE(t_Parts[[EOP]:[EOP]])), t_Parts[[SetupHrsPerMo]:[SetupHrsPerMo]]+(t_Parts[[#This Row],[pv2016.08]]/t_Parts[[NetPPH]:[NetPPH]]),0)</f>
        <v>0</v>
      </c>
      <c r="DM83" s="39">
        <f>IF(AND(BG$3&gt;=VALUE(t_Parts[[SOP]:[SOP]]),BG$3&lt;=VALUE(t_Parts[[EOP]:[EOP]])), t_Parts[[SetupHrsPerMo]:[SetupHrsPerMo]]+(t_Parts[[#This Row],[pv2016.09]]/t_Parts[[NetPPH]:[NetPPH]]),0)</f>
        <v>0</v>
      </c>
      <c r="DN83" s="39">
        <f>IF(AND(BH$3&gt;=VALUE(t_Parts[[SOP]:[SOP]]),BH$3&lt;=VALUE(t_Parts[[EOP]:[EOP]])), t_Parts[[SetupHrsPerMo]:[SetupHrsPerMo]]+(t_Parts[[#This Row],[pv2016.10]]/t_Parts[[NetPPH]:[NetPPH]]),0)</f>
        <v>0</v>
      </c>
      <c r="DO83" s="39">
        <f>IF(AND(BI$3&gt;=VALUE(t_Parts[[SOP]:[SOP]]),BI$3&lt;=VALUE(t_Parts[[EOP]:[EOP]])), t_Parts[[SetupHrsPerMo]:[SetupHrsPerMo]]+(t_Parts[[#This Row],[pv2016.11]]/t_Parts[[NetPPH]:[NetPPH]]),0)</f>
        <v>0</v>
      </c>
      <c r="DP83" s="39">
        <f>IF(AND(BJ$3&gt;=VALUE(t_Parts[[SOP]:[SOP]]),BJ$3&lt;=VALUE(t_Parts[[EOP]:[EOP]])), t_Parts[[SetupHrsPerMo]:[SetupHrsPerMo]]+(t_Parts[[#This Row],[pv2016.12]]/t_Parts[[NetPPH]:[NetPPH]]),0)</f>
        <v>0</v>
      </c>
      <c r="DQ83" s="39">
        <f>SUM(t_Parts[[#This Row],[hp2016.01]:[hp2016.12]])</f>
        <v>0</v>
      </c>
      <c r="DR83" s="39">
        <f>IF(AND(BL$3&gt;=VALUE(t_Parts[[SOP]:[SOP]]),BL$3&lt;=VALUE(t_Parts[[EOP]:[EOP]])), 12*t_Parts[[SetupHrsPerMo]:[SetupHrsPerMo]]+(t_Parts[[#This Row],[pv2017]]/t_Parts[[NetPPH]:[NetPPH]]),0)</f>
        <v>0</v>
      </c>
      <c r="DS83" s="39">
        <f>IF(AND(BM$3&gt;=VALUE(t_Parts[[SOP]:[SOP]]),BM$3&lt;=VALUE(t_Parts[[EOP]:[EOP]])), 12*t_Parts[[SetupHrsPerMo]:[SetupHrsPerMo]]+(t_Parts[[#This Row],[pv2018]]/t_Parts[[NetPPH]:[NetPPH]]),0)</f>
        <v>0</v>
      </c>
      <c r="DT83" s="39">
        <f>IF(AND(BN$3&gt;=VALUE(t_Parts[[SOP]:[SOP]]),BN$3&lt;=VALUE(t_Parts[[EOP]:[EOP]])), 12*t_Parts[[SetupHrsPerMo]:[SetupHrsPerMo]]+(t_Parts[[#This Row],[pv2019]]/t_Parts[[NetPPH]:[NetPPH]]),0)</f>
        <v>0</v>
      </c>
      <c r="DU83" s="47">
        <f>t_Parts[[#This Row],[hp2015.01]]/t_Parts[[#This Row],[ha2015.01]]</f>
        <v>4.3918700347271779E-2</v>
      </c>
      <c r="DV83" s="47">
        <f>t_Parts[[#This Row],[hp2015.02]]/t_Parts[[#This Row],[ha2015.02]]</f>
        <v>4.3918700347271779E-2</v>
      </c>
      <c r="DW83" s="47">
        <f>t_Parts[[#This Row],[hp2015.03]]/t_Parts[[#This Row],[ha2015.03]]</f>
        <v>4.1061557490128922E-2</v>
      </c>
      <c r="DX83" s="47">
        <f>t_Parts[[#This Row],[hp2015.04]]/t_Parts[[#This Row],[ha2015.04]]</f>
        <v>4.3918700347271779E-2</v>
      </c>
      <c r="DY83" s="47">
        <f>t_Parts[[#This Row],[hp2015.05]]/t_Parts[[#This Row],[ha2015.05]]</f>
        <v>4.3918700347271779E-2</v>
      </c>
      <c r="DZ83" s="47">
        <f>t_Parts[[#This Row],[hp2015.06]]/t_Parts[[#This Row],[ha2015.06]]</f>
        <v>4.1061557490128922E-2</v>
      </c>
      <c r="EA83" s="47">
        <f>t_Parts[[#This Row],[hp2015.07]]/t_Parts[[#This Row],[ha2015.07]]</f>
        <v>4.3918700347271779E-2</v>
      </c>
      <c r="EB83" s="47">
        <f>t_Parts[[#This Row],[hp2015.08]]/t_Parts[[#This Row],[ha2015.08]]</f>
        <v>4.3918700347271779E-2</v>
      </c>
      <c r="EC83" s="47">
        <f>t_Parts[[#This Row],[hp2015.09]]/t_Parts[[#This Row],[ha2015.09]]</f>
        <v>4.1061557490128922E-2</v>
      </c>
      <c r="ED83" s="47">
        <f>t_Parts[[#This Row],[hp2015.10]]/t_Parts[[#This Row],[ha2015.10]]</f>
        <v>4.3918700347271779E-2</v>
      </c>
      <c r="EE83" s="47">
        <f>t_Parts[[#This Row],[hp2015.11]]/t_Parts[[#This Row],[ha2015.11]]</f>
        <v>4.3918700347271779E-2</v>
      </c>
      <c r="EF83" s="47">
        <f>t_Parts[[#This Row],[hp2015.12]]/t_Parts[[#This Row],[ha2015.12]]</f>
        <v>4.1061557490128922E-2</v>
      </c>
      <c r="EG83" s="47">
        <f>t_Parts[[#This Row],[hp2015.FY]]/t_Parts[[#This Row],[ha2015.FY]]</f>
        <v>4.2819799248370677E-2</v>
      </c>
      <c r="EH83" s="47">
        <f>t_Parts[[#This Row],[hp2016.01]]/t_Parts[[#This Row],[ha2016.01]]</f>
        <v>0</v>
      </c>
      <c r="EI83" s="47">
        <f>t_Parts[[#This Row],[hp2016.02]]/t_Parts[[#This Row],[ha2016.02]]</f>
        <v>0</v>
      </c>
      <c r="EJ83" s="47">
        <f>t_Parts[[#This Row],[hp2016.03]]/t_Parts[[#This Row],[ha2016.03]]</f>
        <v>0</v>
      </c>
      <c r="EK83" s="47">
        <f>t_Parts[[#This Row],[hp2016.04]]/t_Parts[[#This Row],[ha2016.04]]</f>
        <v>0</v>
      </c>
      <c r="EL83" s="47">
        <f>t_Parts[[#This Row],[hp2016.05]]/t_Parts[[#This Row],[ha2016.05]]</f>
        <v>0</v>
      </c>
      <c r="EM83" s="47">
        <f>t_Parts[[#This Row],[hp2016.06]]/t_Parts[[#This Row],[ha2016.06]]</f>
        <v>0</v>
      </c>
      <c r="EN83" s="47">
        <f>t_Parts[[#This Row],[hp2016.07]]/t_Parts[[#This Row],[ha2016.07]]</f>
        <v>0</v>
      </c>
      <c r="EO83" s="47">
        <f>t_Parts[[#This Row],[hp2016.08]]/t_Parts[[#This Row],[ha2016.08]]</f>
        <v>0</v>
      </c>
      <c r="EP83" s="47">
        <f>t_Parts[[#This Row],[hp2016.09]]/t_Parts[[#This Row],[ha2016.09]]</f>
        <v>0</v>
      </c>
      <c r="EQ83" s="47">
        <f>t_Parts[[#This Row],[hp2016.10]]/t_Parts[[#This Row],[ha2016.10]]</f>
        <v>0</v>
      </c>
      <c r="ER83" s="47">
        <f>t_Parts[[#This Row],[hp2016.11]]/t_Parts[[#This Row],[ha2016.11]]</f>
        <v>0</v>
      </c>
      <c r="ES83" s="47">
        <f>t_Parts[[#This Row],[hp2016.12]]/t_Parts[[#This Row],[ha2016.12]]</f>
        <v>0</v>
      </c>
      <c r="ET83" s="47">
        <f>t_Parts[[#This Row],[hp2016.FY]]/t_Parts[[#This Row],[ha2016.FY]]</f>
        <v>0</v>
      </c>
      <c r="EU83" s="47">
        <f>t_Parts[[#This Row],[hp2017]]/t_Parts[[#This Row],[ha2017]]</f>
        <v>0</v>
      </c>
      <c r="EV83" s="47">
        <f>t_Parts[[#This Row],[hp2018]]/t_Parts[[#This Row],[ha2018]]</f>
        <v>0</v>
      </c>
      <c r="EW83" s="47">
        <f>t_Parts[[#This Row],[hp2019]]/t_Parts[[#This Row],[hp2015.01]]</f>
        <v>0</v>
      </c>
      <c r="EX83" s="58">
        <f>(t_Parts[[#This Row],[ha2015.01]]-t_Parts[[#This Row],[hp2015.01]])*t_Parts[[NetPPH]:[NetPPH]]</f>
        <v>618393.38461538451</v>
      </c>
      <c r="EY83" s="58">
        <f>(t_Parts[[#This Row],[ha2015.02]]-t_Parts[[#This Row],[hp2015.02]])*t_Parts[[NetPPH]:[NetPPH]]</f>
        <v>618393.38461538451</v>
      </c>
      <c r="EZ83" s="58">
        <f>(t_Parts[[#This Row],[ha2015.03]]-t_Parts[[#This Row],[hp2015.03]])*t_Parts[[NetPPH]:[NetPPH]]</f>
        <v>775301.73076923075</v>
      </c>
      <c r="FA83" s="58">
        <f>(t_Parts[[#This Row],[ha2015.04]]-t_Parts[[#This Row],[hp2015.04]])*t_Parts[[NetPPH]:[NetPPH]]</f>
        <v>618393.38461538451</v>
      </c>
      <c r="FB83" s="58">
        <f>(t_Parts[[#This Row],[ha2015.05]]-t_Parts[[#This Row],[hp2015.05]])*t_Parts[[NetPPH]:[NetPPH]]</f>
        <v>618393.38461538451</v>
      </c>
      <c r="FC83" s="58">
        <f>(t_Parts[[#This Row],[ha2015.06]]-t_Parts[[#This Row],[hp2015.06]])*t_Parts[[NetPPH]:[NetPPH]]</f>
        <v>775301.73076923075</v>
      </c>
      <c r="FD83" s="58">
        <f>(t_Parts[[#This Row],[ha2015.07]]-t_Parts[[#This Row],[hp2015.07]])*t_Parts[[NetPPH]:[NetPPH]]</f>
        <v>618393.38461538451</v>
      </c>
      <c r="FE83" s="58">
        <f>(t_Parts[[#This Row],[ha2015.08]]-t_Parts[[#This Row],[hp2015.08]])*t_Parts[[NetPPH]:[NetPPH]]</f>
        <v>618393.38461538451</v>
      </c>
      <c r="FF83" s="58">
        <f>(t_Parts[[#This Row],[ha2015.09]]-t_Parts[[#This Row],[hp2015.09]])*t_Parts[[NetPPH]:[NetPPH]]</f>
        <v>775301.73076923075</v>
      </c>
      <c r="FG83" s="58">
        <f>(t_Parts[[#This Row],[ha2015.10]]-t_Parts[[#This Row],[hp2015.10]])*t_Parts[[NetPPH]:[NetPPH]]</f>
        <v>618393.38461538451</v>
      </c>
      <c r="FH83" s="58">
        <f>(t_Parts[[#This Row],[ha2015.11]]-t_Parts[[#This Row],[hp2015.11]])*t_Parts[[NetPPH]:[NetPPH]]</f>
        <v>618393.38461538451</v>
      </c>
      <c r="FI83" s="58">
        <f>(t_Parts[[#This Row],[ha2015.12]]-t_Parts[[#This Row],[hp2015.12]])*t_Parts[[NetPPH]:[NetPPH]]</f>
        <v>775301.73076923075</v>
      </c>
      <c r="FJ83" s="58">
        <f>(t_Parts[[#This Row],[ha2015.FY]]-t_Parts[[#This Row],[hp2015.FY]])*t_Parts[[NetPPH]:[NetPPH]]</f>
        <v>8048354</v>
      </c>
      <c r="FK83" s="58">
        <f>(t_Parts[[#This Row],[ha2016.01]]-t_Parts[[#This Row],[hp2016.01]])*t_Parts[[NetPPH]:[NetPPH]]</f>
        <v>646800</v>
      </c>
      <c r="FL83" s="58">
        <f>(t_Parts[[#This Row],[ha2016.02]]-t_Parts[[#This Row],[hp2016.02]])*t_Parts[[NetPPH]:[NetPPH]]</f>
        <v>646800</v>
      </c>
      <c r="FM83" s="58">
        <f>(t_Parts[[#This Row],[ha2016.03]]-t_Parts[[#This Row],[hp2016.03]])*t_Parts[[NetPPH]:[NetPPH]]</f>
        <v>808500</v>
      </c>
      <c r="FN83" s="58">
        <f>(t_Parts[[#This Row],[ha2016.04]]-t_Parts[[#This Row],[hp2016.04]])*t_Parts[[NetPPH]:[NetPPH]]</f>
        <v>646800</v>
      </c>
      <c r="FO83" s="58">
        <f>(t_Parts[[#This Row],[ha2016.05]]-t_Parts[[#This Row],[hp2016.05]])*t_Parts[[NetPPH]:[NetPPH]]</f>
        <v>646800</v>
      </c>
      <c r="FP83" s="58">
        <f>(t_Parts[[#This Row],[ha2016.06]]-t_Parts[[#This Row],[hp2016.06]])*t_Parts[[NetPPH]:[NetPPH]]</f>
        <v>808500</v>
      </c>
      <c r="FQ83" s="58">
        <f>(t_Parts[[#This Row],[ha2016.07]]-t_Parts[[#This Row],[hp2016.07]])*t_Parts[[NetPPH]:[NetPPH]]</f>
        <v>646800</v>
      </c>
      <c r="FR83" s="58">
        <f>(t_Parts[[#This Row],[ha2016.08]]-t_Parts[[#This Row],[hp2016.08]])*t_Parts[[NetPPH]:[NetPPH]]</f>
        <v>646800</v>
      </c>
      <c r="FS83" s="58">
        <f>(t_Parts[[#This Row],[ha2016.09]]-t_Parts[[#This Row],[hp2016.09]])*t_Parts[[NetPPH]:[NetPPH]]</f>
        <v>808500</v>
      </c>
      <c r="FT83" s="58">
        <f>(t_Parts[[#This Row],[ha2016.10]]-t_Parts[[#This Row],[hp2016.10]])*t_Parts[[NetPPH]:[NetPPH]]</f>
        <v>646800</v>
      </c>
      <c r="FU83" s="58">
        <f>(t_Parts[[#This Row],[ha2016.11]]-t_Parts[[#This Row],[hp2016.11]])*t_Parts[[NetPPH]:[NetPPH]]</f>
        <v>646800</v>
      </c>
      <c r="FV83" s="58">
        <f>(t_Parts[[#This Row],[ha2016.12]]-t_Parts[[#This Row],[hp2016.12]])*t_Parts[[NetPPH]:[NetPPH]]</f>
        <v>808500</v>
      </c>
      <c r="FW83" s="58">
        <f>(t_Parts[[#This Row],[ha2016.FY]]-t_Parts[[#This Row],[hp2016.FY]])*t_Parts[[NetPPH]:[NetPPH]]</f>
        <v>8408400</v>
      </c>
      <c r="FX83" s="58">
        <f>(t_Parts[[#This Row],[ha2017]]-t_Parts[[#This Row],[hp2017]])*t_Parts[[NetPPH]:[NetPPH]]</f>
        <v>8408400</v>
      </c>
      <c r="FY83" s="58">
        <f>(t_Parts[[#This Row],[ha2018]]-t_Parts[[#This Row],[hp2018]])*t_Parts[[NetPPH]:[NetPPH]]</f>
        <v>8408400</v>
      </c>
      <c r="FZ83" s="58">
        <f>(t_Parts[[#This Row],[ha2019]]-t_Parts[[#This Row],[hp2019]])*t_Parts[[NetPPH]:[NetPPH]]</f>
        <v>8408400</v>
      </c>
    </row>
    <row r="84" spans="1:182" s="14" customFormat="1" x14ac:dyDescent="0.25">
      <c r="A84" s="74">
        <v>37959</v>
      </c>
      <c r="B84" s="74"/>
      <c r="C84" s="74">
        <v>21013</v>
      </c>
      <c r="D84" s="75">
        <v>1</v>
      </c>
      <c r="E84" s="73">
        <v>4200</v>
      </c>
      <c r="F84" s="76">
        <v>1</v>
      </c>
      <c r="G84" s="77">
        <v>4</v>
      </c>
      <c r="H84" s="16">
        <v>2015.01</v>
      </c>
      <c r="I84" s="16" t="s">
        <v>92</v>
      </c>
      <c r="J84" s="73">
        <v>248932</v>
      </c>
      <c r="K84" s="73">
        <v>248932</v>
      </c>
      <c r="L84" s="73">
        <v>248932</v>
      </c>
      <c r="M84" s="73">
        <v>248932</v>
      </c>
      <c r="N84" s="73">
        <v>248932</v>
      </c>
      <c r="O84" s="78">
        <v>29</v>
      </c>
      <c r="P84" s="78">
        <v>30</v>
      </c>
      <c r="Q84" s="79">
        <v>18.34</v>
      </c>
      <c r="R84" s="79"/>
      <c r="S84" s="78">
        <v>50</v>
      </c>
      <c r="T84" s="80">
        <v>11</v>
      </c>
      <c r="U84" s="80" t="s">
        <v>121</v>
      </c>
      <c r="V84" s="81" t="s">
        <v>639</v>
      </c>
      <c r="W84" s="82">
        <v>0.23100000000000001</v>
      </c>
      <c r="X84" s="82" t="s">
        <v>501</v>
      </c>
      <c r="Y84" s="82" t="s">
        <v>640</v>
      </c>
      <c r="Z84" s="82"/>
      <c r="AA84" s="82"/>
      <c r="AB84" s="82"/>
      <c r="AC84" s="83" t="s">
        <v>112</v>
      </c>
      <c r="AD84" s="40" t="str">
        <f>VLOOKUP(t_Parts[[#This Row],[Press]],t_Presses[],Press!B$1,FALSE)</f>
        <v>Plainfield</v>
      </c>
      <c r="AE84" s="40" t="str">
        <f>VLOOKUP(t_Parts[[#This Row],[Press]],t_Presses[],Press!E$1,FALSE)</f>
        <v>0-299</v>
      </c>
      <c r="AF84" s="47">
        <f>VLOOKUP(t_Parts[[#This Row],[Plant]],t_Plants[],Plants!C$1,FALSE)</f>
        <v>0.55000000000000004</v>
      </c>
      <c r="AG84" s="47">
        <f>VLOOKUP(t_Parts[[#This Row],[Press]],t_Presses[],Press!F$1,FALSE)</f>
        <v>0</v>
      </c>
      <c r="AH84" s="84"/>
      <c r="AI84" s="47">
        <f>IF(ISBLANK(t_Parts[[#This Row],[PartOEE]])=FALSE,t_Parts[[#This Row],[PartOEE]], IF(t_Parts[[#This Row],[PressOEE]]&gt;0, t_Parts[[#This Row],[PressOEE]], t_Parts[[#This Row],[PlantOEE]] ))</f>
        <v>0.55000000000000004</v>
      </c>
      <c r="AJ84" s="70">
        <f>t_Parts[[#This Row],[SetupsPerMo]]*t_Parts[[#This Row],[SetupHrs]]</f>
        <v>4</v>
      </c>
      <c r="AK84" s="39">
        <f>(t_Parts[[#This Row],[PartsPerStroke]]*t_Parts[[#This Row],[StrokesPerHr]])*t_Parts[[#This Row],[UseOEE]]</f>
        <v>2310</v>
      </c>
      <c r="AL8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19148.615384615387</v>
      </c>
      <c r="AM8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19148.615384615387</v>
      </c>
      <c r="AN8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23935.769230769234</v>
      </c>
      <c r="AO8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19148.615384615387</v>
      </c>
      <c r="AP8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19148.615384615387</v>
      </c>
      <c r="AQ8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23935.769230769234</v>
      </c>
      <c r="AR8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19148.615384615387</v>
      </c>
      <c r="AS8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19148.615384615387</v>
      </c>
      <c r="AT8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23935.769230769234</v>
      </c>
      <c r="AU8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19148.615384615387</v>
      </c>
      <c r="AV8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19148.615384615387</v>
      </c>
      <c r="AW8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23935.769230769234</v>
      </c>
      <c r="AX84" s="39">
        <f>SUM(t_Parts[[#This Row],[pv2015.01]:[pv2015.12]])</f>
        <v>248932</v>
      </c>
      <c r="AY8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8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8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4" s="39">
        <f>SUM(t_Parts[[#This Row],[pv2016.01]:[pv2016.12]])</f>
        <v>0</v>
      </c>
      <c r="BL84" s="39">
        <f>t_Parts[[#This Row],[2017vol]]</f>
        <v>248932</v>
      </c>
      <c r="BM84" s="39">
        <f>t_Parts[[#This Row],[2018vol]]</f>
        <v>248932</v>
      </c>
      <c r="BN84" s="39">
        <f>t_Parts[[#This Row],[2019vol]]</f>
        <v>248932</v>
      </c>
      <c r="BO84" s="40">
        <f>VLOOKUP(t_Parts[[Plant]:[Plant]],t_Plants[],Plants!CN$1,FALSE)</f>
        <v>280</v>
      </c>
      <c r="BP84" s="14">
        <f>VLOOKUP(t_Parts[[Plant]:[Plant]],t_Plants[],Plants!CO$1,FALSE)</f>
        <v>280</v>
      </c>
      <c r="BQ84" s="14">
        <f>VLOOKUP(t_Parts[[Plant]:[Plant]],t_Plants[],Plants!CP$1,FALSE)</f>
        <v>350</v>
      </c>
      <c r="BR84" s="14">
        <f>VLOOKUP(t_Parts[[Plant]:[Plant]],t_Plants[],Plants!CQ$1,FALSE)</f>
        <v>280</v>
      </c>
      <c r="BS84" s="14">
        <f>VLOOKUP(t_Parts[[Plant]:[Plant]],t_Plants[],Plants!CR$1,FALSE)</f>
        <v>280</v>
      </c>
      <c r="BT84" s="14">
        <f>VLOOKUP(t_Parts[[Plant]:[Plant]],t_Plants[],Plants!CS$1,FALSE)</f>
        <v>350</v>
      </c>
      <c r="BU84" s="14">
        <f>VLOOKUP(t_Parts[[Plant]:[Plant]],t_Plants[],Plants!CT$1,FALSE)</f>
        <v>280</v>
      </c>
      <c r="BV84" s="14">
        <f>VLOOKUP(t_Parts[[Plant]:[Plant]],t_Plants[],Plants!CU$1,FALSE)</f>
        <v>280</v>
      </c>
      <c r="BW84" s="14">
        <f>VLOOKUP(t_Parts[[Plant]:[Plant]],t_Plants[],Plants!CV$1,FALSE)</f>
        <v>350</v>
      </c>
      <c r="BX84" s="14">
        <f>VLOOKUP(t_Parts[[Plant]:[Plant]],t_Plants[],Plants!CW$1,FALSE)</f>
        <v>280</v>
      </c>
      <c r="BY84" s="14">
        <f>VLOOKUP(t_Parts[[Plant]:[Plant]],t_Plants[],Plants!CX$1,FALSE)</f>
        <v>280</v>
      </c>
      <c r="BZ84" s="14">
        <f>VLOOKUP(t_Parts[[Plant]:[Plant]],t_Plants[],Plants!CY$1,FALSE)</f>
        <v>350</v>
      </c>
      <c r="CA84" s="40">
        <f>SUM(t_Parts[[#This Row],[ha2015.01]:[ha2015.12]])</f>
        <v>3640</v>
      </c>
      <c r="CB84" s="14">
        <f>VLOOKUP(t_Parts[[Plant]:[Plant]],t_Plants[],Plants!DA$1,FALSE)</f>
        <v>280</v>
      </c>
      <c r="CC84" s="14">
        <f>VLOOKUP(t_Parts[[Plant]:[Plant]],t_Plants[],Plants!DB$1,FALSE)</f>
        <v>280</v>
      </c>
      <c r="CD84" s="14">
        <f>VLOOKUP(t_Parts[[Plant]:[Plant]],t_Plants[],Plants!DC$1,FALSE)</f>
        <v>350</v>
      </c>
      <c r="CE84" s="14">
        <f>VLOOKUP(t_Parts[[Plant]:[Plant]],t_Plants[],Plants!DD$1,FALSE)</f>
        <v>280</v>
      </c>
      <c r="CF84" s="14">
        <f>VLOOKUP(t_Parts[[Plant]:[Plant]],t_Plants[],Plants!DE$1,FALSE)</f>
        <v>280</v>
      </c>
      <c r="CG84" s="14">
        <f>VLOOKUP(t_Parts[[Plant]:[Plant]],t_Plants[],Plants!DF$1,FALSE)</f>
        <v>350</v>
      </c>
      <c r="CH84" s="14">
        <f>VLOOKUP(t_Parts[[Plant]:[Plant]],t_Plants[],Plants!DG$1,FALSE)</f>
        <v>280</v>
      </c>
      <c r="CI84" s="14">
        <f>VLOOKUP(t_Parts[[Plant]:[Plant]],t_Plants[],Plants!DH$1,FALSE)</f>
        <v>280</v>
      </c>
      <c r="CJ84" s="14">
        <f>VLOOKUP(t_Parts[[Plant]:[Plant]],t_Plants[],Plants!DI$1,FALSE)</f>
        <v>350</v>
      </c>
      <c r="CK84" s="14">
        <f>VLOOKUP(t_Parts[[Plant]:[Plant]],t_Plants[],Plants!DJ$1,FALSE)</f>
        <v>280</v>
      </c>
      <c r="CL84" s="14">
        <f>VLOOKUP(t_Parts[[Plant]:[Plant]],t_Plants[],Plants!DK$1,FALSE)</f>
        <v>280</v>
      </c>
      <c r="CM84" s="14">
        <f>VLOOKUP(t_Parts[[Plant]:[Plant]],t_Plants[],Plants!DL$1,FALSE)</f>
        <v>350</v>
      </c>
      <c r="CN84" s="14">
        <f>VLOOKUP(t_Parts[[Plant]:[Plant]],t_Plants[],Plants!DM$1,FALSE)</f>
        <v>3640</v>
      </c>
      <c r="CO84" s="14">
        <f>VLOOKUP(t_Parts[[Plant]:[Plant]],t_Plants[],Plants!DN$1,FALSE)</f>
        <v>3640</v>
      </c>
      <c r="CP84" s="14">
        <f>VLOOKUP(t_Parts[[Plant]:[Plant]],t_Plants[],Plants!DO$1,FALSE)</f>
        <v>3640</v>
      </c>
      <c r="CQ84" s="14">
        <f>VLOOKUP(t_Parts[[Plant]:[Plant]],t_Plants[],Plants!DP$1,FALSE)</f>
        <v>3640</v>
      </c>
      <c r="CR84" s="39">
        <f>IF(AND(AL$3&gt;=VALUE(t_Parts[[SOP]:[SOP]]),AL$3&lt;=VALUE(t_Parts[[EOP]:[EOP]])), t_Parts[[SetupHrsPerMo]:[SetupHrsPerMo]]+(t_Parts[[#This Row],[pv2015.01]]/t_Parts[[NetPPH]:[NetPPH]]),0)</f>
        <v>12.28944388944389</v>
      </c>
      <c r="CS84" s="39">
        <f>IF(AND(AM$3&gt;=VALUE(t_Parts[[SOP]:[SOP]]),AM$3&lt;=VALUE(t_Parts[[EOP]:[EOP]])), t_Parts[[SetupHrsPerMo]:[SetupHrsPerMo]]+(t_Parts[[#This Row],[pv2015.02]]/t_Parts[[NetPPH]:[NetPPH]]),0)</f>
        <v>12.28944388944389</v>
      </c>
      <c r="CT84" s="39">
        <f>IF(AND(AN$3&gt;=VALUE(t_Parts[[SOP]:[SOP]]),AN$3&lt;=VALUE(t_Parts[[EOP]:[EOP]])), t_Parts[[SetupHrsPerMo]:[SetupHrsPerMo]]+(t_Parts[[#This Row],[pv2015.03]]/t_Parts[[NetPPH]:[NetPPH]]),0)</f>
        <v>14.361804861804863</v>
      </c>
      <c r="CU84" s="39">
        <f>IF(AND(AO$3&gt;=VALUE(t_Parts[[SOP]:[SOP]]),AO$3&lt;=VALUE(t_Parts[[EOP]:[EOP]])), t_Parts[[SetupHrsPerMo]:[SetupHrsPerMo]]+(t_Parts[[#This Row],[pv2015.04]]/t_Parts[[NetPPH]:[NetPPH]]),0)</f>
        <v>12.28944388944389</v>
      </c>
      <c r="CV84" s="39">
        <f>IF(AND(AP$3&gt;=VALUE(t_Parts[[SOP]:[SOP]]),AP$3&lt;=VALUE(t_Parts[[EOP]:[EOP]])), t_Parts[[SetupHrsPerMo]:[SetupHrsPerMo]]+(t_Parts[[#This Row],[pv2015.05]]/t_Parts[[NetPPH]:[NetPPH]]),0)</f>
        <v>12.28944388944389</v>
      </c>
      <c r="CW84" s="39">
        <f>IF(AND(AQ$3&gt;=VALUE(t_Parts[[SOP]:[SOP]]),AQ$3&lt;=VALUE(t_Parts[[EOP]:[EOP]])), t_Parts[[SetupHrsPerMo]:[SetupHrsPerMo]]+(t_Parts[[#This Row],[pv2015.06]]/t_Parts[[NetPPH]:[NetPPH]]),0)</f>
        <v>14.361804861804863</v>
      </c>
      <c r="CX84" s="39">
        <f>IF(AND(AR$3&gt;=VALUE(t_Parts[[SOP]:[SOP]]),AR$3&lt;=VALUE(t_Parts[[EOP]:[EOP]])), t_Parts[[SetupHrsPerMo]:[SetupHrsPerMo]]+(t_Parts[[#This Row],[pv2015.07]]/t_Parts[[NetPPH]:[NetPPH]]),0)</f>
        <v>12.28944388944389</v>
      </c>
      <c r="CY84" s="39">
        <f>IF(AND(AS$3&gt;=VALUE(t_Parts[[SOP]:[SOP]]),AS$3&lt;=VALUE(t_Parts[[EOP]:[EOP]])), t_Parts[[SetupHrsPerMo]:[SetupHrsPerMo]]+(t_Parts[[#This Row],[pv2015.08]]/t_Parts[[NetPPH]:[NetPPH]]),0)</f>
        <v>12.28944388944389</v>
      </c>
      <c r="CZ84" s="39">
        <f>IF(AND(AT$3&gt;=VALUE(t_Parts[[SOP]:[SOP]]),AT$3&lt;=VALUE(t_Parts[[EOP]:[EOP]])), t_Parts[[SetupHrsPerMo]:[SetupHrsPerMo]]+(t_Parts[[#This Row],[pv2015.09]]/t_Parts[[NetPPH]:[NetPPH]]),0)</f>
        <v>14.361804861804863</v>
      </c>
      <c r="DA84" s="39">
        <f>IF(AND(AU$3&gt;=VALUE(t_Parts[[SOP]:[SOP]]),AU$3&lt;=VALUE(t_Parts[[EOP]:[EOP]])), t_Parts[[SetupHrsPerMo]:[SetupHrsPerMo]]+(t_Parts[[#This Row],[pv2015.10]]/t_Parts[[NetPPH]:[NetPPH]]),0)</f>
        <v>12.28944388944389</v>
      </c>
      <c r="DB84" s="39">
        <f>IF(AND(AV$3&gt;=VALUE(t_Parts[[SOP]:[SOP]]),AV$3&lt;=VALUE(t_Parts[[EOP]:[EOP]])), t_Parts[[SetupHrsPerMo]:[SetupHrsPerMo]]+(t_Parts[[#This Row],[pv2015.11]]/t_Parts[[NetPPH]:[NetPPH]]),0)</f>
        <v>12.28944388944389</v>
      </c>
      <c r="DC84" s="39">
        <f>IF(AND(AW$3&gt;=VALUE(t_Parts[[SOP]:[SOP]]),AW$3&lt;=VALUE(t_Parts[[EOP]:[EOP]])), t_Parts[[SetupHrsPerMo]:[SetupHrsPerMo]]+(t_Parts[[#This Row],[pv2015.12]]/t_Parts[[NetPPH]:[NetPPH]]),0)</f>
        <v>14.361804861804863</v>
      </c>
      <c r="DD84" s="39">
        <f>SUM(t_Parts[[#This Row],[hp2015.01]:[hp2015.12]])</f>
        <v>155.76277056277061</v>
      </c>
      <c r="DE84" s="39">
        <f>IF(AND(AY$3&gt;=VALUE(t_Parts[[SOP]:[SOP]]),AY$3&lt;=VALUE(t_Parts[[EOP]:[EOP]])), t_Parts[[SetupHrsPerMo]:[SetupHrsPerMo]]+(t_Parts[[#This Row],[pv2016.01]]/t_Parts[[NetPPH]:[NetPPH]]),0)</f>
        <v>0</v>
      </c>
      <c r="DF84" s="39">
        <f>IF(AND(AZ$3&gt;=VALUE(t_Parts[[SOP]:[SOP]]),AZ$3&lt;=VALUE(t_Parts[[EOP]:[EOP]])), t_Parts[[SetupHrsPerMo]:[SetupHrsPerMo]]+(t_Parts[[#This Row],[pv2016.02]]/t_Parts[[NetPPH]:[NetPPH]]),0)</f>
        <v>0</v>
      </c>
      <c r="DG84" s="39">
        <f>IF(AND(BA$3&gt;=VALUE(t_Parts[[SOP]:[SOP]]),BA$3&lt;=VALUE(t_Parts[[EOP]:[EOP]])), t_Parts[[SetupHrsPerMo]:[SetupHrsPerMo]]+(t_Parts[[#This Row],[pv2016.03]]/t_Parts[[NetPPH]:[NetPPH]]),0)</f>
        <v>0</v>
      </c>
      <c r="DH84" s="39">
        <f>IF(AND(BB$3&gt;=VALUE(t_Parts[[SOP]:[SOP]]),BB$3&lt;=VALUE(t_Parts[[EOP]:[EOP]])), t_Parts[[SetupHrsPerMo]:[SetupHrsPerMo]]+(t_Parts[[#This Row],[pv2016.04]]/t_Parts[[NetPPH]:[NetPPH]]),0)</f>
        <v>0</v>
      </c>
      <c r="DI84" s="39">
        <f>IF(AND(BC$3&gt;=VALUE(t_Parts[[SOP]:[SOP]]),BC$3&lt;=VALUE(t_Parts[[EOP]:[EOP]])), t_Parts[[SetupHrsPerMo]:[SetupHrsPerMo]]+(t_Parts[[#This Row],[pv2016.05]]/t_Parts[[NetPPH]:[NetPPH]]),0)</f>
        <v>0</v>
      </c>
      <c r="DJ84" s="39">
        <f>IF(AND(BD$3&gt;=VALUE(t_Parts[[SOP]:[SOP]]),BD$3&lt;=VALUE(t_Parts[[EOP]:[EOP]])), t_Parts[[SetupHrsPerMo]:[SetupHrsPerMo]]+(t_Parts[[#This Row],[pv2016.06]]/t_Parts[[NetPPH]:[NetPPH]]),0)</f>
        <v>0</v>
      </c>
      <c r="DK84" s="39">
        <f>IF(AND(BE$3&gt;=VALUE(t_Parts[[SOP]:[SOP]]),BE$3&lt;=VALUE(t_Parts[[EOP]:[EOP]])), t_Parts[[SetupHrsPerMo]:[SetupHrsPerMo]]+(t_Parts[[#This Row],[pv2016.07]]/t_Parts[[NetPPH]:[NetPPH]]),0)</f>
        <v>0</v>
      </c>
      <c r="DL84" s="39">
        <f>IF(AND(BF$3&gt;=VALUE(t_Parts[[SOP]:[SOP]]),BF$3&lt;=VALUE(t_Parts[[EOP]:[EOP]])), t_Parts[[SetupHrsPerMo]:[SetupHrsPerMo]]+(t_Parts[[#This Row],[pv2016.08]]/t_Parts[[NetPPH]:[NetPPH]]),0)</f>
        <v>0</v>
      </c>
      <c r="DM84" s="39">
        <f>IF(AND(BG$3&gt;=VALUE(t_Parts[[SOP]:[SOP]]),BG$3&lt;=VALUE(t_Parts[[EOP]:[EOP]])), t_Parts[[SetupHrsPerMo]:[SetupHrsPerMo]]+(t_Parts[[#This Row],[pv2016.09]]/t_Parts[[NetPPH]:[NetPPH]]),0)</f>
        <v>0</v>
      </c>
      <c r="DN84" s="39">
        <f>IF(AND(BH$3&gt;=VALUE(t_Parts[[SOP]:[SOP]]),BH$3&lt;=VALUE(t_Parts[[EOP]:[EOP]])), t_Parts[[SetupHrsPerMo]:[SetupHrsPerMo]]+(t_Parts[[#This Row],[pv2016.10]]/t_Parts[[NetPPH]:[NetPPH]]),0)</f>
        <v>0</v>
      </c>
      <c r="DO84" s="39">
        <f>IF(AND(BI$3&gt;=VALUE(t_Parts[[SOP]:[SOP]]),BI$3&lt;=VALUE(t_Parts[[EOP]:[EOP]])), t_Parts[[SetupHrsPerMo]:[SetupHrsPerMo]]+(t_Parts[[#This Row],[pv2016.11]]/t_Parts[[NetPPH]:[NetPPH]]),0)</f>
        <v>0</v>
      </c>
      <c r="DP84" s="39">
        <f>IF(AND(BJ$3&gt;=VALUE(t_Parts[[SOP]:[SOP]]),BJ$3&lt;=VALUE(t_Parts[[EOP]:[EOP]])), t_Parts[[SetupHrsPerMo]:[SetupHrsPerMo]]+(t_Parts[[#This Row],[pv2016.12]]/t_Parts[[NetPPH]:[NetPPH]]),0)</f>
        <v>0</v>
      </c>
      <c r="DQ84" s="39">
        <f>SUM(t_Parts[[#This Row],[hp2016.01]:[hp2016.12]])</f>
        <v>0</v>
      </c>
      <c r="DR84" s="39">
        <f>IF(AND(BL$3&gt;=VALUE(t_Parts[[SOP]:[SOP]]),BL$3&lt;=VALUE(t_Parts[[EOP]:[EOP]])), 12*t_Parts[[SetupHrsPerMo]:[SetupHrsPerMo]]+(t_Parts[[#This Row],[pv2017]]/t_Parts[[NetPPH]:[NetPPH]]),0)</f>
        <v>0</v>
      </c>
      <c r="DS84" s="39">
        <f>IF(AND(BM$3&gt;=VALUE(t_Parts[[SOP]:[SOP]]),BM$3&lt;=VALUE(t_Parts[[EOP]:[EOP]])), 12*t_Parts[[SetupHrsPerMo]:[SetupHrsPerMo]]+(t_Parts[[#This Row],[pv2018]]/t_Parts[[NetPPH]:[NetPPH]]),0)</f>
        <v>0</v>
      </c>
      <c r="DT84" s="39">
        <f>IF(AND(BN$3&gt;=VALUE(t_Parts[[SOP]:[SOP]]),BN$3&lt;=VALUE(t_Parts[[EOP]:[EOP]])), 12*t_Parts[[SetupHrsPerMo]:[SetupHrsPerMo]]+(t_Parts[[#This Row],[pv2019]]/t_Parts[[NetPPH]:[NetPPH]]),0)</f>
        <v>0</v>
      </c>
      <c r="DU84" s="47">
        <f>t_Parts[[#This Row],[hp2015.01]]/t_Parts[[#This Row],[ha2015.01]]</f>
        <v>4.3890871033728178E-2</v>
      </c>
      <c r="DV84" s="47">
        <f>t_Parts[[#This Row],[hp2015.02]]/t_Parts[[#This Row],[ha2015.02]]</f>
        <v>4.3890871033728178E-2</v>
      </c>
      <c r="DW84" s="47">
        <f>t_Parts[[#This Row],[hp2015.03]]/t_Parts[[#This Row],[ha2015.03]]</f>
        <v>4.1033728176585321E-2</v>
      </c>
      <c r="DX84" s="47">
        <f>t_Parts[[#This Row],[hp2015.04]]/t_Parts[[#This Row],[ha2015.04]]</f>
        <v>4.3890871033728178E-2</v>
      </c>
      <c r="DY84" s="47">
        <f>t_Parts[[#This Row],[hp2015.05]]/t_Parts[[#This Row],[ha2015.05]]</f>
        <v>4.3890871033728178E-2</v>
      </c>
      <c r="DZ84" s="47">
        <f>t_Parts[[#This Row],[hp2015.06]]/t_Parts[[#This Row],[ha2015.06]]</f>
        <v>4.1033728176585321E-2</v>
      </c>
      <c r="EA84" s="47">
        <f>t_Parts[[#This Row],[hp2015.07]]/t_Parts[[#This Row],[ha2015.07]]</f>
        <v>4.3890871033728178E-2</v>
      </c>
      <c r="EB84" s="47">
        <f>t_Parts[[#This Row],[hp2015.08]]/t_Parts[[#This Row],[ha2015.08]]</f>
        <v>4.3890871033728178E-2</v>
      </c>
      <c r="EC84" s="47">
        <f>t_Parts[[#This Row],[hp2015.09]]/t_Parts[[#This Row],[ha2015.09]]</f>
        <v>4.1033728176585321E-2</v>
      </c>
      <c r="ED84" s="47">
        <f>t_Parts[[#This Row],[hp2015.10]]/t_Parts[[#This Row],[ha2015.10]]</f>
        <v>4.3890871033728178E-2</v>
      </c>
      <c r="EE84" s="47">
        <f>t_Parts[[#This Row],[hp2015.11]]/t_Parts[[#This Row],[ha2015.11]]</f>
        <v>4.3890871033728178E-2</v>
      </c>
      <c r="EF84" s="47">
        <f>t_Parts[[#This Row],[hp2015.12]]/t_Parts[[#This Row],[ha2015.12]]</f>
        <v>4.1033728176585321E-2</v>
      </c>
      <c r="EG84" s="47">
        <f>t_Parts[[#This Row],[hp2015.FY]]/t_Parts[[#This Row],[ha2015.FY]]</f>
        <v>4.279196993482709E-2</v>
      </c>
      <c r="EH84" s="47">
        <f>t_Parts[[#This Row],[hp2016.01]]/t_Parts[[#This Row],[ha2016.01]]</f>
        <v>0</v>
      </c>
      <c r="EI84" s="47">
        <f>t_Parts[[#This Row],[hp2016.02]]/t_Parts[[#This Row],[ha2016.02]]</f>
        <v>0</v>
      </c>
      <c r="EJ84" s="47">
        <f>t_Parts[[#This Row],[hp2016.03]]/t_Parts[[#This Row],[ha2016.03]]</f>
        <v>0</v>
      </c>
      <c r="EK84" s="47">
        <f>t_Parts[[#This Row],[hp2016.04]]/t_Parts[[#This Row],[ha2016.04]]</f>
        <v>0</v>
      </c>
      <c r="EL84" s="47">
        <f>t_Parts[[#This Row],[hp2016.05]]/t_Parts[[#This Row],[ha2016.05]]</f>
        <v>0</v>
      </c>
      <c r="EM84" s="47">
        <f>t_Parts[[#This Row],[hp2016.06]]/t_Parts[[#This Row],[ha2016.06]]</f>
        <v>0</v>
      </c>
      <c r="EN84" s="47">
        <f>t_Parts[[#This Row],[hp2016.07]]/t_Parts[[#This Row],[ha2016.07]]</f>
        <v>0</v>
      </c>
      <c r="EO84" s="47">
        <f>t_Parts[[#This Row],[hp2016.08]]/t_Parts[[#This Row],[ha2016.08]]</f>
        <v>0</v>
      </c>
      <c r="EP84" s="47">
        <f>t_Parts[[#This Row],[hp2016.09]]/t_Parts[[#This Row],[ha2016.09]]</f>
        <v>0</v>
      </c>
      <c r="EQ84" s="47">
        <f>t_Parts[[#This Row],[hp2016.10]]/t_Parts[[#This Row],[ha2016.10]]</f>
        <v>0</v>
      </c>
      <c r="ER84" s="47">
        <f>t_Parts[[#This Row],[hp2016.11]]/t_Parts[[#This Row],[ha2016.11]]</f>
        <v>0</v>
      </c>
      <c r="ES84" s="47">
        <f>t_Parts[[#This Row],[hp2016.12]]/t_Parts[[#This Row],[ha2016.12]]</f>
        <v>0</v>
      </c>
      <c r="ET84" s="47">
        <f>t_Parts[[#This Row],[hp2016.FY]]/t_Parts[[#This Row],[ha2016.FY]]</f>
        <v>0</v>
      </c>
      <c r="EU84" s="47">
        <f>t_Parts[[#This Row],[hp2017]]/t_Parts[[#This Row],[ha2017]]</f>
        <v>0</v>
      </c>
      <c r="EV84" s="47">
        <f>t_Parts[[#This Row],[hp2018]]/t_Parts[[#This Row],[ha2018]]</f>
        <v>0</v>
      </c>
      <c r="EW84" s="47">
        <f>t_Parts[[#This Row],[hp2019]]/t_Parts[[#This Row],[hp2015.01]]</f>
        <v>0</v>
      </c>
      <c r="EX84" s="58">
        <f>(t_Parts[[#This Row],[ha2015.01]]-t_Parts[[#This Row],[hp2015.01]])*t_Parts[[NetPPH]:[NetPPH]]</f>
        <v>618411.38461538462</v>
      </c>
      <c r="EY84" s="58">
        <f>(t_Parts[[#This Row],[ha2015.02]]-t_Parts[[#This Row],[hp2015.02]])*t_Parts[[NetPPH]:[NetPPH]]</f>
        <v>618411.38461538462</v>
      </c>
      <c r="EZ84" s="58">
        <f>(t_Parts[[#This Row],[ha2015.03]]-t_Parts[[#This Row],[hp2015.03]])*t_Parts[[NetPPH]:[NetPPH]]</f>
        <v>775324.23076923087</v>
      </c>
      <c r="FA84" s="58">
        <f>(t_Parts[[#This Row],[ha2015.04]]-t_Parts[[#This Row],[hp2015.04]])*t_Parts[[NetPPH]:[NetPPH]]</f>
        <v>618411.38461538462</v>
      </c>
      <c r="FB84" s="58">
        <f>(t_Parts[[#This Row],[ha2015.05]]-t_Parts[[#This Row],[hp2015.05]])*t_Parts[[NetPPH]:[NetPPH]]</f>
        <v>618411.38461538462</v>
      </c>
      <c r="FC84" s="58">
        <f>(t_Parts[[#This Row],[ha2015.06]]-t_Parts[[#This Row],[hp2015.06]])*t_Parts[[NetPPH]:[NetPPH]]</f>
        <v>775324.23076923087</v>
      </c>
      <c r="FD84" s="58">
        <f>(t_Parts[[#This Row],[ha2015.07]]-t_Parts[[#This Row],[hp2015.07]])*t_Parts[[NetPPH]:[NetPPH]]</f>
        <v>618411.38461538462</v>
      </c>
      <c r="FE84" s="58">
        <f>(t_Parts[[#This Row],[ha2015.08]]-t_Parts[[#This Row],[hp2015.08]])*t_Parts[[NetPPH]:[NetPPH]]</f>
        <v>618411.38461538462</v>
      </c>
      <c r="FF84" s="58">
        <f>(t_Parts[[#This Row],[ha2015.09]]-t_Parts[[#This Row],[hp2015.09]])*t_Parts[[NetPPH]:[NetPPH]]</f>
        <v>775324.23076923087</v>
      </c>
      <c r="FG84" s="58">
        <f>(t_Parts[[#This Row],[ha2015.10]]-t_Parts[[#This Row],[hp2015.10]])*t_Parts[[NetPPH]:[NetPPH]]</f>
        <v>618411.38461538462</v>
      </c>
      <c r="FH84" s="58">
        <f>(t_Parts[[#This Row],[ha2015.11]]-t_Parts[[#This Row],[hp2015.11]])*t_Parts[[NetPPH]:[NetPPH]]</f>
        <v>618411.38461538462</v>
      </c>
      <c r="FI84" s="58">
        <f>(t_Parts[[#This Row],[ha2015.12]]-t_Parts[[#This Row],[hp2015.12]])*t_Parts[[NetPPH]:[NetPPH]]</f>
        <v>775324.23076923087</v>
      </c>
      <c r="FJ84" s="58">
        <f>(t_Parts[[#This Row],[ha2015.FY]]-t_Parts[[#This Row],[hp2015.FY]])*t_Parts[[NetPPH]:[NetPPH]]</f>
        <v>8048588</v>
      </c>
      <c r="FK84" s="58">
        <f>(t_Parts[[#This Row],[ha2016.01]]-t_Parts[[#This Row],[hp2016.01]])*t_Parts[[NetPPH]:[NetPPH]]</f>
        <v>646800</v>
      </c>
      <c r="FL84" s="58">
        <f>(t_Parts[[#This Row],[ha2016.02]]-t_Parts[[#This Row],[hp2016.02]])*t_Parts[[NetPPH]:[NetPPH]]</f>
        <v>646800</v>
      </c>
      <c r="FM84" s="58">
        <f>(t_Parts[[#This Row],[ha2016.03]]-t_Parts[[#This Row],[hp2016.03]])*t_Parts[[NetPPH]:[NetPPH]]</f>
        <v>808500</v>
      </c>
      <c r="FN84" s="58">
        <f>(t_Parts[[#This Row],[ha2016.04]]-t_Parts[[#This Row],[hp2016.04]])*t_Parts[[NetPPH]:[NetPPH]]</f>
        <v>646800</v>
      </c>
      <c r="FO84" s="58">
        <f>(t_Parts[[#This Row],[ha2016.05]]-t_Parts[[#This Row],[hp2016.05]])*t_Parts[[NetPPH]:[NetPPH]]</f>
        <v>646800</v>
      </c>
      <c r="FP84" s="58">
        <f>(t_Parts[[#This Row],[ha2016.06]]-t_Parts[[#This Row],[hp2016.06]])*t_Parts[[NetPPH]:[NetPPH]]</f>
        <v>808500</v>
      </c>
      <c r="FQ84" s="58">
        <f>(t_Parts[[#This Row],[ha2016.07]]-t_Parts[[#This Row],[hp2016.07]])*t_Parts[[NetPPH]:[NetPPH]]</f>
        <v>646800</v>
      </c>
      <c r="FR84" s="58">
        <f>(t_Parts[[#This Row],[ha2016.08]]-t_Parts[[#This Row],[hp2016.08]])*t_Parts[[NetPPH]:[NetPPH]]</f>
        <v>646800</v>
      </c>
      <c r="FS84" s="58">
        <f>(t_Parts[[#This Row],[ha2016.09]]-t_Parts[[#This Row],[hp2016.09]])*t_Parts[[NetPPH]:[NetPPH]]</f>
        <v>808500</v>
      </c>
      <c r="FT84" s="58">
        <f>(t_Parts[[#This Row],[ha2016.10]]-t_Parts[[#This Row],[hp2016.10]])*t_Parts[[NetPPH]:[NetPPH]]</f>
        <v>646800</v>
      </c>
      <c r="FU84" s="58">
        <f>(t_Parts[[#This Row],[ha2016.11]]-t_Parts[[#This Row],[hp2016.11]])*t_Parts[[NetPPH]:[NetPPH]]</f>
        <v>646800</v>
      </c>
      <c r="FV84" s="58">
        <f>(t_Parts[[#This Row],[ha2016.12]]-t_Parts[[#This Row],[hp2016.12]])*t_Parts[[NetPPH]:[NetPPH]]</f>
        <v>808500</v>
      </c>
      <c r="FW84" s="58">
        <f>(t_Parts[[#This Row],[ha2016.FY]]-t_Parts[[#This Row],[hp2016.FY]])*t_Parts[[NetPPH]:[NetPPH]]</f>
        <v>8408400</v>
      </c>
      <c r="FX84" s="58">
        <f>(t_Parts[[#This Row],[ha2017]]-t_Parts[[#This Row],[hp2017]])*t_Parts[[NetPPH]:[NetPPH]]</f>
        <v>8408400</v>
      </c>
      <c r="FY84" s="58">
        <f>(t_Parts[[#This Row],[ha2018]]-t_Parts[[#This Row],[hp2018]])*t_Parts[[NetPPH]:[NetPPH]]</f>
        <v>8408400</v>
      </c>
      <c r="FZ84" s="58">
        <f>(t_Parts[[#This Row],[ha2019]]-t_Parts[[#This Row],[hp2019]])*t_Parts[[NetPPH]:[NetPPH]]</f>
        <v>8408400</v>
      </c>
    </row>
    <row r="85" spans="1:182" s="14" customFormat="1" x14ac:dyDescent="0.25">
      <c r="A85" s="74">
        <v>37453</v>
      </c>
      <c r="B85" s="74"/>
      <c r="C85" s="74">
        <v>21011</v>
      </c>
      <c r="D85" s="75">
        <v>1</v>
      </c>
      <c r="E85" s="73">
        <v>1800</v>
      </c>
      <c r="F85" s="76">
        <v>1</v>
      </c>
      <c r="G85" s="77">
        <v>4</v>
      </c>
      <c r="H85" s="16">
        <v>2015.01</v>
      </c>
      <c r="I85" s="16" t="s">
        <v>82</v>
      </c>
      <c r="J85" s="73">
        <v>209992</v>
      </c>
      <c r="K85" s="73">
        <v>209992</v>
      </c>
      <c r="L85" s="73">
        <v>209992</v>
      </c>
      <c r="M85" s="73">
        <v>209992</v>
      </c>
      <c r="N85" s="73">
        <v>209992</v>
      </c>
      <c r="O85" s="78">
        <v>43</v>
      </c>
      <c r="P85" s="78">
        <v>86</v>
      </c>
      <c r="Q85" s="79">
        <v>24</v>
      </c>
      <c r="R85" s="79"/>
      <c r="S85" s="78">
        <v>134</v>
      </c>
      <c r="T85" s="80">
        <v>15</v>
      </c>
      <c r="U85" s="80" t="s">
        <v>121</v>
      </c>
      <c r="V85" s="81"/>
      <c r="W85" s="82">
        <v>1</v>
      </c>
      <c r="X85" s="82" t="s">
        <v>501</v>
      </c>
      <c r="Y85" s="82"/>
      <c r="Z85" s="82"/>
      <c r="AA85" s="82"/>
      <c r="AB85" s="82"/>
      <c r="AC85" s="83" t="s">
        <v>667</v>
      </c>
      <c r="AD85" s="40" t="str">
        <f>VLOOKUP(t_Parts[[#This Row],[Press]],t_Presses[],Press!B$1,FALSE)</f>
        <v>Plainfield</v>
      </c>
      <c r="AE85" s="40" t="str">
        <f>VLOOKUP(t_Parts[[#This Row],[Press]],t_Presses[],Press!E$1,FALSE)</f>
        <v>300-599</v>
      </c>
      <c r="AF85" s="47">
        <f>VLOOKUP(t_Parts[[#This Row],[Plant]],t_Plants[],Plants!C$1,FALSE)</f>
        <v>0.55000000000000004</v>
      </c>
      <c r="AG85" s="47">
        <f>VLOOKUP(t_Parts[[#This Row],[Press]],t_Presses[],Press!F$1,FALSE)</f>
        <v>0</v>
      </c>
      <c r="AH85" s="84"/>
      <c r="AI85" s="47">
        <f>IF(ISBLANK(t_Parts[[#This Row],[PartOEE]])=FALSE,t_Parts[[#This Row],[PartOEE]], IF(t_Parts[[#This Row],[PressOEE]]&gt;0, t_Parts[[#This Row],[PressOEE]], t_Parts[[#This Row],[PlantOEE]] ))</f>
        <v>0.55000000000000004</v>
      </c>
      <c r="AJ85" s="70">
        <f>t_Parts[[#This Row],[SetupsPerMo]]*t_Parts[[#This Row],[SetupHrs]]</f>
        <v>4</v>
      </c>
      <c r="AK85" s="39">
        <f>(t_Parts[[#This Row],[PartsPerStroke]]*t_Parts[[#This Row],[StrokesPerHr]])*t_Parts[[#This Row],[UseOEE]]</f>
        <v>990.00000000000011</v>
      </c>
      <c r="AL8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16153.230769230768</v>
      </c>
      <c r="AM8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16153.230769230768</v>
      </c>
      <c r="AN8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20191.538461538461</v>
      </c>
      <c r="AO8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16153.230769230768</v>
      </c>
      <c r="AP8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16153.230769230768</v>
      </c>
      <c r="AQ8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20191.538461538461</v>
      </c>
      <c r="AR8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16153.230769230768</v>
      </c>
      <c r="AS8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16153.230769230768</v>
      </c>
      <c r="AT8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20191.538461538461</v>
      </c>
      <c r="AU8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16153.230769230768</v>
      </c>
      <c r="AV8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16153.230769230768</v>
      </c>
      <c r="AW8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20191.538461538461</v>
      </c>
      <c r="AX85" s="39">
        <f>SUM(t_Parts[[#This Row],[pv2015.01]:[pv2015.12]])</f>
        <v>209992.00000000003</v>
      </c>
      <c r="AY8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16153.230769230768</v>
      </c>
      <c r="AZ8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16153.230769230768</v>
      </c>
      <c r="BA8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20191.538461538461</v>
      </c>
      <c r="BB8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16153.230769230768</v>
      </c>
      <c r="BC8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16153.230769230768</v>
      </c>
      <c r="BD8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20191.538461538461</v>
      </c>
      <c r="BE8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16153.230769230768</v>
      </c>
      <c r="BF8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16153.230769230768</v>
      </c>
      <c r="BG8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20191.538461538461</v>
      </c>
      <c r="BH8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16153.230769230768</v>
      </c>
      <c r="BI8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16153.230769230768</v>
      </c>
      <c r="BJ8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20191.538461538461</v>
      </c>
      <c r="BK85" s="39">
        <f>SUM(t_Parts[[#This Row],[pv2016.01]:[pv2016.12]])</f>
        <v>209992.00000000003</v>
      </c>
      <c r="BL85" s="39">
        <f>t_Parts[[#This Row],[2017vol]]</f>
        <v>209992</v>
      </c>
      <c r="BM85" s="39">
        <f>t_Parts[[#This Row],[2018vol]]</f>
        <v>209992</v>
      </c>
      <c r="BN85" s="39">
        <f>t_Parts[[#This Row],[2019vol]]</f>
        <v>209992</v>
      </c>
      <c r="BO85" s="40">
        <f>VLOOKUP(t_Parts[[Plant]:[Plant]],t_Plants[],Plants!CN$1,FALSE)</f>
        <v>280</v>
      </c>
      <c r="BP85" s="14">
        <f>VLOOKUP(t_Parts[[Plant]:[Plant]],t_Plants[],Plants!CO$1,FALSE)</f>
        <v>280</v>
      </c>
      <c r="BQ85" s="14">
        <f>VLOOKUP(t_Parts[[Plant]:[Plant]],t_Plants[],Plants!CP$1,FALSE)</f>
        <v>350</v>
      </c>
      <c r="BR85" s="14">
        <f>VLOOKUP(t_Parts[[Plant]:[Plant]],t_Plants[],Plants!CQ$1,FALSE)</f>
        <v>280</v>
      </c>
      <c r="BS85" s="14">
        <f>VLOOKUP(t_Parts[[Plant]:[Plant]],t_Plants[],Plants!CR$1,FALSE)</f>
        <v>280</v>
      </c>
      <c r="BT85" s="14">
        <f>VLOOKUP(t_Parts[[Plant]:[Plant]],t_Plants[],Plants!CS$1,FALSE)</f>
        <v>350</v>
      </c>
      <c r="BU85" s="14">
        <f>VLOOKUP(t_Parts[[Plant]:[Plant]],t_Plants[],Plants!CT$1,FALSE)</f>
        <v>280</v>
      </c>
      <c r="BV85" s="14">
        <f>VLOOKUP(t_Parts[[Plant]:[Plant]],t_Plants[],Plants!CU$1,FALSE)</f>
        <v>280</v>
      </c>
      <c r="BW85" s="14">
        <f>VLOOKUP(t_Parts[[Plant]:[Plant]],t_Plants[],Plants!CV$1,FALSE)</f>
        <v>350</v>
      </c>
      <c r="BX85" s="14">
        <f>VLOOKUP(t_Parts[[Plant]:[Plant]],t_Plants[],Plants!CW$1,FALSE)</f>
        <v>280</v>
      </c>
      <c r="BY85" s="14">
        <f>VLOOKUP(t_Parts[[Plant]:[Plant]],t_Plants[],Plants!CX$1,FALSE)</f>
        <v>280</v>
      </c>
      <c r="BZ85" s="14">
        <f>VLOOKUP(t_Parts[[Plant]:[Plant]],t_Plants[],Plants!CY$1,FALSE)</f>
        <v>350</v>
      </c>
      <c r="CA85" s="40">
        <f>SUM(t_Parts[[#This Row],[ha2015.01]:[ha2015.12]])</f>
        <v>3640</v>
      </c>
      <c r="CB85" s="14">
        <f>VLOOKUP(t_Parts[[Plant]:[Plant]],t_Plants[],Plants!DA$1,FALSE)</f>
        <v>280</v>
      </c>
      <c r="CC85" s="14">
        <f>VLOOKUP(t_Parts[[Plant]:[Plant]],t_Plants[],Plants!DB$1,FALSE)</f>
        <v>280</v>
      </c>
      <c r="CD85" s="14">
        <f>VLOOKUP(t_Parts[[Plant]:[Plant]],t_Plants[],Plants!DC$1,FALSE)</f>
        <v>350</v>
      </c>
      <c r="CE85" s="14">
        <f>VLOOKUP(t_Parts[[Plant]:[Plant]],t_Plants[],Plants!DD$1,FALSE)</f>
        <v>280</v>
      </c>
      <c r="CF85" s="14">
        <f>VLOOKUP(t_Parts[[Plant]:[Plant]],t_Plants[],Plants!DE$1,FALSE)</f>
        <v>280</v>
      </c>
      <c r="CG85" s="14">
        <f>VLOOKUP(t_Parts[[Plant]:[Plant]],t_Plants[],Plants!DF$1,FALSE)</f>
        <v>350</v>
      </c>
      <c r="CH85" s="14">
        <f>VLOOKUP(t_Parts[[Plant]:[Plant]],t_Plants[],Plants!DG$1,FALSE)</f>
        <v>280</v>
      </c>
      <c r="CI85" s="14">
        <f>VLOOKUP(t_Parts[[Plant]:[Plant]],t_Plants[],Plants!DH$1,FALSE)</f>
        <v>280</v>
      </c>
      <c r="CJ85" s="14">
        <f>VLOOKUP(t_Parts[[Plant]:[Plant]],t_Plants[],Plants!DI$1,FALSE)</f>
        <v>350</v>
      </c>
      <c r="CK85" s="14">
        <f>VLOOKUP(t_Parts[[Plant]:[Plant]],t_Plants[],Plants!DJ$1,FALSE)</f>
        <v>280</v>
      </c>
      <c r="CL85" s="14">
        <f>VLOOKUP(t_Parts[[Plant]:[Plant]],t_Plants[],Plants!DK$1,FALSE)</f>
        <v>280</v>
      </c>
      <c r="CM85" s="14">
        <f>VLOOKUP(t_Parts[[Plant]:[Plant]],t_Plants[],Plants!DL$1,FALSE)</f>
        <v>350</v>
      </c>
      <c r="CN85" s="14">
        <f>VLOOKUP(t_Parts[[Plant]:[Plant]],t_Plants[],Plants!DM$1,FALSE)</f>
        <v>3640</v>
      </c>
      <c r="CO85" s="14">
        <f>VLOOKUP(t_Parts[[Plant]:[Plant]],t_Plants[],Plants!DN$1,FALSE)</f>
        <v>3640</v>
      </c>
      <c r="CP85" s="14">
        <f>VLOOKUP(t_Parts[[Plant]:[Plant]],t_Plants[],Plants!DO$1,FALSE)</f>
        <v>3640</v>
      </c>
      <c r="CQ85" s="14">
        <f>VLOOKUP(t_Parts[[Plant]:[Plant]],t_Plants[],Plants!DP$1,FALSE)</f>
        <v>3640</v>
      </c>
      <c r="CR85" s="39">
        <f>IF(AND(AL$3&gt;=VALUE(t_Parts[[SOP]:[SOP]]),AL$3&lt;=VALUE(t_Parts[[EOP]:[EOP]])), t_Parts[[SetupHrsPerMo]:[SetupHrsPerMo]]+(t_Parts[[#This Row],[pv2015.01]]/t_Parts[[NetPPH]:[NetPPH]]),0)</f>
        <v>20.316394716394711</v>
      </c>
      <c r="CS85" s="39">
        <f>IF(AND(AM$3&gt;=VALUE(t_Parts[[SOP]:[SOP]]),AM$3&lt;=VALUE(t_Parts[[EOP]:[EOP]])), t_Parts[[SetupHrsPerMo]:[SetupHrsPerMo]]+(t_Parts[[#This Row],[pv2015.02]]/t_Parts[[NetPPH]:[NetPPH]]),0)</f>
        <v>20.316394716394711</v>
      </c>
      <c r="CT85" s="39">
        <f>IF(AND(AN$3&gt;=VALUE(t_Parts[[SOP]:[SOP]]),AN$3&lt;=VALUE(t_Parts[[EOP]:[EOP]])), t_Parts[[SetupHrsPerMo]:[SetupHrsPerMo]]+(t_Parts[[#This Row],[pv2015.03]]/t_Parts[[NetPPH]:[NetPPH]]),0)</f>
        <v>24.395493395493393</v>
      </c>
      <c r="CU85" s="39">
        <f>IF(AND(AO$3&gt;=VALUE(t_Parts[[SOP]:[SOP]]),AO$3&lt;=VALUE(t_Parts[[EOP]:[EOP]])), t_Parts[[SetupHrsPerMo]:[SetupHrsPerMo]]+(t_Parts[[#This Row],[pv2015.04]]/t_Parts[[NetPPH]:[NetPPH]]),0)</f>
        <v>20.316394716394711</v>
      </c>
      <c r="CV85" s="39">
        <f>IF(AND(AP$3&gt;=VALUE(t_Parts[[SOP]:[SOP]]),AP$3&lt;=VALUE(t_Parts[[EOP]:[EOP]])), t_Parts[[SetupHrsPerMo]:[SetupHrsPerMo]]+(t_Parts[[#This Row],[pv2015.05]]/t_Parts[[NetPPH]:[NetPPH]]),0)</f>
        <v>20.316394716394711</v>
      </c>
      <c r="CW85" s="39">
        <f>IF(AND(AQ$3&gt;=VALUE(t_Parts[[SOP]:[SOP]]),AQ$3&lt;=VALUE(t_Parts[[EOP]:[EOP]])), t_Parts[[SetupHrsPerMo]:[SetupHrsPerMo]]+(t_Parts[[#This Row],[pv2015.06]]/t_Parts[[NetPPH]:[NetPPH]]),0)</f>
        <v>24.395493395493393</v>
      </c>
      <c r="CX85" s="39">
        <f>IF(AND(AR$3&gt;=VALUE(t_Parts[[SOP]:[SOP]]),AR$3&lt;=VALUE(t_Parts[[EOP]:[EOP]])), t_Parts[[SetupHrsPerMo]:[SetupHrsPerMo]]+(t_Parts[[#This Row],[pv2015.07]]/t_Parts[[NetPPH]:[NetPPH]]),0)</f>
        <v>20.316394716394711</v>
      </c>
      <c r="CY85" s="39">
        <f>IF(AND(AS$3&gt;=VALUE(t_Parts[[SOP]:[SOP]]),AS$3&lt;=VALUE(t_Parts[[EOP]:[EOP]])), t_Parts[[SetupHrsPerMo]:[SetupHrsPerMo]]+(t_Parts[[#This Row],[pv2015.08]]/t_Parts[[NetPPH]:[NetPPH]]),0)</f>
        <v>20.316394716394711</v>
      </c>
      <c r="CZ85" s="39">
        <f>IF(AND(AT$3&gt;=VALUE(t_Parts[[SOP]:[SOP]]),AT$3&lt;=VALUE(t_Parts[[EOP]:[EOP]])), t_Parts[[SetupHrsPerMo]:[SetupHrsPerMo]]+(t_Parts[[#This Row],[pv2015.09]]/t_Parts[[NetPPH]:[NetPPH]]),0)</f>
        <v>24.395493395493393</v>
      </c>
      <c r="DA85" s="39">
        <f>IF(AND(AU$3&gt;=VALUE(t_Parts[[SOP]:[SOP]]),AU$3&lt;=VALUE(t_Parts[[EOP]:[EOP]])), t_Parts[[SetupHrsPerMo]:[SetupHrsPerMo]]+(t_Parts[[#This Row],[pv2015.10]]/t_Parts[[NetPPH]:[NetPPH]]),0)</f>
        <v>20.316394716394711</v>
      </c>
      <c r="DB85" s="39">
        <f>IF(AND(AV$3&gt;=VALUE(t_Parts[[SOP]:[SOP]]),AV$3&lt;=VALUE(t_Parts[[EOP]:[EOP]])), t_Parts[[SetupHrsPerMo]:[SetupHrsPerMo]]+(t_Parts[[#This Row],[pv2015.11]]/t_Parts[[NetPPH]:[NetPPH]]),0)</f>
        <v>20.316394716394711</v>
      </c>
      <c r="DC85" s="39">
        <f>IF(AND(AW$3&gt;=VALUE(t_Parts[[SOP]:[SOP]]),AW$3&lt;=VALUE(t_Parts[[EOP]:[EOP]])), t_Parts[[SetupHrsPerMo]:[SetupHrsPerMo]]+(t_Parts[[#This Row],[pv2015.12]]/t_Parts[[NetPPH]:[NetPPH]]),0)</f>
        <v>24.395493395493393</v>
      </c>
      <c r="DD85" s="39">
        <f>SUM(t_Parts[[#This Row],[hp2015.01]:[hp2015.12]])</f>
        <v>260.11313131313125</v>
      </c>
      <c r="DE85" s="39">
        <f>IF(AND(AY$3&gt;=VALUE(t_Parts[[SOP]:[SOP]]),AY$3&lt;=VALUE(t_Parts[[EOP]:[EOP]])), t_Parts[[SetupHrsPerMo]:[SetupHrsPerMo]]+(t_Parts[[#This Row],[pv2016.01]]/t_Parts[[NetPPH]:[NetPPH]]),0)</f>
        <v>20.316394716394711</v>
      </c>
      <c r="DF85" s="39">
        <f>IF(AND(AZ$3&gt;=VALUE(t_Parts[[SOP]:[SOP]]),AZ$3&lt;=VALUE(t_Parts[[EOP]:[EOP]])), t_Parts[[SetupHrsPerMo]:[SetupHrsPerMo]]+(t_Parts[[#This Row],[pv2016.02]]/t_Parts[[NetPPH]:[NetPPH]]),0)</f>
        <v>20.316394716394711</v>
      </c>
      <c r="DG85" s="39">
        <f>IF(AND(BA$3&gt;=VALUE(t_Parts[[SOP]:[SOP]]),BA$3&lt;=VALUE(t_Parts[[EOP]:[EOP]])), t_Parts[[SetupHrsPerMo]:[SetupHrsPerMo]]+(t_Parts[[#This Row],[pv2016.03]]/t_Parts[[NetPPH]:[NetPPH]]),0)</f>
        <v>24.395493395493393</v>
      </c>
      <c r="DH85" s="39">
        <f>IF(AND(BB$3&gt;=VALUE(t_Parts[[SOP]:[SOP]]),BB$3&lt;=VALUE(t_Parts[[EOP]:[EOP]])), t_Parts[[SetupHrsPerMo]:[SetupHrsPerMo]]+(t_Parts[[#This Row],[pv2016.04]]/t_Parts[[NetPPH]:[NetPPH]]),0)</f>
        <v>20.316394716394711</v>
      </c>
      <c r="DI85" s="39">
        <f>IF(AND(BC$3&gt;=VALUE(t_Parts[[SOP]:[SOP]]),BC$3&lt;=VALUE(t_Parts[[EOP]:[EOP]])), t_Parts[[SetupHrsPerMo]:[SetupHrsPerMo]]+(t_Parts[[#This Row],[pv2016.05]]/t_Parts[[NetPPH]:[NetPPH]]),0)</f>
        <v>20.316394716394711</v>
      </c>
      <c r="DJ85" s="39">
        <f>IF(AND(BD$3&gt;=VALUE(t_Parts[[SOP]:[SOP]]),BD$3&lt;=VALUE(t_Parts[[EOP]:[EOP]])), t_Parts[[SetupHrsPerMo]:[SetupHrsPerMo]]+(t_Parts[[#This Row],[pv2016.06]]/t_Parts[[NetPPH]:[NetPPH]]),0)</f>
        <v>24.395493395493393</v>
      </c>
      <c r="DK85" s="39">
        <f>IF(AND(BE$3&gt;=VALUE(t_Parts[[SOP]:[SOP]]),BE$3&lt;=VALUE(t_Parts[[EOP]:[EOP]])), t_Parts[[SetupHrsPerMo]:[SetupHrsPerMo]]+(t_Parts[[#This Row],[pv2016.07]]/t_Parts[[NetPPH]:[NetPPH]]),0)</f>
        <v>20.316394716394711</v>
      </c>
      <c r="DL85" s="39">
        <f>IF(AND(BF$3&gt;=VALUE(t_Parts[[SOP]:[SOP]]),BF$3&lt;=VALUE(t_Parts[[EOP]:[EOP]])), t_Parts[[SetupHrsPerMo]:[SetupHrsPerMo]]+(t_Parts[[#This Row],[pv2016.08]]/t_Parts[[NetPPH]:[NetPPH]]),0)</f>
        <v>20.316394716394711</v>
      </c>
      <c r="DM85" s="39">
        <f>IF(AND(BG$3&gt;=VALUE(t_Parts[[SOP]:[SOP]]),BG$3&lt;=VALUE(t_Parts[[EOP]:[EOP]])), t_Parts[[SetupHrsPerMo]:[SetupHrsPerMo]]+(t_Parts[[#This Row],[pv2016.09]]/t_Parts[[NetPPH]:[NetPPH]]),0)</f>
        <v>24.395493395493393</v>
      </c>
      <c r="DN85" s="39">
        <f>IF(AND(BH$3&gt;=VALUE(t_Parts[[SOP]:[SOP]]),BH$3&lt;=VALUE(t_Parts[[EOP]:[EOP]])), t_Parts[[SetupHrsPerMo]:[SetupHrsPerMo]]+(t_Parts[[#This Row],[pv2016.10]]/t_Parts[[NetPPH]:[NetPPH]]),0)</f>
        <v>20.316394716394711</v>
      </c>
      <c r="DO85" s="39">
        <f>IF(AND(BI$3&gt;=VALUE(t_Parts[[SOP]:[SOP]]),BI$3&lt;=VALUE(t_Parts[[EOP]:[EOP]])), t_Parts[[SetupHrsPerMo]:[SetupHrsPerMo]]+(t_Parts[[#This Row],[pv2016.11]]/t_Parts[[NetPPH]:[NetPPH]]),0)</f>
        <v>20.316394716394711</v>
      </c>
      <c r="DP85" s="39">
        <f>IF(AND(BJ$3&gt;=VALUE(t_Parts[[SOP]:[SOP]]),BJ$3&lt;=VALUE(t_Parts[[EOP]:[EOP]])), t_Parts[[SetupHrsPerMo]:[SetupHrsPerMo]]+(t_Parts[[#This Row],[pv2016.12]]/t_Parts[[NetPPH]:[NetPPH]]),0)</f>
        <v>24.395493395493393</v>
      </c>
      <c r="DQ85" s="39">
        <f>SUM(t_Parts[[#This Row],[hp2016.01]:[hp2016.12]])</f>
        <v>260.11313131313125</v>
      </c>
      <c r="DR85" s="39">
        <f>IF(AND(BL$3&gt;=VALUE(t_Parts[[SOP]:[SOP]]),BL$3&lt;=VALUE(t_Parts[[EOP]:[EOP]])), 12*t_Parts[[SetupHrsPerMo]:[SetupHrsPerMo]]+(t_Parts[[#This Row],[pv2017]]/t_Parts[[NetPPH]:[NetPPH]]),0)</f>
        <v>260.11313131313125</v>
      </c>
      <c r="DS85" s="39">
        <f>IF(AND(BM$3&gt;=VALUE(t_Parts[[SOP]:[SOP]]),BM$3&lt;=VALUE(t_Parts[[EOP]:[EOP]])), 12*t_Parts[[SetupHrsPerMo]:[SetupHrsPerMo]]+(t_Parts[[#This Row],[pv2018]]/t_Parts[[NetPPH]:[NetPPH]]),0)</f>
        <v>260.11313131313125</v>
      </c>
      <c r="DT85" s="39">
        <f>IF(AND(BN$3&gt;=VALUE(t_Parts[[SOP]:[SOP]]),BN$3&lt;=VALUE(t_Parts[[EOP]:[EOP]])), 12*t_Parts[[SetupHrsPerMo]:[SetupHrsPerMo]]+(t_Parts[[#This Row],[pv2019]]/t_Parts[[NetPPH]:[NetPPH]]),0)</f>
        <v>0</v>
      </c>
      <c r="DU85" s="47">
        <f>t_Parts[[#This Row],[hp2015.01]]/t_Parts[[#This Row],[ha2015.01]]</f>
        <v>7.2558552558552536E-2</v>
      </c>
      <c r="DV85" s="47">
        <f>t_Parts[[#This Row],[hp2015.02]]/t_Parts[[#This Row],[ha2015.02]]</f>
        <v>7.2558552558552536E-2</v>
      </c>
      <c r="DW85" s="47">
        <f>t_Parts[[#This Row],[hp2015.03]]/t_Parts[[#This Row],[ha2015.03]]</f>
        <v>6.97014097014097E-2</v>
      </c>
      <c r="DX85" s="47">
        <f>t_Parts[[#This Row],[hp2015.04]]/t_Parts[[#This Row],[ha2015.04]]</f>
        <v>7.2558552558552536E-2</v>
      </c>
      <c r="DY85" s="47">
        <f>t_Parts[[#This Row],[hp2015.05]]/t_Parts[[#This Row],[ha2015.05]]</f>
        <v>7.2558552558552536E-2</v>
      </c>
      <c r="DZ85" s="47">
        <f>t_Parts[[#This Row],[hp2015.06]]/t_Parts[[#This Row],[ha2015.06]]</f>
        <v>6.97014097014097E-2</v>
      </c>
      <c r="EA85" s="47">
        <f>t_Parts[[#This Row],[hp2015.07]]/t_Parts[[#This Row],[ha2015.07]]</f>
        <v>7.2558552558552536E-2</v>
      </c>
      <c r="EB85" s="47">
        <f>t_Parts[[#This Row],[hp2015.08]]/t_Parts[[#This Row],[ha2015.08]]</f>
        <v>7.2558552558552536E-2</v>
      </c>
      <c r="EC85" s="47">
        <f>t_Parts[[#This Row],[hp2015.09]]/t_Parts[[#This Row],[ha2015.09]]</f>
        <v>6.97014097014097E-2</v>
      </c>
      <c r="ED85" s="47">
        <f>t_Parts[[#This Row],[hp2015.10]]/t_Parts[[#This Row],[ha2015.10]]</f>
        <v>7.2558552558552536E-2</v>
      </c>
      <c r="EE85" s="47">
        <f>t_Parts[[#This Row],[hp2015.11]]/t_Parts[[#This Row],[ha2015.11]]</f>
        <v>7.2558552558552536E-2</v>
      </c>
      <c r="EF85" s="47">
        <f>t_Parts[[#This Row],[hp2015.12]]/t_Parts[[#This Row],[ha2015.12]]</f>
        <v>6.97014097014097E-2</v>
      </c>
      <c r="EG85" s="47">
        <f>t_Parts[[#This Row],[hp2015.FY]]/t_Parts[[#This Row],[ha2015.FY]]</f>
        <v>7.1459651459651441E-2</v>
      </c>
      <c r="EH85" s="47">
        <f>t_Parts[[#This Row],[hp2016.01]]/t_Parts[[#This Row],[ha2016.01]]</f>
        <v>7.2558552558552536E-2</v>
      </c>
      <c r="EI85" s="47">
        <f>t_Parts[[#This Row],[hp2016.02]]/t_Parts[[#This Row],[ha2016.02]]</f>
        <v>7.2558552558552536E-2</v>
      </c>
      <c r="EJ85" s="47">
        <f>t_Parts[[#This Row],[hp2016.03]]/t_Parts[[#This Row],[ha2016.03]]</f>
        <v>6.97014097014097E-2</v>
      </c>
      <c r="EK85" s="47">
        <f>t_Parts[[#This Row],[hp2016.04]]/t_Parts[[#This Row],[ha2016.04]]</f>
        <v>7.2558552558552536E-2</v>
      </c>
      <c r="EL85" s="47">
        <f>t_Parts[[#This Row],[hp2016.05]]/t_Parts[[#This Row],[ha2016.05]]</f>
        <v>7.2558552558552536E-2</v>
      </c>
      <c r="EM85" s="47">
        <f>t_Parts[[#This Row],[hp2016.06]]/t_Parts[[#This Row],[ha2016.06]]</f>
        <v>6.97014097014097E-2</v>
      </c>
      <c r="EN85" s="47">
        <f>t_Parts[[#This Row],[hp2016.07]]/t_Parts[[#This Row],[ha2016.07]]</f>
        <v>7.2558552558552536E-2</v>
      </c>
      <c r="EO85" s="47">
        <f>t_Parts[[#This Row],[hp2016.08]]/t_Parts[[#This Row],[ha2016.08]]</f>
        <v>7.2558552558552536E-2</v>
      </c>
      <c r="EP85" s="47">
        <f>t_Parts[[#This Row],[hp2016.09]]/t_Parts[[#This Row],[ha2016.09]]</f>
        <v>6.97014097014097E-2</v>
      </c>
      <c r="EQ85" s="47">
        <f>t_Parts[[#This Row],[hp2016.10]]/t_Parts[[#This Row],[ha2016.10]]</f>
        <v>7.2558552558552536E-2</v>
      </c>
      <c r="ER85" s="47">
        <f>t_Parts[[#This Row],[hp2016.11]]/t_Parts[[#This Row],[ha2016.11]]</f>
        <v>7.2558552558552536E-2</v>
      </c>
      <c r="ES85" s="47">
        <f>t_Parts[[#This Row],[hp2016.12]]/t_Parts[[#This Row],[ha2016.12]]</f>
        <v>6.97014097014097E-2</v>
      </c>
      <c r="ET85" s="47">
        <f>t_Parts[[#This Row],[hp2016.FY]]/t_Parts[[#This Row],[ha2016.FY]]</f>
        <v>7.1459651459651441E-2</v>
      </c>
      <c r="EU85" s="47">
        <f>t_Parts[[#This Row],[hp2017]]/t_Parts[[#This Row],[ha2017]]</f>
        <v>7.1459651459651441E-2</v>
      </c>
      <c r="EV85" s="47">
        <f>t_Parts[[#This Row],[hp2018]]/t_Parts[[#This Row],[ha2018]]</f>
        <v>7.1459651459651441E-2</v>
      </c>
      <c r="EW85" s="47">
        <f>t_Parts[[#This Row],[hp2019]]/t_Parts[[#This Row],[hp2015.01]]</f>
        <v>0</v>
      </c>
      <c r="EX85" s="58">
        <f>(t_Parts[[#This Row],[ha2015.01]]-t_Parts[[#This Row],[hp2015.01]])*t_Parts[[NetPPH]:[NetPPH]]</f>
        <v>257086.76923076928</v>
      </c>
      <c r="EY85" s="58">
        <f>(t_Parts[[#This Row],[ha2015.02]]-t_Parts[[#This Row],[hp2015.02]])*t_Parts[[NetPPH]:[NetPPH]]</f>
        <v>257086.76923076928</v>
      </c>
      <c r="EZ85" s="58">
        <f>(t_Parts[[#This Row],[ha2015.03]]-t_Parts[[#This Row],[hp2015.03]])*t_Parts[[NetPPH]:[NetPPH]]</f>
        <v>322348.46153846156</v>
      </c>
      <c r="FA85" s="58">
        <f>(t_Parts[[#This Row],[ha2015.04]]-t_Parts[[#This Row],[hp2015.04]])*t_Parts[[NetPPH]:[NetPPH]]</f>
        <v>257086.76923076928</v>
      </c>
      <c r="FB85" s="58">
        <f>(t_Parts[[#This Row],[ha2015.05]]-t_Parts[[#This Row],[hp2015.05]])*t_Parts[[NetPPH]:[NetPPH]]</f>
        <v>257086.76923076928</v>
      </c>
      <c r="FC85" s="58">
        <f>(t_Parts[[#This Row],[ha2015.06]]-t_Parts[[#This Row],[hp2015.06]])*t_Parts[[NetPPH]:[NetPPH]]</f>
        <v>322348.46153846156</v>
      </c>
      <c r="FD85" s="58">
        <f>(t_Parts[[#This Row],[ha2015.07]]-t_Parts[[#This Row],[hp2015.07]])*t_Parts[[NetPPH]:[NetPPH]]</f>
        <v>257086.76923076928</v>
      </c>
      <c r="FE85" s="58">
        <f>(t_Parts[[#This Row],[ha2015.08]]-t_Parts[[#This Row],[hp2015.08]])*t_Parts[[NetPPH]:[NetPPH]]</f>
        <v>257086.76923076928</v>
      </c>
      <c r="FF85" s="58">
        <f>(t_Parts[[#This Row],[ha2015.09]]-t_Parts[[#This Row],[hp2015.09]])*t_Parts[[NetPPH]:[NetPPH]]</f>
        <v>322348.46153846156</v>
      </c>
      <c r="FG85" s="58">
        <f>(t_Parts[[#This Row],[ha2015.10]]-t_Parts[[#This Row],[hp2015.10]])*t_Parts[[NetPPH]:[NetPPH]]</f>
        <v>257086.76923076928</v>
      </c>
      <c r="FH85" s="58">
        <f>(t_Parts[[#This Row],[ha2015.11]]-t_Parts[[#This Row],[hp2015.11]])*t_Parts[[NetPPH]:[NetPPH]]</f>
        <v>257086.76923076928</v>
      </c>
      <c r="FI85" s="58">
        <f>(t_Parts[[#This Row],[ha2015.12]]-t_Parts[[#This Row],[hp2015.12]])*t_Parts[[NetPPH]:[NetPPH]]</f>
        <v>322348.46153846156</v>
      </c>
      <c r="FJ85" s="58">
        <f>(t_Parts[[#This Row],[ha2015.FY]]-t_Parts[[#This Row],[hp2015.FY]])*t_Parts[[NetPPH]:[NetPPH]]</f>
        <v>3346088.0000000005</v>
      </c>
      <c r="FK85" s="58">
        <f>(t_Parts[[#This Row],[ha2016.01]]-t_Parts[[#This Row],[hp2016.01]])*t_Parts[[NetPPH]:[NetPPH]]</f>
        <v>257086.76923076928</v>
      </c>
      <c r="FL85" s="58">
        <f>(t_Parts[[#This Row],[ha2016.02]]-t_Parts[[#This Row],[hp2016.02]])*t_Parts[[NetPPH]:[NetPPH]]</f>
        <v>257086.76923076928</v>
      </c>
      <c r="FM85" s="58">
        <f>(t_Parts[[#This Row],[ha2016.03]]-t_Parts[[#This Row],[hp2016.03]])*t_Parts[[NetPPH]:[NetPPH]]</f>
        <v>322348.46153846156</v>
      </c>
      <c r="FN85" s="58">
        <f>(t_Parts[[#This Row],[ha2016.04]]-t_Parts[[#This Row],[hp2016.04]])*t_Parts[[NetPPH]:[NetPPH]]</f>
        <v>257086.76923076928</v>
      </c>
      <c r="FO85" s="58">
        <f>(t_Parts[[#This Row],[ha2016.05]]-t_Parts[[#This Row],[hp2016.05]])*t_Parts[[NetPPH]:[NetPPH]]</f>
        <v>257086.76923076928</v>
      </c>
      <c r="FP85" s="58">
        <f>(t_Parts[[#This Row],[ha2016.06]]-t_Parts[[#This Row],[hp2016.06]])*t_Parts[[NetPPH]:[NetPPH]]</f>
        <v>322348.46153846156</v>
      </c>
      <c r="FQ85" s="58">
        <f>(t_Parts[[#This Row],[ha2016.07]]-t_Parts[[#This Row],[hp2016.07]])*t_Parts[[NetPPH]:[NetPPH]]</f>
        <v>257086.76923076928</v>
      </c>
      <c r="FR85" s="58">
        <f>(t_Parts[[#This Row],[ha2016.08]]-t_Parts[[#This Row],[hp2016.08]])*t_Parts[[NetPPH]:[NetPPH]]</f>
        <v>257086.76923076928</v>
      </c>
      <c r="FS85" s="58">
        <f>(t_Parts[[#This Row],[ha2016.09]]-t_Parts[[#This Row],[hp2016.09]])*t_Parts[[NetPPH]:[NetPPH]]</f>
        <v>322348.46153846156</v>
      </c>
      <c r="FT85" s="58">
        <f>(t_Parts[[#This Row],[ha2016.10]]-t_Parts[[#This Row],[hp2016.10]])*t_Parts[[NetPPH]:[NetPPH]]</f>
        <v>257086.76923076928</v>
      </c>
      <c r="FU85" s="58">
        <f>(t_Parts[[#This Row],[ha2016.11]]-t_Parts[[#This Row],[hp2016.11]])*t_Parts[[NetPPH]:[NetPPH]]</f>
        <v>257086.76923076928</v>
      </c>
      <c r="FV85" s="58">
        <f>(t_Parts[[#This Row],[ha2016.12]]-t_Parts[[#This Row],[hp2016.12]])*t_Parts[[NetPPH]:[NetPPH]]</f>
        <v>322348.46153846156</v>
      </c>
      <c r="FW85" s="58">
        <f>(t_Parts[[#This Row],[ha2016.FY]]-t_Parts[[#This Row],[hp2016.FY]])*t_Parts[[NetPPH]:[NetPPH]]</f>
        <v>3346088.0000000005</v>
      </c>
      <c r="FX85" s="58">
        <f>(t_Parts[[#This Row],[ha2017]]-t_Parts[[#This Row],[hp2017]])*t_Parts[[NetPPH]:[NetPPH]]</f>
        <v>3346088.0000000005</v>
      </c>
      <c r="FY85" s="58">
        <f>(t_Parts[[#This Row],[ha2018]]-t_Parts[[#This Row],[hp2018]])*t_Parts[[NetPPH]:[NetPPH]]</f>
        <v>3346088.0000000005</v>
      </c>
      <c r="FZ85" s="58">
        <f>(t_Parts[[#This Row],[ha2019]]-t_Parts[[#This Row],[hp2019]])*t_Parts[[NetPPH]:[NetPPH]]</f>
        <v>3603600.0000000005</v>
      </c>
    </row>
    <row r="86" spans="1:182" s="14" customFormat="1" x14ac:dyDescent="0.25">
      <c r="A86" s="74">
        <v>37452</v>
      </c>
      <c r="B86" s="74"/>
      <c r="C86" s="74">
        <v>21001</v>
      </c>
      <c r="D86" s="75">
        <v>1</v>
      </c>
      <c r="E86" s="73">
        <v>2100</v>
      </c>
      <c r="F86" s="76">
        <v>1</v>
      </c>
      <c r="G86" s="77">
        <v>2</v>
      </c>
      <c r="H86" s="16">
        <v>2015.01</v>
      </c>
      <c r="I86" s="16" t="s">
        <v>82</v>
      </c>
      <c r="J86" s="73">
        <v>18008</v>
      </c>
      <c r="K86" s="73">
        <v>18008</v>
      </c>
      <c r="L86" s="73">
        <v>18008</v>
      </c>
      <c r="M86" s="73">
        <v>18008</v>
      </c>
      <c r="N86" s="73">
        <v>18008</v>
      </c>
      <c r="O86" s="78"/>
      <c r="P86" s="78"/>
      <c r="Q86" s="79">
        <v>23.91</v>
      </c>
      <c r="R86" s="79"/>
      <c r="S86" s="78">
        <v>251</v>
      </c>
      <c r="T86" s="80"/>
      <c r="U86" s="80" t="s">
        <v>121</v>
      </c>
      <c r="V86" s="81" t="s">
        <v>521</v>
      </c>
      <c r="W86" s="82">
        <v>1</v>
      </c>
      <c r="X86" s="82" t="s">
        <v>501</v>
      </c>
      <c r="Y86" s="82"/>
      <c r="Z86" s="82"/>
      <c r="AA86" s="82"/>
      <c r="AB86" s="82"/>
      <c r="AC86" s="83" t="s">
        <v>667</v>
      </c>
      <c r="AD86" s="40" t="str">
        <f>VLOOKUP(t_Parts[[#This Row],[Press]],t_Presses[],Press!B$1,FALSE)</f>
        <v>Plainfield</v>
      </c>
      <c r="AE86" s="40" t="str">
        <f>VLOOKUP(t_Parts[[#This Row],[Press]],t_Presses[],Press!E$1,FALSE)</f>
        <v>300-599</v>
      </c>
      <c r="AF86" s="47">
        <f>VLOOKUP(t_Parts[[#This Row],[Plant]],t_Plants[],Plants!C$1,FALSE)</f>
        <v>0.55000000000000004</v>
      </c>
      <c r="AG86" s="47">
        <f>VLOOKUP(t_Parts[[#This Row],[Press]],t_Presses[],Press!F$1,FALSE)</f>
        <v>0</v>
      </c>
      <c r="AH86" s="84"/>
      <c r="AI86" s="47">
        <f>IF(ISBLANK(t_Parts[[#This Row],[PartOEE]])=FALSE,t_Parts[[#This Row],[PartOEE]], IF(t_Parts[[#This Row],[PressOEE]]&gt;0, t_Parts[[#This Row],[PressOEE]], t_Parts[[#This Row],[PlantOEE]] ))</f>
        <v>0.55000000000000004</v>
      </c>
      <c r="AJ86" s="70">
        <f>t_Parts[[#This Row],[SetupsPerMo]]*t_Parts[[#This Row],[SetupHrs]]</f>
        <v>2</v>
      </c>
      <c r="AK86" s="39">
        <f>(t_Parts[[#This Row],[PartsPerStroke]]*t_Parts[[#This Row],[StrokesPerHr]])*t_Parts[[#This Row],[UseOEE]]</f>
        <v>1155</v>
      </c>
      <c r="AL8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1385.2307692307693</v>
      </c>
      <c r="AM8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1385.2307692307693</v>
      </c>
      <c r="AN8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1731.5384615384617</v>
      </c>
      <c r="AO8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1385.2307692307693</v>
      </c>
      <c r="AP8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1385.2307692307693</v>
      </c>
      <c r="AQ8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1731.5384615384617</v>
      </c>
      <c r="AR8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1385.2307692307693</v>
      </c>
      <c r="AS8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1385.2307692307693</v>
      </c>
      <c r="AT8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1731.5384615384617</v>
      </c>
      <c r="AU8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1385.2307692307693</v>
      </c>
      <c r="AV8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1385.2307692307693</v>
      </c>
      <c r="AW8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1731.5384615384617</v>
      </c>
      <c r="AX86" s="39">
        <f>SUM(t_Parts[[#This Row],[pv2015.01]:[pv2015.12]])</f>
        <v>18008</v>
      </c>
      <c r="AY8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1385.2307692307693</v>
      </c>
      <c r="AZ8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1385.2307692307693</v>
      </c>
      <c r="BA8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1731.5384615384617</v>
      </c>
      <c r="BB8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1385.2307692307693</v>
      </c>
      <c r="BC8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1385.2307692307693</v>
      </c>
      <c r="BD8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1731.5384615384617</v>
      </c>
      <c r="BE8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1385.2307692307693</v>
      </c>
      <c r="BF8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1385.2307692307693</v>
      </c>
      <c r="BG8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1731.5384615384617</v>
      </c>
      <c r="BH8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1385.2307692307693</v>
      </c>
      <c r="BI8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1385.2307692307693</v>
      </c>
      <c r="BJ8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1731.5384615384617</v>
      </c>
      <c r="BK86" s="39">
        <f>SUM(t_Parts[[#This Row],[pv2016.01]:[pv2016.12]])</f>
        <v>18008</v>
      </c>
      <c r="BL86" s="39">
        <f>t_Parts[[#This Row],[2017vol]]</f>
        <v>18008</v>
      </c>
      <c r="BM86" s="39">
        <f>t_Parts[[#This Row],[2018vol]]</f>
        <v>18008</v>
      </c>
      <c r="BN86" s="39">
        <f>t_Parts[[#This Row],[2019vol]]</f>
        <v>18008</v>
      </c>
      <c r="BO86" s="40">
        <f>VLOOKUP(t_Parts[[Plant]:[Plant]],t_Plants[],Plants!CN$1,FALSE)</f>
        <v>280</v>
      </c>
      <c r="BP86" s="14">
        <f>VLOOKUP(t_Parts[[Plant]:[Plant]],t_Plants[],Plants!CO$1,FALSE)</f>
        <v>280</v>
      </c>
      <c r="BQ86" s="14">
        <f>VLOOKUP(t_Parts[[Plant]:[Plant]],t_Plants[],Plants!CP$1,FALSE)</f>
        <v>350</v>
      </c>
      <c r="BR86" s="14">
        <f>VLOOKUP(t_Parts[[Plant]:[Plant]],t_Plants[],Plants!CQ$1,FALSE)</f>
        <v>280</v>
      </c>
      <c r="BS86" s="14">
        <f>VLOOKUP(t_Parts[[Plant]:[Plant]],t_Plants[],Plants!CR$1,FALSE)</f>
        <v>280</v>
      </c>
      <c r="BT86" s="14">
        <f>VLOOKUP(t_Parts[[Plant]:[Plant]],t_Plants[],Plants!CS$1,FALSE)</f>
        <v>350</v>
      </c>
      <c r="BU86" s="14">
        <f>VLOOKUP(t_Parts[[Plant]:[Plant]],t_Plants[],Plants!CT$1,FALSE)</f>
        <v>280</v>
      </c>
      <c r="BV86" s="14">
        <f>VLOOKUP(t_Parts[[Plant]:[Plant]],t_Plants[],Plants!CU$1,FALSE)</f>
        <v>280</v>
      </c>
      <c r="BW86" s="14">
        <f>VLOOKUP(t_Parts[[Plant]:[Plant]],t_Plants[],Plants!CV$1,FALSE)</f>
        <v>350</v>
      </c>
      <c r="BX86" s="14">
        <f>VLOOKUP(t_Parts[[Plant]:[Plant]],t_Plants[],Plants!CW$1,FALSE)</f>
        <v>280</v>
      </c>
      <c r="BY86" s="14">
        <f>VLOOKUP(t_Parts[[Plant]:[Plant]],t_Plants[],Plants!CX$1,FALSE)</f>
        <v>280</v>
      </c>
      <c r="BZ86" s="14">
        <f>VLOOKUP(t_Parts[[Plant]:[Plant]],t_Plants[],Plants!CY$1,FALSE)</f>
        <v>350</v>
      </c>
      <c r="CA86" s="40">
        <f>SUM(t_Parts[[#This Row],[ha2015.01]:[ha2015.12]])</f>
        <v>3640</v>
      </c>
      <c r="CB86" s="14">
        <f>VLOOKUP(t_Parts[[Plant]:[Plant]],t_Plants[],Plants!DA$1,FALSE)</f>
        <v>280</v>
      </c>
      <c r="CC86" s="14">
        <f>VLOOKUP(t_Parts[[Plant]:[Plant]],t_Plants[],Plants!DB$1,FALSE)</f>
        <v>280</v>
      </c>
      <c r="CD86" s="14">
        <f>VLOOKUP(t_Parts[[Plant]:[Plant]],t_Plants[],Plants!DC$1,FALSE)</f>
        <v>350</v>
      </c>
      <c r="CE86" s="14">
        <f>VLOOKUP(t_Parts[[Plant]:[Plant]],t_Plants[],Plants!DD$1,FALSE)</f>
        <v>280</v>
      </c>
      <c r="CF86" s="14">
        <f>VLOOKUP(t_Parts[[Plant]:[Plant]],t_Plants[],Plants!DE$1,FALSE)</f>
        <v>280</v>
      </c>
      <c r="CG86" s="14">
        <f>VLOOKUP(t_Parts[[Plant]:[Plant]],t_Plants[],Plants!DF$1,FALSE)</f>
        <v>350</v>
      </c>
      <c r="CH86" s="14">
        <f>VLOOKUP(t_Parts[[Plant]:[Plant]],t_Plants[],Plants!DG$1,FALSE)</f>
        <v>280</v>
      </c>
      <c r="CI86" s="14">
        <f>VLOOKUP(t_Parts[[Plant]:[Plant]],t_Plants[],Plants!DH$1,FALSE)</f>
        <v>280</v>
      </c>
      <c r="CJ86" s="14">
        <f>VLOOKUP(t_Parts[[Plant]:[Plant]],t_Plants[],Plants!DI$1,FALSE)</f>
        <v>350</v>
      </c>
      <c r="CK86" s="14">
        <f>VLOOKUP(t_Parts[[Plant]:[Plant]],t_Plants[],Plants!DJ$1,FALSE)</f>
        <v>280</v>
      </c>
      <c r="CL86" s="14">
        <f>VLOOKUP(t_Parts[[Plant]:[Plant]],t_Plants[],Plants!DK$1,FALSE)</f>
        <v>280</v>
      </c>
      <c r="CM86" s="14">
        <f>VLOOKUP(t_Parts[[Plant]:[Plant]],t_Plants[],Plants!DL$1,FALSE)</f>
        <v>350</v>
      </c>
      <c r="CN86" s="14">
        <f>VLOOKUP(t_Parts[[Plant]:[Plant]],t_Plants[],Plants!DM$1,FALSE)</f>
        <v>3640</v>
      </c>
      <c r="CO86" s="14">
        <f>VLOOKUP(t_Parts[[Plant]:[Plant]],t_Plants[],Plants!DN$1,FALSE)</f>
        <v>3640</v>
      </c>
      <c r="CP86" s="14">
        <f>VLOOKUP(t_Parts[[Plant]:[Plant]],t_Plants[],Plants!DO$1,FALSE)</f>
        <v>3640</v>
      </c>
      <c r="CQ86" s="14">
        <f>VLOOKUP(t_Parts[[Plant]:[Plant]],t_Plants[],Plants!DP$1,FALSE)</f>
        <v>3640</v>
      </c>
      <c r="CR86" s="39">
        <f>IF(AND(AL$3&gt;=VALUE(t_Parts[[SOP]:[SOP]]),AL$3&lt;=VALUE(t_Parts[[EOP]:[EOP]])), t_Parts[[SetupHrsPerMo]:[SetupHrsPerMo]]+(t_Parts[[#This Row],[pv2015.01]]/t_Parts[[NetPPH]:[NetPPH]]),0)</f>
        <v>3.1993339993339993</v>
      </c>
      <c r="CS86" s="39">
        <f>IF(AND(AM$3&gt;=VALUE(t_Parts[[SOP]:[SOP]]),AM$3&lt;=VALUE(t_Parts[[EOP]:[EOP]])), t_Parts[[SetupHrsPerMo]:[SetupHrsPerMo]]+(t_Parts[[#This Row],[pv2015.02]]/t_Parts[[NetPPH]:[NetPPH]]),0)</f>
        <v>3.1993339993339993</v>
      </c>
      <c r="CT86" s="39">
        <f>IF(AND(AN$3&gt;=VALUE(t_Parts[[SOP]:[SOP]]),AN$3&lt;=VALUE(t_Parts[[EOP]:[EOP]])), t_Parts[[SetupHrsPerMo]:[SetupHrsPerMo]]+(t_Parts[[#This Row],[pv2015.03]]/t_Parts[[NetPPH]:[NetPPH]]),0)</f>
        <v>3.4991674991674993</v>
      </c>
      <c r="CU86" s="39">
        <f>IF(AND(AO$3&gt;=VALUE(t_Parts[[SOP]:[SOP]]),AO$3&lt;=VALUE(t_Parts[[EOP]:[EOP]])), t_Parts[[SetupHrsPerMo]:[SetupHrsPerMo]]+(t_Parts[[#This Row],[pv2015.04]]/t_Parts[[NetPPH]:[NetPPH]]),0)</f>
        <v>3.1993339993339993</v>
      </c>
      <c r="CV86" s="39">
        <f>IF(AND(AP$3&gt;=VALUE(t_Parts[[SOP]:[SOP]]),AP$3&lt;=VALUE(t_Parts[[EOP]:[EOP]])), t_Parts[[SetupHrsPerMo]:[SetupHrsPerMo]]+(t_Parts[[#This Row],[pv2015.05]]/t_Parts[[NetPPH]:[NetPPH]]),0)</f>
        <v>3.1993339993339993</v>
      </c>
      <c r="CW86" s="39">
        <f>IF(AND(AQ$3&gt;=VALUE(t_Parts[[SOP]:[SOP]]),AQ$3&lt;=VALUE(t_Parts[[EOP]:[EOP]])), t_Parts[[SetupHrsPerMo]:[SetupHrsPerMo]]+(t_Parts[[#This Row],[pv2015.06]]/t_Parts[[NetPPH]:[NetPPH]]),0)</f>
        <v>3.4991674991674993</v>
      </c>
      <c r="CX86" s="39">
        <f>IF(AND(AR$3&gt;=VALUE(t_Parts[[SOP]:[SOP]]),AR$3&lt;=VALUE(t_Parts[[EOP]:[EOP]])), t_Parts[[SetupHrsPerMo]:[SetupHrsPerMo]]+(t_Parts[[#This Row],[pv2015.07]]/t_Parts[[NetPPH]:[NetPPH]]),0)</f>
        <v>3.1993339993339993</v>
      </c>
      <c r="CY86" s="39">
        <f>IF(AND(AS$3&gt;=VALUE(t_Parts[[SOP]:[SOP]]),AS$3&lt;=VALUE(t_Parts[[EOP]:[EOP]])), t_Parts[[SetupHrsPerMo]:[SetupHrsPerMo]]+(t_Parts[[#This Row],[pv2015.08]]/t_Parts[[NetPPH]:[NetPPH]]),0)</f>
        <v>3.1993339993339993</v>
      </c>
      <c r="CZ86" s="39">
        <f>IF(AND(AT$3&gt;=VALUE(t_Parts[[SOP]:[SOP]]),AT$3&lt;=VALUE(t_Parts[[EOP]:[EOP]])), t_Parts[[SetupHrsPerMo]:[SetupHrsPerMo]]+(t_Parts[[#This Row],[pv2015.09]]/t_Parts[[NetPPH]:[NetPPH]]),0)</f>
        <v>3.4991674991674993</v>
      </c>
      <c r="DA86" s="39">
        <f>IF(AND(AU$3&gt;=VALUE(t_Parts[[SOP]:[SOP]]),AU$3&lt;=VALUE(t_Parts[[EOP]:[EOP]])), t_Parts[[SetupHrsPerMo]:[SetupHrsPerMo]]+(t_Parts[[#This Row],[pv2015.10]]/t_Parts[[NetPPH]:[NetPPH]]),0)</f>
        <v>3.1993339993339993</v>
      </c>
      <c r="DB86" s="39">
        <f>IF(AND(AV$3&gt;=VALUE(t_Parts[[SOP]:[SOP]]),AV$3&lt;=VALUE(t_Parts[[EOP]:[EOP]])), t_Parts[[SetupHrsPerMo]:[SetupHrsPerMo]]+(t_Parts[[#This Row],[pv2015.11]]/t_Parts[[NetPPH]:[NetPPH]]),0)</f>
        <v>3.1993339993339993</v>
      </c>
      <c r="DC86" s="39">
        <f>IF(AND(AW$3&gt;=VALUE(t_Parts[[SOP]:[SOP]]),AW$3&lt;=VALUE(t_Parts[[EOP]:[EOP]])), t_Parts[[SetupHrsPerMo]:[SetupHrsPerMo]]+(t_Parts[[#This Row],[pv2015.12]]/t_Parts[[NetPPH]:[NetPPH]]),0)</f>
        <v>3.4991674991674993</v>
      </c>
      <c r="DD86" s="39">
        <f>SUM(t_Parts[[#This Row],[hp2015.01]:[hp2015.12]])</f>
        <v>39.591341991341992</v>
      </c>
      <c r="DE86" s="39">
        <f>IF(AND(AY$3&gt;=VALUE(t_Parts[[SOP]:[SOP]]),AY$3&lt;=VALUE(t_Parts[[EOP]:[EOP]])), t_Parts[[SetupHrsPerMo]:[SetupHrsPerMo]]+(t_Parts[[#This Row],[pv2016.01]]/t_Parts[[NetPPH]:[NetPPH]]),0)</f>
        <v>3.1993339993339993</v>
      </c>
      <c r="DF86" s="39">
        <f>IF(AND(AZ$3&gt;=VALUE(t_Parts[[SOP]:[SOP]]),AZ$3&lt;=VALUE(t_Parts[[EOP]:[EOP]])), t_Parts[[SetupHrsPerMo]:[SetupHrsPerMo]]+(t_Parts[[#This Row],[pv2016.02]]/t_Parts[[NetPPH]:[NetPPH]]),0)</f>
        <v>3.1993339993339993</v>
      </c>
      <c r="DG86" s="39">
        <f>IF(AND(BA$3&gt;=VALUE(t_Parts[[SOP]:[SOP]]),BA$3&lt;=VALUE(t_Parts[[EOP]:[EOP]])), t_Parts[[SetupHrsPerMo]:[SetupHrsPerMo]]+(t_Parts[[#This Row],[pv2016.03]]/t_Parts[[NetPPH]:[NetPPH]]),0)</f>
        <v>3.4991674991674993</v>
      </c>
      <c r="DH86" s="39">
        <f>IF(AND(BB$3&gt;=VALUE(t_Parts[[SOP]:[SOP]]),BB$3&lt;=VALUE(t_Parts[[EOP]:[EOP]])), t_Parts[[SetupHrsPerMo]:[SetupHrsPerMo]]+(t_Parts[[#This Row],[pv2016.04]]/t_Parts[[NetPPH]:[NetPPH]]),0)</f>
        <v>3.1993339993339993</v>
      </c>
      <c r="DI86" s="39">
        <f>IF(AND(BC$3&gt;=VALUE(t_Parts[[SOP]:[SOP]]),BC$3&lt;=VALUE(t_Parts[[EOP]:[EOP]])), t_Parts[[SetupHrsPerMo]:[SetupHrsPerMo]]+(t_Parts[[#This Row],[pv2016.05]]/t_Parts[[NetPPH]:[NetPPH]]),0)</f>
        <v>3.1993339993339993</v>
      </c>
      <c r="DJ86" s="39">
        <f>IF(AND(BD$3&gt;=VALUE(t_Parts[[SOP]:[SOP]]),BD$3&lt;=VALUE(t_Parts[[EOP]:[EOP]])), t_Parts[[SetupHrsPerMo]:[SetupHrsPerMo]]+(t_Parts[[#This Row],[pv2016.06]]/t_Parts[[NetPPH]:[NetPPH]]),0)</f>
        <v>3.4991674991674993</v>
      </c>
      <c r="DK86" s="39">
        <f>IF(AND(BE$3&gt;=VALUE(t_Parts[[SOP]:[SOP]]),BE$3&lt;=VALUE(t_Parts[[EOP]:[EOP]])), t_Parts[[SetupHrsPerMo]:[SetupHrsPerMo]]+(t_Parts[[#This Row],[pv2016.07]]/t_Parts[[NetPPH]:[NetPPH]]),0)</f>
        <v>3.1993339993339993</v>
      </c>
      <c r="DL86" s="39">
        <f>IF(AND(BF$3&gt;=VALUE(t_Parts[[SOP]:[SOP]]),BF$3&lt;=VALUE(t_Parts[[EOP]:[EOP]])), t_Parts[[SetupHrsPerMo]:[SetupHrsPerMo]]+(t_Parts[[#This Row],[pv2016.08]]/t_Parts[[NetPPH]:[NetPPH]]),0)</f>
        <v>3.1993339993339993</v>
      </c>
      <c r="DM86" s="39">
        <f>IF(AND(BG$3&gt;=VALUE(t_Parts[[SOP]:[SOP]]),BG$3&lt;=VALUE(t_Parts[[EOP]:[EOP]])), t_Parts[[SetupHrsPerMo]:[SetupHrsPerMo]]+(t_Parts[[#This Row],[pv2016.09]]/t_Parts[[NetPPH]:[NetPPH]]),0)</f>
        <v>3.4991674991674993</v>
      </c>
      <c r="DN86" s="39">
        <f>IF(AND(BH$3&gt;=VALUE(t_Parts[[SOP]:[SOP]]),BH$3&lt;=VALUE(t_Parts[[EOP]:[EOP]])), t_Parts[[SetupHrsPerMo]:[SetupHrsPerMo]]+(t_Parts[[#This Row],[pv2016.10]]/t_Parts[[NetPPH]:[NetPPH]]),0)</f>
        <v>3.1993339993339993</v>
      </c>
      <c r="DO86" s="39">
        <f>IF(AND(BI$3&gt;=VALUE(t_Parts[[SOP]:[SOP]]),BI$3&lt;=VALUE(t_Parts[[EOP]:[EOP]])), t_Parts[[SetupHrsPerMo]:[SetupHrsPerMo]]+(t_Parts[[#This Row],[pv2016.11]]/t_Parts[[NetPPH]:[NetPPH]]),0)</f>
        <v>3.1993339993339993</v>
      </c>
      <c r="DP86" s="39">
        <f>IF(AND(BJ$3&gt;=VALUE(t_Parts[[SOP]:[SOP]]),BJ$3&lt;=VALUE(t_Parts[[EOP]:[EOP]])), t_Parts[[SetupHrsPerMo]:[SetupHrsPerMo]]+(t_Parts[[#This Row],[pv2016.12]]/t_Parts[[NetPPH]:[NetPPH]]),0)</f>
        <v>3.4991674991674993</v>
      </c>
      <c r="DQ86" s="39">
        <f>SUM(t_Parts[[#This Row],[hp2016.01]:[hp2016.12]])</f>
        <v>39.591341991341992</v>
      </c>
      <c r="DR86" s="39">
        <f>IF(AND(BL$3&gt;=VALUE(t_Parts[[SOP]:[SOP]]),BL$3&lt;=VALUE(t_Parts[[EOP]:[EOP]])), 12*t_Parts[[SetupHrsPerMo]:[SetupHrsPerMo]]+(t_Parts[[#This Row],[pv2017]]/t_Parts[[NetPPH]:[NetPPH]]),0)</f>
        <v>39.591341991341992</v>
      </c>
      <c r="DS86" s="39">
        <f>IF(AND(BM$3&gt;=VALUE(t_Parts[[SOP]:[SOP]]),BM$3&lt;=VALUE(t_Parts[[EOP]:[EOP]])), 12*t_Parts[[SetupHrsPerMo]:[SetupHrsPerMo]]+(t_Parts[[#This Row],[pv2018]]/t_Parts[[NetPPH]:[NetPPH]]),0)</f>
        <v>39.591341991341992</v>
      </c>
      <c r="DT86" s="39">
        <f>IF(AND(BN$3&gt;=VALUE(t_Parts[[SOP]:[SOP]]),BN$3&lt;=VALUE(t_Parts[[EOP]:[EOP]])), 12*t_Parts[[SetupHrsPerMo]:[SetupHrsPerMo]]+(t_Parts[[#This Row],[pv2019]]/t_Parts[[NetPPH]:[NetPPH]]),0)</f>
        <v>0</v>
      </c>
      <c r="DU86" s="47">
        <f>t_Parts[[#This Row],[hp2015.01]]/t_Parts[[#This Row],[ha2015.01]]</f>
        <v>1.1426192854764284E-2</v>
      </c>
      <c r="DV86" s="47">
        <f>t_Parts[[#This Row],[hp2015.02]]/t_Parts[[#This Row],[ha2015.02]]</f>
        <v>1.1426192854764284E-2</v>
      </c>
      <c r="DW86" s="47">
        <f>t_Parts[[#This Row],[hp2015.03]]/t_Parts[[#This Row],[ha2015.03]]</f>
        <v>9.9976214261928553E-3</v>
      </c>
      <c r="DX86" s="47">
        <f>t_Parts[[#This Row],[hp2015.04]]/t_Parts[[#This Row],[ha2015.04]]</f>
        <v>1.1426192854764284E-2</v>
      </c>
      <c r="DY86" s="47">
        <f>t_Parts[[#This Row],[hp2015.05]]/t_Parts[[#This Row],[ha2015.05]]</f>
        <v>1.1426192854764284E-2</v>
      </c>
      <c r="DZ86" s="47">
        <f>t_Parts[[#This Row],[hp2015.06]]/t_Parts[[#This Row],[ha2015.06]]</f>
        <v>9.9976214261928553E-3</v>
      </c>
      <c r="EA86" s="47">
        <f>t_Parts[[#This Row],[hp2015.07]]/t_Parts[[#This Row],[ha2015.07]]</f>
        <v>1.1426192854764284E-2</v>
      </c>
      <c r="EB86" s="47">
        <f>t_Parts[[#This Row],[hp2015.08]]/t_Parts[[#This Row],[ha2015.08]]</f>
        <v>1.1426192854764284E-2</v>
      </c>
      <c r="EC86" s="47">
        <f>t_Parts[[#This Row],[hp2015.09]]/t_Parts[[#This Row],[ha2015.09]]</f>
        <v>9.9976214261928553E-3</v>
      </c>
      <c r="ED86" s="47">
        <f>t_Parts[[#This Row],[hp2015.10]]/t_Parts[[#This Row],[ha2015.10]]</f>
        <v>1.1426192854764284E-2</v>
      </c>
      <c r="EE86" s="47">
        <f>t_Parts[[#This Row],[hp2015.11]]/t_Parts[[#This Row],[ha2015.11]]</f>
        <v>1.1426192854764284E-2</v>
      </c>
      <c r="EF86" s="47">
        <f>t_Parts[[#This Row],[hp2015.12]]/t_Parts[[#This Row],[ha2015.12]]</f>
        <v>9.9976214261928553E-3</v>
      </c>
      <c r="EG86" s="47">
        <f>t_Parts[[#This Row],[hp2015.FY]]/t_Parts[[#This Row],[ha2015.FY]]</f>
        <v>1.0876742305313734E-2</v>
      </c>
      <c r="EH86" s="47">
        <f>t_Parts[[#This Row],[hp2016.01]]/t_Parts[[#This Row],[ha2016.01]]</f>
        <v>1.1426192854764284E-2</v>
      </c>
      <c r="EI86" s="47">
        <f>t_Parts[[#This Row],[hp2016.02]]/t_Parts[[#This Row],[ha2016.02]]</f>
        <v>1.1426192854764284E-2</v>
      </c>
      <c r="EJ86" s="47">
        <f>t_Parts[[#This Row],[hp2016.03]]/t_Parts[[#This Row],[ha2016.03]]</f>
        <v>9.9976214261928553E-3</v>
      </c>
      <c r="EK86" s="47">
        <f>t_Parts[[#This Row],[hp2016.04]]/t_Parts[[#This Row],[ha2016.04]]</f>
        <v>1.1426192854764284E-2</v>
      </c>
      <c r="EL86" s="47">
        <f>t_Parts[[#This Row],[hp2016.05]]/t_Parts[[#This Row],[ha2016.05]]</f>
        <v>1.1426192854764284E-2</v>
      </c>
      <c r="EM86" s="47">
        <f>t_Parts[[#This Row],[hp2016.06]]/t_Parts[[#This Row],[ha2016.06]]</f>
        <v>9.9976214261928553E-3</v>
      </c>
      <c r="EN86" s="47">
        <f>t_Parts[[#This Row],[hp2016.07]]/t_Parts[[#This Row],[ha2016.07]]</f>
        <v>1.1426192854764284E-2</v>
      </c>
      <c r="EO86" s="47">
        <f>t_Parts[[#This Row],[hp2016.08]]/t_Parts[[#This Row],[ha2016.08]]</f>
        <v>1.1426192854764284E-2</v>
      </c>
      <c r="EP86" s="47">
        <f>t_Parts[[#This Row],[hp2016.09]]/t_Parts[[#This Row],[ha2016.09]]</f>
        <v>9.9976214261928553E-3</v>
      </c>
      <c r="EQ86" s="47">
        <f>t_Parts[[#This Row],[hp2016.10]]/t_Parts[[#This Row],[ha2016.10]]</f>
        <v>1.1426192854764284E-2</v>
      </c>
      <c r="ER86" s="47">
        <f>t_Parts[[#This Row],[hp2016.11]]/t_Parts[[#This Row],[ha2016.11]]</f>
        <v>1.1426192854764284E-2</v>
      </c>
      <c r="ES86" s="47">
        <f>t_Parts[[#This Row],[hp2016.12]]/t_Parts[[#This Row],[ha2016.12]]</f>
        <v>9.9976214261928553E-3</v>
      </c>
      <c r="ET86" s="47">
        <f>t_Parts[[#This Row],[hp2016.FY]]/t_Parts[[#This Row],[ha2016.FY]]</f>
        <v>1.0876742305313734E-2</v>
      </c>
      <c r="EU86" s="47">
        <f>t_Parts[[#This Row],[hp2017]]/t_Parts[[#This Row],[ha2017]]</f>
        <v>1.0876742305313734E-2</v>
      </c>
      <c r="EV86" s="47">
        <f>t_Parts[[#This Row],[hp2018]]/t_Parts[[#This Row],[ha2018]]</f>
        <v>1.0876742305313734E-2</v>
      </c>
      <c r="EW86" s="47">
        <f>t_Parts[[#This Row],[hp2019]]/t_Parts[[#This Row],[hp2015.01]]</f>
        <v>0</v>
      </c>
      <c r="EX86" s="58">
        <f>(t_Parts[[#This Row],[ha2015.01]]-t_Parts[[#This Row],[hp2015.01]])*t_Parts[[NetPPH]:[NetPPH]]</f>
        <v>319704.76923076925</v>
      </c>
      <c r="EY86" s="58">
        <f>(t_Parts[[#This Row],[ha2015.02]]-t_Parts[[#This Row],[hp2015.02]])*t_Parts[[NetPPH]:[NetPPH]]</f>
        <v>319704.76923076925</v>
      </c>
      <c r="EZ86" s="58">
        <f>(t_Parts[[#This Row],[ha2015.03]]-t_Parts[[#This Row],[hp2015.03]])*t_Parts[[NetPPH]:[NetPPH]]</f>
        <v>400208.4615384615</v>
      </c>
      <c r="FA86" s="58">
        <f>(t_Parts[[#This Row],[ha2015.04]]-t_Parts[[#This Row],[hp2015.04]])*t_Parts[[NetPPH]:[NetPPH]]</f>
        <v>319704.76923076925</v>
      </c>
      <c r="FB86" s="58">
        <f>(t_Parts[[#This Row],[ha2015.05]]-t_Parts[[#This Row],[hp2015.05]])*t_Parts[[NetPPH]:[NetPPH]]</f>
        <v>319704.76923076925</v>
      </c>
      <c r="FC86" s="58">
        <f>(t_Parts[[#This Row],[ha2015.06]]-t_Parts[[#This Row],[hp2015.06]])*t_Parts[[NetPPH]:[NetPPH]]</f>
        <v>400208.4615384615</v>
      </c>
      <c r="FD86" s="58">
        <f>(t_Parts[[#This Row],[ha2015.07]]-t_Parts[[#This Row],[hp2015.07]])*t_Parts[[NetPPH]:[NetPPH]]</f>
        <v>319704.76923076925</v>
      </c>
      <c r="FE86" s="58">
        <f>(t_Parts[[#This Row],[ha2015.08]]-t_Parts[[#This Row],[hp2015.08]])*t_Parts[[NetPPH]:[NetPPH]]</f>
        <v>319704.76923076925</v>
      </c>
      <c r="FF86" s="58">
        <f>(t_Parts[[#This Row],[ha2015.09]]-t_Parts[[#This Row],[hp2015.09]])*t_Parts[[NetPPH]:[NetPPH]]</f>
        <v>400208.4615384615</v>
      </c>
      <c r="FG86" s="58">
        <f>(t_Parts[[#This Row],[ha2015.10]]-t_Parts[[#This Row],[hp2015.10]])*t_Parts[[NetPPH]:[NetPPH]]</f>
        <v>319704.76923076925</v>
      </c>
      <c r="FH86" s="58">
        <f>(t_Parts[[#This Row],[ha2015.11]]-t_Parts[[#This Row],[hp2015.11]])*t_Parts[[NetPPH]:[NetPPH]]</f>
        <v>319704.76923076925</v>
      </c>
      <c r="FI86" s="58">
        <f>(t_Parts[[#This Row],[ha2015.12]]-t_Parts[[#This Row],[hp2015.12]])*t_Parts[[NetPPH]:[NetPPH]]</f>
        <v>400208.4615384615</v>
      </c>
      <c r="FJ86" s="58">
        <f>(t_Parts[[#This Row],[ha2015.FY]]-t_Parts[[#This Row],[hp2015.FY]])*t_Parts[[NetPPH]:[NetPPH]]</f>
        <v>4158472.0000000005</v>
      </c>
      <c r="FK86" s="58">
        <f>(t_Parts[[#This Row],[ha2016.01]]-t_Parts[[#This Row],[hp2016.01]])*t_Parts[[NetPPH]:[NetPPH]]</f>
        <v>319704.76923076925</v>
      </c>
      <c r="FL86" s="58">
        <f>(t_Parts[[#This Row],[ha2016.02]]-t_Parts[[#This Row],[hp2016.02]])*t_Parts[[NetPPH]:[NetPPH]]</f>
        <v>319704.76923076925</v>
      </c>
      <c r="FM86" s="58">
        <f>(t_Parts[[#This Row],[ha2016.03]]-t_Parts[[#This Row],[hp2016.03]])*t_Parts[[NetPPH]:[NetPPH]]</f>
        <v>400208.4615384615</v>
      </c>
      <c r="FN86" s="58">
        <f>(t_Parts[[#This Row],[ha2016.04]]-t_Parts[[#This Row],[hp2016.04]])*t_Parts[[NetPPH]:[NetPPH]]</f>
        <v>319704.76923076925</v>
      </c>
      <c r="FO86" s="58">
        <f>(t_Parts[[#This Row],[ha2016.05]]-t_Parts[[#This Row],[hp2016.05]])*t_Parts[[NetPPH]:[NetPPH]]</f>
        <v>319704.76923076925</v>
      </c>
      <c r="FP86" s="58">
        <f>(t_Parts[[#This Row],[ha2016.06]]-t_Parts[[#This Row],[hp2016.06]])*t_Parts[[NetPPH]:[NetPPH]]</f>
        <v>400208.4615384615</v>
      </c>
      <c r="FQ86" s="58">
        <f>(t_Parts[[#This Row],[ha2016.07]]-t_Parts[[#This Row],[hp2016.07]])*t_Parts[[NetPPH]:[NetPPH]]</f>
        <v>319704.76923076925</v>
      </c>
      <c r="FR86" s="58">
        <f>(t_Parts[[#This Row],[ha2016.08]]-t_Parts[[#This Row],[hp2016.08]])*t_Parts[[NetPPH]:[NetPPH]]</f>
        <v>319704.76923076925</v>
      </c>
      <c r="FS86" s="58">
        <f>(t_Parts[[#This Row],[ha2016.09]]-t_Parts[[#This Row],[hp2016.09]])*t_Parts[[NetPPH]:[NetPPH]]</f>
        <v>400208.4615384615</v>
      </c>
      <c r="FT86" s="58">
        <f>(t_Parts[[#This Row],[ha2016.10]]-t_Parts[[#This Row],[hp2016.10]])*t_Parts[[NetPPH]:[NetPPH]]</f>
        <v>319704.76923076925</v>
      </c>
      <c r="FU86" s="58">
        <f>(t_Parts[[#This Row],[ha2016.11]]-t_Parts[[#This Row],[hp2016.11]])*t_Parts[[NetPPH]:[NetPPH]]</f>
        <v>319704.76923076925</v>
      </c>
      <c r="FV86" s="58">
        <f>(t_Parts[[#This Row],[ha2016.12]]-t_Parts[[#This Row],[hp2016.12]])*t_Parts[[NetPPH]:[NetPPH]]</f>
        <v>400208.4615384615</v>
      </c>
      <c r="FW86" s="58">
        <f>(t_Parts[[#This Row],[ha2016.FY]]-t_Parts[[#This Row],[hp2016.FY]])*t_Parts[[NetPPH]:[NetPPH]]</f>
        <v>4158472.0000000005</v>
      </c>
      <c r="FX86" s="58">
        <f>(t_Parts[[#This Row],[ha2017]]-t_Parts[[#This Row],[hp2017]])*t_Parts[[NetPPH]:[NetPPH]]</f>
        <v>4158472.0000000005</v>
      </c>
      <c r="FY86" s="58">
        <f>(t_Parts[[#This Row],[ha2018]]-t_Parts[[#This Row],[hp2018]])*t_Parts[[NetPPH]:[NetPPH]]</f>
        <v>4158472.0000000005</v>
      </c>
      <c r="FZ86" s="58">
        <f>(t_Parts[[#This Row],[ha2019]]-t_Parts[[#This Row],[hp2019]])*t_Parts[[NetPPH]:[NetPPH]]</f>
        <v>4204200</v>
      </c>
    </row>
    <row r="87" spans="1:182" s="14" customFormat="1" x14ac:dyDescent="0.25">
      <c r="A87" s="74">
        <v>37274</v>
      </c>
      <c r="B87" s="74"/>
      <c r="C87" s="74">
        <v>21013</v>
      </c>
      <c r="D87" s="75">
        <v>1</v>
      </c>
      <c r="E87" s="73">
        <v>4200</v>
      </c>
      <c r="F87" s="76">
        <v>1</v>
      </c>
      <c r="G87" s="77">
        <v>4</v>
      </c>
      <c r="H87" s="16">
        <v>2015.01</v>
      </c>
      <c r="I87" s="16" t="s">
        <v>322</v>
      </c>
      <c r="J87" s="73">
        <v>580006</v>
      </c>
      <c r="K87" s="73">
        <v>580006</v>
      </c>
      <c r="L87" s="73">
        <v>580006</v>
      </c>
      <c r="M87" s="73">
        <v>580006</v>
      </c>
      <c r="N87" s="73">
        <v>580006</v>
      </c>
      <c r="O87" s="78">
        <v>22</v>
      </c>
      <c r="P87" s="78">
        <v>26</v>
      </c>
      <c r="Q87" s="79">
        <v>18.439</v>
      </c>
      <c r="R87" s="79"/>
      <c r="S87" s="78">
        <v>99</v>
      </c>
      <c r="T87" s="80">
        <v>8.5</v>
      </c>
      <c r="U87" s="80" t="s">
        <v>121</v>
      </c>
      <c r="V87" s="81" t="s">
        <v>660</v>
      </c>
      <c r="W87" s="82">
        <v>4.3999999999999997E-2</v>
      </c>
      <c r="X87" s="82" t="s">
        <v>501</v>
      </c>
      <c r="Y87" s="82"/>
      <c r="Z87" s="82"/>
      <c r="AA87" s="82"/>
      <c r="AB87" s="82"/>
      <c r="AC87" s="83" t="s">
        <v>667</v>
      </c>
      <c r="AD87" s="40" t="str">
        <f>VLOOKUP(t_Parts[[#This Row],[Press]],t_Presses[],Press!B$1,FALSE)</f>
        <v>Plainfield</v>
      </c>
      <c r="AE87" s="40" t="str">
        <f>VLOOKUP(t_Parts[[#This Row],[Press]],t_Presses[],Press!E$1,FALSE)</f>
        <v>0-299</v>
      </c>
      <c r="AF87" s="47">
        <f>VLOOKUP(t_Parts[[#This Row],[Plant]],t_Plants[],Plants!C$1,FALSE)</f>
        <v>0.55000000000000004</v>
      </c>
      <c r="AG87" s="47">
        <f>VLOOKUP(t_Parts[[#This Row],[Press]],t_Presses[],Press!F$1,FALSE)</f>
        <v>0</v>
      </c>
      <c r="AH87" s="84"/>
      <c r="AI87" s="47">
        <f>IF(ISBLANK(t_Parts[[#This Row],[PartOEE]])=FALSE,t_Parts[[#This Row],[PartOEE]], IF(t_Parts[[#This Row],[PressOEE]]&gt;0, t_Parts[[#This Row],[PressOEE]], t_Parts[[#This Row],[PlantOEE]] ))</f>
        <v>0.55000000000000004</v>
      </c>
      <c r="AJ87" s="70">
        <f>t_Parts[[#This Row],[SetupsPerMo]]*t_Parts[[#This Row],[SetupHrs]]</f>
        <v>4</v>
      </c>
      <c r="AK87" s="39">
        <f>(t_Parts[[#This Row],[PartsPerStroke]]*t_Parts[[#This Row],[StrokesPerHr]])*t_Parts[[#This Row],[UseOEE]]</f>
        <v>2310</v>
      </c>
      <c r="AL8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44615.846153846156</v>
      </c>
      <c r="AM8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44615.846153846156</v>
      </c>
      <c r="AN8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55769.807692307695</v>
      </c>
      <c r="AO8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44615.846153846156</v>
      </c>
      <c r="AP8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44615.846153846156</v>
      </c>
      <c r="AQ8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55769.807692307695</v>
      </c>
      <c r="AR8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44615.846153846156</v>
      </c>
      <c r="AS8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44615.846153846156</v>
      </c>
      <c r="AT8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55769.807692307695</v>
      </c>
      <c r="AU8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44615.846153846156</v>
      </c>
      <c r="AV8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44615.846153846156</v>
      </c>
      <c r="AW8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55769.807692307695</v>
      </c>
      <c r="AX87" s="39">
        <f>SUM(t_Parts[[#This Row],[pv2015.01]:[pv2015.12]])</f>
        <v>580006</v>
      </c>
      <c r="AY8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44615.846153846156</v>
      </c>
      <c r="AZ8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44615.846153846156</v>
      </c>
      <c r="BA8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7" s="39">
        <f>SUM(t_Parts[[#This Row],[pv2016.01]:[pv2016.12]])</f>
        <v>89231.692307692312</v>
      </c>
      <c r="BL87" s="39">
        <f>t_Parts[[#This Row],[2017vol]]</f>
        <v>580006</v>
      </c>
      <c r="BM87" s="39">
        <f>t_Parts[[#This Row],[2018vol]]</f>
        <v>580006</v>
      </c>
      <c r="BN87" s="39">
        <f>t_Parts[[#This Row],[2019vol]]</f>
        <v>580006</v>
      </c>
      <c r="BO87" s="40">
        <f>VLOOKUP(t_Parts[[Plant]:[Plant]],t_Plants[],Plants!CN$1,FALSE)</f>
        <v>280</v>
      </c>
      <c r="BP87" s="14">
        <f>VLOOKUP(t_Parts[[Plant]:[Plant]],t_Plants[],Plants!CO$1,FALSE)</f>
        <v>280</v>
      </c>
      <c r="BQ87" s="14">
        <f>VLOOKUP(t_Parts[[Plant]:[Plant]],t_Plants[],Plants!CP$1,FALSE)</f>
        <v>350</v>
      </c>
      <c r="BR87" s="14">
        <f>VLOOKUP(t_Parts[[Plant]:[Plant]],t_Plants[],Plants!CQ$1,FALSE)</f>
        <v>280</v>
      </c>
      <c r="BS87" s="14">
        <f>VLOOKUP(t_Parts[[Plant]:[Plant]],t_Plants[],Plants!CR$1,FALSE)</f>
        <v>280</v>
      </c>
      <c r="BT87" s="14">
        <f>VLOOKUP(t_Parts[[Plant]:[Plant]],t_Plants[],Plants!CS$1,FALSE)</f>
        <v>350</v>
      </c>
      <c r="BU87" s="14">
        <f>VLOOKUP(t_Parts[[Plant]:[Plant]],t_Plants[],Plants!CT$1,FALSE)</f>
        <v>280</v>
      </c>
      <c r="BV87" s="14">
        <f>VLOOKUP(t_Parts[[Plant]:[Plant]],t_Plants[],Plants!CU$1,FALSE)</f>
        <v>280</v>
      </c>
      <c r="BW87" s="14">
        <f>VLOOKUP(t_Parts[[Plant]:[Plant]],t_Plants[],Plants!CV$1,FALSE)</f>
        <v>350</v>
      </c>
      <c r="BX87" s="14">
        <f>VLOOKUP(t_Parts[[Plant]:[Plant]],t_Plants[],Plants!CW$1,FALSE)</f>
        <v>280</v>
      </c>
      <c r="BY87" s="14">
        <f>VLOOKUP(t_Parts[[Plant]:[Plant]],t_Plants[],Plants!CX$1,FALSE)</f>
        <v>280</v>
      </c>
      <c r="BZ87" s="14">
        <f>VLOOKUP(t_Parts[[Plant]:[Plant]],t_Plants[],Plants!CY$1,FALSE)</f>
        <v>350</v>
      </c>
      <c r="CA87" s="40">
        <f>SUM(t_Parts[[#This Row],[ha2015.01]:[ha2015.12]])</f>
        <v>3640</v>
      </c>
      <c r="CB87" s="14">
        <f>VLOOKUP(t_Parts[[Plant]:[Plant]],t_Plants[],Plants!DA$1,FALSE)</f>
        <v>280</v>
      </c>
      <c r="CC87" s="14">
        <f>VLOOKUP(t_Parts[[Plant]:[Plant]],t_Plants[],Plants!DB$1,FALSE)</f>
        <v>280</v>
      </c>
      <c r="CD87" s="14">
        <f>VLOOKUP(t_Parts[[Plant]:[Plant]],t_Plants[],Plants!DC$1,FALSE)</f>
        <v>350</v>
      </c>
      <c r="CE87" s="14">
        <f>VLOOKUP(t_Parts[[Plant]:[Plant]],t_Plants[],Plants!DD$1,FALSE)</f>
        <v>280</v>
      </c>
      <c r="CF87" s="14">
        <f>VLOOKUP(t_Parts[[Plant]:[Plant]],t_Plants[],Plants!DE$1,FALSE)</f>
        <v>280</v>
      </c>
      <c r="CG87" s="14">
        <f>VLOOKUP(t_Parts[[Plant]:[Plant]],t_Plants[],Plants!DF$1,FALSE)</f>
        <v>350</v>
      </c>
      <c r="CH87" s="14">
        <f>VLOOKUP(t_Parts[[Plant]:[Plant]],t_Plants[],Plants!DG$1,FALSE)</f>
        <v>280</v>
      </c>
      <c r="CI87" s="14">
        <f>VLOOKUP(t_Parts[[Plant]:[Plant]],t_Plants[],Plants!DH$1,FALSE)</f>
        <v>280</v>
      </c>
      <c r="CJ87" s="14">
        <f>VLOOKUP(t_Parts[[Plant]:[Plant]],t_Plants[],Plants!DI$1,FALSE)</f>
        <v>350</v>
      </c>
      <c r="CK87" s="14">
        <f>VLOOKUP(t_Parts[[Plant]:[Plant]],t_Plants[],Plants!DJ$1,FALSE)</f>
        <v>280</v>
      </c>
      <c r="CL87" s="14">
        <f>VLOOKUP(t_Parts[[Plant]:[Plant]],t_Plants[],Plants!DK$1,FALSE)</f>
        <v>280</v>
      </c>
      <c r="CM87" s="14">
        <f>VLOOKUP(t_Parts[[Plant]:[Plant]],t_Plants[],Plants!DL$1,FALSE)</f>
        <v>350</v>
      </c>
      <c r="CN87" s="14">
        <f>VLOOKUP(t_Parts[[Plant]:[Plant]],t_Plants[],Plants!DM$1,FALSE)</f>
        <v>3640</v>
      </c>
      <c r="CO87" s="14">
        <f>VLOOKUP(t_Parts[[Plant]:[Plant]],t_Plants[],Plants!DN$1,FALSE)</f>
        <v>3640</v>
      </c>
      <c r="CP87" s="14">
        <f>VLOOKUP(t_Parts[[Plant]:[Plant]],t_Plants[],Plants!DO$1,FALSE)</f>
        <v>3640</v>
      </c>
      <c r="CQ87" s="14">
        <f>VLOOKUP(t_Parts[[Plant]:[Plant]],t_Plants[],Plants!DP$1,FALSE)</f>
        <v>3640</v>
      </c>
      <c r="CR87" s="39">
        <f>IF(AND(AL$3&gt;=VALUE(t_Parts[[SOP]:[SOP]]),AL$3&lt;=VALUE(t_Parts[[EOP]:[EOP]])), t_Parts[[SetupHrsPerMo]:[SetupHrsPerMo]]+(t_Parts[[#This Row],[pv2015.01]]/t_Parts[[NetPPH]:[NetPPH]]),0)</f>
        <v>23.314219114219114</v>
      </c>
      <c r="CS87" s="39">
        <f>IF(AND(AM$3&gt;=VALUE(t_Parts[[SOP]:[SOP]]),AM$3&lt;=VALUE(t_Parts[[EOP]:[EOP]])), t_Parts[[SetupHrsPerMo]:[SetupHrsPerMo]]+(t_Parts[[#This Row],[pv2015.02]]/t_Parts[[NetPPH]:[NetPPH]]),0)</f>
        <v>23.314219114219114</v>
      </c>
      <c r="CT87" s="39">
        <f>IF(AND(AN$3&gt;=VALUE(t_Parts[[SOP]:[SOP]]),AN$3&lt;=VALUE(t_Parts[[EOP]:[EOP]])), t_Parts[[SetupHrsPerMo]:[SetupHrsPerMo]]+(t_Parts[[#This Row],[pv2015.03]]/t_Parts[[NetPPH]:[NetPPH]]),0)</f>
        <v>28.142773892773896</v>
      </c>
      <c r="CU87" s="39">
        <f>IF(AND(AO$3&gt;=VALUE(t_Parts[[SOP]:[SOP]]),AO$3&lt;=VALUE(t_Parts[[EOP]:[EOP]])), t_Parts[[SetupHrsPerMo]:[SetupHrsPerMo]]+(t_Parts[[#This Row],[pv2015.04]]/t_Parts[[NetPPH]:[NetPPH]]),0)</f>
        <v>23.314219114219114</v>
      </c>
      <c r="CV87" s="39">
        <f>IF(AND(AP$3&gt;=VALUE(t_Parts[[SOP]:[SOP]]),AP$3&lt;=VALUE(t_Parts[[EOP]:[EOP]])), t_Parts[[SetupHrsPerMo]:[SetupHrsPerMo]]+(t_Parts[[#This Row],[pv2015.05]]/t_Parts[[NetPPH]:[NetPPH]]),0)</f>
        <v>23.314219114219114</v>
      </c>
      <c r="CW87" s="39">
        <f>IF(AND(AQ$3&gt;=VALUE(t_Parts[[SOP]:[SOP]]),AQ$3&lt;=VALUE(t_Parts[[EOP]:[EOP]])), t_Parts[[SetupHrsPerMo]:[SetupHrsPerMo]]+(t_Parts[[#This Row],[pv2015.06]]/t_Parts[[NetPPH]:[NetPPH]]),0)</f>
        <v>28.142773892773896</v>
      </c>
      <c r="CX87" s="39">
        <f>IF(AND(AR$3&gt;=VALUE(t_Parts[[SOP]:[SOP]]),AR$3&lt;=VALUE(t_Parts[[EOP]:[EOP]])), t_Parts[[SetupHrsPerMo]:[SetupHrsPerMo]]+(t_Parts[[#This Row],[pv2015.07]]/t_Parts[[NetPPH]:[NetPPH]]),0)</f>
        <v>23.314219114219114</v>
      </c>
      <c r="CY87" s="39">
        <f>IF(AND(AS$3&gt;=VALUE(t_Parts[[SOP]:[SOP]]),AS$3&lt;=VALUE(t_Parts[[EOP]:[EOP]])), t_Parts[[SetupHrsPerMo]:[SetupHrsPerMo]]+(t_Parts[[#This Row],[pv2015.08]]/t_Parts[[NetPPH]:[NetPPH]]),0)</f>
        <v>23.314219114219114</v>
      </c>
      <c r="CZ87" s="39">
        <f>IF(AND(AT$3&gt;=VALUE(t_Parts[[SOP]:[SOP]]),AT$3&lt;=VALUE(t_Parts[[EOP]:[EOP]])), t_Parts[[SetupHrsPerMo]:[SetupHrsPerMo]]+(t_Parts[[#This Row],[pv2015.09]]/t_Parts[[NetPPH]:[NetPPH]]),0)</f>
        <v>28.142773892773896</v>
      </c>
      <c r="DA87" s="39">
        <f>IF(AND(AU$3&gt;=VALUE(t_Parts[[SOP]:[SOP]]),AU$3&lt;=VALUE(t_Parts[[EOP]:[EOP]])), t_Parts[[SetupHrsPerMo]:[SetupHrsPerMo]]+(t_Parts[[#This Row],[pv2015.10]]/t_Parts[[NetPPH]:[NetPPH]]),0)</f>
        <v>23.314219114219114</v>
      </c>
      <c r="DB87" s="39">
        <f>IF(AND(AV$3&gt;=VALUE(t_Parts[[SOP]:[SOP]]),AV$3&lt;=VALUE(t_Parts[[EOP]:[EOP]])), t_Parts[[SetupHrsPerMo]:[SetupHrsPerMo]]+(t_Parts[[#This Row],[pv2015.11]]/t_Parts[[NetPPH]:[NetPPH]]),0)</f>
        <v>23.314219114219114</v>
      </c>
      <c r="DC87" s="39">
        <f>IF(AND(AW$3&gt;=VALUE(t_Parts[[SOP]:[SOP]]),AW$3&lt;=VALUE(t_Parts[[EOP]:[EOP]])), t_Parts[[SetupHrsPerMo]:[SetupHrsPerMo]]+(t_Parts[[#This Row],[pv2015.12]]/t_Parts[[NetPPH]:[NetPPH]]),0)</f>
        <v>28.142773892773896</v>
      </c>
      <c r="DD87" s="39">
        <f>SUM(t_Parts[[#This Row],[hp2015.01]:[hp2015.12]])</f>
        <v>299.08484848484846</v>
      </c>
      <c r="DE87" s="39">
        <f>IF(AND(AY$3&gt;=VALUE(t_Parts[[SOP]:[SOP]]),AY$3&lt;=VALUE(t_Parts[[EOP]:[EOP]])), t_Parts[[SetupHrsPerMo]:[SetupHrsPerMo]]+(t_Parts[[#This Row],[pv2016.01]]/t_Parts[[NetPPH]:[NetPPH]]),0)</f>
        <v>23.314219114219114</v>
      </c>
      <c r="DF87" s="39">
        <f>IF(AND(AZ$3&gt;=VALUE(t_Parts[[SOP]:[SOP]]),AZ$3&lt;=VALUE(t_Parts[[EOP]:[EOP]])), t_Parts[[SetupHrsPerMo]:[SetupHrsPerMo]]+(t_Parts[[#This Row],[pv2016.02]]/t_Parts[[NetPPH]:[NetPPH]]),0)</f>
        <v>23.314219114219114</v>
      </c>
      <c r="DG87" s="39">
        <f>IF(AND(BA$3&gt;=VALUE(t_Parts[[SOP]:[SOP]]),BA$3&lt;=VALUE(t_Parts[[EOP]:[EOP]])), t_Parts[[SetupHrsPerMo]:[SetupHrsPerMo]]+(t_Parts[[#This Row],[pv2016.03]]/t_Parts[[NetPPH]:[NetPPH]]),0)</f>
        <v>0</v>
      </c>
      <c r="DH87" s="39">
        <f>IF(AND(BB$3&gt;=VALUE(t_Parts[[SOP]:[SOP]]),BB$3&lt;=VALUE(t_Parts[[EOP]:[EOP]])), t_Parts[[SetupHrsPerMo]:[SetupHrsPerMo]]+(t_Parts[[#This Row],[pv2016.04]]/t_Parts[[NetPPH]:[NetPPH]]),0)</f>
        <v>0</v>
      </c>
      <c r="DI87" s="39">
        <f>IF(AND(BC$3&gt;=VALUE(t_Parts[[SOP]:[SOP]]),BC$3&lt;=VALUE(t_Parts[[EOP]:[EOP]])), t_Parts[[SetupHrsPerMo]:[SetupHrsPerMo]]+(t_Parts[[#This Row],[pv2016.05]]/t_Parts[[NetPPH]:[NetPPH]]),0)</f>
        <v>0</v>
      </c>
      <c r="DJ87" s="39">
        <f>IF(AND(BD$3&gt;=VALUE(t_Parts[[SOP]:[SOP]]),BD$3&lt;=VALUE(t_Parts[[EOP]:[EOP]])), t_Parts[[SetupHrsPerMo]:[SetupHrsPerMo]]+(t_Parts[[#This Row],[pv2016.06]]/t_Parts[[NetPPH]:[NetPPH]]),0)</f>
        <v>0</v>
      </c>
      <c r="DK87" s="39">
        <f>IF(AND(BE$3&gt;=VALUE(t_Parts[[SOP]:[SOP]]),BE$3&lt;=VALUE(t_Parts[[EOP]:[EOP]])), t_Parts[[SetupHrsPerMo]:[SetupHrsPerMo]]+(t_Parts[[#This Row],[pv2016.07]]/t_Parts[[NetPPH]:[NetPPH]]),0)</f>
        <v>0</v>
      </c>
      <c r="DL87" s="39">
        <f>IF(AND(BF$3&gt;=VALUE(t_Parts[[SOP]:[SOP]]),BF$3&lt;=VALUE(t_Parts[[EOP]:[EOP]])), t_Parts[[SetupHrsPerMo]:[SetupHrsPerMo]]+(t_Parts[[#This Row],[pv2016.08]]/t_Parts[[NetPPH]:[NetPPH]]),0)</f>
        <v>0</v>
      </c>
      <c r="DM87" s="39">
        <f>IF(AND(BG$3&gt;=VALUE(t_Parts[[SOP]:[SOP]]),BG$3&lt;=VALUE(t_Parts[[EOP]:[EOP]])), t_Parts[[SetupHrsPerMo]:[SetupHrsPerMo]]+(t_Parts[[#This Row],[pv2016.09]]/t_Parts[[NetPPH]:[NetPPH]]),0)</f>
        <v>0</v>
      </c>
      <c r="DN87" s="39">
        <f>IF(AND(BH$3&gt;=VALUE(t_Parts[[SOP]:[SOP]]),BH$3&lt;=VALUE(t_Parts[[EOP]:[EOP]])), t_Parts[[SetupHrsPerMo]:[SetupHrsPerMo]]+(t_Parts[[#This Row],[pv2016.10]]/t_Parts[[NetPPH]:[NetPPH]]),0)</f>
        <v>0</v>
      </c>
      <c r="DO87" s="39">
        <f>IF(AND(BI$3&gt;=VALUE(t_Parts[[SOP]:[SOP]]),BI$3&lt;=VALUE(t_Parts[[EOP]:[EOP]])), t_Parts[[SetupHrsPerMo]:[SetupHrsPerMo]]+(t_Parts[[#This Row],[pv2016.11]]/t_Parts[[NetPPH]:[NetPPH]]),0)</f>
        <v>0</v>
      </c>
      <c r="DP87" s="39">
        <f>IF(AND(BJ$3&gt;=VALUE(t_Parts[[SOP]:[SOP]]),BJ$3&lt;=VALUE(t_Parts[[EOP]:[EOP]])), t_Parts[[SetupHrsPerMo]:[SetupHrsPerMo]]+(t_Parts[[#This Row],[pv2016.12]]/t_Parts[[NetPPH]:[NetPPH]]),0)</f>
        <v>0</v>
      </c>
      <c r="DQ87" s="39">
        <f>SUM(t_Parts[[#This Row],[hp2016.01]:[hp2016.12]])</f>
        <v>46.628438228438227</v>
      </c>
      <c r="DR87" s="39">
        <f>IF(AND(BL$3&gt;=VALUE(t_Parts[[SOP]:[SOP]]),BL$3&lt;=VALUE(t_Parts[[EOP]:[EOP]])), 12*t_Parts[[SetupHrsPerMo]:[SetupHrsPerMo]]+(t_Parts[[#This Row],[pv2017]]/t_Parts[[NetPPH]:[NetPPH]]),0)</f>
        <v>0</v>
      </c>
      <c r="DS87" s="39">
        <f>IF(AND(BM$3&gt;=VALUE(t_Parts[[SOP]:[SOP]]),BM$3&lt;=VALUE(t_Parts[[EOP]:[EOP]])), 12*t_Parts[[SetupHrsPerMo]:[SetupHrsPerMo]]+(t_Parts[[#This Row],[pv2018]]/t_Parts[[NetPPH]:[NetPPH]]),0)</f>
        <v>0</v>
      </c>
      <c r="DT87" s="39">
        <f>IF(AND(BN$3&gt;=VALUE(t_Parts[[SOP]:[SOP]]),BN$3&lt;=VALUE(t_Parts[[EOP]:[EOP]])), 12*t_Parts[[SetupHrsPerMo]:[SetupHrsPerMo]]+(t_Parts[[#This Row],[pv2019]]/t_Parts[[NetPPH]:[NetPPH]]),0)</f>
        <v>0</v>
      </c>
      <c r="DU87" s="47">
        <f>t_Parts[[#This Row],[hp2015.01]]/t_Parts[[#This Row],[ha2015.01]]</f>
        <v>8.3265068265068257E-2</v>
      </c>
      <c r="DV87" s="47">
        <f>t_Parts[[#This Row],[hp2015.02]]/t_Parts[[#This Row],[ha2015.02]]</f>
        <v>8.3265068265068257E-2</v>
      </c>
      <c r="DW87" s="47">
        <f>t_Parts[[#This Row],[hp2015.03]]/t_Parts[[#This Row],[ha2015.03]]</f>
        <v>8.0407925407925421E-2</v>
      </c>
      <c r="DX87" s="47">
        <f>t_Parts[[#This Row],[hp2015.04]]/t_Parts[[#This Row],[ha2015.04]]</f>
        <v>8.3265068265068257E-2</v>
      </c>
      <c r="DY87" s="47">
        <f>t_Parts[[#This Row],[hp2015.05]]/t_Parts[[#This Row],[ha2015.05]]</f>
        <v>8.3265068265068257E-2</v>
      </c>
      <c r="DZ87" s="47">
        <f>t_Parts[[#This Row],[hp2015.06]]/t_Parts[[#This Row],[ha2015.06]]</f>
        <v>8.0407925407925421E-2</v>
      </c>
      <c r="EA87" s="47">
        <f>t_Parts[[#This Row],[hp2015.07]]/t_Parts[[#This Row],[ha2015.07]]</f>
        <v>8.3265068265068257E-2</v>
      </c>
      <c r="EB87" s="47">
        <f>t_Parts[[#This Row],[hp2015.08]]/t_Parts[[#This Row],[ha2015.08]]</f>
        <v>8.3265068265068257E-2</v>
      </c>
      <c r="EC87" s="47">
        <f>t_Parts[[#This Row],[hp2015.09]]/t_Parts[[#This Row],[ha2015.09]]</f>
        <v>8.0407925407925421E-2</v>
      </c>
      <c r="ED87" s="47">
        <f>t_Parts[[#This Row],[hp2015.10]]/t_Parts[[#This Row],[ha2015.10]]</f>
        <v>8.3265068265068257E-2</v>
      </c>
      <c r="EE87" s="47">
        <f>t_Parts[[#This Row],[hp2015.11]]/t_Parts[[#This Row],[ha2015.11]]</f>
        <v>8.3265068265068257E-2</v>
      </c>
      <c r="EF87" s="47">
        <f>t_Parts[[#This Row],[hp2015.12]]/t_Parts[[#This Row],[ha2015.12]]</f>
        <v>8.0407925407925421E-2</v>
      </c>
      <c r="EG87" s="47">
        <f>t_Parts[[#This Row],[hp2015.FY]]/t_Parts[[#This Row],[ha2015.FY]]</f>
        <v>8.2166167166167162E-2</v>
      </c>
      <c r="EH87" s="47">
        <f>t_Parts[[#This Row],[hp2016.01]]/t_Parts[[#This Row],[ha2016.01]]</f>
        <v>8.3265068265068257E-2</v>
      </c>
      <c r="EI87" s="47">
        <f>t_Parts[[#This Row],[hp2016.02]]/t_Parts[[#This Row],[ha2016.02]]</f>
        <v>8.3265068265068257E-2</v>
      </c>
      <c r="EJ87" s="47">
        <f>t_Parts[[#This Row],[hp2016.03]]/t_Parts[[#This Row],[ha2016.03]]</f>
        <v>0</v>
      </c>
      <c r="EK87" s="47">
        <f>t_Parts[[#This Row],[hp2016.04]]/t_Parts[[#This Row],[ha2016.04]]</f>
        <v>0</v>
      </c>
      <c r="EL87" s="47">
        <f>t_Parts[[#This Row],[hp2016.05]]/t_Parts[[#This Row],[ha2016.05]]</f>
        <v>0</v>
      </c>
      <c r="EM87" s="47">
        <f>t_Parts[[#This Row],[hp2016.06]]/t_Parts[[#This Row],[ha2016.06]]</f>
        <v>0</v>
      </c>
      <c r="EN87" s="47">
        <f>t_Parts[[#This Row],[hp2016.07]]/t_Parts[[#This Row],[ha2016.07]]</f>
        <v>0</v>
      </c>
      <c r="EO87" s="47">
        <f>t_Parts[[#This Row],[hp2016.08]]/t_Parts[[#This Row],[ha2016.08]]</f>
        <v>0</v>
      </c>
      <c r="EP87" s="47">
        <f>t_Parts[[#This Row],[hp2016.09]]/t_Parts[[#This Row],[ha2016.09]]</f>
        <v>0</v>
      </c>
      <c r="EQ87" s="47">
        <f>t_Parts[[#This Row],[hp2016.10]]/t_Parts[[#This Row],[ha2016.10]]</f>
        <v>0</v>
      </c>
      <c r="ER87" s="47">
        <f>t_Parts[[#This Row],[hp2016.11]]/t_Parts[[#This Row],[ha2016.11]]</f>
        <v>0</v>
      </c>
      <c r="ES87" s="47">
        <f>t_Parts[[#This Row],[hp2016.12]]/t_Parts[[#This Row],[ha2016.12]]</f>
        <v>0</v>
      </c>
      <c r="ET87" s="47">
        <f>t_Parts[[#This Row],[hp2016.FY]]/t_Parts[[#This Row],[ha2016.FY]]</f>
        <v>1.2810010502318194E-2</v>
      </c>
      <c r="EU87" s="47">
        <f>t_Parts[[#This Row],[hp2017]]/t_Parts[[#This Row],[ha2017]]</f>
        <v>0</v>
      </c>
      <c r="EV87" s="47">
        <f>t_Parts[[#This Row],[hp2018]]/t_Parts[[#This Row],[ha2018]]</f>
        <v>0</v>
      </c>
      <c r="EW87" s="47">
        <f>t_Parts[[#This Row],[hp2019]]/t_Parts[[#This Row],[hp2015.01]]</f>
        <v>0</v>
      </c>
      <c r="EX87" s="58">
        <f>(t_Parts[[#This Row],[ha2015.01]]-t_Parts[[#This Row],[hp2015.01]])*t_Parts[[NetPPH]:[NetPPH]]</f>
        <v>592944.15384615387</v>
      </c>
      <c r="EY87" s="58">
        <f>(t_Parts[[#This Row],[ha2015.02]]-t_Parts[[#This Row],[hp2015.02]])*t_Parts[[NetPPH]:[NetPPH]]</f>
        <v>592944.15384615387</v>
      </c>
      <c r="EZ87" s="58">
        <f>(t_Parts[[#This Row],[ha2015.03]]-t_Parts[[#This Row],[hp2015.03]])*t_Parts[[NetPPH]:[NetPPH]]</f>
        <v>743490.19230769225</v>
      </c>
      <c r="FA87" s="58">
        <f>(t_Parts[[#This Row],[ha2015.04]]-t_Parts[[#This Row],[hp2015.04]])*t_Parts[[NetPPH]:[NetPPH]]</f>
        <v>592944.15384615387</v>
      </c>
      <c r="FB87" s="58">
        <f>(t_Parts[[#This Row],[ha2015.05]]-t_Parts[[#This Row],[hp2015.05]])*t_Parts[[NetPPH]:[NetPPH]]</f>
        <v>592944.15384615387</v>
      </c>
      <c r="FC87" s="58">
        <f>(t_Parts[[#This Row],[ha2015.06]]-t_Parts[[#This Row],[hp2015.06]])*t_Parts[[NetPPH]:[NetPPH]]</f>
        <v>743490.19230769225</v>
      </c>
      <c r="FD87" s="58">
        <f>(t_Parts[[#This Row],[ha2015.07]]-t_Parts[[#This Row],[hp2015.07]])*t_Parts[[NetPPH]:[NetPPH]]</f>
        <v>592944.15384615387</v>
      </c>
      <c r="FE87" s="58">
        <f>(t_Parts[[#This Row],[ha2015.08]]-t_Parts[[#This Row],[hp2015.08]])*t_Parts[[NetPPH]:[NetPPH]]</f>
        <v>592944.15384615387</v>
      </c>
      <c r="FF87" s="58">
        <f>(t_Parts[[#This Row],[ha2015.09]]-t_Parts[[#This Row],[hp2015.09]])*t_Parts[[NetPPH]:[NetPPH]]</f>
        <v>743490.19230769225</v>
      </c>
      <c r="FG87" s="58">
        <f>(t_Parts[[#This Row],[ha2015.10]]-t_Parts[[#This Row],[hp2015.10]])*t_Parts[[NetPPH]:[NetPPH]]</f>
        <v>592944.15384615387</v>
      </c>
      <c r="FH87" s="58">
        <f>(t_Parts[[#This Row],[ha2015.11]]-t_Parts[[#This Row],[hp2015.11]])*t_Parts[[NetPPH]:[NetPPH]]</f>
        <v>592944.15384615387</v>
      </c>
      <c r="FI87" s="58">
        <f>(t_Parts[[#This Row],[ha2015.12]]-t_Parts[[#This Row],[hp2015.12]])*t_Parts[[NetPPH]:[NetPPH]]</f>
        <v>743490.19230769225</v>
      </c>
      <c r="FJ87" s="58">
        <f>(t_Parts[[#This Row],[ha2015.FY]]-t_Parts[[#This Row],[hp2015.FY]])*t_Parts[[NetPPH]:[NetPPH]]</f>
        <v>7717514</v>
      </c>
      <c r="FK87" s="58">
        <f>(t_Parts[[#This Row],[ha2016.01]]-t_Parts[[#This Row],[hp2016.01]])*t_Parts[[NetPPH]:[NetPPH]]</f>
        <v>592944.15384615387</v>
      </c>
      <c r="FL87" s="58">
        <f>(t_Parts[[#This Row],[ha2016.02]]-t_Parts[[#This Row],[hp2016.02]])*t_Parts[[NetPPH]:[NetPPH]]</f>
        <v>592944.15384615387</v>
      </c>
      <c r="FM87" s="58">
        <f>(t_Parts[[#This Row],[ha2016.03]]-t_Parts[[#This Row],[hp2016.03]])*t_Parts[[NetPPH]:[NetPPH]]</f>
        <v>808500</v>
      </c>
      <c r="FN87" s="58">
        <f>(t_Parts[[#This Row],[ha2016.04]]-t_Parts[[#This Row],[hp2016.04]])*t_Parts[[NetPPH]:[NetPPH]]</f>
        <v>646800</v>
      </c>
      <c r="FO87" s="58">
        <f>(t_Parts[[#This Row],[ha2016.05]]-t_Parts[[#This Row],[hp2016.05]])*t_Parts[[NetPPH]:[NetPPH]]</f>
        <v>646800</v>
      </c>
      <c r="FP87" s="58">
        <f>(t_Parts[[#This Row],[ha2016.06]]-t_Parts[[#This Row],[hp2016.06]])*t_Parts[[NetPPH]:[NetPPH]]</f>
        <v>808500</v>
      </c>
      <c r="FQ87" s="58">
        <f>(t_Parts[[#This Row],[ha2016.07]]-t_Parts[[#This Row],[hp2016.07]])*t_Parts[[NetPPH]:[NetPPH]]</f>
        <v>646800</v>
      </c>
      <c r="FR87" s="58">
        <f>(t_Parts[[#This Row],[ha2016.08]]-t_Parts[[#This Row],[hp2016.08]])*t_Parts[[NetPPH]:[NetPPH]]</f>
        <v>646800</v>
      </c>
      <c r="FS87" s="58">
        <f>(t_Parts[[#This Row],[ha2016.09]]-t_Parts[[#This Row],[hp2016.09]])*t_Parts[[NetPPH]:[NetPPH]]</f>
        <v>808500</v>
      </c>
      <c r="FT87" s="58">
        <f>(t_Parts[[#This Row],[ha2016.10]]-t_Parts[[#This Row],[hp2016.10]])*t_Parts[[NetPPH]:[NetPPH]]</f>
        <v>646800</v>
      </c>
      <c r="FU87" s="58">
        <f>(t_Parts[[#This Row],[ha2016.11]]-t_Parts[[#This Row],[hp2016.11]])*t_Parts[[NetPPH]:[NetPPH]]</f>
        <v>646800</v>
      </c>
      <c r="FV87" s="58">
        <f>(t_Parts[[#This Row],[ha2016.12]]-t_Parts[[#This Row],[hp2016.12]])*t_Parts[[NetPPH]:[NetPPH]]</f>
        <v>808500</v>
      </c>
      <c r="FW87" s="58">
        <f>(t_Parts[[#This Row],[ha2016.FY]]-t_Parts[[#This Row],[hp2016.FY]])*t_Parts[[NetPPH]:[NetPPH]]</f>
        <v>8300688.307692307</v>
      </c>
      <c r="FX87" s="58">
        <f>(t_Parts[[#This Row],[ha2017]]-t_Parts[[#This Row],[hp2017]])*t_Parts[[NetPPH]:[NetPPH]]</f>
        <v>8408400</v>
      </c>
      <c r="FY87" s="58">
        <f>(t_Parts[[#This Row],[ha2018]]-t_Parts[[#This Row],[hp2018]])*t_Parts[[NetPPH]:[NetPPH]]</f>
        <v>8408400</v>
      </c>
      <c r="FZ87" s="58">
        <f>(t_Parts[[#This Row],[ha2019]]-t_Parts[[#This Row],[hp2019]])*t_Parts[[NetPPH]:[NetPPH]]</f>
        <v>8408400</v>
      </c>
    </row>
    <row r="88" spans="1:182" s="14" customFormat="1" x14ac:dyDescent="0.25">
      <c r="A88" s="74">
        <v>37269</v>
      </c>
      <c r="B88" s="74"/>
      <c r="C88" s="74">
        <v>21001</v>
      </c>
      <c r="D88" s="75">
        <v>1</v>
      </c>
      <c r="E88" s="73">
        <v>2400</v>
      </c>
      <c r="F88" s="76">
        <v>1</v>
      </c>
      <c r="G88" s="77">
        <v>4</v>
      </c>
      <c r="H88" s="16">
        <v>2015.01</v>
      </c>
      <c r="I88" s="16">
        <v>2015.06</v>
      </c>
      <c r="J88" s="73">
        <v>3980</v>
      </c>
      <c r="K88" s="73">
        <v>3980</v>
      </c>
      <c r="L88" s="73">
        <v>3980</v>
      </c>
      <c r="M88" s="73">
        <v>3980</v>
      </c>
      <c r="N88" s="73">
        <v>3980</v>
      </c>
      <c r="O88" s="78">
        <v>39</v>
      </c>
      <c r="P88" s="78">
        <v>94</v>
      </c>
      <c r="Q88" s="79">
        <v>22.43</v>
      </c>
      <c r="R88" s="79"/>
      <c r="S88" s="78">
        <v>90</v>
      </c>
      <c r="T88" s="80">
        <v>14.5</v>
      </c>
      <c r="U88" s="80" t="s">
        <v>121</v>
      </c>
      <c r="V88" s="81" t="s">
        <v>500</v>
      </c>
      <c r="W88" s="82">
        <v>0.81</v>
      </c>
      <c r="X88" s="82" t="s">
        <v>501</v>
      </c>
      <c r="Y88" s="82"/>
      <c r="Z88" s="82"/>
      <c r="AA88" s="82"/>
      <c r="AB88" s="82"/>
      <c r="AC88" s="83" t="s">
        <v>667</v>
      </c>
      <c r="AD88" s="40" t="str">
        <f>VLOOKUP(t_Parts[[#This Row],[Press]],t_Presses[],Press!B$1,FALSE)</f>
        <v>Plainfield</v>
      </c>
      <c r="AE88" s="40" t="str">
        <f>VLOOKUP(t_Parts[[#This Row],[Press]],t_Presses[],Press!E$1,FALSE)</f>
        <v>300-599</v>
      </c>
      <c r="AF88" s="47">
        <f>VLOOKUP(t_Parts[[#This Row],[Plant]],t_Plants[],Plants!C$1,FALSE)</f>
        <v>0.55000000000000004</v>
      </c>
      <c r="AG88" s="47">
        <f>VLOOKUP(t_Parts[[#This Row],[Press]],t_Presses[],Press!F$1,FALSE)</f>
        <v>0</v>
      </c>
      <c r="AH88" s="84"/>
      <c r="AI88" s="47">
        <f>IF(ISBLANK(t_Parts[[#This Row],[PartOEE]])=FALSE,t_Parts[[#This Row],[PartOEE]], IF(t_Parts[[#This Row],[PressOEE]]&gt;0, t_Parts[[#This Row],[PressOEE]], t_Parts[[#This Row],[PlantOEE]] ))</f>
        <v>0.55000000000000004</v>
      </c>
      <c r="AJ88" s="70">
        <f>t_Parts[[#This Row],[SetupsPerMo]]*t_Parts[[#This Row],[SetupHrs]]</f>
        <v>4</v>
      </c>
      <c r="AK88" s="39">
        <f>(t_Parts[[#This Row],[PartsPerStroke]]*t_Parts[[#This Row],[StrokesPerHr]])*t_Parts[[#This Row],[UseOEE]]</f>
        <v>1320</v>
      </c>
      <c r="AL8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306.15384615384619</v>
      </c>
      <c r="AM8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306.15384615384619</v>
      </c>
      <c r="AN8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382.69230769230768</v>
      </c>
      <c r="AO8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306.15384615384619</v>
      </c>
      <c r="AP8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306.15384615384619</v>
      </c>
      <c r="AQ8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382.69230769230768</v>
      </c>
      <c r="AR8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0</v>
      </c>
      <c r="AS8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0</v>
      </c>
      <c r="AT8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0</v>
      </c>
      <c r="AU8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8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8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88" s="39">
        <f>SUM(t_Parts[[#This Row],[pv2015.01]:[pv2015.12]])</f>
        <v>1990</v>
      </c>
      <c r="AY8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8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8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8" s="39">
        <f>SUM(t_Parts[[#This Row],[pv2016.01]:[pv2016.12]])</f>
        <v>0</v>
      </c>
      <c r="BL88" s="39">
        <f>t_Parts[[#This Row],[2017vol]]</f>
        <v>3980</v>
      </c>
      <c r="BM88" s="39">
        <f>t_Parts[[#This Row],[2018vol]]</f>
        <v>3980</v>
      </c>
      <c r="BN88" s="39">
        <f>t_Parts[[#This Row],[2019vol]]</f>
        <v>3980</v>
      </c>
      <c r="BO88" s="40">
        <f>VLOOKUP(t_Parts[[Plant]:[Plant]],t_Plants[],Plants!CN$1,FALSE)</f>
        <v>280</v>
      </c>
      <c r="BP88" s="14">
        <f>VLOOKUP(t_Parts[[Plant]:[Plant]],t_Plants[],Plants!CO$1,FALSE)</f>
        <v>280</v>
      </c>
      <c r="BQ88" s="14">
        <f>VLOOKUP(t_Parts[[Plant]:[Plant]],t_Plants[],Plants!CP$1,FALSE)</f>
        <v>350</v>
      </c>
      <c r="BR88" s="14">
        <f>VLOOKUP(t_Parts[[Plant]:[Plant]],t_Plants[],Plants!CQ$1,FALSE)</f>
        <v>280</v>
      </c>
      <c r="BS88" s="14">
        <f>VLOOKUP(t_Parts[[Plant]:[Plant]],t_Plants[],Plants!CR$1,FALSE)</f>
        <v>280</v>
      </c>
      <c r="BT88" s="14">
        <f>VLOOKUP(t_Parts[[Plant]:[Plant]],t_Plants[],Plants!CS$1,FALSE)</f>
        <v>350</v>
      </c>
      <c r="BU88" s="14">
        <f>VLOOKUP(t_Parts[[Plant]:[Plant]],t_Plants[],Plants!CT$1,FALSE)</f>
        <v>280</v>
      </c>
      <c r="BV88" s="14">
        <f>VLOOKUP(t_Parts[[Plant]:[Plant]],t_Plants[],Plants!CU$1,FALSE)</f>
        <v>280</v>
      </c>
      <c r="BW88" s="14">
        <f>VLOOKUP(t_Parts[[Plant]:[Plant]],t_Plants[],Plants!CV$1,FALSE)</f>
        <v>350</v>
      </c>
      <c r="BX88" s="14">
        <f>VLOOKUP(t_Parts[[Plant]:[Plant]],t_Plants[],Plants!CW$1,FALSE)</f>
        <v>280</v>
      </c>
      <c r="BY88" s="14">
        <f>VLOOKUP(t_Parts[[Plant]:[Plant]],t_Plants[],Plants!CX$1,FALSE)</f>
        <v>280</v>
      </c>
      <c r="BZ88" s="14">
        <f>VLOOKUP(t_Parts[[Plant]:[Plant]],t_Plants[],Plants!CY$1,FALSE)</f>
        <v>350</v>
      </c>
      <c r="CA88" s="40">
        <f>SUM(t_Parts[[#This Row],[ha2015.01]:[ha2015.12]])</f>
        <v>3640</v>
      </c>
      <c r="CB88" s="14">
        <f>VLOOKUP(t_Parts[[Plant]:[Plant]],t_Plants[],Plants!DA$1,FALSE)</f>
        <v>280</v>
      </c>
      <c r="CC88" s="14">
        <f>VLOOKUP(t_Parts[[Plant]:[Plant]],t_Plants[],Plants!DB$1,FALSE)</f>
        <v>280</v>
      </c>
      <c r="CD88" s="14">
        <f>VLOOKUP(t_Parts[[Plant]:[Plant]],t_Plants[],Plants!DC$1,FALSE)</f>
        <v>350</v>
      </c>
      <c r="CE88" s="14">
        <f>VLOOKUP(t_Parts[[Plant]:[Plant]],t_Plants[],Plants!DD$1,FALSE)</f>
        <v>280</v>
      </c>
      <c r="CF88" s="14">
        <f>VLOOKUP(t_Parts[[Plant]:[Plant]],t_Plants[],Plants!DE$1,FALSE)</f>
        <v>280</v>
      </c>
      <c r="CG88" s="14">
        <f>VLOOKUP(t_Parts[[Plant]:[Plant]],t_Plants[],Plants!DF$1,FALSE)</f>
        <v>350</v>
      </c>
      <c r="CH88" s="14">
        <f>VLOOKUP(t_Parts[[Plant]:[Plant]],t_Plants[],Plants!DG$1,FALSE)</f>
        <v>280</v>
      </c>
      <c r="CI88" s="14">
        <f>VLOOKUP(t_Parts[[Plant]:[Plant]],t_Plants[],Plants!DH$1,FALSE)</f>
        <v>280</v>
      </c>
      <c r="CJ88" s="14">
        <f>VLOOKUP(t_Parts[[Plant]:[Plant]],t_Plants[],Plants!DI$1,FALSE)</f>
        <v>350</v>
      </c>
      <c r="CK88" s="14">
        <f>VLOOKUP(t_Parts[[Plant]:[Plant]],t_Plants[],Plants!DJ$1,FALSE)</f>
        <v>280</v>
      </c>
      <c r="CL88" s="14">
        <f>VLOOKUP(t_Parts[[Plant]:[Plant]],t_Plants[],Plants!DK$1,FALSE)</f>
        <v>280</v>
      </c>
      <c r="CM88" s="14">
        <f>VLOOKUP(t_Parts[[Plant]:[Plant]],t_Plants[],Plants!DL$1,FALSE)</f>
        <v>350</v>
      </c>
      <c r="CN88" s="14">
        <f>VLOOKUP(t_Parts[[Plant]:[Plant]],t_Plants[],Plants!DM$1,FALSE)</f>
        <v>3640</v>
      </c>
      <c r="CO88" s="14">
        <f>VLOOKUP(t_Parts[[Plant]:[Plant]],t_Plants[],Plants!DN$1,FALSE)</f>
        <v>3640</v>
      </c>
      <c r="CP88" s="14">
        <f>VLOOKUP(t_Parts[[Plant]:[Plant]],t_Plants[],Plants!DO$1,FALSE)</f>
        <v>3640</v>
      </c>
      <c r="CQ88" s="14">
        <f>VLOOKUP(t_Parts[[Plant]:[Plant]],t_Plants[],Plants!DP$1,FALSE)</f>
        <v>3640</v>
      </c>
      <c r="CR88" s="39">
        <f>IF(AND(AL$3&gt;=VALUE(t_Parts[[SOP]:[SOP]]),AL$3&lt;=VALUE(t_Parts[[EOP]:[EOP]])), t_Parts[[SetupHrsPerMo]:[SetupHrsPerMo]]+(t_Parts[[#This Row],[pv2015.01]]/t_Parts[[NetPPH]:[NetPPH]]),0)</f>
        <v>4.2319347319347322</v>
      </c>
      <c r="CS88" s="39">
        <f>IF(AND(AM$3&gt;=VALUE(t_Parts[[SOP]:[SOP]]),AM$3&lt;=VALUE(t_Parts[[EOP]:[EOP]])), t_Parts[[SetupHrsPerMo]:[SetupHrsPerMo]]+(t_Parts[[#This Row],[pv2015.02]]/t_Parts[[NetPPH]:[NetPPH]]),0)</f>
        <v>4.2319347319347322</v>
      </c>
      <c r="CT88" s="39">
        <f>IF(AND(AN$3&gt;=VALUE(t_Parts[[SOP]:[SOP]]),AN$3&lt;=VALUE(t_Parts[[EOP]:[EOP]])), t_Parts[[SetupHrsPerMo]:[SetupHrsPerMo]]+(t_Parts[[#This Row],[pv2015.03]]/t_Parts[[NetPPH]:[NetPPH]]),0)</f>
        <v>4.2899184149184153</v>
      </c>
      <c r="CU88" s="39">
        <f>IF(AND(AO$3&gt;=VALUE(t_Parts[[SOP]:[SOP]]),AO$3&lt;=VALUE(t_Parts[[EOP]:[EOP]])), t_Parts[[SetupHrsPerMo]:[SetupHrsPerMo]]+(t_Parts[[#This Row],[pv2015.04]]/t_Parts[[NetPPH]:[NetPPH]]),0)</f>
        <v>4.2319347319347322</v>
      </c>
      <c r="CV88" s="39">
        <f>IF(AND(AP$3&gt;=VALUE(t_Parts[[SOP]:[SOP]]),AP$3&lt;=VALUE(t_Parts[[EOP]:[EOP]])), t_Parts[[SetupHrsPerMo]:[SetupHrsPerMo]]+(t_Parts[[#This Row],[pv2015.05]]/t_Parts[[NetPPH]:[NetPPH]]),0)</f>
        <v>4.2319347319347322</v>
      </c>
      <c r="CW88" s="39">
        <f>IF(AND(AQ$3&gt;=VALUE(t_Parts[[SOP]:[SOP]]),AQ$3&lt;=VALUE(t_Parts[[EOP]:[EOP]])), t_Parts[[SetupHrsPerMo]:[SetupHrsPerMo]]+(t_Parts[[#This Row],[pv2015.06]]/t_Parts[[NetPPH]:[NetPPH]]),0)</f>
        <v>4.2899184149184153</v>
      </c>
      <c r="CX88" s="39">
        <f>IF(AND(AR$3&gt;=VALUE(t_Parts[[SOP]:[SOP]]),AR$3&lt;=VALUE(t_Parts[[EOP]:[EOP]])), t_Parts[[SetupHrsPerMo]:[SetupHrsPerMo]]+(t_Parts[[#This Row],[pv2015.07]]/t_Parts[[NetPPH]:[NetPPH]]),0)</f>
        <v>0</v>
      </c>
      <c r="CY88" s="39">
        <f>IF(AND(AS$3&gt;=VALUE(t_Parts[[SOP]:[SOP]]),AS$3&lt;=VALUE(t_Parts[[EOP]:[EOP]])), t_Parts[[SetupHrsPerMo]:[SetupHrsPerMo]]+(t_Parts[[#This Row],[pv2015.08]]/t_Parts[[NetPPH]:[NetPPH]]),0)</f>
        <v>0</v>
      </c>
      <c r="CZ88" s="39">
        <f>IF(AND(AT$3&gt;=VALUE(t_Parts[[SOP]:[SOP]]),AT$3&lt;=VALUE(t_Parts[[EOP]:[EOP]])), t_Parts[[SetupHrsPerMo]:[SetupHrsPerMo]]+(t_Parts[[#This Row],[pv2015.09]]/t_Parts[[NetPPH]:[NetPPH]]),0)</f>
        <v>0</v>
      </c>
      <c r="DA88" s="39">
        <f>IF(AND(AU$3&gt;=VALUE(t_Parts[[SOP]:[SOP]]),AU$3&lt;=VALUE(t_Parts[[EOP]:[EOP]])), t_Parts[[SetupHrsPerMo]:[SetupHrsPerMo]]+(t_Parts[[#This Row],[pv2015.10]]/t_Parts[[NetPPH]:[NetPPH]]),0)</f>
        <v>0</v>
      </c>
      <c r="DB88" s="39">
        <f>IF(AND(AV$3&gt;=VALUE(t_Parts[[SOP]:[SOP]]),AV$3&lt;=VALUE(t_Parts[[EOP]:[EOP]])), t_Parts[[SetupHrsPerMo]:[SetupHrsPerMo]]+(t_Parts[[#This Row],[pv2015.11]]/t_Parts[[NetPPH]:[NetPPH]]),0)</f>
        <v>0</v>
      </c>
      <c r="DC88" s="39">
        <f>IF(AND(AW$3&gt;=VALUE(t_Parts[[SOP]:[SOP]]),AW$3&lt;=VALUE(t_Parts[[EOP]:[EOP]])), t_Parts[[SetupHrsPerMo]:[SetupHrsPerMo]]+(t_Parts[[#This Row],[pv2015.12]]/t_Parts[[NetPPH]:[NetPPH]]),0)</f>
        <v>0</v>
      </c>
      <c r="DD88" s="39">
        <f>SUM(t_Parts[[#This Row],[hp2015.01]:[hp2015.12]])</f>
        <v>25.507575757575758</v>
      </c>
      <c r="DE88" s="39">
        <f>IF(AND(AY$3&gt;=VALUE(t_Parts[[SOP]:[SOP]]),AY$3&lt;=VALUE(t_Parts[[EOP]:[EOP]])), t_Parts[[SetupHrsPerMo]:[SetupHrsPerMo]]+(t_Parts[[#This Row],[pv2016.01]]/t_Parts[[NetPPH]:[NetPPH]]),0)</f>
        <v>0</v>
      </c>
      <c r="DF88" s="39">
        <f>IF(AND(AZ$3&gt;=VALUE(t_Parts[[SOP]:[SOP]]),AZ$3&lt;=VALUE(t_Parts[[EOP]:[EOP]])), t_Parts[[SetupHrsPerMo]:[SetupHrsPerMo]]+(t_Parts[[#This Row],[pv2016.02]]/t_Parts[[NetPPH]:[NetPPH]]),0)</f>
        <v>0</v>
      </c>
      <c r="DG88" s="39">
        <f>IF(AND(BA$3&gt;=VALUE(t_Parts[[SOP]:[SOP]]),BA$3&lt;=VALUE(t_Parts[[EOP]:[EOP]])), t_Parts[[SetupHrsPerMo]:[SetupHrsPerMo]]+(t_Parts[[#This Row],[pv2016.03]]/t_Parts[[NetPPH]:[NetPPH]]),0)</f>
        <v>0</v>
      </c>
      <c r="DH88" s="39">
        <f>IF(AND(BB$3&gt;=VALUE(t_Parts[[SOP]:[SOP]]),BB$3&lt;=VALUE(t_Parts[[EOP]:[EOP]])), t_Parts[[SetupHrsPerMo]:[SetupHrsPerMo]]+(t_Parts[[#This Row],[pv2016.04]]/t_Parts[[NetPPH]:[NetPPH]]),0)</f>
        <v>0</v>
      </c>
      <c r="DI88" s="39">
        <f>IF(AND(BC$3&gt;=VALUE(t_Parts[[SOP]:[SOP]]),BC$3&lt;=VALUE(t_Parts[[EOP]:[EOP]])), t_Parts[[SetupHrsPerMo]:[SetupHrsPerMo]]+(t_Parts[[#This Row],[pv2016.05]]/t_Parts[[NetPPH]:[NetPPH]]),0)</f>
        <v>0</v>
      </c>
      <c r="DJ88" s="39">
        <f>IF(AND(BD$3&gt;=VALUE(t_Parts[[SOP]:[SOP]]),BD$3&lt;=VALUE(t_Parts[[EOP]:[EOP]])), t_Parts[[SetupHrsPerMo]:[SetupHrsPerMo]]+(t_Parts[[#This Row],[pv2016.06]]/t_Parts[[NetPPH]:[NetPPH]]),0)</f>
        <v>0</v>
      </c>
      <c r="DK88" s="39">
        <f>IF(AND(BE$3&gt;=VALUE(t_Parts[[SOP]:[SOP]]),BE$3&lt;=VALUE(t_Parts[[EOP]:[EOP]])), t_Parts[[SetupHrsPerMo]:[SetupHrsPerMo]]+(t_Parts[[#This Row],[pv2016.07]]/t_Parts[[NetPPH]:[NetPPH]]),0)</f>
        <v>0</v>
      </c>
      <c r="DL88" s="39">
        <f>IF(AND(BF$3&gt;=VALUE(t_Parts[[SOP]:[SOP]]),BF$3&lt;=VALUE(t_Parts[[EOP]:[EOP]])), t_Parts[[SetupHrsPerMo]:[SetupHrsPerMo]]+(t_Parts[[#This Row],[pv2016.08]]/t_Parts[[NetPPH]:[NetPPH]]),0)</f>
        <v>0</v>
      </c>
      <c r="DM88" s="39">
        <f>IF(AND(BG$3&gt;=VALUE(t_Parts[[SOP]:[SOP]]),BG$3&lt;=VALUE(t_Parts[[EOP]:[EOP]])), t_Parts[[SetupHrsPerMo]:[SetupHrsPerMo]]+(t_Parts[[#This Row],[pv2016.09]]/t_Parts[[NetPPH]:[NetPPH]]),0)</f>
        <v>0</v>
      </c>
      <c r="DN88" s="39">
        <f>IF(AND(BH$3&gt;=VALUE(t_Parts[[SOP]:[SOP]]),BH$3&lt;=VALUE(t_Parts[[EOP]:[EOP]])), t_Parts[[SetupHrsPerMo]:[SetupHrsPerMo]]+(t_Parts[[#This Row],[pv2016.10]]/t_Parts[[NetPPH]:[NetPPH]]),0)</f>
        <v>0</v>
      </c>
      <c r="DO88" s="39">
        <f>IF(AND(BI$3&gt;=VALUE(t_Parts[[SOP]:[SOP]]),BI$3&lt;=VALUE(t_Parts[[EOP]:[EOP]])), t_Parts[[SetupHrsPerMo]:[SetupHrsPerMo]]+(t_Parts[[#This Row],[pv2016.11]]/t_Parts[[NetPPH]:[NetPPH]]),0)</f>
        <v>0</v>
      </c>
      <c r="DP88" s="39">
        <f>IF(AND(BJ$3&gt;=VALUE(t_Parts[[SOP]:[SOP]]),BJ$3&lt;=VALUE(t_Parts[[EOP]:[EOP]])), t_Parts[[SetupHrsPerMo]:[SetupHrsPerMo]]+(t_Parts[[#This Row],[pv2016.12]]/t_Parts[[NetPPH]:[NetPPH]]),0)</f>
        <v>0</v>
      </c>
      <c r="DQ88" s="39">
        <f>SUM(t_Parts[[#This Row],[hp2016.01]:[hp2016.12]])</f>
        <v>0</v>
      </c>
      <c r="DR88" s="39">
        <f>IF(AND(BL$3&gt;=VALUE(t_Parts[[SOP]:[SOP]]),BL$3&lt;=VALUE(t_Parts[[EOP]:[EOP]])), 12*t_Parts[[SetupHrsPerMo]:[SetupHrsPerMo]]+(t_Parts[[#This Row],[pv2017]]/t_Parts[[NetPPH]:[NetPPH]]),0)</f>
        <v>0</v>
      </c>
      <c r="DS88" s="39">
        <f>IF(AND(BM$3&gt;=VALUE(t_Parts[[SOP]:[SOP]]),BM$3&lt;=VALUE(t_Parts[[EOP]:[EOP]])), 12*t_Parts[[SetupHrsPerMo]:[SetupHrsPerMo]]+(t_Parts[[#This Row],[pv2018]]/t_Parts[[NetPPH]:[NetPPH]]),0)</f>
        <v>0</v>
      </c>
      <c r="DT88" s="39">
        <f>IF(AND(BN$3&gt;=VALUE(t_Parts[[SOP]:[SOP]]),BN$3&lt;=VALUE(t_Parts[[EOP]:[EOP]])), 12*t_Parts[[SetupHrsPerMo]:[SetupHrsPerMo]]+(t_Parts[[#This Row],[pv2019]]/t_Parts[[NetPPH]:[NetPPH]]),0)</f>
        <v>0</v>
      </c>
      <c r="DU88" s="47">
        <f>t_Parts[[#This Row],[hp2015.01]]/t_Parts[[#This Row],[ha2015.01]]</f>
        <v>1.5114052614052615E-2</v>
      </c>
      <c r="DV88" s="47">
        <f>t_Parts[[#This Row],[hp2015.02]]/t_Parts[[#This Row],[ha2015.02]]</f>
        <v>1.5114052614052615E-2</v>
      </c>
      <c r="DW88" s="47">
        <f>t_Parts[[#This Row],[hp2015.03]]/t_Parts[[#This Row],[ha2015.03]]</f>
        <v>1.2256909756909759E-2</v>
      </c>
      <c r="DX88" s="47">
        <f>t_Parts[[#This Row],[hp2015.04]]/t_Parts[[#This Row],[ha2015.04]]</f>
        <v>1.5114052614052615E-2</v>
      </c>
      <c r="DY88" s="47">
        <f>t_Parts[[#This Row],[hp2015.05]]/t_Parts[[#This Row],[ha2015.05]]</f>
        <v>1.5114052614052615E-2</v>
      </c>
      <c r="DZ88" s="47">
        <f>t_Parts[[#This Row],[hp2015.06]]/t_Parts[[#This Row],[ha2015.06]]</f>
        <v>1.2256909756909759E-2</v>
      </c>
      <c r="EA88" s="47">
        <f>t_Parts[[#This Row],[hp2015.07]]/t_Parts[[#This Row],[ha2015.07]]</f>
        <v>0</v>
      </c>
      <c r="EB88" s="47">
        <f>t_Parts[[#This Row],[hp2015.08]]/t_Parts[[#This Row],[ha2015.08]]</f>
        <v>0</v>
      </c>
      <c r="EC88" s="47">
        <f>t_Parts[[#This Row],[hp2015.09]]/t_Parts[[#This Row],[ha2015.09]]</f>
        <v>0</v>
      </c>
      <c r="ED88" s="47">
        <f>t_Parts[[#This Row],[hp2015.10]]/t_Parts[[#This Row],[ha2015.10]]</f>
        <v>0</v>
      </c>
      <c r="EE88" s="47">
        <f>t_Parts[[#This Row],[hp2015.11]]/t_Parts[[#This Row],[ha2015.11]]</f>
        <v>0</v>
      </c>
      <c r="EF88" s="47">
        <f>t_Parts[[#This Row],[hp2015.12]]/t_Parts[[#This Row],[ha2015.12]]</f>
        <v>0</v>
      </c>
      <c r="EG88" s="47">
        <f>t_Parts[[#This Row],[hp2015.FY]]/t_Parts[[#This Row],[ha2015.FY]]</f>
        <v>7.0075757575757576E-3</v>
      </c>
      <c r="EH88" s="47">
        <f>t_Parts[[#This Row],[hp2016.01]]/t_Parts[[#This Row],[ha2016.01]]</f>
        <v>0</v>
      </c>
      <c r="EI88" s="47">
        <f>t_Parts[[#This Row],[hp2016.02]]/t_Parts[[#This Row],[ha2016.02]]</f>
        <v>0</v>
      </c>
      <c r="EJ88" s="47">
        <f>t_Parts[[#This Row],[hp2016.03]]/t_Parts[[#This Row],[ha2016.03]]</f>
        <v>0</v>
      </c>
      <c r="EK88" s="47">
        <f>t_Parts[[#This Row],[hp2016.04]]/t_Parts[[#This Row],[ha2016.04]]</f>
        <v>0</v>
      </c>
      <c r="EL88" s="47">
        <f>t_Parts[[#This Row],[hp2016.05]]/t_Parts[[#This Row],[ha2016.05]]</f>
        <v>0</v>
      </c>
      <c r="EM88" s="47">
        <f>t_Parts[[#This Row],[hp2016.06]]/t_Parts[[#This Row],[ha2016.06]]</f>
        <v>0</v>
      </c>
      <c r="EN88" s="47">
        <f>t_Parts[[#This Row],[hp2016.07]]/t_Parts[[#This Row],[ha2016.07]]</f>
        <v>0</v>
      </c>
      <c r="EO88" s="47">
        <f>t_Parts[[#This Row],[hp2016.08]]/t_Parts[[#This Row],[ha2016.08]]</f>
        <v>0</v>
      </c>
      <c r="EP88" s="47">
        <f>t_Parts[[#This Row],[hp2016.09]]/t_Parts[[#This Row],[ha2016.09]]</f>
        <v>0</v>
      </c>
      <c r="EQ88" s="47">
        <f>t_Parts[[#This Row],[hp2016.10]]/t_Parts[[#This Row],[ha2016.10]]</f>
        <v>0</v>
      </c>
      <c r="ER88" s="47">
        <f>t_Parts[[#This Row],[hp2016.11]]/t_Parts[[#This Row],[ha2016.11]]</f>
        <v>0</v>
      </c>
      <c r="ES88" s="47">
        <f>t_Parts[[#This Row],[hp2016.12]]/t_Parts[[#This Row],[ha2016.12]]</f>
        <v>0</v>
      </c>
      <c r="ET88" s="47">
        <f>t_Parts[[#This Row],[hp2016.FY]]/t_Parts[[#This Row],[ha2016.FY]]</f>
        <v>0</v>
      </c>
      <c r="EU88" s="47">
        <f>t_Parts[[#This Row],[hp2017]]/t_Parts[[#This Row],[ha2017]]</f>
        <v>0</v>
      </c>
      <c r="EV88" s="47">
        <f>t_Parts[[#This Row],[hp2018]]/t_Parts[[#This Row],[ha2018]]</f>
        <v>0</v>
      </c>
      <c r="EW88" s="47">
        <f>t_Parts[[#This Row],[hp2019]]/t_Parts[[#This Row],[hp2015.01]]</f>
        <v>0</v>
      </c>
      <c r="EX88" s="58">
        <f>(t_Parts[[#This Row],[ha2015.01]]-t_Parts[[#This Row],[hp2015.01]])*t_Parts[[NetPPH]:[NetPPH]]</f>
        <v>364013.84615384613</v>
      </c>
      <c r="EY88" s="58">
        <f>(t_Parts[[#This Row],[ha2015.02]]-t_Parts[[#This Row],[hp2015.02]])*t_Parts[[NetPPH]:[NetPPH]]</f>
        <v>364013.84615384613</v>
      </c>
      <c r="EZ88" s="58">
        <f>(t_Parts[[#This Row],[ha2015.03]]-t_Parts[[#This Row],[hp2015.03]])*t_Parts[[NetPPH]:[NetPPH]]</f>
        <v>456337.30769230769</v>
      </c>
      <c r="FA88" s="58">
        <f>(t_Parts[[#This Row],[ha2015.04]]-t_Parts[[#This Row],[hp2015.04]])*t_Parts[[NetPPH]:[NetPPH]]</f>
        <v>364013.84615384613</v>
      </c>
      <c r="FB88" s="58">
        <f>(t_Parts[[#This Row],[ha2015.05]]-t_Parts[[#This Row],[hp2015.05]])*t_Parts[[NetPPH]:[NetPPH]]</f>
        <v>364013.84615384613</v>
      </c>
      <c r="FC88" s="58">
        <f>(t_Parts[[#This Row],[ha2015.06]]-t_Parts[[#This Row],[hp2015.06]])*t_Parts[[NetPPH]:[NetPPH]]</f>
        <v>456337.30769230769</v>
      </c>
      <c r="FD88" s="58">
        <f>(t_Parts[[#This Row],[ha2015.07]]-t_Parts[[#This Row],[hp2015.07]])*t_Parts[[NetPPH]:[NetPPH]]</f>
        <v>369600</v>
      </c>
      <c r="FE88" s="58">
        <f>(t_Parts[[#This Row],[ha2015.08]]-t_Parts[[#This Row],[hp2015.08]])*t_Parts[[NetPPH]:[NetPPH]]</f>
        <v>369600</v>
      </c>
      <c r="FF88" s="58">
        <f>(t_Parts[[#This Row],[ha2015.09]]-t_Parts[[#This Row],[hp2015.09]])*t_Parts[[NetPPH]:[NetPPH]]</f>
        <v>462000</v>
      </c>
      <c r="FG88" s="58">
        <f>(t_Parts[[#This Row],[ha2015.10]]-t_Parts[[#This Row],[hp2015.10]])*t_Parts[[NetPPH]:[NetPPH]]</f>
        <v>369600</v>
      </c>
      <c r="FH88" s="58">
        <f>(t_Parts[[#This Row],[ha2015.11]]-t_Parts[[#This Row],[hp2015.11]])*t_Parts[[NetPPH]:[NetPPH]]</f>
        <v>369600</v>
      </c>
      <c r="FI88" s="58">
        <f>(t_Parts[[#This Row],[ha2015.12]]-t_Parts[[#This Row],[hp2015.12]])*t_Parts[[NetPPH]:[NetPPH]]</f>
        <v>462000</v>
      </c>
      <c r="FJ88" s="58">
        <f>(t_Parts[[#This Row],[ha2015.FY]]-t_Parts[[#This Row],[hp2015.FY]])*t_Parts[[NetPPH]:[NetPPH]]</f>
        <v>4771130</v>
      </c>
      <c r="FK88" s="58">
        <f>(t_Parts[[#This Row],[ha2016.01]]-t_Parts[[#This Row],[hp2016.01]])*t_Parts[[NetPPH]:[NetPPH]]</f>
        <v>369600</v>
      </c>
      <c r="FL88" s="58">
        <f>(t_Parts[[#This Row],[ha2016.02]]-t_Parts[[#This Row],[hp2016.02]])*t_Parts[[NetPPH]:[NetPPH]]</f>
        <v>369600</v>
      </c>
      <c r="FM88" s="58">
        <f>(t_Parts[[#This Row],[ha2016.03]]-t_Parts[[#This Row],[hp2016.03]])*t_Parts[[NetPPH]:[NetPPH]]</f>
        <v>462000</v>
      </c>
      <c r="FN88" s="58">
        <f>(t_Parts[[#This Row],[ha2016.04]]-t_Parts[[#This Row],[hp2016.04]])*t_Parts[[NetPPH]:[NetPPH]]</f>
        <v>369600</v>
      </c>
      <c r="FO88" s="58">
        <f>(t_Parts[[#This Row],[ha2016.05]]-t_Parts[[#This Row],[hp2016.05]])*t_Parts[[NetPPH]:[NetPPH]]</f>
        <v>369600</v>
      </c>
      <c r="FP88" s="58">
        <f>(t_Parts[[#This Row],[ha2016.06]]-t_Parts[[#This Row],[hp2016.06]])*t_Parts[[NetPPH]:[NetPPH]]</f>
        <v>462000</v>
      </c>
      <c r="FQ88" s="58">
        <f>(t_Parts[[#This Row],[ha2016.07]]-t_Parts[[#This Row],[hp2016.07]])*t_Parts[[NetPPH]:[NetPPH]]</f>
        <v>369600</v>
      </c>
      <c r="FR88" s="58">
        <f>(t_Parts[[#This Row],[ha2016.08]]-t_Parts[[#This Row],[hp2016.08]])*t_Parts[[NetPPH]:[NetPPH]]</f>
        <v>369600</v>
      </c>
      <c r="FS88" s="58">
        <f>(t_Parts[[#This Row],[ha2016.09]]-t_Parts[[#This Row],[hp2016.09]])*t_Parts[[NetPPH]:[NetPPH]]</f>
        <v>462000</v>
      </c>
      <c r="FT88" s="58">
        <f>(t_Parts[[#This Row],[ha2016.10]]-t_Parts[[#This Row],[hp2016.10]])*t_Parts[[NetPPH]:[NetPPH]]</f>
        <v>369600</v>
      </c>
      <c r="FU88" s="58">
        <f>(t_Parts[[#This Row],[ha2016.11]]-t_Parts[[#This Row],[hp2016.11]])*t_Parts[[NetPPH]:[NetPPH]]</f>
        <v>369600</v>
      </c>
      <c r="FV88" s="58">
        <f>(t_Parts[[#This Row],[ha2016.12]]-t_Parts[[#This Row],[hp2016.12]])*t_Parts[[NetPPH]:[NetPPH]]</f>
        <v>462000</v>
      </c>
      <c r="FW88" s="58">
        <f>(t_Parts[[#This Row],[ha2016.FY]]-t_Parts[[#This Row],[hp2016.FY]])*t_Parts[[NetPPH]:[NetPPH]]</f>
        <v>4804800</v>
      </c>
      <c r="FX88" s="58">
        <f>(t_Parts[[#This Row],[ha2017]]-t_Parts[[#This Row],[hp2017]])*t_Parts[[NetPPH]:[NetPPH]]</f>
        <v>4804800</v>
      </c>
      <c r="FY88" s="58">
        <f>(t_Parts[[#This Row],[ha2018]]-t_Parts[[#This Row],[hp2018]])*t_Parts[[NetPPH]:[NetPPH]]</f>
        <v>4804800</v>
      </c>
      <c r="FZ88" s="58">
        <f>(t_Parts[[#This Row],[ha2019]]-t_Parts[[#This Row],[hp2019]])*t_Parts[[NetPPH]:[NetPPH]]</f>
        <v>4804800</v>
      </c>
    </row>
    <row r="89" spans="1:182" s="14" customFormat="1" x14ac:dyDescent="0.25">
      <c r="A89" s="74">
        <v>37224</v>
      </c>
      <c r="B89" s="74"/>
      <c r="C89" s="74">
        <v>21011</v>
      </c>
      <c r="D89" s="75">
        <v>1</v>
      </c>
      <c r="E89" s="73">
        <v>1800</v>
      </c>
      <c r="F89" s="76">
        <v>1</v>
      </c>
      <c r="G89" s="77">
        <v>2</v>
      </c>
      <c r="H89" s="16">
        <v>2015.01</v>
      </c>
      <c r="I89" s="16" t="s">
        <v>81</v>
      </c>
      <c r="J89" s="73">
        <v>12960</v>
      </c>
      <c r="K89" s="73">
        <v>12960</v>
      </c>
      <c r="L89" s="73">
        <v>12960</v>
      </c>
      <c r="M89" s="73">
        <v>12960</v>
      </c>
      <c r="N89" s="73">
        <v>12960</v>
      </c>
      <c r="O89" s="78">
        <v>46</v>
      </c>
      <c r="P89" s="78">
        <v>37</v>
      </c>
      <c r="Q89" s="79">
        <v>22.52</v>
      </c>
      <c r="R89" s="79"/>
      <c r="S89" s="78">
        <v>53</v>
      </c>
      <c r="T89" s="80">
        <v>14.5</v>
      </c>
      <c r="U89" s="80" t="s">
        <v>121</v>
      </c>
      <c r="V89" s="81" t="s">
        <v>509</v>
      </c>
      <c r="W89" s="82">
        <v>0.45</v>
      </c>
      <c r="X89" s="82" t="s">
        <v>501</v>
      </c>
      <c r="Y89" s="82"/>
      <c r="Z89" s="82"/>
      <c r="AA89" s="82"/>
      <c r="AB89" s="82"/>
      <c r="AC89" s="83" t="s">
        <v>667</v>
      </c>
      <c r="AD89" s="40" t="str">
        <f>VLOOKUP(t_Parts[[#This Row],[Press]],t_Presses[],Press!B$1,FALSE)</f>
        <v>Plainfield</v>
      </c>
      <c r="AE89" s="40" t="str">
        <f>VLOOKUP(t_Parts[[#This Row],[Press]],t_Presses[],Press!E$1,FALSE)</f>
        <v>300-599</v>
      </c>
      <c r="AF89" s="47">
        <f>VLOOKUP(t_Parts[[#This Row],[Plant]],t_Plants[],Plants!C$1,FALSE)</f>
        <v>0.55000000000000004</v>
      </c>
      <c r="AG89" s="47">
        <f>VLOOKUP(t_Parts[[#This Row],[Press]],t_Presses[],Press!F$1,FALSE)</f>
        <v>0</v>
      </c>
      <c r="AH89" s="84"/>
      <c r="AI89" s="47">
        <f>IF(ISBLANK(t_Parts[[#This Row],[PartOEE]])=FALSE,t_Parts[[#This Row],[PartOEE]], IF(t_Parts[[#This Row],[PressOEE]]&gt;0, t_Parts[[#This Row],[PressOEE]], t_Parts[[#This Row],[PlantOEE]] ))</f>
        <v>0.55000000000000004</v>
      </c>
      <c r="AJ89" s="70">
        <f>t_Parts[[#This Row],[SetupsPerMo]]*t_Parts[[#This Row],[SetupHrs]]</f>
        <v>2</v>
      </c>
      <c r="AK89" s="39">
        <f>(t_Parts[[#This Row],[PartsPerStroke]]*t_Parts[[#This Row],[StrokesPerHr]])*t_Parts[[#This Row],[UseOEE]]</f>
        <v>990.00000000000011</v>
      </c>
      <c r="AL8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8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8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8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8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8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8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8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8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8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8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8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89" s="39">
        <f>SUM(t_Parts[[#This Row],[pv2015.01]:[pv2015.12]])</f>
        <v>12959.999999999998</v>
      </c>
      <c r="AY8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8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8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8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8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8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8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8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8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8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8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8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89" s="39">
        <f>SUM(t_Parts[[#This Row],[pv2016.01]:[pv2016.12]])</f>
        <v>12959.999999999998</v>
      </c>
      <c r="BL89" s="39">
        <f>t_Parts[[#This Row],[2017vol]]</f>
        <v>12960</v>
      </c>
      <c r="BM89" s="39">
        <f>t_Parts[[#This Row],[2018vol]]</f>
        <v>12960</v>
      </c>
      <c r="BN89" s="39">
        <f>t_Parts[[#This Row],[2019vol]]</f>
        <v>12960</v>
      </c>
      <c r="BO89" s="40">
        <f>VLOOKUP(t_Parts[[Plant]:[Plant]],t_Plants[],Plants!CN$1,FALSE)</f>
        <v>280</v>
      </c>
      <c r="BP89" s="14">
        <f>VLOOKUP(t_Parts[[Plant]:[Plant]],t_Plants[],Plants!CO$1,FALSE)</f>
        <v>280</v>
      </c>
      <c r="BQ89" s="14">
        <f>VLOOKUP(t_Parts[[Plant]:[Plant]],t_Plants[],Plants!CP$1,FALSE)</f>
        <v>350</v>
      </c>
      <c r="BR89" s="14">
        <f>VLOOKUP(t_Parts[[Plant]:[Plant]],t_Plants[],Plants!CQ$1,FALSE)</f>
        <v>280</v>
      </c>
      <c r="BS89" s="14">
        <f>VLOOKUP(t_Parts[[Plant]:[Plant]],t_Plants[],Plants!CR$1,FALSE)</f>
        <v>280</v>
      </c>
      <c r="BT89" s="14">
        <f>VLOOKUP(t_Parts[[Plant]:[Plant]],t_Plants[],Plants!CS$1,FALSE)</f>
        <v>350</v>
      </c>
      <c r="BU89" s="14">
        <f>VLOOKUP(t_Parts[[Plant]:[Plant]],t_Plants[],Plants!CT$1,FALSE)</f>
        <v>280</v>
      </c>
      <c r="BV89" s="14">
        <f>VLOOKUP(t_Parts[[Plant]:[Plant]],t_Plants[],Plants!CU$1,FALSE)</f>
        <v>280</v>
      </c>
      <c r="BW89" s="14">
        <f>VLOOKUP(t_Parts[[Plant]:[Plant]],t_Plants[],Plants!CV$1,FALSE)</f>
        <v>350</v>
      </c>
      <c r="BX89" s="14">
        <f>VLOOKUP(t_Parts[[Plant]:[Plant]],t_Plants[],Plants!CW$1,FALSE)</f>
        <v>280</v>
      </c>
      <c r="BY89" s="14">
        <f>VLOOKUP(t_Parts[[Plant]:[Plant]],t_Plants[],Plants!CX$1,FALSE)</f>
        <v>280</v>
      </c>
      <c r="BZ89" s="14">
        <f>VLOOKUP(t_Parts[[Plant]:[Plant]],t_Plants[],Plants!CY$1,FALSE)</f>
        <v>350</v>
      </c>
      <c r="CA89" s="40">
        <f>SUM(t_Parts[[#This Row],[ha2015.01]:[ha2015.12]])</f>
        <v>3640</v>
      </c>
      <c r="CB89" s="14">
        <f>VLOOKUP(t_Parts[[Plant]:[Plant]],t_Plants[],Plants!DA$1,FALSE)</f>
        <v>280</v>
      </c>
      <c r="CC89" s="14">
        <f>VLOOKUP(t_Parts[[Plant]:[Plant]],t_Plants[],Plants!DB$1,FALSE)</f>
        <v>280</v>
      </c>
      <c r="CD89" s="14">
        <f>VLOOKUP(t_Parts[[Plant]:[Plant]],t_Plants[],Plants!DC$1,FALSE)</f>
        <v>350</v>
      </c>
      <c r="CE89" s="14">
        <f>VLOOKUP(t_Parts[[Plant]:[Plant]],t_Plants[],Plants!DD$1,FALSE)</f>
        <v>280</v>
      </c>
      <c r="CF89" s="14">
        <f>VLOOKUP(t_Parts[[Plant]:[Plant]],t_Plants[],Plants!DE$1,FALSE)</f>
        <v>280</v>
      </c>
      <c r="CG89" s="14">
        <f>VLOOKUP(t_Parts[[Plant]:[Plant]],t_Plants[],Plants!DF$1,FALSE)</f>
        <v>350</v>
      </c>
      <c r="CH89" s="14">
        <f>VLOOKUP(t_Parts[[Plant]:[Plant]],t_Plants[],Plants!DG$1,FALSE)</f>
        <v>280</v>
      </c>
      <c r="CI89" s="14">
        <f>VLOOKUP(t_Parts[[Plant]:[Plant]],t_Plants[],Plants!DH$1,FALSE)</f>
        <v>280</v>
      </c>
      <c r="CJ89" s="14">
        <f>VLOOKUP(t_Parts[[Plant]:[Plant]],t_Plants[],Plants!DI$1,FALSE)</f>
        <v>350</v>
      </c>
      <c r="CK89" s="14">
        <f>VLOOKUP(t_Parts[[Plant]:[Plant]],t_Plants[],Plants!DJ$1,FALSE)</f>
        <v>280</v>
      </c>
      <c r="CL89" s="14">
        <f>VLOOKUP(t_Parts[[Plant]:[Plant]],t_Plants[],Plants!DK$1,FALSE)</f>
        <v>280</v>
      </c>
      <c r="CM89" s="14">
        <f>VLOOKUP(t_Parts[[Plant]:[Plant]],t_Plants[],Plants!DL$1,FALSE)</f>
        <v>350</v>
      </c>
      <c r="CN89" s="14">
        <f>VLOOKUP(t_Parts[[Plant]:[Plant]],t_Plants[],Plants!DM$1,FALSE)</f>
        <v>3640</v>
      </c>
      <c r="CO89" s="14">
        <f>VLOOKUP(t_Parts[[Plant]:[Plant]],t_Plants[],Plants!DN$1,FALSE)</f>
        <v>3640</v>
      </c>
      <c r="CP89" s="14">
        <f>VLOOKUP(t_Parts[[Plant]:[Plant]],t_Plants[],Plants!DO$1,FALSE)</f>
        <v>3640</v>
      </c>
      <c r="CQ89" s="14">
        <f>VLOOKUP(t_Parts[[Plant]:[Plant]],t_Plants[],Plants!DP$1,FALSE)</f>
        <v>3640</v>
      </c>
      <c r="CR89" s="39">
        <f>IF(AND(AL$3&gt;=VALUE(t_Parts[[SOP]:[SOP]]),AL$3&lt;=VALUE(t_Parts[[EOP]:[EOP]])), t_Parts[[SetupHrsPerMo]:[SetupHrsPerMo]]+(t_Parts[[#This Row],[pv2015.01]]/t_Parts[[NetPPH]:[NetPPH]]),0)</f>
        <v>3.0069930069930066</v>
      </c>
      <c r="CS89" s="39">
        <f>IF(AND(AM$3&gt;=VALUE(t_Parts[[SOP]:[SOP]]),AM$3&lt;=VALUE(t_Parts[[EOP]:[EOP]])), t_Parts[[SetupHrsPerMo]:[SetupHrsPerMo]]+(t_Parts[[#This Row],[pv2015.02]]/t_Parts[[NetPPH]:[NetPPH]]),0)</f>
        <v>3.0069930069930066</v>
      </c>
      <c r="CT89" s="39">
        <f>IF(AND(AN$3&gt;=VALUE(t_Parts[[SOP]:[SOP]]),AN$3&lt;=VALUE(t_Parts[[EOP]:[EOP]])), t_Parts[[SetupHrsPerMo]:[SetupHrsPerMo]]+(t_Parts[[#This Row],[pv2015.03]]/t_Parts[[NetPPH]:[NetPPH]]),0)</f>
        <v>3.2587412587412583</v>
      </c>
      <c r="CU89" s="39">
        <f>IF(AND(AO$3&gt;=VALUE(t_Parts[[SOP]:[SOP]]),AO$3&lt;=VALUE(t_Parts[[EOP]:[EOP]])), t_Parts[[SetupHrsPerMo]:[SetupHrsPerMo]]+(t_Parts[[#This Row],[pv2015.04]]/t_Parts[[NetPPH]:[NetPPH]]),0)</f>
        <v>3.0069930069930066</v>
      </c>
      <c r="CV89" s="39">
        <f>IF(AND(AP$3&gt;=VALUE(t_Parts[[SOP]:[SOP]]),AP$3&lt;=VALUE(t_Parts[[EOP]:[EOP]])), t_Parts[[SetupHrsPerMo]:[SetupHrsPerMo]]+(t_Parts[[#This Row],[pv2015.05]]/t_Parts[[NetPPH]:[NetPPH]]),0)</f>
        <v>3.0069930069930066</v>
      </c>
      <c r="CW89" s="39">
        <f>IF(AND(AQ$3&gt;=VALUE(t_Parts[[SOP]:[SOP]]),AQ$3&lt;=VALUE(t_Parts[[EOP]:[EOP]])), t_Parts[[SetupHrsPerMo]:[SetupHrsPerMo]]+(t_Parts[[#This Row],[pv2015.06]]/t_Parts[[NetPPH]:[NetPPH]]),0)</f>
        <v>3.2587412587412583</v>
      </c>
      <c r="CX89" s="39">
        <f>IF(AND(AR$3&gt;=VALUE(t_Parts[[SOP]:[SOP]]),AR$3&lt;=VALUE(t_Parts[[EOP]:[EOP]])), t_Parts[[SetupHrsPerMo]:[SetupHrsPerMo]]+(t_Parts[[#This Row],[pv2015.07]]/t_Parts[[NetPPH]:[NetPPH]]),0)</f>
        <v>3.0069930069930066</v>
      </c>
      <c r="CY89" s="39">
        <f>IF(AND(AS$3&gt;=VALUE(t_Parts[[SOP]:[SOP]]),AS$3&lt;=VALUE(t_Parts[[EOP]:[EOP]])), t_Parts[[SetupHrsPerMo]:[SetupHrsPerMo]]+(t_Parts[[#This Row],[pv2015.08]]/t_Parts[[NetPPH]:[NetPPH]]),0)</f>
        <v>3.0069930069930066</v>
      </c>
      <c r="CZ89" s="39">
        <f>IF(AND(AT$3&gt;=VALUE(t_Parts[[SOP]:[SOP]]),AT$3&lt;=VALUE(t_Parts[[EOP]:[EOP]])), t_Parts[[SetupHrsPerMo]:[SetupHrsPerMo]]+(t_Parts[[#This Row],[pv2015.09]]/t_Parts[[NetPPH]:[NetPPH]]),0)</f>
        <v>3.2587412587412583</v>
      </c>
      <c r="DA89" s="39">
        <f>IF(AND(AU$3&gt;=VALUE(t_Parts[[SOP]:[SOP]]),AU$3&lt;=VALUE(t_Parts[[EOP]:[EOP]])), t_Parts[[SetupHrsPerMo]:[SetupHrsPerMo]]+(t_Parts[[#This Row],[pv2015.10]]/t_Parts[[NetPPH]:[NetPPH]]),0)</f>
        <v>3.0069930069930066</v>
      </c>
      <c r="DB89" s="39">
        <f>IF(AND(AV$3&gt;=VALUE(t_Parts[[SOP]:[SOP]]),AV$3&lt;=VALUE(t_Parts[[EOP]:[EOP]])), t_Parts[[SetupHrsPerMo]:[SetupHrsPerMo]]+(t_Parts[[#This Row],[pv2015.11]]/t_Parts[[NetPPH]:[NetPPH]]),0)</f>
        <v>3.0069930069930066</v>
      </c>
      <c r="DC89" s="39">
        <f>IF(AND(AW$3&gt;=VALUE(t_Parts[[SOP]:[SOP]]),AW$3&lt;=VALUE(t_Parts[[EOP]:[EOP]])), t_Parts[[SetupHrsPerMo]:[SetupHrsPerMo]]+(t_Parts[[#This Row],[pv2015.12]]/t_Parts[[NetPPH]:[NetPPH]]),0)</f>
        <v>3.2587412587412583</v>
      </c>
      <c r="DD89" s="39">
        <f>SUM(t_Parts[[#This Row],[hp2015.01]:[hp2015.12]])</f>
        <v>37.090909090909086</v>
      </c>
      <c r="DE89" s="39">
        <f>IF(AND(AY$3&gt;=VALUE(t_Parts[[SOP]:[SOP]]),AY$3&lt;=VALUE(t_Parts[[EOP]:[EOP]])), t_Parts[[SetupHrsPerMo]:[SetupHrsPerMo]]+(t_Parts[[#This Row],[pv2016.01]]/t_Parts[[NetPPH]:[NetPPH]]),0)</f>
        <v>3.0069930069930066</v>
      </c>
      <c r="DF89" s="39">
        <f>IF(AND(AZ$3&gt;=VALUE(t_Parts[[SOP]:[SOP]]),AZ$3&lt;=VALUE(t_Parts[[EOP]:[EOP]])), t_Parts[[SetupHrsPerMo]:[SetupHrsPerMo]]+(t_Parts[[#This Row],[pv2016.02]]/t_Parts[[NetPPH]:[NetPPH]]),0)</f>
        <v>3.0069930069930066</v>
      </c>
      <c r="DG89" s="39">
        <f>IF(AND(BA$3&gt;=VALUE(t_Parts[[SOP]:[SOP]]),BA$3&lt;=VALUE(t_Parts[[EOP]:[EOP]])), t_Parts[[SetupHrsPerMo]:[SetupHrsPerMo]]+(t_Parts[[#This Row],[pv2016.03]]/t_Parts[[NetPPH]:[NetPPH]]),0)</f>
        <v>3.2587412587412583</v>
      </c>
      <c r="DH89" s="39">
        <f>IF(AND(BB$3&gt;=VALUE(t_Parts[[SOP]:[SOP]]),BB$3&lt;=VALUE(t_Parts[[EOP]:[EOP]])), t_Parts[[SetupHrsPerMo]:[SetupHrsPerMo]]+(t_Parts[[#This Row],[pv2016.04]]/t_Parts[[NetPPH]:[NetPPH]]),0)</f>
        <v>3.0069930069930066</v>
      </c>
      <c r="DI89" s="39">
        <f>IF(AND(BC$3&gt;=VALUE(t_Parts[[SOP]:[SOP]]),BC$3&lt;=VALUE(t_Parts[[EOP]:[EOP]])), t_Parts[[SetupHrsPerMo]:[SetupHrsPerMo]]+(t_Parts[[#This Row],[pv2016.05]]/t_Parts[[NetPPH]:[NetPPH]]),0)</f>
        <v>3.0069930069930066</v>
      </c>
      <c r="DJ89" s="39">
        <f>IF(AND(BD$3&gt;=VALUE(t_Parts[[SOP]:[SOP]]),BD$3&lt;=VALUE(t_Parts[[EOP]:[EOP]])), t_Parts[[SetupHrsPerMo]:[SetupHrsPerMo]]+(t_Parts[[#This Row],[pv2016.06]]/t_Parts[[NetPPH]:[NetPPH]]),0)</f>
        <v>3.2587412587412583</v>
      </c>
      <c r="DK89" s="39">
        <f>IF(AND(BE$3&gt;=VALUE(t_Parts[[SOP]:[SOP]]),BE$3&lt;=VALUE(t_Parts[[EOP]:[EOP]])), t_Parts[[SetupHrsPerMo]:[SetupHrsPerMo]]+(t_Parts[[#This Row],[pv2016.07]]/t_Parts[[NetPPH]:[NetPPH]]),0)</f>
        <v>3.0069930069930066</v>
      </c>
      <c r="DL89" s="39">
        <f>IF(AND(BF$3&gt;=VALUE(t_Parts[[SOP]:[SOP]]),BF$3&lt;=VALUE(t_Parts[[EOP]:[EOP]])), t_Parts[[SetupHrsPerMo]:[SetupHrsPerMo]]+(t_Parts[[#This Row],[pv2016.08]]/t_Parts[[NetPPH]:[NetPPH]]),0)</f>
        <v>3.0069930069930066</v>
      </c>
      <c r="DM89" s="39">
        <f>IF(AND(BG$3&gt;=VALUE(t_Parts[[SOP]:[SOP]]),BG$3&lt;=VALUE(t_Parts[[EOP]:[EOP]])), t_Parts[[SetupHrsPerMo]:[SetupHrsPerMo]]+(t_Parts[[#This Row],[pv2016.09]]/t_Parts[[NetPPH]:[NetPPH]]),0)</f>
        <v>3.2587412587412583</v>
      </c>
      <c r="DN89" s="39">
        <f>IF(AND(BH$3&gt;=VALUE(t_Parts[[SOP]:[SOP]]),BH$3&lt;=VALUE(t_Parts[[EOP]:[EOP]])), t_Parts[[SetupHrsPerMo]:[SetupHrsPerMo]]+(t_Parts[[#This Row],[pv2016.10]]/t_Parts[[NetPPH]:[NetPPH]]),0)</f>
        <v>3.0069930069930066</v>
      </c>
      <c r="DO89" s="39">
        <f>IF(AND(BI$3&gt;=VALUE(t_Parts[[SOP]:[SOP]]),BI$3&lt;=VALUE(t_Parts[[EOP]:[EOP]])), t_Parts[[SetupHrsPerMo]:[SetupHrsPerMo]]+(t_Parts[[#This Row],[pv2016.11]]/t_Parts[[NetPPH]:[NetPPH]]),0)</f>
        <v>3.0069930069930066</v>
      </c>
      <c r="DP89" s="39">
        <f>IF(AND(BJ$3&gt;=VALUE(t_Parts[[SOP]:[SOP]]),BJ$3&lt;=VALUE(t_Parts[[EOP]:[EOP]])), t_Parts[[SetupHrsPerMo]:[SetupHrsPerMo]]+(t_Parts[[#This Row],[pv2016.12]]/t_Parts[[NetPPH]:[NetPPH]]),0)</f>
        <v>3.2587412587412583</v>
      </c>
      <c r="DQ89" s="39">
        <f>SUM(t_Parts[[#This Row],[hp2016.01]:[hp2016.12]])</f>
        <v>37.090909090909086</v>
      </c>
      <c r="DR89" s="39">
        <f>IF(AND(BL$3&gt;=VALUE(t_Parts[[SOP]:[SOP]]),BL$3&lt;=VALUE(t_Parts[[EOP]:[EOP]])), 12*t_Parts[[SetupHrsPerMo]:[SetupHrsPerMo]]+(t_Parts[[#This Row],[pv2017]]/t_Parts[[NetPPH]:[NetPPH]]),0)</f>
        <v>37.090909090909093</v>
      </c>
      <c r="DS89" s="39">
        <f>IF(AND(BM$3&gt;=VALUE(t_Parts[[SOP]:[SOP]]),BM$3&lt;=VALUE(t_Parts[[EOP]:[EOP]])), 12*t_Parts[[SetupHrsPerMo]:[SetupHrsPerMo]]+(t_Parts[[#This Row],[pv2018]]/t_Parts[[NetPPH]:[NetPPH]]),0)</f>
        <v>0</v>
      </c>
      <c r="DT89" s="39">
        <f>IF(AND(BN$3&gt;=VALUE(t_Parts[[SOP]:[SOP]]),BN$3&lt;=VALUE(t_Parts[[EOP]:[EOP]])), 12*t_Parts[[SetupHrsPerMo]:[SetupHrsPerMo]]+(t_Parts[[#This Row],[pv2019]]/t_Parts[[NetPPH]:[NetPPH]]),0)</f>
        <v>0</v>
      </c>
      <c r="DU89" s="47">
        <f>t_Parts[[#This Row],[hp2015.01]]/t_Parts[[#This Row],[ha2015.01]]</f>
        <v>1.0739260739260738E-2</v>
      </c>
      <c r="DV89" s="47">
        <f>t_Parts[[#This Row],[hp2015.02]]/t_Parts[[#This Row],[ha2015.02]]</f>
        <v>1.0739260739260738E-2</v>
      </c>
      <c r="DW89" s="47">
        <f>t_Parts[[#This Row],[hp2015.03]]/t_Parts[[#This Row],[ha2015.03]]</f>
        <v>9.3106893106893098E-3</v>
      </c>
      <c r="DX89" s="47">
        <f>t_Parts[[#This Row],[hp2015.04]]/t_Parts[[#This Row],[ha2015.04]]</f>
        <v>1.0739260739260738E-2</v>
      </c>
      <c r="DY89" s="47">
        <f>t_Parts[[#This Row],[hp2015.05]]/t_Parts[[#This Row],[ha2015.05]]</f>
        <v>1.0739260739260738E-2</v>
      </c>
      <c r="DZ89" s="47">
        <f>t_Parts[[#This Row],[hp2015.06]]/t_Parts[[#This Row],[ha2015.06]]</f>
        <v>9.3106893106893098E-3</v>
      </c>
      <c r="EA89" s="47">
        <f>t_Parts[[#This Row],[hp2015.07]]/t_Parts[[#This Row],[ha2015.07]]</f>
        <v>1.0739260739260738E-2</v>
      </c>
      <c r="EB89" s="47">
        <f>t_Parts[[#This Row],[hp2015.08]]/t_Parts[[#This Row],[ha2015.08]]</f>
        <v>1.0739260739260738E-2</v>
      </c>
      <c r="EC89" s="47">
        <f>t_Parts[[#This Row],[hp2015.09]]/t_Parts[[#This Row],[ha2015.09]]</f>
        <v>9.3106893106893098E-3</v>
      </c>
      <c r="ED89" s="47">
        <f>t_Parts[[#This Row],[hp2015.10]]/t_Parts[[#This Row],[ha2015.10]]</f>
        <v>1.0739260739260738E-2</v>
      </c>
      <c r="EE89" s="47">
        <f>t_Parts[[#This Row],[hp2015.11]]/t_Parts[[#This Row],[ha2015.11]]</f>
        <v>1.0739260739260738E-2</v>
      </c>
      <c r="EF89" s="47">
        <f>t_Parts[[#This Row],[hp2015.12]]/t_Parts[[#This Row],[ha2015.12]]</f>
        <v>9.3106893106893098E-3</v>
      </c>
      <c r="EG89" s="47">
        <f>t_Parts[[#This Row],[hp2015.FY]]/t_Parts[[#This Row],[ha2015.FY]]</f>
        <v>1.0189810189810189E-2</v>
      </c>
      <c r="EH89" s="47">
        <f>t_Parts[[#This Row],[hp2016.01]]/t_Parts[[#This Row],[ha2016.01]]</f>
        <v>1.0739260739260738E-2</v>
      </c>
      <c r="EI89" s="47">
        <f>t_Parts[[#This Row],[hp2016.02]]/t_Parts[[#This Row],[ha2016.02]]</f>
        <v>1.0739260739260738E-2</v>
      </c>
      <c r="EJ89" s="47">
        <f>t_Parts[[#This Row],[hp2016.03]]/t_Parts[[#This Row],[ha2016.03]]</f>
        <v>9.3106893106893098E-3</v>
      </c>
      <c r="EK89" s="47">
        <f>t_Parts[[#This Row],[hp2016.04]]/t_Parts[[#This Row],[ha2016.04]]</f>
        <v>1.0739260739260738E-2</v>
      </c>
      <c r="EL89" s="47">
        <f>t_Parts[[#This Row],[hp2016.05]]/t_Parts[[#This Row],[ha2016.05]]</f>
        <v>1.0739260739260738E-2</v>
      </c>
      <c r="EM89" s="47">
        <f>t_Parts[[#This Row],[hp2016.06]]/t_Parts[[#This Row],[ha2016.06]]</f>
        <v>9.3106893106893098E-3</v>
      </c>
      <c r="EN89" s="47">
        <f>t_Parts[[#This Row],[hp2016.07]]/t_Parts[[#This Row],[ha2016.07]]</f>
        <v>1.0739260739260738E-2</v>
      </c>
      <c r="EO89" s="47">
        <f>t_Parts[[#This Row],[hp2016.08]]/t_Parts[[#This Row],[ha2016.08]]</f>
        <v>1.0739260739260738E-2</v>
      </c>
      <c r="EP89" s="47">
        <f>t_Parts[[#This Row],[hp2016.09]]/t_Parts[[#This Row],[ha2016.09]]</f>
        <v>9.3106893106893098E-3</v>
      </c>
      <c r="EQ89" s="47">
        <f>t_Parts[[#This Row],[hp2016.10]]/t_Parts[[#This Row],[ha2016.10]]</f>
        <v>1.0739260739260738E-2</v>
      </c>
      <c r="ER89" s="47">
        <f>t_Parts[[#This Row],[hp2016.11]]/t_Parts[[#This Row],[ha2016.11]]</f>
        <v>1.0739260739260738E-2</v>
      </c>
      <c r="ES89" s="47">
        <f>t_Parts[[#This Row],[hp2016.12]]/t_Parts[[#This Row],[ha2016.12]]</f>
        <v>9.3106893106893098E-3</v>
      </c>
      <c r="ET89" s="47">
        <f>t_Parts[[#This Row],[hp2016.FY]]/t_Parts[[#This Row],[ha2016.FY]]</f>
        <v>1.0189810189810189E-2</v>
      </c>
      <c r="EU89" s="47">
        <f>t_Parts[[#This Row],[hp2017]]/t_Parts[[#This Row],[ha2017]]</f>
        <v>1.0189810189810191E-2</v>
      </c>
      <c r="EV89" s="47">
        <f>t_Parts[[#This Row],[hp2018]]/t_Parts[[#This Row],[ha2018]]</f>
        <v>0</v>
      </c>
      <c r="EW89" s="47">
        <f>t_Parts[[#This Row],[hp2019]]/t_Parts[[#This Row],[hp2015.01]]</f>
        <v>0</v>
      </c>
      <c r="EX89" s="58">
        <f>(t_Parts[[#This Row],[ha2015.01]]-t_Parts[[#This Row],[hp2015.01]])*t_Parts[[NetPPH]:[NetPPH]]</f>
        <v>274223.07692307694</v>
      </c>
      <c r="EY89" s="58">
        <f>(t_Parts[[#This Row],[ha2015.02]]-t_Parts[[#This Row],[hp2015.02]])*t_Parts[[NetPPH]:[NetPPH]]</f>
        <v>274223.07692307694</v>
      </c>
      <c r="EZ89" s="58">
        <f>(t_Parts[[#This Row],[ha2015.03]]-t_Parts[[#This Row],[hp2015.03]])*t_Parts[[NetPPH]:[NetPPH]]</f>
        <v>343273.84615384619</v>
      </c>
      <c r="FA89" s="58">
        <f>(t_Parts[[#This Row],[ha2015.04]]-t_Parts[[#This Row],[hp2015.04]])*t_Parts[[NetPPH]:[NetPPH]]</f>
        <v>274223.07692307694</v>
      </c>
      <c r="FB89" s="58">
        <f>(t_Parts[[#This Row],[ha2015.05]]-t_Parts[[#This Row],[hp2015.05]])*t_Parts[[NetPPH]:[NetPPH]]</f>
        <v>274223.07692307694</v>
      </c>
      <c r="FC89" s="58">
        <f>(t_Parts[[#This Row],[ha2015.06]]-t_Parts[[#This Row],[hp2015.06]])*t_Parts[[NetPPH]:[NetPPH]]</f>
        <v>343273.84615384619</v>
      </c>
      <c r="FD89" s="58">
        <f>(t_Parts[[#This Row],[ha2015.07]]-t_Parts[[#This Row],[hp2015.07]])*t_Parts[[NetPPH]:[NetPPH]]</f>
        <v>274223.07692307694</v>
      </c>
      <c r="FE89" s="58">
        <f>(t_Parts[[#This Row],[ha2015.08]]-t_Parts[[#This Row],[hp2015.08]])*t_Parts[[NetPPH]:[NetPPH]]</f>
        <v>274223.07692307694</v>
      </c>
      <c r="FF89" s="58">
        <f>(t_Parts[[#This Row],[ha2015.09]]-t_Parts[[#This Row],[hp2015.09]])*t_Parts[[NetPPH]:[NetPPH]]</f>
        <v>343273.84615384619</v>
      </c>
      <c r="FG89" s="58">
        <f>(t_Parts[[#This Row],[ha2015.10]]-t_Parts[[#This Row],[hp2015.10]])*t_Parts[[NetPPH]:[NetPPH]]</f>
        <v>274223.07692307694</v>
      </c>
      <c r="FH89" s="58">
        <f>(t_Parts[[#This Row],[ha2015.11]]-t_Parts[[#This Row],[hp2015.11]])*t_Parts[[NetPPH]:[NetPPH]]</f>
        <v>274223.07692307694</v>
      </c>
      <c r="FI89" s="58">
        <f>(t_Parts[[#This Row],[ha2015.12]]-t_Parts[[#This Row],[hp2015.12]])*t_Parts[[NetPPH]:[NetPPH]]</f>
        <v>343273.84615384619</v>
      </c>
      <c r="FJ89" s="58">
        <f>(t_Parts[[#This Row],[ha2015.FY]]-t_Parts[[#This Row],[hp2015.FY]])*t_Parts[[NetPPH]:[NetPPH]]</f>
        <v>3566880.0000000005</v>
      </c>
      <c r="FK89" s="58">
        <f>(t_Parts[[#This Row],[ha2016.01]]-t_Parts[[#This Row],[hp2016.01]])*t_Parts[[NetPPH]:[NetPPH]]</f>
        <v>274223.07692307694</v>
      </c>
      <c r="FL89" s="58">
        <f>(t_Parts[[#This Row],[ha2016.02]]-t_Parts[[#This Row],[hp2016.02]])*t_Parts[[NetPPH]:[NetPPH]]</f>
        <v>274223.07692307694</v>
      </c>
      <c r="FM89" s="58">
        <f>(t_Parts[[#This Row],[ha2016.03]]-t_Parts[[#This Row],[hp2016.03]])*t_Parts[[NetPPH]:[NetPPH]]</f>
        <v>343273.84615384619</v>
      </c>
      <c r="FN89" s="58">
        <f>(t_Parts[[#This Row],[ha2016.04]]-t_Parts[[#This Row],[hp2016.04]])*t_Parts[[NetPPH]:[NetPPH]]</f>
        <v>274223.07692307694</v>
      </c>
      <c r="FO89" s="58">
        <f>(t_Parts[[#This Row],[ha2016.05]]-t_Parts[[#This Row],[hp2016.05]])*t_Parts[[NetPPH]:[NetPPH]]</f>
        <v>274223.07692307694</v>
      </c>
      <c r="FP89" s="58">
        <f>(t_Parts[[#This Row],[ha2016.06]]-t_Parts[[#This Row],[hp2016.06]])*t_Parts[[NetPPH]:[NetPPH]]</f>
        <v>343273.84615384619</v>
      </c>
      <c r="FQ89" s="58">
        <f>(t_Parts[[#This Row],[ha2016.07]]-t_Parts[[#This Row],[hp2016.07]])*t_Parts[[NetPPH]:[NetPPH]]</f>
        <v>274223.07692307694</v>
      </c>
      <c r="FR89" s="58">
        <f>(t_Parts[[#This Row],[ha2016.08]]-t_Parts[[#This Row],[hp2016.08]])*t_Parts[[NetPPH]:[NetPPH]]</f>
        <v>274223.07692307694</v>
      </c>
      <c r="FS89" s="58">
        <f>(t_Parts[[#This Row],[ha2016.09]]-t_Parts[[#This Row],[hp2016.09]])*t_Parts[[NetPPH]:[NetPPH]]</f>
        <v>343273.84615384619</v>
      </c>
      <c r="FT89" s="58">
        <f>(t_Parts[[#This Row],[ha2016.10]]-t_Parts[[#This Row],[hp2016.10]])*t_Parts[[NetPPH]:[NetPPH]]</f>
        <v>274223.07692307694</v>
      </c>
      <c r="FU89" s="58">
        <f>(t_Parts[[#This Row],[ha2016.11]]-t_Parts[[#This Row],[hp2016.11]])*t_Parts[[NetPPH]:[NetPPH]]</f>
        <v>274223.07692307694</v>
      </c>
      <c r="FV89" s="58">
        <f>(t_Parts[[#This Row],[ha2016.12]]-t_Parts[[#This Row],[hp2016.12]])*t_Parts[[NetPPH]:[NetPPH]]</f>
        <v>343273.84615384619</v>
      </c>
      <c r="FW89" s="58">
        <f>(t_Parts[[#This Row],[ha2016.FY]]-t_Parts[[#This Row],[hp2016.FY]])*t_Parts[[NetPPH]:[NetPPH]]</f>
        <v>3566880.0000000005</v>
      </c>
      <c r="FX89" s="58">
        <f>(t_Parts[[#This Row],[ha2017]]-t_Parts[[#This Row],[hp2017]])*t_Parts[[NetPPH]:[NetPPH]]</f>
        <v>3566880.0000000005</v>
      </c>
      <c r="FY89" s="58">
        <f>(t_Parts[[#This Row],[ha2018]]-t_Parts[[#This Row],[hp2018]])*t_Parts[[NetPPH]:[NetPPH]]</f>
        <v>3603600.0000000005</v>
      </c>
      <c r="FZ89" s="58">
        <f>(t_Parts[[#This Row],[ha2019]]-t_Parts[[#This Row],[hp2019]])*t_Parts[[NetPPH]:[NetPPH]]</f>
        <v>3603600.0000000005</v>
      </c>
    </row>
    <row r="90" spans="1:182" s="14" customFormat="1" x14ac:dyDescent="0.25">
      <c r="A90" s="74">
        <v>37223</v>
      </c>
      <c r="B90" s="74"/>
      <c r="C90" s="74">
        <v>21012</v>
      </c>
      <c r="D90" s="75">
        <v>1</v>
      </c>
      <c r="E90" s="73">
        <v>720</v>
      </c>
      <c r="F90" s="76">
        <v>1</v>
      </c>
      <c r="G90" s="77">
        <v>2</v>
      </c>
      <c r="H90" s="16">
        <v>2015.01</v>
      </c>
      <c r="I90" s="16" t="s">
        <v>81</v>
      </c>
      <c r="J90" s="73">
        <v>12960</v>
      </c>
      <c r="K90" s="73">
        <v>12960</v>
      </c>
      <c r="L90" s="73">
        <v>12960</v>
      </c>
      <c r="M90" s="73">
        <v>12960</v>
      </c>
      <c r="N90" s="73">
        <v>12960</v>
      </c>
      <c r="O90" s="78">
        <v>49</v>
      </c>
      <c r="P90" s="78">
        <v>103</v>
      </c>
      <c r="Q90" s="79">
        <v>29.2</v>
      </c>
      <c r="R90" s="79"/>
      <c r="S90" s="78"/>
      <c r="T90" s="80">
        <v>15.5</v>
      </c>
      <c r="U90" s="80" t="s">
        <v>121</v>
      </c>
      <c r="V90" s="81" t="s">
        <v>514</v>
      </c>
      <c r="W90" s="82">
        <v>4.26</v>
      </c>
      <c r="X90" s="82" t="s">
        <v>501</v>
      </c>
      <c r="Y90" s="82"/>
      <c r="Z90" s="82"/>
      <c r="AA90" s="82"/>
      <c r="AB90" s="82"/>
      <c r="AC90" s="83" t="s">
        <v>667</v>
      </c>
      <c r="AD90" s="40" t="str">
        <f>VLOOKUP(t_Parts[[#This Row],[Press]],t_Presses[],Press!B$1,FALSE)</f>
        <v>Plainfield</v>
      </c>
      <c r="AE90" s="40" t="str">
        <f>VLOOKUP(t_Parts[[#This Row],[Press]],t_Presses[],Press!E$1,FALSE)</f>
        <v>600-899</v>
      </c>
      <c r="AF90" s="47">
        <f>VLOOKUP(t_Parts[[#This Row],[Plant]],t_Plants[],Plants!C$1,FALSE)</f>
        <v>0.55000000000000004</v>
      </c>
      <c r="AG90" s="47">
        <f>VLOOKUP(t_Parts[[#This Row],[Press]],t_Presses[],Press!F$1,FALSE)</f>
        <v>0</v>
      </c>
      <c r="AH90" s="84"/>
      <c r="AI90" s="47">
        <f>IF(ISBLANK(t_Parts[[#This Row],[PartOEE]])=FALSE,t_Parts[[#This Row],[PartOEE]], IF(t_Parts[[#This Row],[PressOEE]]&gt;0, t_Parts[[#This Row],[PressOEE]], t_Parts[[#This Row],[PlantOEE]] ))</f>
        <v>0.55000000000000004</v>
      </c>
      <c r="AJ90" s="70">
        <f>t_Parts[[#This Row],[SetupsPerMo]]*t_Parts[[#This Row],[SetupHrs]]</f>
        <v>2</v>
      </c>
      <c r="AK90" s="39">
        <f>(t_Parts[[#This Row],[PartsPerStroke]]*t_Parts[[#This Row],[StrokesPerHr]])*t_Parts[[#This Row],[UseOEE]]</f>
        <v>396.00000000000006</v>
      </c>
      <c r="AL9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9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9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9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9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9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9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9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9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9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9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9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90" s="39">
        <f>SUM(t_Parts[[#This Row],[pv2015.01]:[pv2015.12]])</f>
        <v>12959.999999999998</v>
      </c>
      <c r="AY9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9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9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9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9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9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9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9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9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9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9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9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90" s="39">
        <f>SUM(t_Parts[[#This Row],[pv2016.01]:[pv2016.12]])</f>
        <v>12959.999999999998</v>
      </c>
      <c r="BL90" s="39">
        <f>t_Parts[[#This Row],[2017vol]]</f>
        <v>12960</v>
      </c>
      <c r="BM90" s="39">
        <f>t_Parts[[#This Row],[2018vol]]</f>
        <v>12960</v>
      </c>
      <c r="BN90" s="39">
        <f>t_Parts[[#This Row],[2019vol]]</f>
        <v>12960</v>
      </c>
      <c r="BO90" s="40">
        <f>VLOOKUP(t_Parts[[Plant]:[Plant]],t_Plants[],Plants!CN$1,FALSE)</f>
        <v>280</v>
      </c>
      <c r="BP90" s="14">
        <f>VLOOKUP(t_Parts[[Plant]:[Plant]],t_Plants[],Plants!CO$1,FALSE)</f>
        <v>280</v>
      </c>
      <c r="BQ90" s="14">
        <f>VLOOKUP(t_Parts[[Plant]:[Plant]],t_Plants[],Plants!CP$1,FALSE)</f>
        <v>350</v>
      </c>
      <c r="BR90" s="14">
        <f>VLOOKUP(t_Parts[[Plant]:[Plant]],t_Plants[],Plants!CQ$1,FALSE)</f>
        <v>280</v>
      </c>
      <c r="BS90" s="14">
        <f>VLOOKUP(t_Parts[[Plant]:[Plant]],t_Plants[],Plants!CR$1,FALSE)</f>
        <v>280</v>
      </c>
      <c r="BT90" s="14">
        <f>VLOOKUP(t_Parts[[Plant]:[Plant]],t_Plants[],Plants!CS$1,FALSE)</f>
        <v>350</v>
      </c>
      <c r="BU90" s="14">
        <f>VLOOKUP(t_Parts[[Plant]:[Plant]],t_Plants[],Plants!CT$1,FALSE)</f>
        <v>280</v>
      </c>
      <c r="BV90" s="14">
        <f>VLOOKUP(t_Parts[[Plant]:[Plant]],t_Plants[],Plants!CU$1,FALSE)</f>
        <v>280</v>
      </c>
      <c r="BW90" s="14">
        <f>VLOOKUP(t_Parts[[Plant]:[Plant]],t_Plants[],Plants!CV$1,FALSE)</f>
        <v>350</v>
      </c>
      <c r="BX90" s="14">
        <f>VLOOKUP(t_Parts[[Plant]:[Plant]],t_Plants[],Plants!CW$1,FALSE)</f>
        <v>280</v>
      </c>
      <c r="BY90" s="14">
        <f>VLOOKUP(t_Parts[[Plant]:[Plant]],t_Plants[],Plants!CX$1,FALSE)</f>
        <v>280</v>
      </c>
      <c r="BZ90" s="14">
        <f>VLOOKUP(t_Parts[[Plant]:[Plant]],t_Plants[],Plants!CY$1,FALSE)</f>
        <v>350</v>
      </c>
      <c r="CA90" s="40">
        <f>SUM(t_Parts[[#This Row],[ha2015.01]:[ha2015.12]])</f>
        <v>3640</v>
      </c>
      <c r="CB90" s="14">
        <f>VLOOKUP(t_Parts[[Plant]:[Plant]],t_Plants[],Plants!DA$1,FALSE)</f>
        <v>280</v>
      </c>
      <c r="CC90" s="14">
        <f>VLOOKUP(t_Parts[[Plant]:[Plant]],t_Plants[],Plants!DB$1,FALSE)</f>
        <v>280</v>
      </c>
      <c r="CD90" s="14">
        <f>VLOOKUP(t_Parts[[Plant]:[Plant]],t_Plants[],Plants!DC$1,FALSE)</f>
        <v>350</v>
      </c>
      <c r="CE90" s="14">
        <f>VLOOKUP(t_Parts[[Plant]:[Plant]],t_Plants[],Plants!DD$1,FALSE)</f>
        <v>280</v>
      </c>
      <c r="CF90" s="14">
        <f>VLOOKUP(t_Parts[[Plant]:[Plant]],t_Plants[],Plants!DE$1,FALSE)</f>
        <v>280</v>
      </c>
      <c r="CG90" s="14">
        <f>VLOOKUP(t_Parts[[Plant]:[Plant]],t_Plants[],Plants!DF$1,FALSE)</f>
        <v>350</v>
      </c>
      <c r="CH90" s="14">
        <f>VLOOKUP(t_Parts[[Plant]:[Plant]],t_Plants[],Plants!DG$1,FALSE)</f>
        <v>280</v>
      </c>
      <c r="CI90" s="14">
        <f>VLOOKUP(t_Parts[[Plant]:[Plant]],t_Plants[],Plants!DH$1,FALSE)</f>
        <v>280</v>
      </c>
      <c r="CJ90" s="14">
        <f>VLOOKUP(t_Parts[[Plant]:[Plant]],t_Plants[],Plants!DI$1,FALSE)</f>
        <v>350</v>
      </c>
      <c r="CK90" s="14">
        <f>VLOOKUP(t_Parts[[Plant]:[Plant]],t_Plants[],Plants!DJ$1,FALSE)</f>
        <v>280</v>
      </c>
      <c r="CL90" s="14">
        <f>VLOOKUP(t_Parts[[Plant]:[Plant]],t_Plants[],Plants!DK$1,FALSE)</f>
        <v>280</v>
      </c>
      <c r="CM90" s="14">
        <f>VLOOKUP(t_Parts[[Plant]:[Plant]],t_Plants[],Plants!DL$1,FALSE)</f>
        <v>350</v>
      </c>
      <c r="CN90" s="14">
        <f>VLOOKUP(t_Parts[[Plant]:[Plant]],t_Plants[],Plants!DM$1,FALSE)</f>
        <v>3640</v>
      </c>
      <c r="CO90" s="14">
        <f>VLOOKUP(t_Parts[[Plant]:[Plant]],t_Plants[],Plants!DN$1,FALSE)</f>
        <v>3640</v>
      </c>
      <c r="CP90" s="14">
        <f>VLOOKUP(t_Parts[[Plant]:[Plant]],t_Plants[],Plants!DO$1,FALSE)</f>
        <v>3640</v>
      </c>
      <c r="CQ90" s="14">
        <f>VLOOKUP(t_Parts[[Plant]:[Plant]],t_Plants[],Plants!DP$1,FALSE)</f>
        <v>3640</v>
      </c>
      <c r="CR90" s="39">
        <f>IF(AND(AL$3&gt;=VALUE(t_Parts[[SOP]:[SOP]]),AL$3&lt;=VALUE(t_Parts[[EOP]:[EOP]])), t_Parts[[SetupHrsPerMo]:[SetupHrsPerMo]]+(t_Parts[[#This Row],[pv2015.01]]/t_Parts[[NetPPH]:[NetPPH]]),0)</f>
        <v>4.5174825174825166</v>
      </c>
      <c r="CS90" s="39">
        <f>IF(AND(AM$3&gt;=VALUE(t_Parts[[SOP]:[SOP]]),AM$3&lt;=VALUE(t_Parts[[EOP]:[EOP]])), t_Parts[[SetupHrsPerMo]:[SetupHrsPerMo]]+(t_Parts[[#This Row],[pv2015.02]]/t_Parts[[NetPPH]:[NetPPH]]),0)</f>
        <v>4.5174825174825166</v>
      </c>
      <c r="CT90" s="39">
        <f>IF(AND(AN$3&gt;=VALUE(t_Parts[[SOP]:[SOP]]),AN$3&lt;=VALUE(t_Parts[[EOP]:[EOP]])), t_Parts[[SetupHrsPerMo]:[SetupHrsPerMo]]+(t_Parts[[#This Row],[pv2015.03]]/t_Parts[[NetPPH]:[NetPPH]]),0)</f>
        <v>5.1468531468531467</v>
      </c>
      <c r="CU90" s="39">
        <f>IF(AND(AO$3&gt;=VALUE(t_Parts[[SOP]:[SOP]]),AO$3&lt;=VALUE(t_Parts[[EOP]:[EOP]])), t_Parts[[SetupHrsPerMo]:[SetupHrsPerMo]]+(t_Parts[[#This Row],[pv2015.04]]/t_Parts[[NetPPH]:[NetPPH]]),0)</f>
        <v>4.5174825174825166</v>
      </c>
      <c r="CV90" s="39">
        <f>IF(AND(AP$3&gt;=VALUE(t_Parts[[SOP]:[SOP]]),AP$3&lt;=VALUE(t_Parts[[EOP]:[EOP]])), t_Parts[[SetupHrsPerMo]:[SetupHrsPerMo]]+(t_Parts[[#This Row],[pv2015.05]]/t_Parts[[NetPPH]:[NetPPH]]),0)</f>
        <v>4.5174825174825166</v>
      </c>
      <c r="CW90" s="39">
        <f>IF(AND(AQ$3&gt;=VALUE(t_Parts[[SOP]:[SOP]]),AQ$3&lt;=VALUE(t_Parts[[EOP]:[EOP]])), t_Parts[[SetupHrsPerMo]:[SetupHrsPerMo]]+(t_Parts[[#This Row],[pv2015.06]]/t_Parts[[NetPPH]:[NetPPH]]),0)</f>
        <v>5.1468531468531467</v>
      </c>
      <c r="CX90" s="39">
        <f>IF(AND(AR$3&gt;=VALUE(t_Parts[[SOP]:[SOP]]),AR$3&lt;=VALUE(t_Parts[[EOP]:[EOP]])), t_Parts[[SetupHrsPerMo]:[SetupHrsPerMo]]+(t_Parts[[#This Row],[pv2015.07]]/t_Parts[[NetPPH]:[NetPPH]]),0)</f>
        <v>4.5174825174825166</v>
      </c>
      <c r="CY90" s="39">
        <f>IF(AND(AS$3&gt;=VALUE(t_Parts[[SOP]:[SOP]]),AS$3&lt;=VALUE(t_Parts[[EOP]:[EOP]])), t_Parts[[SetupHrsPerMo]:[SetupHrsPerMo]]+(t_Parts[[#This Row],[pv2015.08]]/t_Parts[[NetPPH]:[NetPPH]]),0)</f>
        <v>4.5174825174825166</v>
      </c>
      <c r="CZ90" s="39">
        <f>IF(AND(AT$3&gt;=VALUE(t_Parts[[SOP]:[SOP]]),AT$3&lt;=VALUE(t_Parts[[EOP]:[EOP]])), t_Parts[[SetupHrsPerMo]:[SetupHrsPerMo]]+(t_Parts[[#This Row],[pv2015.09]]/t_Parts[[NetPPH]:[NetPPH]]),0)</f>
        <v>5.1468531468531467</v>
      </c>
      <c r="DA90" s="39">
        <f>IF(AND(AU$3&gt;=VALUE(t_Parts[[SOP]:[SOP]]),AU$3&lt;=VALUE(t_Parts[[EOP]:[EOP]])), t_Parts[[SetupHrsPerMo]:[SetupHrsPerMo]]+(t_Parts[[#This Row],[pv2015.10]]/t_Parts[[NetPPH]:[NetPPH]]),0)</f>
        <v>4.5174825174825166</v>
      </c>
      <c r="DB90" s="39">
        <f>IF(AND(AV$3&gt;=VALUE(t_Parts[[SOP]:[SOP]]),AV$3&lt;=VALUE(t_Parts[[EOP]:[EOP]])), t_Parts[[SetupHrsPerMo]:[SetupHrsPerMo]]+(t_Parts[[#This Row],[pv2015.11]]/t_Parts[[NetPPH]:[NetPPH]]),0)</f>
        <v>4.5174825174825166</v>
      </c>
      <c r="DC90" s="39">
        <f>IF(AND(AW$3&gt;=VALUE(t_Parts[[SOP]:[SOP]]),AW$3&lt;=VALUE(t_Parts[[EOP]:[EOP]])), t_Parts[[SetupHrsPerMo]:[SetupHrsPerMo]]+(t_Parts[[#This Row],[pv2015.12]]/t_Parts[[NetPPH]:[NetPPH]]),0)</f>
        <v>5.1468531468531467</v>
      </c>
      <c r="DD90" s="39">
        <f>SUM(t_Parts[[#This Row],[hp2015.01]:[hp2015.12]])</f>
        <v>56.727272727272734</v>
      </c>
      <c r="DE90" s="39">
        <f>IF(AND(AY$3&gt;=VALUE(t_Parts[[SOP]:[SOP]]),AY$3&lt;=VALUE(t_Parts[[EOP]:[EOP]])), t_Parts[[SetupHrsPerMo]:[SetupHrsPerMo]]+(t_Parts[[#This Row],[pv2016.01]]/t_Parts[[NetPPH]:[NetPPH]]),0)</f>
        <v>4.5174825174825166</v>
      </c>
      <c r="DF90" s="39">
        <f>IF(AND(AZ$3&gt;=VALUE(t_Parts[[SOP]:[SOP]]),AZ$3&lt;=VALUE(t_Parts[[EOP]:[EOP]])), t_Parts[[SetupHrsPerMo]:[SetupHrsPerMo]]+(t_Parts[[#This Row],[pv2016.02]]/t_Parts[[NetPPH]:[NetPPH]]),0)</f>
        <v>4.5174825174825166</v>
      </c>
      <c r="DG90" s="39">
        <f>IF(AND(BA$3&gt;=VALUE(t_Parts[[SOP]:[SOP]]),BA$3&lt;=VALUE(t_Parts[[EOP]:[EOP]])), t_Parts[[SetupHrsPerMo]:[SetupHrsPerMo]]+(t_Parts[[#This Row],[pv2016.03]]/t_Parts[[NetPPH]:[NetPPH]]),0)</f>
        <v>5.1468531468531467</v>
      </c>
      <c r="DH90" s="39">
        <f>IF(AND(BB$3&gt;=VALUE(t_Parts[[SOP]:[SOP]]),BB$3&lt;=VALUE(t_Parts[[EOP]:[EOP]])), t_Parts[[SetupHrsPerMo]:[SetupHrsPerMo]]+(t_Parts[[#This Row],[pv2016.04]]/t_Parts[[NetPPH]:[NetPPH]]),0)</f>
        <v>4.5174825174825166</v>
      </c>
      <c r="DI90" s="39">
        <f>IF(AND(BC$3&gt;=VALUE(t_Parts[[SOP]:[SOP]]),BC$3&lt;=VALUE(t_Parts[[EOP]:[EOP]])), t_Parts[[SetupHrsPerMo]:[SetupHrsPerMo]]+(t_Parts[[#This Row],[pv2016.05]]/t_Parts[[NetPPH]:[NetPPH]]),0)</f>
        <v>4.5174825174825166</v>
      </c>
      <c r="DJ90" s="39">
        <f>IF(AND(BD$3&gt;=VALUE(t_Parts[[SOP]:[SOP]]),BD$3&lt;=VALUE(t_Parts[[EOP]:[EOP]])), t_Parts[[SetupHrsPerMo]:[SetupHrsPerMo]]+(t_Parts[[#This Row],[pv2016.06]]/t_Parts[[NetPPH]:[NetPPH]]),0)</f>
        <v>5.1468531468531467</v>
      </c>
      <c r="DK90" s="39">
        <f>IF(AND(BE$3&gt;=VALUE(t_Parts[[SOP]:[SOP]]),BE$3&lt;=VALUE(t_Parts[[EOP]:[EOP]])), t_Parts[[SetupHrsPerMo]:[SetupHrsPerMo]]+(t_Parts[[#This Row],[pv2016.07]]/t_Parts[[NetPPH]:[NetPPH]]),0)</f>
        <v>4.5174825174825166</v>
      </c>
      <c r="DL90" s="39">
        <f>IF(AND(BF$3&gt;=VALUE(t_Parts[[SOP]:[SOP]]),BF$3&lt;=VALUE(t_Parts[[EOP]:[EOP]])), t_Parts[[SetupHrsPerMo]:[SetupHrsPerMo]]+(t_Parts[[#This Row],[pv2016.08]]/t_Parts[[NetPPH]:[NetPPH]]),0)</f>
        <v>4.5174825174825166</v>
      </c>
      <c r="DM90" s="39">
        <f>IF(AND(BG$3&gt;=VALUE(t_Parts[[SOP]:[SOP]]),BG$3&lt;=VALUE(t_Parts[[EOP]:[EOP]])), t_Parts[[SetupHrsPerMo]:[SetupHrsPerMo]]+(t_Parts[[#This Row],[pv2016.09]]/t_Parts[[NetPPH]:[NetPPH]]),0)</f>
        <v>5.1468531468531467</v>
      </c>
      <c r="DN90" s="39">
        <f>IF(AND(BH$3&gt;=VALUE(t_Parts[[SOP]:[SOP]]),BH$3&lt;=VALUE(t_Parts[[EOP]:[EOP]])), t_Parts[[SetupHrsPerMo]:[SetupHrsPerMo]]+(t_Parts[[#This Row],[pv2016.10]]/t_Parts[[NetPPH]:[NetPPH]]),0)</f>
        <v>4.5174825174825166</v>
      </c>
      <c r="DO90" s="39">
        <f>IF(AND(BI$3&gt;=VALUE(t_Parts[[SOP]:[SOP]]),BI$3&lt;=VALUE(t_Parts[[EOP]:[EOP]])), t_Parts[[SetupHrsPerMo]:[SetupHrsPerMo]]+(t_Parts[[#This Row],[pv2016.11]]/t_Parts[[NetPPH]:[NetPPH]]),0)</f>
        <v>4.5174825174825166</v>
      </c>
      <c r="DP90" s="39">
        <f>IF(AND(BJ$3&gt;=VALUE(t_Parts[[SOP]:[SOP]]),BJ$3&lt;=VALUE(t_Parts[[EOP]:[EOP]])), t_Parts[[SetupHrsPerMo]:[SetupHrsPerMo]]+(t_Parts[[#This Row],[pv2016.12]]/t_Parts[[NetPPH]:[NetPPH]]),0)</f>
        <v>5.1468531468531467</v>
      </c>
      <c r="DQ90" s="39">
        <f>SUM(t_Parts[[#This Row],[hp2016.01]:[hp2016.12]])</f>
        <v>56.727272727272734</v>
      </c>
      <c r="DR90" s="39">
        <f>IF(AND(BL$3&gt;=VALUE(t_Parts[[SOP]:[SOP]]),BL$3&lt;=VALUE(t_Parts[[EOP]:[EOP]])), 12*t_Parts[[SetupHrsPerMo]:[SetupHrsPerMo]]+(t_Parts[[#This Row],[pv2017]]/t_Parts[[NetPPH]:[NetPPH]]),0)</f>
        <v>56.72727272727272</v>
      </c>
      <c r="DS90" s="39">
        <f>IF(AND(BM$3&gt;=VALUE(t_Parts[[SOP]:[SOP]]),BM$3&lt;=VALUE(t_Parts[[EOP]:[EOP]])), 12*t_Parts[[SetupHrsPerMo]:[SetupHrsPerMo]]+(t_Parts[[#This Row],[pv2018]]/t_Parts[[NetPPH]:[NetPPH]]),0)</f>
        <v>0</v>
      </c>
      <c r="DT90" s="39">
        <f>IF(AND(BN$3&gt;=VALUE(t_Parts[[SOP]:[SOP]]),BN$3&lt;=VALUE(t_Parts[[EOP]:[EOP]])), 12*t_Parts[[SetupHrsPerMo]:[SetupHrsPerMo]]+(t_Parts[[#This Row],[pv2019]]/t_Parts[[NetPPH]:[NetPPH]]),0)</f>
        <v>0</v>
      </c>
      <c r="DU90" s="47">
        <f>t_Parts[[#This Row],[hp2015.01]]/t_Parts[[#This Row],[ha2015.01]]</f>
        <v>1.613386613386613E-2</v>
      </c>
      <c r="DV90" s="47">
        <f>t_Parts[[#This Row],[hp2015.02]]/t_Parts[[#This Row],[ha2015.02]]</f>
        <v>1.613386613386613E-2</v>
      </c>
      <c r="DW90" s="47">
        <f>t_Parts[[#This Row],[hp2015.03]]/t_Parts[[#This Row],[ha2015.03]]</f>
        <v>1.4705294705294705E-2</v>
      </c>
      <c r="DX90" s="47">
        <f>t_Parts[[#This Row],[hp2015.04]]/t_Parts[[#This Row],[ha2015.04]]</f>
        <v>1.613386613386613E-2</v>
      </c>
      <c r="DY90" s="47">
        <f>t_Parts[[#This Row],[hp2015.05]]/t_Parts[[#This Row],[ha2015.05]]</f>
        <v>1.613386613386613E-2</v>
      </c>
      <c r="DZ90" s="47">
        <f>t_Parts[[#This Row],[hp2015.06]]/t_Parts[[#This Row],[ha2015.06]]</f>
        <v>1.4705294705294705E-2</v>
      </c>
      <c r="EA90" s="47">
        <f>t_Parts[[#This Row],[hp2015.07]]/t_Parts[[#This Row],[ha2015.07]]</f>
        <v>1.613386613386613E-2</v>
      </c>
      <c r="EB90" s="47">
        <f>t_Parts[[#This Row],[hp2015.08]]/t_Parts[[#This Row],[ha2015.08]]</f>
        <v>1.613386613386613E-2</v>
      </c>
      <c r="EC90" s="47">
        <f>t_Parts[[#This Row],[hp2015.09]]/t_Parts[[#This Row],[ha2015.09]]</f>
        <v>1.4705294705294705E-2</v>
      </c>
      <c r="ED90" s="47">
        <f>t_Parts[[#This Row],[hp2015.10]]/t_Parts[[#This Row],[ha2015.10]]</f>
        <v>1.613386613386613E-2</v>
      </c>
      <c r="EE90" s="47">
        <f>t_Parts[[#This Row],[hp2015.11]]/t_Parts[[#This Row],[ha2015.11]]</f>
        <v>1.613386613386613E-2</v>
      </c>
      <c r="EF90" s="47">
        <f>t_Parts[[#This Row],[hp2015.12]]/t_Parts[[#This Row],[ha2015.12]]</f>
        <v>1.4705294705294705E-2</v>
      </c>
      <c r="EG90" s="47">
        <f>t_Parts[[#This Row],[hp2015.FY]]/t_Parts[[#This Row],[ha2015.FY]]</f>
        <v>1.5584415584415586E-2</v>
      </c>
      <c r="EH90" s="47">
        <f>t_Parts[[#This Row],[hp2016.01]]/t_Parts[[#This Row],[ha2016.01]]</f>
        <v>1.613386613386613E-2</v>
      </c>
      <c r="EI90" s="47">
        <f>t_Parts[[#This Row],[hp2016.02]]/t_Parts[[#This Row],[ha2016.02]]</f>
        <v>1.613386613386613E-2</v>
      </c>
      <c r="EJ90" s="47">
        <f>t_Parts[[#This Row],[hp2016.03]]/t_Parts[[#This Row],[ha2016.03]]</f>
        <v>1.4705294705294705E-2</v>
      </c>
      <c r="EK90" s="47">
        <f>t_Parts[[#This Row],[hp2016.04]]/t_Parts[[#This Row],[ha2016.04]]</f>
        <v>1.613386613386613E-2</v>
      </c>
      <c r="EL90" s="47">
        <f>t_Parts[[#This Row],[hp2016.05]]/t_Parts[[#This Row],[ha2016.05]]</f>
        <v>1.613386613386613E-2</v>
      </c>
      <c r="EM90" s="47">
        <f>t_Parts[[#This Row],[hp2016.06]]/t_Parts[[#This Row],[ha2016.06]]</f>
        <v>1.4705294705294705E-2</v>
      </c>
      <c r="EN90" s="47">
        <f>t_Parts[[#This Row],[hp2016.07]]/t_Parts[[#This Row],[ha2016.07]]</f>
        <v>1.613386613386613E-2</v>
      </c>
      <c r="EO90" s="47">
        <f>t_Parts[[#This Row],[hp2016.08]]/t_Parts[[#This Row],[ha2016.08]]</f>
        <v>1.613386613386613E-2</v>
      </c>
      <c r="EP90" s="47">
        <f>t_Parts[[#This Row],[hp2016.09]]/t_Parts[[#This Row],[ha2016.09]]</f>
        <v>1.4705294705294705E-2</v>
      </c>
      <c r="EQ90" s="47">
        <f>t_Parts[[#This Row],[hp2016.10]]/t_Parts[[#This Row],[ha2016.10]]</f>
        <v>1.613386613386613E-2</v>
      </c>
      <c r="ER90" s="47">
        <f>t_Parts[[#This Row],[hp2016.11]]/t_Parts[[#This Row],[ha2016.11]]</f>
        <v>1.613386613386613E-2</v>
      </c>
      <c r="ES90" s="47">
        <f>t_Parts[[#This Row],[hp2016.12]]/t_Parts[[#This Row],[ha2016.12]]</f>
        <v>1.4705294705294705E-2</v>
      </c>
      <c r="ET90" s="47">
        <f>t_Parts[[#This Row],[hp2016.FY]]/t_Parts[[#This Row],[ha2016.FY]]</f>
        <v>1.5584415584415586E-2</v>
      </c>
      <c r="EU90" s="47">
        <f>t_Parts[[#This Row],[hp2017]]/t_Parts[[#This Row],[ha2017]]</f>
        <v>1.5584415584415583E-2</v>
      </c>
      <c r="EV90" s="47">
        <f>t_Parts[[#This Row],[hp2018]]/t_Parts[[#This Row],[ha2018]]</f>
        <v>0</v>
      </c>
      <c r="EW90" s="47">
        <f>t_Parts[[#This Row],[hp2019]]/t_Parts[[#This Row],[hp2015.01]]</f>
        <v>0</v>
      </c>
      <c r="EX90" s="58">
        <f>(t_Parts[[#This Row],[ha2015.01]]-t_Parts[[#This Row],[hp2015.01]])*t_Parts[[NetPPH]:[NetPPH]]</f>
        <v>109091.07692307694</v>
      </c>
      <c r="EY90" s="58">
        <f>(t_Parts[[#This Row],[ha2015.02]]-t_Parts[[#This Row],[hp2015.02]])*t_Parts[[NetPPH]:[NetPPH]]</f>
        <v>109091.07692307694</v>
      </c>
      <c r="EZ90" s="58">
        <f>(t_Parts[[#This Row],[ha2015.03]]-t_Parts[[#This Row],[hp2015.03]])*t_Parts[[NetPPH]:[NetPPH]]</f>
        <v>136561.84615384619</v>
      </c>
      <c r="FA90" s="58">
        <f>(t_Parts[[#This Row],[ha2015.04]]-t_Parts[[#This Row],[hp2015.04]])*t_Parts[[NetPPH]:[NetPPH]]</f>
        <v>109091.07692307694</v>
      </c>
      <c r="FB90" s="58">
        <f>(t_Parts[[#This Row],[ha2015.05]]-t_Parts[[#This Row],[hp2015.05]])*t_Parts[[NetPPH]:[NetPPH]]</f>
        <v>109091.07692307694</v>
      </c>
      <c r="FC90" s="58">
        <f>(t_Parts[[#This Row],[ha2015.06]]-t_Parts[[#This Row],[hp2015.06]])*t_Parts[[NetPPH]:[NetPPH]]</f>
        <v>136561.84615384619</v>
      </c>
      <c r="FD90" s="58">
        <f>(t_Parts[[#This Row],[ha2015.07]]-t_Parts[[#This Row],[hp2015.07]])*t_Parts[[NetPPH]:[NetPPH]]</f>
        <v>109091.07692307694</v>
      </c>
      <c r="FE90" s="58">
        <f>(t_Parts[[#This Row],[ha2015.08]]-t_Parts[[#This Row],[hp2015.08]])*t_Parts[[NetPPH]:[NetPPH]]</f>
        <v>109091.07692307694</v>
      </c>
      <c r="FF90" s="58">
        <f>(t_Parts[[#This Row],[ha2015.09]]-t_Parts[[#This Row],[hp2015.09]])*t_Parts[[NetPPH]:[NetPPH]]</f>
        <v>136561.84615384619</v>
      </c>
      <c r="FG90" s="58">
        <f>(t_Parts[[#This Row],[ha2015.10]]-t_Parts[[#This Row],[hp2015.10]])*t_Parts[[NetPPH]:[NetPPH]]</f>
        <v>109091.07692307694</v>
      </c>
      <c r="FH90" s="58">
        <f>(t_Parts[[#This Row],[ha2015.11]]-t_Parts[[#This Row],[hp2015.11]])*t_Parts[[NetPPH]:[NetPPH]]</f>
        <v>109091.07692307694</v>
      </c>
      <c r="FI90" s="58">
        <f>(t_Parts[[#This Row],[ha2015.12]]-t_Parts[[#This Row],[hp2015.12]])*t_Parts[[NetPPH]:[NetPPH]]</f>
        <v>136561.84615384619</v>
      </c>
      <c r="FJ90" s="58">
        <f>(t_Parts[[#This Row],[ha2015.FY]]-t_Parts[[#This Row],[hp2015.FY]])*t_Parts[[NetPPH]:[NetPPH]]</f>
        <v>1418976.0000000002</v>
      </c>
      <c r="FK90" s="58">
        <f>(t_Parts[[#This Row],[ha2016.01]]-t_Parts[[#This Row],[hp2016.01]])*t_Parts[[NetPPH]:[NetPPH]]</f>
        <v>109091.07692307694</v>
      </c>
      <c r="FL90" s="58">
        <f>(t_Parts[[#This Row],[ha2016.02]]-t_Parts[[#This Row],[hp2016.02]])*t_Parts[[NetPPH]:[NetPPH]]</f>
        <v>109091.07692307694</v>
      </c>
      <c r="FM90" s="58">
        <f>(t_Parts[[#This Row],[ha2016.03]]-t_Parts[[#This Row],[hp2016.03]])*t_Parts[[NetPPH]:[NetPPH]]</f>
        <v>136561.84615384619</v>
      </c>
      <c r="FN90" s="58">
        <f>(t_Parts[[#This Row],[ha2016.04]]-t_Parts[[#This Row],[hp2016.04]])*t_Parts[[NetPPH]:[NetPPH]]</f>
        <v>109091.07692307694</v>
      </c>
      <c r="FO90" s="58">
        <f>(t_Parts[[#This Row],[ha2016.05]]-t_Parts[[#This Row],[hp2016.05]])*t_Parts[[NetPPH]:[NetPPH]]</f>
        <v>109091.07692307694</v>
      </c>
      <c r="FP90" s="58">
        <f>(t_Parts[[#This Row],[ha2016.06]]-t_Parts[[#This Row],[hp2016.06]])*t_Parts[[NetPPH]:[NetPPH]]</f>
        <v>136561.84615384619</v>
      </c>
      <c r="FQ90" s="58">
        <f>(t_Parts[[#This Row],[ha2016.07]]-t_Parts[[#This Row],[hp2016.07]])*t_Parts[[NetPPH]:[NetPPH]]</f>
        <v>109091.07692307694</v>
      </c>
      <c r="FR90" s="58">
        <f>(t_Parts[[#This Row],[ha2016.08]]-t_Parts[[#This Row],[hp2016.08]])*t_Parts[[NetPPH]:[NetPPH]]</f>
        <v>109091.07692307694</v>
      </c>
      <c r="FS90" s="58">
        <f>(t_Parts[[#This Row],[ha2016.09]]-t_Parts[[#This Row],[hp2016.09]])*t_Parts[[NetPPH]:[NetPPH]]</f>
        <v>136561.84615384619</v>
      </c>
      <c r="FT90" s="58">
        <f>(t_Parts[[#This Row],[ha2016.10]]-t_Parts[[#This Row],[hp2016.10]])*t_Parts[[NetPPH]:[NetPPH]]</f>
        <v>109091.07692307694</v>
      </c>
      <c r="FU90" s="58">
        <f>(t_Parts[[#This Row],[ha2016.11]]-t_Parts[[#This Row],[hp2016.11]])*t_Parts[[NetPPH]:[NetPPH]]</f>
        <v>109091.07692307694</v>
      </c>
      <c r="FV90" s="58">
        <f>(t_Parts[[#This Row],[ha2016.12]]-t_Parts[[#This Row],[hp2016.12]])*t_Parts[[NetPPH]:[NetPPH]]</f>
        <v>136561.84615384619</v>
      </c>
      <c r="FW90" s="58">
        <f>(t_Parts[[#This Row],[ha2016.FY]]-t_Parts[[#This Row],[hp2016.FY]])*t_Parts[[NetPPH]:[NetPPH]]</f>
        <v>1418976.0000000002</v>
      </c>
      <c r="FX90" s="58">
        <f>(t_Parts[[#This Row],[ha2017]]-t_Parts[[#This Row],[hp2017]])*t_Parts[[NetPPH]:[NetPPH]]</f>
        <v>1418976.0000000002</v>
      </c>
      <c r="FY90" s="58">
        <f>(t_Parts[[#This Row],[ha2018]]-t_Parts[[#This Row],[hp2018]])*t_Parts[[NetPPH]:[NetPPH]]</f>
        <v>1441440.0000000002</v>
      </c>
      <c r="FZ90" s="58">
        <f>(t_Parts[[#This Row],[ha2019]]-t_Parts[[#This Row],[hp2019]])*t_Parts[[NetPPH]:[NetPPH]]</f>
        <v>1441440.0000000002</v>
      </c>
    </row>
    <row r="91" spans="1:182" s="14" customFormat="1" x14ac:dyDescent="0.25">
      <c r="A91" s="74">
        <v>37222</v>
      </c>
      <c r="B91" s="74"/>
      <c r="C91" s="74">
        <v>21014</v>
      </c>
      <c r="D91" s="75">
        <v>1</v>
      </c>
      <c r="E91" s="73">
        <v>1080</v>
      </c>
      <c r="F91" s="76">
        <v>1</v>
      </c>
      <c r="G91" s="77">
        <v>2</v>
      </c>
      <c r="H91" s="16">
        <v>2015.01</v>
      </c>
      <c r="I91" s="16" t="s">
        <v>81</v>
      </c>
      <c r="J91" s="73">
        <v>12960</v>
      </c>
      <c r="K91" s="73">
        <v>12960</v>
      </c>
      <c r="L91" s="73">
        <v>12960</v>
      </c>
      <c r="M91" s="73">
        <v>12960</v>
      </c>
      <c r="N91" s="73">
        <v>12960</v>
      </c>
      <c r="O91" s="78">
        <v>46</v>
      </c>
      <c r="P91" s="78">
        <v>56</v>
      </c>
      <c r="Q91" s="79">
        <v>22.48</v>
      </c>
      <c r="R91" s="79"/>
      <c r="S91" s="78"/>
      <c r="T91" s="80">
        <v>13</v>
      </c>
      <c r="U91" s="80" t="s">
        <v>121</v>
      </c>
      <c r="V91" s="81" t="s">
        <v>508</v>
      </c>
      <c r="W91" s="82">
        <v>0.6</v>
      </c>
      <c r="X91" s="82" t="s">
        <v>501</v>
      </c>
      <c r="Y91" s="82"/>
      <c r="Z91" s="82"/>
      <c r="AA91" s="82"/>
      <c r="AB91" s="82"/>
      <c r="AC91" s="83" t="s">
        <v>667</v>
      </c>
      <c r="AD91" s="40" t="str">
        <f>VLOOKUP(t_Parts[[#This Row],[Press]],t_Presses[],Press!B$1,FALSE)</f>
        <v>Plainfield</v>
      </c>
      <c r="AE91" s="40" t="str">
        <f>VLOOKUP(t_Parts[[#This Row],[Press]],t_Presses[],Press!E$1,FALSE)</f>
        <v>300-599</v>
      </c>
      <c r="AF91" s="47">
        <f>VLOOKUP(t_Parts[[#This Row],[Plant]],t_Plants[],Plants!C$1,FALSE)</f>
        <v>0.55000000000000004</v>
      </c>
      <c r="AG91" s="47">
        <f>VLOOKUP(t_Parts[[#This Row],[Press]],t_Presses[],Press!F$1,FALSE)</f>
        <v>0</v>
      </c>
      <c r="AH91" s="84"/>
      <c r="AI91" s="47">
        <f>IF(ISBLANK(t_Parts[[#This Row],[PartOEE]])=FALSE,t_Parts[[#This Row],[PartOEE]], IF(t_Parts[[#This Row],[PressOEE]]&gt;0, t_Parts[[#This Row],[PressOEE]], t_Parts[[#This Row],[PlantOEE]] ))</f>
        <v>0.55000000000000004</v>
      </c>
      <c r="AJ91" s="70">
        <f>t_Parts[[#This Row],[SetupsPerMo]]*t_Parts[[#This Row],[SetupHrs]]</f>
        <v>2</v>
      </c>
      <c r="AK91" s="39">
        <f>(t_Parts[[#This Row],[PartsPerStroke]]*t_Parts[[#This Row],[StrokesPerHr]])*t_Parts[[#This Row],[UseOEE]]</f>
        <v>594</v>
      </c>
      <c r="AL9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9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9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9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9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9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9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9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9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9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9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9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91" s="39">
        <f>SUM(t_Parts[[#This Row],[pv2015.01]:[pv2015.12]])</f>
        <v>12959.999999999998</v>
      </c>
      <c r="AY9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9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9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9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9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9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9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9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9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9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9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9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91" s="39">
        <f>SUM(t_Parts[[#This Row],[pv2016.01]:[pv2016.12]])</f>
        <v>12959.999999999998</v>
      </c>
      <c r="BL91" s="39">
        <f>t_Parts[[#This Row],[2017vol]]</f>
        <v>12960</v>
      </c>
      <c r="BM91" s="39">
        <f>t_Parts[[#This Row],[2018vol]]</f>
        <v>12960</v>
      </c>
      <c r="BN91" s="39">
        <f>t_Parts[[#This Row],[2019vol]]</f>
        <v>12960</v>
      </c>
      <c r="BO91" s="40">
        <f>VLOOKUP(t_Parts[[Plant]:[Plant]],t_Plants[],Plants!CN$1,FALSE)</f>
        <v>280</v>
      </c>
      <c r="BP91" s="14">
        <f>VLOOKUP(t_Parts[[Plant]:[Plant]],t_Plants[],Plants!CO$1,FALSE)</f>
        <v>280</v>
      </c>
      <c r="BQ91" s="14">
        <f>VLOOKUP(t_Parts[[Plant]:[Plant]],t_Plants[],Plants!CP$1,FALSE)</f>
        <v>350</v>
      </c>
      <c r="BR91" s="14">
        <f>VLOOKUP(t_Parts[[Plant]:[Plant]],t_Plants[],Plants!CQ$1,FALSE)</f>
        <v>280</v>
      </c>
      <c r="BS91" s="14">
        <f>VLOOKUP(t_Parts[[Plant]:[Plant]],t_Plants[],Plants!CR$1,FALSE)</f>
        <v>280</v>
      </c>
      <c r="BT91" s="14">
        <f>VLOOKUP(t_Parts[[Plant]:[Plant]],t_Plants[],Plants!CS$1,FALSE)</f>
        <v>350</v>
      </c>
      <c r="BU91" s="14">
        <f>VLOOKUP(t_Parts[[Plant]:[Plant]],t_Plants[],Plants!CT$1,FALSE)</f>
        <v>280</v>
      </c>
      <c r="BV91" s="14">
        <f>VLOOKUP(t_Parts[[Plant]:[Plant]],t_Plants[],Plants!CU$1,FALSE)</f>
        <v>280</v>
      </c>
      <c r="BW91" s="14">
        <f>VLOOKUP(t_Parts[[Plant]:[Plant]],t_Plants[],Plants!CV$1,FALSE)</f>
        <v>350</v>
      </c>
      <c r="BX91" s="14">
        <f>VLOOKUP(t_Parts[[Plant]:[Plant]],t_Plants[],Plants!CW$1,FALSE)</f>
        <v>280</v>
      </c>
      <c r="BY91" s="14">
        <f>VLOOKUP(t_Parts[[Plant]:[Plant]],t_Plants[],Plants!CX$1,FALSE)</f>
        <v>280</v>
      </c>
      <c r="BZ91" s="14">
        <f>VLOOKUP(t_Parts[[Plant]:[Plant]],t_Plants[],Plants!CY$1,FALSE)</f>
        <v>350</v>
      </c>
      <c r="CA91" s="40">
        <f>SUM(t_Parts[[#This Row],[ha2015.01]:[ha2015.12]])</f>
        <v>3640</v>
      </c>
      <c r="CB91" s="14">
        <f>VLOOKUP(t_Parts[[Plant]:[Plant]],t_Plants[],Plants!DA$1,FALSE)</f>
        <v>280</v>
      </c>
      <c r="CC91" s="14">
        <f>VLOOKUP(t_Parts[[Plant]:[Plant]],t_Plants[],Plants!DB$1,FALSE)</f>
        <v>280</v>
      </c>
      <c r="CD91" s="14">
        <f>VLOOKUP(t_Parts[[Plant]:[Plant]],t_Plants[],Plants!DC$1,FALSE)</f>
        <v>350</v>
      </c>
      <c r="CE91" s="14">
        <f>VLOOKUP(t_Parts[[Plant]:[Plant]],t_Plants[],Plants!DD$1,FALSE)</f>
        <v>280</v>
      </c>
      <c r="CF91" s="14">
        <f>VLOOKUP(t_Parts[[Plant]:[Plant]],t_Plants[],Plants!DE$1,FALSE)</f>
        <v>280</v>
      </c>
      <c r="CG91" s="14">
        <f>VLOOKUP(t_Parts[[Plant]:[Plant]],t_Plants[],Plants!DF$1,FALSE)</f>
        <v>350</v>
      </c>
      <c r="CH91" s="14">
        <f>VLOOKUP(t_Parts[[Plant]:[Plant]],t_Plants[],Plants!DG$1,FALSE)</f>
        <v>280</v>
      </c>
      <c r="CI91" s="14">
        <f>VLOOKUP(t_Parts[[Plant]:[Plant]],t_Plants[],Plants!DH$1,FALSE)</f>
        <v>280</v>
      </c>
      <c r="CJ91" s="14">
        <f>VLOOKUP(t_Parts[[Plant]:[Plant]],t_Plants[],Plants!DI$1,FALSE)</f>
        <v>350</v>
      </c>
      <c r="CK91" s="14">
        <f>VLOOKUP(t_Parts[[Plant]:[Plant]],t_Plants[],Plants!DJ$1,FALSE)</f>
        <v>280</v>
      </c>
      <c r="CL91" s="14">
        <f>VLOOKUP(t_Parts[[Plant]:[Plant]],t_Plants[],Plants!DK$1,FALSE)</f>
        <v>280</v>
      </c>
      <c r="CM91" s="14">
        <f>VLOOKUP(t_Parts[[Plant]:[Plant]],t_Plants[],Plants!DL$1,FALSE)</f>
        <v>350</v>
      </c>
      <c r="CN91" s="14">
        <f>VLOOKUP(t_Parts[[Plant]:[Plant]],t_Plants[],Plants!DM$1,FALSE)</f>
        <v>3640</v>
      </c>
      <c r="CO91" s="14">
        <f>VLOOKUP(t_Parts[[Plant]:[Plant]],t_Plants[],Plants!DN$1,FALSE)</f>
        <v>3640</v>
      </c>
      <c r="CP91" s="14">
        <f>VLOOKUP(t_Parts[[Plant]:[Plant]],t_Plants[],Plants!DO$1,FALSE)</f>
        <v>3640</v>
      </c>
      <c r="CQ91" s="14">
        <f>VLOOKUP(t_Parts[[Plant]:[Plant]],t_Plants[],Plants!DP$1,FALSE)</f>
        <v>3640</v>
      </c>
      <c r="CR91" s="39">
        <f>IF(AND(AL$3&gt;=VALUE(t_Parts[[SOP]:[SOP]]),AL$3&lt;=VALUE(t_Parts[[EOP]:[EOP]])), t_Parts[[SetupHrsPerMo]:[SetupHrsPerMo]]+(t_Parts[[#This Row],[pv2015.01]]/t_Parts[[NetPPH]:[NetPPH]]),0)</f>
        <v>3.6783216783216783</v>
      </c>
      <c r="CS91" s="39">
        <f>IF(AND(AM$3&gt;=VALUE(t_Parts[[SOP]:[SOP]]),AM$3&lt;=VALUE(t_Parts[[EOP]:[EOP]])), t_Parts[[SetupHrsPerMo]:[SetupHrsPerMo]]+(t_Parts[[#This Row],[pv2015.02]]/t_Parts[[NetPPH]:[NetPPH]]),0)</f>
        <v>3.6783216783216783</v>
      </c>
      <c r="CT91" s="39">
        <f>IF(AND(AN$3&gt;=VALUE(t_Parts[[SOP]:[SOP]]),AN$3&lt;=VALUE(t_Parts[[EOP]:[EOP]])), t_Parts[[SetupHrsPerMo]:[SetupHrsPerMo]]+(t_Parts[[#This Row],[pv2015.03]]/t_Parts[[NetPPH]:[NetPPH]]),0)</f>
        <v>4.0979020979020984</v>
      </c>
      <c r="CU91" s="39">
        <f>IF(AND(AO$3&gt;=VALUE(t_Parts[[SOP]:[SOP]]),AO$3&lt;=VALUE(t_Parts[[EOP]:[EOP]])), t_Parts[[SetupHrsPerMo]:[SetupHrsPerMo]]+(t_Parts[[#This Row],[pv2015.04]]/t_Parts[[NetPPH]:[NetPPH]]),0)</f>
        <v>3.6783216783216783</v>
      </c>
      <c r="CV91" s="39">
        <f>IF(AND(AP$3&gt;=VALUE(t_Parts[[SOP]:[SOP]]),AP$3&lt;=VALUE(t_Parts[[EOP]:[EOP]])), t_Parts[[SetupHrsPerMo]:[SetupHrsPerMo]]+(t_Parts[[#This Row],[pv2015.05]]/t_Parts[[NetPPH]:[NetPPH]]),0)</f>
        <v>3.6783216783216783</v>
      </c>
      <c r="CW91" s="39">
        <f>IF(AND(AQ$3&gt;=VALUE(t_Parts[[SOP]:[SOP]]),AQ$3&lt;=VALUE(t_Parts[[EOP]:[EOP]])), t_Parts[[SetupHrsPerMo]:[SetupHrsPerMo]]+(t_Parts[[#This Row],[pv2015.06]]/t_Parts[[NetPPH]:[NetPPH]]),0)</f>
        <v>4.0979020979020984</v>
      </c>
      <c r="CX91" s="39">
        <f>IF(AND(AR$3&gt;=VALUE(t_Parts[[SOP]:[SOP]]),AR$3&lt;=VALUE(t_Parts[[EOP]:[EOP]])), t_Parts[[SetupHrsPerMo]:[SetupHrsPerMo]]+(t_Parts[[#This Row],[pv2015.07]]/t_Parts[[NetPPH]:[NetPPH]]),0)</f>
        <v>3.6783216783216783</v>
      </c>
      <c r="CY91" s="39">
        <f>IF(AND(AS$3&gt;=VALUE(t_Parts[[SOP]:[SOP]]),AS$3&lt;=VALUE(t_Parts[[EOP]:[EOP]])), t_Parts[[SetupHrsPerMo]:[SetupHrsPerMo]]+(t_Parts[[#This Row],[pv2015.08]]/t_Parts[[NetPPH]:[NetPPH]]),0)</f>
        <v>3.6783216783216783</v>
      </c>
      <c r="CZ91" s="39">
        <f>IF(AND(AT$3&gt;=VALUE(t_Parts[[SOP]:[SOP]]),AT$3&lt;=VALUE(t_Parts[[EOP]:[EOP]])), t_Parts[[SetupHrsPerMo]:[SetupHrsPerMo]]+(t_Parts[[#This Row],[pv2015.09]]/t_Parts[[NetPPH]:[NetPPH]]),0)</f>
        <v>4.0979020979020984</v>
      </c>
      <c r="DA91" s="39">
        <f>IF(AND(AU$3&gt;=VALUE(t_Parts[[SOP]:[SOP]]),AU$3&lt;=VALUE(t_Parts[[EOP]:[EOP]])), t_Parts[[SetupHrsPerMo]:[SetupHrsPerMo]]+(t_Parts[[#This Row],[pv2015.10]]/t_Parts[[NetPPH]:[NetPPH]]),0)</f>
        <v>3.6783216783216783</v>
      </c>
      <c r="DB91" s="39">
        <f>IF(AND(AV$3&gt;=VALUE(t_Parts[[SOP]:[SOP]]),AV$3&lt;=VALUE(t_Parts[[EOP]:[EOP]])), t_Parts[[SetupHrsPerMo]:[SetupHrsPerMo]]+(t_Parts[[#This Row],[pv2015.11]]/t_Parts[[NetPPH]:[NetPPH]]),0)</f>
        <v>3.6783216783216783</v>
      </c>
      <c r="DC91" s="39">
        <f>IF(AND(AW$3&gt;=VALUE(t_Parts[[SOP]:[SOP]]),AW$3&lt;=VALUE(t_Parts[[EOP]:[EOP]])), t_Parts[[SetupHrsPerMo]:[SetupHrsPerMo]]+(t_Parts[[#This Row],[pv2015.12]]/t_Parts[[NetPPH]:[NetPPH]]),0)</f>
        <v>4.0979020979020984</v>
      </c>
      <c r="DD91" s="39">
        <f>SUM(t_Parts[[#This Row],[hp2015.01]:[hp2015.12]])</f>
        <v>45.818181818181834</v>
      </c>
      <c r="DE91" s="39">
        <f>IF(AND(AY$3&gt;=VALUE(t_Parts[[SOP]:[SOP]]),AY$3&lt;=VALUE(t_Parts[[EOP]:[EOP]])), t_Parts[[SetupHrsPerMo]:[SetupHrsPerMo]]+(t_Parts[[#This Row],[pv2016.01]]/t_Parts[[NetPPH]:[NetPPH]]),0)</f>
        <v>3.6783216783216783</v>
      </c>
      <c r="DF91" s="39">
        <f>IF(AND(AZ$3&gt;=VALUE(t_Parts[[SOP]:[SOP]]),AZ$3&lt;=VALUE(t_Parts[[EOP]:[EOP]])), t_Parts[[SetupHrsPerMo]:[SetupHrsPerMo]]+(t_Parts[[#This Row],[pv2016.02]]/t_Parts[[NetPPH]:[NetPPH]]),0)</f>
        <v>3.6783216783216783</v>
      </c>
      <c r="DG91" s="39">
        <f>IF(AND(BA$3&gt;=VALUE(t_Parts[[SOP]:[SOP]]),BA$3&lt;=VALUE(t_Parts[[EOP]:[EOP]])), t_Parts[[SetupHrsPerMo]:[SetupHrsPerMo]]+(t_Parts[[#This Row],[pv2016.03]]/t_Parts[[NetPPH]:[NetPPH]]),0)</f>
        <v>4.0979020979020984</v>
      </c>
      <c r="DH91" s="39">
        <f>IF(AND(BB$3&gt;=VALUE(t_Parts[[SOP]:[SOP]]),BB$3&lt;=VALUE(t_Parts[[EOP]:[EOP]])), t_Parts[[SetupHrsPerMo]:[SetupHrsPerMo]]+(t_Parts[[#This Row],[pv2016.04]]/t_Parts[[NetPPH]:[NetPPH]]),0)</f>
        <v>3.6783216783216783</v>
      </c>
      <c r="DI91" s="39">
        <f>IF(AND(BC$3&gt;=VALUE(t_Parts[[SOP]:[SOP]]),BC$3&lt;=VALUE(t_Parts[[EOP]:[EOP]])), t_Parts[[SetupHrsPerMo]:[SetupHrsPerMo]]+(t_Parts[[#This Row],[pv2016.05]]/t_Parts[[NetPPH]:[NetPPH]]),0)</f>
        <v>3.6783216783216783</v>
      </c>
      <c r="DJ91" s="39">
        <f>IF(AND(BD$3&gt;=VALUE(t_Parts[[SOP]:[SOP]]),BD$3&lt;=VALUE(t_Parts[[EOP]:[EOP]])), t_Parts[[SetupHrsPerMo]:[SetupHrsPerMo]]+(t_Parts[[#This Row],[pv2016.06]]/t_Parts[[NetPPH]:[NetPPH]]),0)</f>
        <v>4.0979020979020984</v>
      </c>
      <c r="DK91" s="39">
        <f>IF(AND(BE$3&gt;=VALUE(t_Parts[[SOP]:[SOP]]),BE$3&lt;=VALUE(t_Parts[[EOP]:[EOP]])), t_Parts[[SetupHrsPerMo]:[SetupHrsPerMo]]+(t_Parts[[#This Row],[pv2016.07]]/t_Parts[[NetPPH]:[NetPPH]]),0)</f>
        <v>3.6783216783216783</v>
      </c>
      <c r="DL91" s="39">
        <f>IF(AND(BF$3&gt;=VALUE(t_Parts[[SOP]:[SOP]]),BF$3&lt;=VALUE(t_Parts[[EOP]:[EOP]])), t_Parts[[SetupHrsPerMo]:[SetupHrsPerMo]]+(t_Parts[[#This Row],[pv2016.08]]/t_Parts[[NetPPH]:[NetPPH]]),0)</f>
        <v>3.6783216783216783</v>
      </c>
      <c r="DM91" s="39">
        <f>IF(AND(BG$3&gt;=VALUE(t_Parts[[SOP]:[SOP]]),BG$3&lt;=VALUE(t_Parts[[EOP]:[EOP]])), t_Parts[[SetupHrsPerMo]:[SetupHrsPerMo]]+(t_Parts[[#This Row],[pv2016.09]]/t_Parts[[NetPPH]:[NetPPH]]),0)</f>
        <v>4.0979020979020984</v>
      </c>
      <c r="DN91" s="39">
        <f>IF(AND(BH$3&gt;=VALUE(t_Parts[[SOP]:[SOP]]),BH$3&lt;=VALUE(t_Parts[[EOP]:[EOP]])), t_Parts[[SetupHrsPerMo]:[SetupHrsPerMo]]+(t_Parts[[#This Row],[pv2016.10]]/t_Parts[[NetPPH]:[NetPPH]]),0)</f>
        <v>3.6783216783216783</v>
      </c>
      <c r="DO91" s="39">
        <f>IF(AND(BI$3&gt;=VALUE(t_Parts[[SOP]:[SOP]]),BI$3&lt;=VALUE(t_Parts[[EOP]:[EOP]])), t_Parts[[SetupHrsPerMo]:[SetupHrsPerMo]]+(t_Parts[[#This Row],[pv2016.11]]/t_Parts[[NetPPH]:[NetPPH]]),0)</f>
        <v>3.6783216783216783</v>
      </c>
      <c r="DP91" s="39">
        <f>IF(AND(BJ$3&gt;=VALUE(t_Parts[[SOP]:[SOP]]),BJ$3&lt;=VALUE(t_Parts[[EOP]:[EOP]])), t_Parts[[SetupHrsPerMo]:[SetupHrsPerMo]]+(t_Parts[[#This Row],[pv2016.12]]/t_Parts[[NetPPH]:[NetPPH]]),0)</f>
        <v>4.0979020979020984</v>
      </c>
      <c r="DQ91" s="39">
        <f>SUM(t_Parts[[#This Row],[hp2016.01]:[hp2016.12]])</f>
        <v>45.818181818181834</v>
      </c>
      <c r="DR91" s="39">
        <f>IF(AND(BL$3&gt;=VALUE(t_Parts[[SOP]:[SOP]]),BL$3&lt;=VALUE(t_Parts[[EOP]:[EOP]])), 12*t_Parts[[SetupHrsPerMo]:[SetupHrsPerMo]]+(t_Parts[[#This Row],[pv2017]]/t_Parts[[NetPPH]:[NetPPH]]),0)</f>
        <v>45.818181818181813</v>
      </c>
      <c r="DS91" s="39">
        <f>IF(AND(BM$3&gt;=VALUE(t_Parts[[SOP]:[SOP]]),BM$3&lt;=VALUE(t_Parts[[EOP]:[EOP]])), 12*t_Parts[[SetupHrsPerMo]:[SetupHrsPerMo]]+(t_Parts[[#This Row],[pv2018]]/t_Parts[[NetPPH]:[NetPPH]]),0)</f>
        <v>0</v>
      </c>
      <c r="DT91" s="39">
        <f>IF(AND(BN$3&gt;=VALUE(t_Parts[[SOP]:[SOP]]),BN$3&lt;=VALUE(t_Parts[[EOP]:[EOP]])), 12*t_Parts[[SetupHrsPerMo]:[SetupHrsPerMo]]+(t_Parts[[#This Row],[pv2019]]/t_Parts[[NetPPH]:[NetPPH]]),0)</f>
        <v>0</v>
      </c>
      <c r="DU91" s="47">
        <f>t_Parts[[#This Row],[hp2015.01]]/t_Parts[[#This Row],[ha2015.01]]</f>
        <v>1.3136863136863138E-2</v>
      </c>
      <c r="DV91" s="47">
        <f>t_Parts[[#This Row],[hp2015.02]]/t_Parts[[#This Row],[ha2015.02]]</f>
        <v>1.3136863136863138E-2</v>
      </c>
      <c r="DW91" s="47">
        <f>t_Parts[[#This Row],[hp2015.03]]/t_Parts[[#This Row],[ha2015.03]]</f>
        <v>1.1708291708291709E-2</v>
      </c>
      <c r="DX91" s="47">
        <f>t_Parts[[#This Row],[hp2015.04]]/t_Parts[[#This Row],[ha2015.04]]</f>
        <v>1.3136863136863138E-2</v>
      </c>
      <c r="DY91" s="47">
        <f>t_Parts[[#This Row],[hp2015.05]]/t_Parts[[#This Row],[ha2015.05]]</f>
        <v>1.3136863136863138E-2</v>
      </c>
      <c r="DZ91" s="47">
        <f>t_Parts[[#This Row],[hp2015.06]]/t_Parts[[#This Row],[ha2015.06]]</f>
        <v>1.1708291708291709E-2</v>
      </c>
      <c r="EA91" s="47">
        <f>t_Parts[[#This Row],[hp2015.07]]/t_Parts[[#This Row],[ha2015.07]]</f>
        <v>1.3136863136863138E-2</v>
      </c>
      <c r="EB91" s="47">
        <f>t_Parts[[#This Row],[hp2015.08]]/t_Parts[[#This Row],[ha2015.08]]</f>
        <v>1.3136863136863138E-2</v>
      </c>
      <c r="EC91" s="47">
        <f>t_Parts[[#This Row],[hp2015.09]]/t_Parts[[#This Row],[ha2015.09]]</f>
        <v>1.1708291708291709E-2</v>
      </c>
      <c r="ED91" s="47">
        <f>t_Parts[[#This Row],[hp2015.10]]/t_Parts[[#This Row],[ha2015.10]]</f>
        <v>1.3136863136863138E-2</v>
      </c>
      <c r="EE91" s="47">
        <f>t_Parts[[#This Row],[hp2015.11]]/t_Parts[[#This Row],[ha2015.11]]</f>
        <v>1.3136863136863138E-2</v>
      </c>
      <c r="EF91" s="47">
        <f>t_Parts[[#This Row],[hp2015.12]]/t_Parts[[#This Row],[ha2015.12]]</f>
        <v>1.1708291708291709E-2</v>
      </c>
      <c r="EG91" s="47">
        <f>t_Parts[[#This Row],[hp2015.FY]]/t_Parts[[#This Row],[ha2015.FY]]</f>
        <v>1.2587412587412592E-2</v>
      </c>
      <c r="EH91" s="47">
        <f>t_Parts[[#This Row],[hp2016.01]]/t_Parts[[#This Row],[ha2016.01]]</f>
        <v>1.3136863136863138E-2</v>
      </c>
      <c r="EI91" s="47">
        <f>t_Parts[[#This Row],[hp2016.02]]/t_Parts[[#This Row],[ha2016.02]]</f>
        <v>1.3136863136863138E-2</v>
      </c>
      <c r="EJ91" s="47">
        <f>t_Parts[[#This Row],[hp2016.03]]/t_Parts[[#This Row],[ha2016.03]]</f>
        <v>1.1708291708291709E-2</v>
      </c>
      <c r="EK91" s="47">
        <f>t_Parts[[#This Row],[hp2016.04]]/t_Parts[[#This Row],[ha2016.04]]</f>
        <v>1.3136863136863138E-2</v>
      </c>
      <c r="EL91" s="47">
        <f>t_Parts[[#This Row],[hp2016.05]]/t_Parts[[#This Row],[ha2016.05]]</f>
        <v>1.3136863136863138E-2</v>
      </c>
      <c r="EM91" s="47">
        <f>t_Parts[[#This Row],[hp2016.06]]/t_Parts[[#This Row],[ha2016.06]]</f>
        <v>1.1708291708291709E-2</v>
      </c>
      <c r="EN91" s="47">
        <f>t_Parts[[#This Row],[hp2016.07]]/t_Parts[[#This Row],[ha2016.07]]</f>
        <v>1.3136863136863138E-2</v>
      </c>
      <c r="EO91" s="47">
        <f>t_Parts[[#This Row],[hp2016.08]]/t_Parts[[#This Row],[ha2016.08]]</f>
        <v>1.3136863136863138E-2</v>
      </c>
      <c r="EP91" s="47">
        <f>t_Parts[[#This Row],[hp2016.09]]/t_Parts[[#This Row],[ha2016.09]]</f>
        <v>1.1708291708291709E-2</v>
      </c>
      <c r="EQ91" s="47">
        <f>t_Parts[[#This Row],[hp2016.10]]/t_Parts[[#This Row],[ha2016.10]]</f>
        <v>1.3136863136863138E-2</v>
      </c>
      <c r="ER91" s="47">
        <f>t_Parts[[#This Row],[hp2016.11]]/t_Parts[[#This Row],[ha2016.11]]</f>
        <v>1.3136863136863138E-2</v>
      </c>
      <c r="ES91" s="47">
        <f>t_Parts[[#This Row],[hp2016.12]]/t_Parts[[#This Row],[ha2016.12]]</f>
        <v>1.1708291708291709E-2</v>
      </c>
      <c r="ET91" s="47">
        <f>t_Parts[[#This Row],[hp2016.FY]]/t_Parts[[#This Row],[ha2016.FY]]</f>
        <v>1.2587412587412592E-2</v>
      </c>
      <c r="EU91" s="47">
        <f>t_Parts[[#This Row],[hp2017]]/t_Parts[[#This Row],[ha2017]]</f>
        <v>1.2587412587412587E-2</v>
      </c>
      <c r="EV91" s="47">
        <f>t_Parts[[#This Row],[hp2018]]/t_Parts[[#This Row],[ha2018]]</f>
        <v>0</v>
      </c>
      <c r="EW91" s="47">
        <f>t_Parts[[#This Row],[hp2019]]/t_Parts[[#This Row],[hp2015.01]]</f>
        <v>0</v>
      </c>
      <c r="EX91" s="58">
        <f>(t_Parts[[#This Row],[ha2015.01]]-t_Parts[[#This Row],[hp2015.01]])*t_Parts[[NetPPH]:[NetPPH]]</f>
        <v>164135.07692307694</v>
      </c>
      <c r="EY91" s="58">
        <f>(t_Parts[[#This Row],[ha2015.02]]-t_Parts[[#This Row],[hp2015.02]])*t_Parts[[NetPPH]:[NetPPH]]</f>
        <v>164135.07692307694</v>
      </c>
      <c r="EZ91" s="58">
        <f>(t_Parts[[#This Row],[ha2015.03]]-t_Parts[[#This Row],[hp2015.03]])*t_Parts[[NetPPH]:[NetPPH]]</f>
        <v>205465.84615384616</v>
      </c>
      <c r="FA91" s="58">
        <f>(t_Parts[[#This Row],[ha2015.04]]-t_Parts[[#This Row],[hp2015.04]])*t_Parts[[NetPPH]:[NetPPH]]</f>
        <v>164135.07692307694</v>
      </c>
      <c r="FB91" s="58">
        <f>(t_Parts[[#This Row],[ha2015.05]]-t_Parts[[#This Row],[hp2015.05]])*t_Parts[[NetPPH]:[NetPPH]]</f>
        <v>164135.07692307694</v>
      </c>
      <c r="FC91" s="58">
        <f>(t_Parts[[#This Row],[ha2015.06]]-t_Parts[[#This Row],[hp2015.06]])*t_Parts[[NetPPH]:[NetPPH]]</f>
        <v>205465.84615384616</v>
      </c>
      <c r="FD91" s="58">
        <f>(t_Parts[[#This Row],[ha2015.07]]-t_Parts[[#This Row],[hp2015.07]])*t_Parts[[NetPPH]:[NetPPH]]</f>
        <v>164135.07692307694</v>
      </c>
      <c r="FE91" s="58">
        <f>(t_Parts[[#This Row],[ha2015.08]]-t_Parts[[#This Row],[hp2015.08]])*t_Parts[[NetPPH]:[NetPPH]]</f>
        <v>164135.07692307694</v>
      </c>
      <c r="FF91" s="58">
        <f>(t_Parts[[#This Row],[ha2015.09]]-t_Parts[[#This Row],[hp2015.09]])*t_Parts[[NetPPH]:[NetPPH]]</f>
        <v>205465.84615384616</v>
      </c>
      <c r="FG91" s="58">
        <f>(t_Parts[[#This Row],[ha2015.10]]-t_Parts[[#This Row],[hp2015.10]])*t_Parts[[NetPPH]:[NetPPH]]</f>
        <v>164135.07692307694</v>
      </c>
      <c r="FH91" s="58">
        <f>(t_Parts[[#This Row],[ha2015.11]]-t_Parts[[#This Row],[hp2015.11]])*t_Parts[[NetPPH]:[NetPPH]]</f>
        <v>164135.07692307694</v>
      </c>
      <c r="FI91" s="58">
        <f>(t_Parts[[#This Row],[ha2015.12]]-t_Parts[[#This Row],[hp2015.12]])*t_Parts[[NetPPH]:[NetPPH]]</f>
        <v>205465.84615384616</v>
      </c>
      <c r="FJ91" s="58">
        <f>(t_Parts[[#This Row],[ha2015.FY]]-t_Parts[[#This Row],[hp2015.FY]])*t_Parts[[NetPPH]:[NetPPH]]</f>
        <v>2134944</v>
      </c>
      <c r="FK91" s="58">
        <f>(t_Parts[[#This Row],[ha2016.01]]-t_Parts[[#This Row],[hp2016.01]])*t_Parts[[NetPPH]:[NetPPH]]</f>
        <v>164135.07692307694</v>
      </c>
      <c r="FL91" s="58">
        <f>(t_Parts[[#This Row],[ha2016.02]]-t_Parts[[#This Row],[hp2016.02]])*t_Parts[[NetPPH]:[NetPPH]]</f>
        <v>164135.07692307694</v>
      </c>
      <c r="FM91" s="58">
        <f>(t_Parts[[#This Row],[ha2016.03]]-t_Parts[[#This Row],[hp2016.03]])*t_Parts[[NetPPH]:[NetPPH]]</f>
        <v>205465.84615384616</v>
      </c>
      <c r="FN91" s="58">
        <f>(t_Parts[[#This Row],[ha2016.04]]-t_Parts[[#This Row],[hp2016.04]])*t_Parts[[NetPPH]:[NetPPH]]</f>
        <v>164135.07692307694</v>
      </c>
      <c r="FO91" s="58">
        <f>(t_Parts[[#This Row],[ha2016.05]]-t_Parts[[#This Row],[hp2016.05]])*t_Parts[[NetPPH]:[NetPPH]]</f>
        <v>164135.07692307694</v>
      </c>
      <c r="FP91" s="58">
        <f>(t_Parts[[#This Row],[ha2016.06]]-t_Parts[[#This Row],[hp2016.06]])*t_Parts[[NetPPH]:[NetPPH]]</f>
        <v>205465.84615384616</v>
      </c>
      <c r="FQ91" s="58">
        <f>(t_Parts[[#This Row],[ha2016.07]]-t_Parts[[#This Row],[hp2016.07]])*t_Parts[[NetPPH]:[NetPPH]]</f>
        <v>164135.07692307694</v>
      </c>
      <c r="FR91" s="58">
        <f>(t_Parts[[#This Row],[ha2016.08]]-t_Parts[[#This Row],[hp2016.08]])*t_Parts[[NetPPH]:[NetPPH]]</f>
        <v>164135.07692307694</v>
      </c>
      <c r="FS91" s="58">
        <f>(t_Parts[[#This Row],[ha2016.09]]-t_Parts[[#This Row],[hp2016.09]])*t_Parts[[NetPPH]:[NetPPH]]</f>
        <v>205465.84615384616</v>
      </c>
      <c r="FT91" s="58">
        <f>(t_Parts[[#This Row],[ha2016.10]]-t_Parts[[#This Row],[hp2016.10]])*t_Parts[[NetPPH]:[NetPPH]]</f>
        <v>164135.07692307694</v>
      </c>
      <c r="FU91" s="58">
        <f>(t_Parts[[#This Row],[ha2016.11]]-t_Parts[[#This Row],[hp2016.11]])*t_Parts[[NetPPH]:[NetPPH]]</f>
        <v>164135.07692307694</v>
      </c>
      <c r="FV91" s="58">
        <f>(t_Parts[[#This Row],[ha2016.12]]-t_Parts[[#This Row],[hp2016.12]])*t_Parts[[NetPPH]:[NetPPH]]</f>
        <v>205465.84615384616</v>
      </c>
      <c r="FW91" s="58">
        <f>(t_Parts[[#This Row],[ha2016.FY]]-t_Parts[[#This Row],[hp2016.FY]])*t_Parts[[NetPPH]:[NetPPH]]</f>
        <v>2134944</v>
      </c>
      <c r="FX91" s="58">
        <f>(t_Parts[[#This Row],[ha2017]]-t_Parts[[#This Row],[hp2017]])*t_Parts[[NetPPH]:[NetPPH]]</f>
        <v>2134944</v>
      </c>
      <c r="FY91" s="58">
        <f>(t_Parts[[#This Row],[ha2018]]-t_Parts[[#This Row],[hp2018]])*t_Parts[[NetPPH]:[NetPPH]]</f>
        <v>2162160</v>
      </c>
      <c r="FZ91" s="58">
        <f>(t_Parts[[#This Row],[ha2019]]-t_Parts[[#This Row],[hp2019]])*t_Parts[[NetPPH]:[NetPPH]]</f>
        <v>2162160</v>
      </c>
    </row>
    <row r="92" spans="1:182" s="14" customFormat="1" x14ac:dyDescent="0.25">
      <c r="A92" s="74">
        <v>36018</v>
      </c>
      <c r="B92" s="74"/>
      <c r="C92" s="74">
        <v>21003</v>
      </c>
      <c r="D92" s="75">
        <v>1</v>
      </c>
      <c r="E92" s="73">
        <v>3000</v>
      </c>
      <c r="F92" s="76">
        <v>1</v>
      </c>
      <c r="G92" s="77">
        <v>1</v>
      </c>
      <c r="H92" s="16">
        <v>2015.01</v>
      </c>
      <c r="I92" s="16" t="s">
        <v>92</v>
      </c>
      <c r="J92" s="73">
        <v>24000</v>
      </c>
      <c r="K92" s="73">
        <v>24000</v>
      </c>
      <c r="L92" s="73">
        <v>24000</v>
      </c>
      <c r="M92" s="73">
        <v>24000</v>
      </c>
      <c r="N92" s="73">
        <v>24000</v>
      </c>
      <c r="O92" s="78">
        <v>31</v>
      </c>
      <c r="P92" s="78">
        <v>87</v>
      </c>
      <c r="Q92" s="79">
        <v>20.92</v>
      </c>
      <c r="R92" s="79"/>
      <c r="S92" s="78" t="s">
        <v>513</v>
      </c>
      <c r="T92" s="80">
        <v>13</v>
      </c>
      <c r="U92" s="80" t="s">
        <v>121</v>
      </c>
      <c r="V92" s="81" t="s">
        <v>540</v>
      </c>
      <c r="W92" s="82">
        <v>0.56000000000000005</v>
      </c>
      <c r="X92" s="82" t="s">
        <v>541</v>
      </c>
      <c r="Y92" s="82" t="s">
        <v>542</v>
      </c>
      <c r="Z92" s="82"/>
      <c r="AA92" s="82"/>
      <c r="AB92" s="82"/>
      <c r="AC92" s="83" t="s">
        <v>111</v>
      </c>
      <c r="AD92" s="40" t="str">
        <f>VLOOKUP(t_Parts[[#This Row],[Press]],t_Presses[],Press!B$1,FALSE)</f>
        <v>Plainfield</v>
      </c>
      <c r="AE92" s="40" t="str">
        <f>VLOOKUP(t_Parts[[#This Row],[Press]],t_Presses[],Press!E$1,FALSE)</f>
        <v>300-599</v>
      </c>
      <c r="AF92" s="47">
        <f>VLOOKUP(t_Parts[[#This Row],[Plant]],t_Plants[],Plants!C$1,FALSE)</f>
        <v>0.55000000000000004</v>
      </c>
      <c r="AG92" s="47">
        <f>VLOOKUP(t_Parts[[#This Row],[Press]],t_Presses[],Press!F$1,FALSE)</f>
        <v>0</v>
      </c>
      <c r="AH92" s="84"/>
      <c r="AI92" s="47">
        <f>IF(ISBLANK(t_Parts[[#This Row],[PartOEE]])=FALSE,t_Parts[[#This Row],[PartOEE]], IF(t_Parts[[#This Row],[PressOEE]]&gt;0, t_Parts[[#This Row],[PressOEE]], t_Parts[[#This Row],[PlantOEE]] ))</f>
        <v>0.55000000000000004</v>
      </c>
      <c r="AJ92" s="70">
        <f>t_Parts[[#This Row],[SetupsPerMo]]*t_Parts[[#This Row],[SetupHrs]]</f>
        <v>1</v>
      </c>
      <c r="AK92" s="39">
        <f>(t_Parts[[#This Row],[PartsPerStroke]]*t_Parts[[#This Row],[StrokesPerHr]])*t_Parts[[#This Row],[UseOEE]]</f>
        <v>1650.0000000000002</v>
      </c>
      <c r="AL9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1846.153846153846</v>
      </c>
      <c r="AM9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1846.153846153846</v>
      </c>
      <c r="AN9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2307.6923076923076</v>
      </c>
      <c r="AO9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1846.153846153846</v>
      </c>
      <c r="AP9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1846.153846153846</v>
      </c>
      <c r="AQ9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2307.6923076923076</v>
      </c>
      <c r="AR9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1846.153846153846</v>
      </c>
      <c r="AS9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1846.153846153846</v>
      </c>
      <c r="AT9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2307.6923076923076</v>
      </c>
      <c r="AU9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1846.153846153846</v>
      </c>
      <c r="AV9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1846.153846153846</v>
      </c>
      <c r="AW9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2307.6923076923076</v>
      </c>
      <c r="AX92" s="39">
        <f>SUM(t_Parts[[#This Row],[pv2015.01]:[pv2015.12]])</f>
        <v>24000.000000000004</v>
      </c>
      <c r="AY9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9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9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9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9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9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9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9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9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9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9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9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92" s="39">
        <f>SUM(t_Parts[[#This Row],[pv2016.01]:[pv2016.12]])</f>
        <v>0</v>
      </c>
      <c r="BL92" s="39">
        <f>t_Parts[[#This Row],[2017vol]]</f>
        <v>24000</v>
      </c>
      <c r="BM92" s="39">
        <f>t_Parts[[#This Row],[2018vol]]</f>
        <v>24000</v>
      </c>
      <c r="BN92" s="39">
        <f>t_Parts[[#This Row],[2019vol]]</f>
        <v>24000</v>
      </c>
      <c r="BO92" s="40">
        <f>VLOOKUP(t_Parts[[Plant]:[Plant]],t_Plants[],Plants!CN$1,FALSE)</f>
        <v>280</v>
      </c>
      <c r="BP92" s="14">
        <f>VLOOKUP(t_Parts[[Plant]:[Plant]],t_Plants[],Plants!CO$1,FALSE)</f>
        <v>280</v>
      </c>
      <c r="BQ92" s="14">
        <f>VLOOKUP(t_Parts[[Plant]:[Plant]],t_Plants[],Plants!CP$1,FALSE)</f>
        <v>350</v>
      </c>
      <c r="BR92" s="14">
        <f>VLOOKUP(t_Parts[[Plant]:[Plant]],t_Plants[],Plants!CQ$1,FALSE)</f>
        <v>280</v>
      </c>
      <c r="BS92" s="14">
        <f>VLOOKUP(t_Parts[[Plant]:[Plant]],t_Plants[],Plants!CR$1,FALSE)</f>
        <v>280</v>
      </c>
      <c r="BT92" s="14">
        <f>VLOOKUP(t_Parts[[Plant]:[Plant]],t_Plants[],Plants!CS$1,FALSE)</f>
        <v>350</v>
      </c>
      <c r="BU92" s="14">
        <f>VLOOKUP(t_Parts[[Plant]:[Plant]],t_Plants[],Plants!CT$1,FALSE)</f>
        <v>280</v>
      </c>
      <c r="BV92" s="14">
        <f>VLOOKUP(t_Parts[[Plant]:[Plant]],t_Plants[],Plants!CU$1,FALSE)</f>
        <v>280</v>
      </c>
      <c r="BW92" s="14">
        <f>VLOOKUP(t_Parts[[Plant]:[Plant]],t_Plants[],Plants!CV$1,FALSE)</f>
        <v>350</v>
      </c>
      <c r="BX92" s="14">
        <f>VLOOKUP(t_Parts[[Plant]:[Plant]],t_Plants[],Plants!CW$1,FALSE)</f>
        <v>280</v>
      </c>
      <c r="BY92" s="14">
        <f>VLOOKUP(t_Parts[[Plant]:[Plant]],t_Plants[],Plants!CX$1,FALSE)</f>
        <v>280</v>
      </c>
      <c r="BZ92" s="14">
        <f>VLOOKUP(t_Parts[[Plant]:[Plant]],t_Plants[],Plants!CY$1,FALSE)</f>
        <v>350</v>
      </c>
      <c r="CA92" s="40">
        <f>SUM(t_Parts[[#This Row],[ha2015.01]:[ha2015.12]])</f>
        <v>3640</v>
      </c>
      <c r="CB92" s="14">
        <f>VLOOKUP(t_Parts[[Plant]:[Plant]],t_Plants[],Plants!DA$1,FALSE)</f>
        <v>280</v>
      </c>
      <c r="CC92" s="14">
        <f>VLOOKUP(t_Parts[[Plant]:[Plant]],t_Plants[],Plants!DB$1,FALSE)</f>
        <v>280</v>
      </c>
      <c r="CD92" s="14">
        <f>VLOOKUP(t_Parts[[Plant]:[Plant]],t_Plants[],Plants!DC$1,FALSE)</f>
        <v>350</v>
      </c>
      <c r="CE92" s="14">
        <f>VLOOKUP(t_Parts[[Plant]:[Plant]],t_Plants[],Plants!DD$1,FALSE)</f>
        <v>280</v>
      </c>
      <c r="CF92" s="14">
        <f>VLOOKUP(t_Parts[[Plant]:[Plant]],t_Plants[],Plants!DE$1,FALSE)</f>
        <v>280</v>
      </c>
      <c r="CG92" s="14">
        <f>VLOOKUP(t_Parts[[Plant]:[Plant]],t_Plants[],Plants!DF$1,FALSE)</f>
        <v>350</v>
      </c>
      <c r="CH92" s="14">
        <f>VLOOKUP(t_Parts[[Plant]:[Plant]],t_Plants[],Plants!DG$1,FALSE)</f>
        <v>280</v>
      </c>
      <c r="CI92" s="14">
        <f>VLOOKUP(t_Parts[[Plant]:[Plant]],t_Plants[],Plants!DH$1,FALSE)</f>
        <v>280</v>
      </c>
      <c r="CJ92" s="14">
        <f>VLOOKUP(t_Parts[[Plant]:[Plant]],t_Plants[],Plants!DI$1,FALSE)</f>
        <v>350</v>
      </c>
      <c r="CK92" s="14">
        <f>VLOOKUP(t_Parts[[Plant]:[Plant]],t_Plants[],Plants!DJ$1,FALSE)</f>
        <v>280</v>
      </c>
      <c r="CL92" s="14">
        <f>VLOOKUP(t_Parts[[Plant]:[Plant]],t_Plants[],Plants!DK$1,FALSE)</f>
        <v>280</v>
      </c>
      <c r="CM92" s="14">
        <f>VLOOKUP(t_Parts[[Plant]:[Plant]],t_Plants[],Plants!DL$1,FALSE)</f>
        <v>350</v>
      </c>
      <c r="CN92" s="14">
        <f>VLOOKUP(t_Parts[[Plant]:[Plant]],t_Plants[],Plants!DM$1,FALSE)</f>
        <v>3640</v>
      </c>
      <c r="CO92" s="14">
        <f>VLOOKUP(t_Parts[[Plant]:[Plant]],t_Plants[],Plants!DN$1,FALSE)</f>
        <v>3640</v>
      </c>
      <c r="CP92" s="14">
        <f>VLOOKUP(t_Parts[[Plant]:[Plant]],t_Plants[],Plants!DO$1,FALSE)</f>
        <v>3640</v>
      </c>
      <c r="CQ92" s="14">
        <f>VLOOKUP(t_Parts[[Plant]:[Plant]],t_Plants[],Plants!DP$1,FALSE)</f>
        <v>3640</v>
      </c>
      <c r="CR92" s="39">
        <f>IF(AND(AL$3&gt;=VALUE(t_Parts[[SOP]:[SOP]]),AL$3&lt;=VALUE(t_Parts[[EOP]:[EOP]])), t_Parts[[SetupHrsPerMo]:[SetupHrsPerMo]]+(t_Parts[[#This Row],[pv2015.01]]/t_Parts[[NetPPH]:[NetPPH]]),0)</f>
        <v>2.1188811188811183</v>
      </c>
      <c r="CS92" s="39">
        <f>IF(AND(AM$3&gt;=VALUE(t_Parts[[SOP]:[SOP]]),AM$3&lt;=VALUE(t_Parts[[EOP]:[EOP]])), t_Parts[[SetupHrsPerMo]:[SetupHrsPerMo]]+(t_Parts[[#This Row],[pv2015.02]]/t_Parts[[NetPPH]:[NetPPH]]),0)</f>
        <v>2.1188811188811183</v>
      </c>
      <c r="CT92" s="39">
        <f>IF(AND(AN$3&gt;=VALUE(t_Parts[[SOP]:[SOP]]),AN$3&lt;=VALUE(t_Parts[[EOP]:[EOP]])), t_Parts[[SetupHrsPerMo]:[SetupHrsPerMo]]+(t_Parts[[#This Row],[pv2015.03]]/t_Parts[[NetPPH]:[NetPPH]]),0)</f>
        <v>2.3986013986013983</v>
      </c>
      <c r="CU92" s="39">
        <f>IF(AND(AO$3&gt;=VALUE(t_Parts[[SOP]:[SOP]]),AO$3&lt;=VALUE(t_Parts[[EOP]:[EOP]])), t_Parts[[SetupHrsPerMo]:[SetupHrsPerMo]]+(t_Parts[[#This Row],[pv2015.04]]/t_Parts[[NetPPH]:[NetPPH]]),0)</f>
        <v>2.1188811188811183</v>
      </c>
      <c r="CV92" s="39">
        <f>IF(AND(AP$3&gt;=VALUE(t_Parts[[SOP]:[SOP]]),AP$3&lt;=VALUE(t_Parts[[EOP]:[EOP]])), t_Parts[[SetupHrsPerMo]:[SetupHrsPerMo]]+(t_Parts[[#This Row],[pv2015.05]]/t_Parts[[NetPPH]:[NetPPH]]),0)</f>
        <v>2.1188811188811183</v>
      </c>
      <c r="CW92" s="39">
        <f>IF(AND(AQ$3&gt;=VALUE(t_Parts[[SOP]:[SOP]]),AQ$3&lt;=VALUE(t_Parts[[EOP]:[EOP]])), t_Parts[[SetupHrsPerMo]:[SetupHrsPerMo]]+(t_Parts[[#This Row],[pv2015.06]]/t_Parts[[NetPPH]:[NetPPH]]),0)</f>
        <v>2.3986013986013983</v>
      </c>
      <c r="CX92" s="39">
        <f>IF(AND(AR$3&gt;=VALUE(t_Parts[[SOP]:[SOP]]),AR$3&lt;=VALUE(t_Parts[[EOP]:[EOP]])), t_Parts[[SetupHrsPerMo]:[SetupHrsPerMo]]+(t_Parts[[#This Row],[pv2015.07]]/t_Parts[[NetPPH]:[NetPPH]]),0)</f>
        <v>2.1188811188811183</v>
      </c>
      <c r="CY92" s="39">
        <f>IF(AND(AS$3&gt;=VALUE(t_Parts[[SOP]:[SOP]]),AS$3&lt;=VALUE(t_Parts[[EOP]:[EOP]])), t_Parts[[SetupHrsPerMo]:[SetupHrsPerMo]]+(t_Parts[[#This Row],[pv2015.08]]/t_Parts[[NetPPH]:[NetPPH]]),0)</f>
        <v>2.1188811188811183</v>
      </c>
      <c r="CZ92" s="39">
        <f>IF(AND(AT$3&gt;=VALUE(t_Parts[[SOP]:[SOP]]),AT$3&lt;=VALUE(t_Parts[[EOP]:[EOP]])), t_Parts[[SetupHrsPerMo]:[SetupHrsPerMo]]+(t_Parts[[#This Row],[pv2015.09]]/t_Parts[[NetPPH]:[NetPPH]]),0)</f>
        <v>2.3986013986013983</v>
      </c>
      <c r="DA92" s="39">
        <f>IF(AND(AU$3&gt;=VALUE(t_Parts[[SOP]:[SOP]]),AU$3&lt;=VALUE(t_Parts[[EOP]:[EOP]])), t_Parts[[SetupHrsPerMo]:[SetupHrsPerMo]]+(t_Parts[[#This Row],[pv2015.10]]/t_Parts[[NetPPH]:[NetPPH]]),0)</f>
        <v>2.1188811188811183</v>
      </c>
      <c r="DB92" s="39">
        <f>IF(AND(AV$3&gt;=VALUE(t_Parts[[SOP]:[SOP]]),AV$3&lt;=VALUE(t_Parts[[EOP]:[EOP]])), t_Parts[[SetupHrsPerMo]:[SetupHrsPerMo]]+(t_Parts[[#This Row],[pv2015.11]]/t_Parts[[NetPPH]:[NetPPH]]),0)</f>
        <v>2.1188811188811183</v>
      </c>
      <c r="DC92" s="39">
        <f>IF(AND(AW$3&gt;=VALUE(t_Parts[[SOP]:[SOP]]),AW$3&lt;=VALUE(t_Parts[[EOP]:[EOP]])), t_Parts[[SetupHrsPerMo]:[SetupHrsPerMo]]+(t_Parts[[#This Row],[pv2015.12]]/t_Parts[[NetPPH]:[NetPPH]]),0)</f>
        <v>2.3986013986013983</v>
      </c>
      <c r="DD92" s="39">
        <f>SUM(t_Parts[[#This Row],[hp2015.01]:[hp2015.12]])</f>
        <v>26.545454545454547</v>
      </c>
      <c r="DE92" s="39">
        <f>IF(AND(AY$3&gt;=VALUE(t_Parts[[SOP]:[SOP]]),AY$3&lt;=VALUE(t_Parts[[EOP]:[EOP]])), t_Parts[[SetupHrsPerMo]:[SetupHrsPerMo]]+(t_Parts[[#This Row],[pv2016.01]]/t_Parts[[NetPPH]:[NetPPH]]),0)</f>
        <v>0</v>
      </c>
      <c r="DF92" s="39">
        <f>IF(AND(AZ$3&gt;=VALUE(t_Parts[[SOP]:[SOP]]),AZ$3&lt;=VALUE(t_Parts[[EOP]:[EOP]])), t_Parts[[SetupHrsPerMo]:[SetupHrsPerMo]]+(t_Parts[[#This Row],[pv2016.02]]/t_Parts[[NetPPH]:[NetPPH]]),0)</f>
        <v>0</v>
      </c>
      <c r="DG92" s="39">
        <f>IF(AND(BA$3&gt;=VALUE(t_Parts[[SOP]:[SOP]]),BA$3&lt;=VALUE(t_Parts[[EOP]:[EOP]])), t_Parts[[SetupHrsPerMo]:[SetupHrsPerMo]]+(t_Parts[[#This Row],[pv2016.03]]/t_Parts[[NetPPH]:[NetPPH]]),0)</f>
        <v>0</v>
      </c>
      <c r="DH92" s="39">
        <f>IF(AND(BB$3&gt;=VALUE(t_Parts[[SOP]:[SOP]]),BB$3&lt;=VALUE(t_Parts[[EOP]:[EOP]])), t_Parts[[SetupHrsPerMo]:[SetupHrsPerMo]]+(t_Parts[[#This Row],[pv2016.04]]/t_Parts[[NetPPH]:[NetPPH]]),0)</f>
        <v>0</v>
      </c>
      <c r="DI92" s="39">
        <f>IF(AND(BC$3&gt;=VALUE(t_Parts[[SOP]:[SOP]]),BC$3&lt;=VALUE(t_Parts[[EOP]:[EOP]])), t_Parts[[SetupHrsPerMo]:[SetupHrsPerMo]]+(t_Parts[[#This Row],[pv2016.05]]/t_Parts[[NetPPH]:[NetPPH]]),0)</f>
        <v>0</v>
      </c>
      <c r="DJ92" s="39">
        <f>IF(AND(BD$3&gt;=VALUE(t_Parts[[SOP]:[SOP]]),BD$3&lt;=VALUE(t_Parts[[EOP]:[EOP]])), t_Parts[[SetupHrsPerMo]:[SetupHrsPerMo]]+(t_Parts[[#This Row],[pv2016.06]]/t_Parts[[NetPPH]:[NetPPH]]),0)</f>
        <v>0</v>
      </c>
      <c r="DK92" s="39">
        <f>IF(AND(BE$3&gt;=VALUE(t_Parts[[SOP]:[SOP]]),BE$3&lt;=VALUE(t_Parts[[EOP]:[EOP]])), t_Parts[[SetupHrsPerMo]:[SetupHrsPerMo]]+(t_Parts[[#This Row],[pv2016.07]]/t_Parts[[NetPPH]:[NetPPH]]),0)</f>
        <v>0</v>
      </c>
      <c r="DL92" s="39">
        <f>IF(AND(BF$3&gt;=VALUE(t_Parts[[SOP]:[SOP]]),BF$3&lt;=VALUE(t_Parts[[EOP]:[EOP]])), t_Parts[[SetupHrsPerMo]:[SetupHrsPerMo]]+(t_Parts[[#This Row],[pv2016.08]]/t_Parts[[NetPPH]:[NetPPH]]),0)</f>
        <v>0</v>
      </c>
      <c r="DM92" s="39">
        <f>IF(AND(BG$3&gt;=VALUE(t_Parts[[SOP]:[SOP]]),BG$3&lt;=VALUE(t_Parts[[EOP]:[EOP]])), t_Parts[[SetupHrsPerMo]:[SetupHrsPerMo]]+(t_Parts[[#This Row],[pv2016.09]]/t_Parts[[NetPPH]:[NetPPH]]),0)</f>
        <v>0</v>
      </c>
      <c r="DN92" s="39">
        <f>IF(AND(BH$3&gt;=VALUE(t_Parts[[SOP]:[SOP]]),BH$3&lt;=VALUE(t_Parts[[EOP]:[EOP]])), t_Parts[[SetupHrsPerMo]:[SetupHrsPerMo]]+(t_Parts[[#This Row],[pv2016.10]]/t_Parts[[NetPPH]:[NetPPH]]),0)</f>
        <v>0</v>
      </c>
      <c r="DO92" s="39">
        <f>IF(AND(BI$3&gt;=VALUE(t_Parts[[SOP]:[SOP]]),BI$3&lt;=VALUE(t_Parts[[EOP]:[EOP]])), t_Parts[[SetupHrsPerMo]:[SetupHrsPerMo]]+(t_Parts[[#This Row],[pv2016.11]]/t_Parts[[NetPPH]:[NetPPH]]),0)</f>
        <v>0</v>
      </c>
      <c r="DP92" s="39">
        <f>IF(AND(BJ$3&gt;=VALUE(t_Parts[[SOP]:[SOP]]),BJ$3&lt;=VALUE(t_Parts[[EOP]:[EOP]])), t_Parts[[SetupHrsPerMo]:[SetupHrsPerMo]]+(t_Parts[[#This Row],[pv2016.12]]/t_Parts[[NetPPH]:[NetPPH]]),0)</f>
        <v>0</v>
      </c>
      <c r="DQ92" s="39">
        <f>SUM(t_Parts[[#This Row],[hp2016.01]:[hp2016.12]])</f>
        <v>0</v>
      </c>
      <c r="DR92" s="39">
        <f>IF(AND(BL$3&gt;=VALUE(t_Parts[[SOP]:[SOP]]),BL$3&lt;=VALUE(t_Parts[[EOP]:[EOP]])), 12*t_Parts[[SetupHrsPerMo]:[SetupHrsPerMo]]+(t_Parts[[#This Row],[pv2017]]/t_Parts[[NetPPH]:[NetPPH]]),0)</f>
        <v>0</v>
      </c>
      <c r="DS92" s="39">
        <f>IF(AND(BM$3&gt;=VALUE(t_Parts[[SOP]:[SOP]]),BM$3&lt;=VALUE(t_Parts[[EOP]:[EOP]])), 12*t_Parts[[SetupHrsPerMo]:[SetupHrsPerMo]]+(t_Parts[[#This Row],[pv2018]]/t_Parts[[NetPPH]:[NetPPH]]),0)</f>
        <v>0</v>
      </c>
      <c r="DT92" s="39">
        <f>IF(AND(BN$3&gt;=VALUE(t_Parts[[SOP]:[SOP]]),BN$3&lt;=VALUE(t_Parts[[EOP]:[EOP]])), 12*t_Parts[[SetupHrsPerMo]:[SetupHrsPerMo]]+(t_Parts[[#This Row],[pv2019]]/t_Parts[[NetPPH]:[NetPPH]]),0)</f>
        <v>0</v>
      </c>
      <c r="DU92" s="47">
        <f>t_Parts[[#This Row],[hp2015.01]]/t_Parts[[#This Row],[ha2015.01]]</f>
        <v>7.5674325674325651E-3</v>
      </c>
      <c r="DV92" s="47">
        <f>t_Parts[[#This Row],[hp2015.02]]/t_Parts[[#This Row],[ha2015.02]]</f>
        <v>7.5674325674325651E-3</v>
      </c>
      <c r="DW92" s="47">
        <f>t_Parts[[#This Row],[hp2015.03]]/t_Parts[[#This Row],[ha2015.03]]</f>
        <v>6.8531468531468527E-3</v>
      </c>
      <c r="DX92" s="47">
        <f>t_Parts[[#This Row],[hp2015.04]]/t_Parts[[#This Row],[ha2015.04]]</f>
        <v>7.5674325674325651E-3</v>
      </c>
      <c r="DY92" s="47">
        <f>t_Parts[[#This Row],[hp2015.05]]/t_Parts[[#This Row],[ha2015.05]]</f>
        <v>7.5674325674325651E-3</v>
      </c>
      <c r="DZ92" s="47">
        <f>t_Parts[[#This Row],[hp2015.06]]/t_Parts[[#This Row],[ha2015.06]]</f>
        <v>6.8531468531468527E-3</v>
      </c>
      <c r="EA92" s="47">
        <f>t_Parts[[#This Row],[hp2015.07]]/t_Parts[[#This Row],[ha2015.07]]</f>
        <v>7.5674325674325651E-3</v>
      </c>
      <c r="EB92" s="47">
        <f>t_Parts[[#This Row],[hp2015.08]]/t_Parts[[#This Row],[ha2015.08]]</f>
        <v>7.5674325674325651E-3</v>
      </c>
      <c r="EC92" s="47">
        <f>t_Parts[[#This Row],[hp2015.09]]/t_Parts[[#This Row],[ha2015.09]]</f>
        <v>6.8531468531468527E-3</v>
      </c>
      <c r="ED92" s="47">
        <f>t_Parts[[#This Row],[hp2015.10]]/t_Parts[[#This Row],[ha2015.10]]</f>
        <v>7.5674325674325651E-3</v>
      </c>
      <c r="EE92" s="47">
        <f>t_Parts[[#This Row],[hp2015.11]]/t_Parts[[#This Row],[ha2015.11]]</f>
        <v>7.5674325674325651E-3</v>
      </c>
      <c r="EF92" s="47">
        <f>t_Parts[[#This Row],[hp2015.12]]/t_Parts[[#This Row],[ha2015.12]]</f>
        <v>6.8531468531468527E-3</v>
      </c>
      <c r="EG92" s="47">
        <f>t_Parts[[#This Row],[hp2015.FY]]/t_Parts[[#This Row],[ha2015.FY]]</f>
        <v>7.2927072927072931E-3</v>
      </c>
      <c r="EH92" s="47">
        <f>t_Parts[[#This Row],[hp2016.01]]/t_Parts[[#This Row],[ha2016.01]]</f>
        <v>0</v>
      </c>
      <c r="EI92" s="47">
        <f>t_Parts[[#This Row],[hp2016.02]]/t_Parts[[#This Row],[ha2016.02]]</f>
        <v>0</v>
      </c>
      <c r="EJ92" s="47">
        <f>t_Parts[[#This Row],[hp2016.03]]/t_Parts[[#This Row],[ha2016.03]]</f>
        <v>0</v>
      </c>
      <c r="EK92" s="47">
        <f>t_Parts[[#This Row],[hp2016.04]]/t_Parts[[#This Row],[ha2016.04]]</f>
        <v>0</v>
      </c>
      <c r="EL92" s="47">
        <f>t_Parts[[#This Row],[hp2016.05]]/t_Parts[[#This Row],[ha2016.05]]</f>
        <v>0</v>
      </c>
      <c r="EM92" s="47">
        <f>t_Parts[[#This Row],[hp2016.06]]/t_Parts[[#This Row],[ha2016.06]]</f>
        <v>0</v>
      </c>
      <c r="EN92" s="47">
        <f>t_Parts[[#This Row],[hp2016.07]]/t_Parts[[#This Row],[ha2016.07]]</f>
        <v>0</v>
      </c>
      <c r="EO92" s="47">
        <f>t_Parts[[#This Row],[hp2016.08]]/t_Parts[[#This Row],[ha2016.08]]</f>
        <v>0</v>
      </c>
      <c r="EP92" s="47">
        <f>t_Parts[[#This Row],[hp2016.09]]/t_Parts[[#This Row],[ha2016.09]]</f>
        <v>0</v>
      </c>
      <c r="EQ92" s="47">
        <f>t_Parts[[#This Row],[hp2016.10]]/t_Parts[[#This Row],[ha2016.10]]</f>
        <v>0</v>
      </c>
      <c r="ER92" s="47">
        <f>t_Parts[[#This Row],[hp2016.11]]/t_Parts[[#This Row],[ha2016.11]]</f>
        <v>0</v>
      </c>
      <c r="ES92" s="47">
        <f>t_Parts[[#This Row],[hp2016.12]]/t_Parts[[#This Row],[ha2016.12]]</f>
        <v>0</v>
      </c>
      <c r="ET92" s="47">
        <f>t_Parts[[#This Row],[hp2016.FY]]/t_Parts[[#This Row],[ha2016.FY]]</f>
        <v>0</v>
      </c>
      <c r="EU92" s="47">
        <f>t_Parts[[#This Row],[hp2017]]/t_Parts[[#This Row],[ha2017]]</f>
        <v>0</v>
      </c>
      <c r="EV92" s="47">
        <f>t_Parts[[#This Row],[hp2018]]/t_Parts[[#This Row],[ha2018]]</f>
        <v>0</v>
      </c>
      <c r="EW92" s="47">
        <f>t_Parts[[#This Row],[hp2019]]/t_Parts[[#This Row],[hp2015.01]]</f>
        <v>0</v>
      </c>
      <c r="EX92" s="58">
        <f>(t_Parts[[#This Row],[ha2015.01]]-t_Parts[[#This Row],[hp2015.01]])*t_Parts[[NetPPH]:[NetPPH]]</f>
        <v>458503.84615384624</v>
      </c>
      <c r="EY92" s="58">
        <f>(t_Parts[[#This Row],[ha2015.02]]-t_Parts[[#This Row],[hp2015.02]])*t_Parts[[NetPPH]:[NetPPH]]</f>
        <v>458503.84615384624</v>
      </c>
      <c r="EZ92" s="58">
        <f>(t_Parts[[#This Row],[ha2015.03]]-t_Parts[[#This Row],[hp2015.03]])*t_Parts[[NetPPH]:[NetPPH]]</f>
        <v>573542.30769230775</v>
      </c>
      <c r="FA92" s="58">
        <f>(t_Parts[[#This Row],[ha2015.04]]-t_Parts[[#This Row],[hp2015.04]])*t_Parts[[NetPPH]:[NetPPH]]</f>
        <v>458503.84615384624</v>
      </c>
      <c r="FB92" s="58">
        <f>(t_Parts[[#This Row],[ha2015.05]]-t_Parts[[#This Row],[hp2015.05]])*t_Parts[[NetPPH]:[NetPPH]]</f>
        <v>458503.84615384624</v>
      </c>
      <c r="FC92" s="58">
        <f>(t_Parts[[#This Row],[ha2015.06]]-t_Parts[[#This Row],[hp2015.06]])*t_Parts[[NetPPH]:[NetPPH]]</f>
        <v>573542.30769230775</v>
      </c>
      <c r="FD92" s="58">
        <f>(t_Parts[[#This Row],[ha2015.07]]-t_Parts[[#This Row],[hp2015.07]])*t_Parts[[NetPPH]:[NetPPH]]</f>
        <v>458503.84615384624</v>
      </c>
      <c r="FE92" s="58">
        <f>(t_Parts[[#This Row],[ha2015.08]]-t_Parts[[#This Row],[hp2015.08]])*t_Parts[[NetPPH]:[NetPPH]]</f>
        <v>458503.84615384624</v>
      </c>
      <c r="FF92" s="58">
        <f>(t_Parts[[#This Row],[ha2015.09]]-t_Parts[[#This Row],[hp2015.09]])*t_Parts[[NetPPH]:[NetPPH]]</f>
        <v>573542.30769230775</v>
      </c>
      <c r="FG92" s="58">
        <f>(t_Parts[[#This Row],[ha2015.10]]-t_Parts[[#This Row],[hp2015.10]])*t_Parts[[NetPPH]:[NetPPH]]</f>
        <v>458503.84615384624</v>
      </c>
      <c r="FH92" s="58">
        <f>(t_Parts[[#This Row],[ha2015.11]]-t_Parts[[#This Row],[hp2015.11]])*t_Parts[[NetPPH]:[NetPPH]]</f>
        <v>458503.84615384624</v>
      </c>
      <c r="FI92" s="58">
        <f>(t_Parts[[#This Row],[ha2015.12]]-t_Parts[[#This Row],[hp2015.12]])*t_Parts[[NetPPH]:[NetPPH]]</f>
        <v>573542.30769230775</v>
      </c>
      <c r="FJ92" s="58">
        <f>(t_Parts[[#This Row],[ha2015.FY]]-t_Parts[[#This Row],[hp2015.FY]])*t_Parts[[NetPPH]:[NetPPH]]</f>
        <v>5962200.0000000009</v>
      </c>
      <c r="FK92" s="58">
        <f>(t_Parts[[#This Row],[ha2016.01]]-t_Parts[[#This Row],[hp2016.01]])*t_Parts[[NetPPH]:[NetPPH]]</f>
        <v>462000.00000000006</v>
      </c>
      <c r="FL92" s="58">
        <f>(t_Parts[[#This Row],[ha2016.02]]-t_Parts[[#This Row],[hp2016.02]])*t_Parts[[NetPPH]:[NetPPH]]</f>
        <v>462000.00000000006</v>
      </c>
      <c r="FM92" s="58">
        <f>(t_Parts[[#This Row],[ha2016.03]]-t_Parts[[#This Row],[hp2016.03]])*t_Parts[[NetPPH]:[NetPPH]]</f>
        <v>577500.00000000012</v>
      </c>
      <c r="FN92" s="58">
        <f>(t_Parts[[#This Row],[ha2016.04]]-t_Parts[[#This Row],[hp2016.04]])*t_Parts[[NetPPH]:[NetPPH]]</f>
        <v>462000.00000000006</v>
      </c>
      <c r="FO92" s="58">
        <f>(t_Parts[[#This Row],[ha2016.05]]-t_Parts[[#This Row],[hp2016.05]])*t_Parts[[NetPPH]:[NetPPH]]</f>
        <v>462000.00000000006</v>
      </c>
      <c r="FP92" s="58">
        <f>(t_Parts[[#This Row],[ha2016.06]]-t_Parts[[#This Row],[hp2016.06]])*t_Parts[[NetPPH]:[NetPPH]]</f>
        <v>577500.00000000012</v>
      </c>
      <c r="FQ92" s="58">
        <f>(t_Parts[[#This Row],[ha2016.07]]-t_Parts[[#This Row],[hp2016.07]])*t_Parts[[NetPPH]:[NetPPH]]</f>
        <v>462000.00000000006</v>
      </c>
      <c r="FR92" s="58">
        <f>(t_Parts[[#This Row],[ha2016.08]]-t_Parts[[#This Row],[hp2016.08]])*t_Parts[[NetPPH]:[NetPPH]]</f>
        <v>462000.00000000006</v>
      </c>
      <c r="FS92" s="58">
        <f>(t_Parts[[#This Row],[ha2016.09]]-t_Parts[[#This Row],[hp2016.09]])*t_Parts[[NetPPH]:[NetPPH]]</f>
        <v>577500.00000000012</v>
      </c>
      <c r="FT92" s="58">
        <f>(t_Parts[[#This Row],[ha2016.10]]-t_Parts[[#This Row],[hp2016.10]])*t_Parts[[NetPPH]:[NetPPH]]</f>
        <v>462000.00000000006</v>
      </c>
      <c r="FU92" s="58">
        <f>(t_Parts[[#This Row],[ha2016.11]]-t_Parts[[#This Row],[hp2016.11]])*t_Parts[[NetPPH]:[NetPPH]]</f>
        <v>462000.00000000006</v>
      </c>
      <c r="FV92" s="58">
        <f>(t_Parts[[#This Row],[ha2016.12]]-t_Parts[[#This Row],[hp2016.12]])*t_Parts[[NetPPH]:[NetPPH]]</f>
        <v>577500.00000000012</v>
      </c>
      <c r="FW92" s="58">
        <f>(t_Parts[[#This Row],[ha2016.FY]]-t_Parts[[#This Row],[hp2016.FY]])*t_Parts[[NetPPH]:[NetPPH]]</f>
        <v>6006000.0000000009</v>
      </c>
      <c r="FX92" s="58">
        <f>(t_Parts[[#This Row],[ha2017]]-t_Parts[[#This Row],[hp2017]])*t_Parts[[NetPPH]:[NetPPH]]</f>
        <v>6006000.0000000009</v>
      </c>
      <c r="FY92" s="58">
        <f>(t_Parts[[#This Row],[ha2018]]-t_Parts[[#This Row],[hp2018]])*t_Parts[[NetPPH]:[NetPPH]]</f>
        <v>6006000.0000000009</v>
      </c>
      <c r="FZ92" s="58">
        <f>(t_Parts[[#This Row],[ha2019]]-t_Parts[[#This Row],[hp2019]])*t_Parts[[NetPPH]:[NetPPH]]</f>
        <v>6006000.0000000009</v>
      </c>
    </row>
    <row r="93" spans="1:182" s="14" customFormat="1" x14ac:dyDescent="0.25">
      <c r="A93" s="74">
        <v>29360</v>
      </c>
      <c r="B93" s="74"/>
      <c r="C93" s="74">
        <v>21013</v>
      </c>
      <c r="D93" s="75">
        <v>1</v>
      </c>
      <c r="E93" s="73">
        <v>2700</v>
      </c>
      <c r="F93" s="76">
        <v>1</v>
      </c>
      <c r="G93" s="77">
        <v>1</v>
      </c>
      <c r="H93" s="16">
        <v>2015.01</v>
      </c>
      <c r="I93" s="16" t="s">
        <v>92</v>
      </c>
      <c r="J93" s="73">
        <v>15000</v>
      </c>
      <c r="K93" s="73">
        <v>15000</v>
      </c>
      <c r="L93" s="73">
        <v>15000</v>
      </c>
      <c r="M93" s="73">
        <v>15000</v>
      </c>
      <c r="N93" s="73">
        <v>15000</v>
      </c>
      <c r="O93" s="78">
        <v>30</v>
      </c>
      <c r="P93" s="78">
        <v>35</v>
      </c>
      <c r="Q93" s="79">
        <v>20.92</v>
      </c>
      <c r="R93" s="79"/>
      <c r="S93" s="78">
        <v>52</v>
      </c>
      <c r="T93" s="80">
        <v>14.5</v>
      </c>
      <c r="U93" s="80" t="s">
        <v>121</v>
      </c>
      <c r="V93" s="81" t="s">
        <v>518</v>
      </c>
      <c r="W93" s="82">
        <v>0.373</v>
      </c>
      <c r="X93" s="82" t="s">
        <v>495</v>
      </c>
      <c r="Y93" s="82" t="s">
        <v>519</v>
      </c>
      <c r="Z93" s="82"/>
      <c r="AA93" s="82"/>
      <c r="AB93" s="82"/>
      <c r="AC93" s="83" t="s">
        <v>111</v>
      </c>
      <c r="AD93" s="40" t="str">
        <f>VLOOKUP(t_Parts[[#This Row],[Press]],t_Presses[],Press!B$1,FALSE)</f>
        <v>Plainfield</v>
      </c>
      <c r="AE93" s="40" t="str">
        <f>VLOOKUP(t_Parts[[#This Row],[Press]],t_Presses[],Press!E$1,FALSE)</f>
        <v>0-299</v>
      </c>
      <c r="AF93" s="47">
        <f>VLOOKUP(t_Parts[[#This Row],[Plant]],t_Plants[],Plants!C$1,FALSE)</f>
        <v>0.55000000000000004</v>
      </c>
      <c r="AG93" s="47">
        <f>VLOOKUP(t_Parts[[#This Row],[Press]],t_Presses[],Press!F$1,FALSE)</f>
        <v>0</v>
      </c>
      <c r="AH93" s="84"/>
      <c r="AI93" s="47">
        <f>IF(ISBLANK(t_Parts[[#This Row],[PartOEE]])=FALSE,t_Parts[[#This Row],[PartOEE]], IF(t_Parts[[#This Row],[PressOEE]]&gt;0, t_Parts[[#This Row],[PressOEE]], t_Parts[[#This Row],[PlantOEE]] ))</f>
        <v>0.55000000000000004</v>
      </c>
      <c r="AJ93" s="70">
        <f>t_Parts[[#This Row],[SetupsPerMo]]*t_Parts[[#This Row],[SetupHrs]]</f>
        <v>1</v>
      </c>
      <c r="AK93" s="39">
        <f>(t_Parts[[#This Row],[PartsPerStroke]]*t_Parts[[#This Row],[StrokesPerHr]])*t_Parts[[#This Row],[UseOEE]]</f>
        <v>1485.0000000000002</v>
      </c>
      <c r="AL9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1153.8461538461538</v>
      </c>
      <c r="AM9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1153.8461538461538</v>
      </c>
      <c r="AN9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1442.3076923076924</v>
      </c>
      <c r="AO9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1153.8461538461538</v>
      </c>
      <c r="AP9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1153.8461538461538</v>
      </c>
      <c r="AQ9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1442.3076923076924</v>
      </c>
      <c r="AR9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1153.8461538461538</v>
      </c>
      <c r="AS9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1153.8461538461538</v>
      </c>
      <c r="AT9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1442.3076923076924</v>
      </c>
      <c r="AU9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1153.8461538461538</v>
      </c>
      <c r="AV9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1153.8461538461538</v>
      </c>
      <c r="AW9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1442.3076923076924</v>
      </c>
      <c r="AX93" s="39">
        <f>SUM(t_Parts[[#This Row],[pv2015.01]:[pv2015.12]])</f>
        <v>15000</v>
      </c>
      <c r="AY9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9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9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9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9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9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9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9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9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9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9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9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93" s="39">
        <f>SUM(t_Parts[[#This Row],[pv2016.01]:[pv2016.12]])</f>
        <v>0</v>
      </c>
      <c r="BL93" s="39">
        <f>t_Parts[[#This Row],[2017vol]]</f>
        <v>15000</v>
      </c>
      <c r="BM93" s="39">
        <f>t_Parts[[#This Row],[2018vol]]</f>
        <v>15000</v>
      </c>
      <c r="BN93" s="39">
        <f>t_Parts[[#This Row],[2019vol]]</f>
        <v>15000</v>
      </c>
      <c r="BO93" s="40">
        <f>VLOOKUP(t_Parts[[Plant]:[Plant]],t_Plants[],Plants!CN$1,FALSE)</f>
        <v>280</v>
      </c>
      <c r="BP93" s="14">
        <f>VLOOKUP(t_Parts[[Plant]:[Plant]],t_Plants[],Plants!CO$1,FALSE)</f>
        <v>280</v>
      </c>
      <c r="BQ93" s="14">
        <f>VLOOKUP(t_Parts[[Plant]:[Plant]],t_Plants[],Plants!CP$1,FALSE)</f>
        <v>350</v>
      </c>
      <c r="BR93" s="14">
        <f>VLOOKUP(t_Parts[[Plant]:[Plant]],t_Plants[],Plants!CQ$1,FALSE)</f>
        <v>280</v>
      </c>
      <c r="BS93" s="14">
        <f>VLOOKUP(t_Parts[[Plant]:[Plant]],t_Plants[],Plants!CR$1,FALSE)</f>
        <v>280</v>
      </c>
      <c r="BT93" s="14">
        <f>VLOOKUP(t_Parts[[Plant]:[Plant]],t_Plants[],Plants!CS$1,FALSE)</f>
        <v>350</v>
      </c>
      <c r="BU93" s="14">
        <f>VLOOKUP(t_Parts[[Plant]:[Plant]],t_Plants[],Plants!CT$1,FALSE)</f>
        <v>280</v>
      </c>
      <c r="BV93" s="14">
        <f>VLOOKUP(t_Parts[[Plant]:[Plant]],t_Plants[],Plants!CU$1,FALSE)</f>
        <v>280</v>
      </c>
      <c r="BW93" s="14">
        <f>VLOOKUP(t_Parts[[Plant]:[Plant]],t_Plants[],Plants!CV$1,FALSE)</f>
        <v>350</v>
      </c>
      <c r="BX93" s="14">
        <f>VLOOKUP(t_Parts[[Plant]:[Plant]],t_Plants[],Plants!CW$1,FALSE)</f>
        <v>280</v>
      </c>
      <c r="BY93" s="14">
        <f>VLOOKUP(t_Parts[[Plant]:[Plant]],t_Plants[],Plants!CX$1,FALSE)</f>
        <v>280</v>
      </c>
      <c r="BZ93" s="14">
        <f>VLOOKUP(t_Parts[[Plant]:[Plant]],t_Plants[],Plants!CY$1,FALSE)</f>
        <v>350</v>
      </c>
      <c r="CA93" s="40">
        <f>SUM(t_Parts[[#This Row],[ha2015.01]:[ha2015.12]])</f>
        <v>3640</v>
      </c>
      <c r="CB93" s="14">
        <f>VLOOKUP(t_Parts[[Plant]:[Plant]],t_Plants[],Plants!DA$1,FALSE)</f>
        <v>280</v>
      </c>
      <c r="CC93" s="14">
        <f>VLOOKUP(t_Parts[[Plant]:[Plant]],t_Plants[],Plants!DB$1,FALSE)</f>
        <v>280</v>
      </c>
      <c r="CD93" s="14">
        <f>VLOOKUP(t_Parts[[Plant]:[Plant]],t_Plants[],Plants!DC$1,FALSE)</f>
        <v>350</v>
      </c>
      <c r="CE93" s="14">
        <f>VLOOKUP(t_Parts[[Plant]:[Plant]],t_Plants[],Plants!DD$1,FALSE)</f>
        <v>280</v>
      </c>
      <c r="CF93" s="14">
        <f>VLOOKUP(t_Parts[[Plant]:[Plant]],t_Plants[],Plants!DE$1,FALSE)</f>
        <v>280</v>
      </c>
      <c r="CG93" s="14">
        <f>VLOOKUP(t_Parts[[Plant]:[Plant]],t_Plants[],Plants!DF$1,FALSE)</f>
        <v>350</v>
      </c>
      <c r="CH93" s="14">
        <f>VLOOKUP(t_Parts[[Plant]:[Plant]],t_Plants[],Plants!DG$1,FALSE)</f>
        <v>280</v>
      </c>
      <c r="CI93" s="14">
        <f>VLOOKUP(t_Parts[[Plant]:[Plant]],t_Plants[],Plants!DH$1,FALSE)</f>
        <v>280</v>
      </c>
      <c r="CJ93" s="14">
        <f>VLOOKUP(t_Parts[[Plant]:[Plant]],t_Plants[],Plants!DI$1,FALSE)</f>
        <v>350</v>
      </c>
      <c r="CK93" s="14">
        <f>VLOOKUP(t_Parts[[Plant]:[Plant]],t_Plants[],Plants!DJ$1,FALSE)</f>
        <v>280</v>
      </c>
      <c r="CL93" s="14">
        <f>VLOOKUP(t_Parts[[Plant]:[Plant]],t_Plants[],Plants!DK$1,FALSE)</f>
        <v>280</v>
      </c>
      <c r="CM93" s="14">
        <f>VLOOKUP(t_Parts[[Plant]:[Plant]],t_Plants[],Plants!DL$1,FALSE)</f>
        <v>350</v>
      </c>
      <c r="CN93" s="14">
        <f>VLOOKUP(t_Parts[[Plant]:[Plant]],t_Plants[],Plants!DM$1,FALSE)</f>
        <v>3640</v>
      </c>
      <c r="CO93" s="14">
        <f>VLOOKUP(t_Parts[[Plant]:[Plant]],t_Plants[],Plants!DN$1,FALSE)</f>
        <v>3640</v>
      </c>
      <c r="CP93" s="14">
        <f>VLOOKUP(t_Parts[[Plant]:[Plant]],t_Plants[],Plants!DO$1,FALSE)</f>
        <v>3640</v>
      </c>
      <c r="CQ93" s="14">
        <f>VLOOKUP(t_Parts[[Plant]:[Plant]],t_Plants[],Plants!DP$1,FALSE)</f>
        <v>3640</v>
      </c>
      <c r="CR93" s="39">
        <f>IF(AND(AL$3&gt;=VALUE(t_Parts[[SOP]:[SOP]]),AL$3&lt;=VALUE(t_Parts[[EOP]:[EOP]])), t_Parts[[SetupHrsPerMo]:[SetupHrsPerMo]]+(t_Parts[[#This Row],[pv2015.01]]/t_Parts[[NetPPH]:[NetPPH]]),0)</f>
        <v>1.7770007770007767</v>
      </c>
      <c r="CS93" s="39">
        <f>IF(AND(AM$3&gt;=VALUE(t_Parts[[SOP]:[SOP]]),AM$3&lt;=VALUE(t_Parts[[EOP]:[EOP]])), t_Parts[[SetupHrsPerMo]:[SetupHrsPerMo]]+(t_Parts[[#This Row],[pv2015.02]]/t_Parts[[NetPPH]:[NetPPH]]),0)</f>
        <v>1.7770007770007767</v>
      </c>
      <c r="CT93" s="39">
        <f>IF(AND(AN$3&gt;=VALUE(t_Parts[[SOP]:[SOP]]),AN$3&lt;=VALUE(t_Parts[[EOP]:[EOP]])), t_Parts[[SetupHrsPerMo]:[SetupHrsPerMo]]+(t_Parts[[#This Row],[pv2015.03]]/t_Parts[[NetPPH]:[NetPPH]]),0)</f>
        <v>1.9712509712509712</v>
      </c>
      <c r="CU93" s="39">
        <f>IF(AND(AO$3&gt;=VALUE(t_Parts[[SOP]:[SOP]]),AO$3&lt;=VALUE(t_Parts[[EOP]:[EOP]])), t_Parts[[SetupHrsPerMo]:[SetupHrsPerMo]]+(t_Parts[[#This Row],[pv2015.04]]/t_Parts[[NetPPH]:[NetPPH]]),0)</f>
        <v>1.7770007770007767</v>
      </c>
      <c r="CV93" s="39">
        <f>IF(AND(AP$3&gt;=VALUE(t_Parts[[SOP]:[SOP]]),AP$3&lt;=VALUE(t_Parts[[EOP]:[EOP]])), t_Parts[[SetupHrsPerMo]:[SetupHrsPerMo]]+(t_Parts[[#This Row],[pv2015.05]]/t_Parts[[NetPPH]:[NetPPH]]),0)</f>
        <v>1.7770007770007767</v>
      </c>
      <c r="CW93" s="39">
        <f>IF(AND(AQ$3&gt;=VALUE(t_Parts[[SOP]:[SOP]]),AQ$3&lt;=VALUE(t_Parts[[EOP]:[EOP]])), t_Parts[[SetupHrsPerMo]:[SetupHrsPerMo]]+(t_Parts[[#This Row],[pv2015.06]]/t_Parts[[NetPPH]:[NetPPH]]),0)</f>
        <v>1.9712509712509712</v>
      </c>
      <c r="CX93" s="39">
        <f>IF(AND(AR$3&gt;=VALUE(t_Parts[[SOP]:[SOP]]),AR$3&lt;=VALUE(t_Parts[[EOP]:[EOP]])), t_Parts[[SetupHrsPerMo]:[SetupHrsPerMo]]+(t_Parts[[#This Row],[pv2015.07]]/t_Parts[[NetPPH]:[NetPPH]]),0)</f>
        <v>1.7770007770007767</v>
      </c>
      <c r="CY93" s="39">
        <f>IF(AND(AS$3&gt;=VALUE(t_Parts[[SOP]:[SOP]]),AS$3&lt;=VALUE(t_Parts[[EOP]:[EOP]])), t_Parts[[SetupHrsPerMo]:[SetupHrsPerMo]]+(t_Parts[[#This Row],[pv2015.08]]/t_Parts[[NetPPH]:[NetPPH]]),0)</f>
        <v>1.7770007770007767</v>
      </c>
      <c r="CZ93" s="39">
        <f>IF(AND(AT$3&gt;=VALUE(t_Parts[[SOP]:[SOP]]),AT$3&lt;=VALUE(t_Parts[[EOP]:[EOP]])), t_Parts[[SetupHrsPerMo]:[SetupHrsPerMo]]+(t_Parts[[#This Row],[pv2015.09]]/t_Parts[[NetPPH]:[NetPPH]]),0)</f>
        <v>1.9712509712509712</v>
      </c>
      <c r="DA93" s="39">
        <f>IF(AND(AU$3&gt;=VALUE(t_Parts[[SOP]:[SOP]]),AU$3&lt;=VALUE(t_Parts[[EOP]:[EOP]])), t_Parts[[SetupHrsPerMo]:[SetupHrsPerMo]]+(t_Parts[[#This Row],[pv2015.10]]/t_Parts[[NetPPH]:[NetPPH]]),0)</f>
        <v>1.7770007770007767</v>
      </c>
      <c r="DB93" s="39">
        <f>IF(AND(AV$3&gt;=VALUE(t_Parts[[SOP]:[SOP]]),AV$3&lt;=VALUE(t_Parts[[EOP]:[EOP]])), t_Parts[[SetupHrsPerMo]:[SetupHrsPerMo]]+(t_Parts[[#This Row],[pv2015.11]]/t_Parts[[NetPPH]:[NetPPH]]),0)</f>
        <v>1.7770007770007767</v>
      </c>
      <c r="DC93" s="39">
        <f>IF(AND(AW$3&gt;=VALUE(t_Parts[[SOP]:[SOP]]),AW$3&lt;=VALUE(t_Parts[[EOP]:[EOP]])), t_Parts[[SetupHrsPerMo]:[SetupHrsPerMo]]+(t_Parts[[#This Row],[pv2015.12]]/t_Parts[[NetPPH]:[NetPPH]]),0)</f>
        <v>1.9712509712509712</v>
      </c>
      <c r="DD93" s="39">
        <f>SUM(t_Parts[[#This Row],[hp2015.01]:[hp2015.12]])</f>
        <v>22.101010101010093</v>
      </c>
      <c r="DE93" s="39">
        <f>IF(AND(AY$3&gt;=VALUE(t_Parts[[SOP]:[SOP]]),AY$3&lt;=VALUE(t_Parts[[EOP]:[EOP]])), t_Parts[[SetupHrsPerMo]:[SetupHrsPerMo]]+(t_Parts[[#This Row],[pv2016.01]]/t_Parts[[NetPPH]:[NetPPH]]),0)</f>
        <v>0</v>
      </c>
      <c r="DF93" s="39">
        <f>IF(AND(AZ$3&gt;=VALUE(t_Parts[[SOP]:[SOP]]),AZ$3&lt;=VALUE(t_Parts[[EOP]:[EOP]])), t_Parts[[SetupHrsPerMo]:[SetupHrsPerMo]]+(t_Parts[[#This Row],[pv2016.02]]/t_Parts[[NetPPH]:[NetPPH]]),0)</f>
        <v>0</v>
      </c>
      <c r="DG93" s="39">
        <f>IF(AND(BA$3&gt;=VALUE(t_Parts[[SOP]:[SOP]]),BA$3&lt;=VALUE(t_Parts[[EOP]:[EOP]])), t_Parts[[SetupHrsPerMo]:[SetupHrsPerMo]]+(t_Parts[[#This Row],[pv2016.03]]/t_Parts[[NetPPH]:[NetPPH]]),0)</f>
        <v>0</v>
      </c>
      <c r="DH93" s="39">
        <f>IF(AND(BB$3&gt;=VALUE(t_Parts[[SOP]:[SOP]]),BB$3&lt;=VALUE(t_Parts[[EOP]:[EOP]])), t_Parts[[SetupHrsPerMo]:[SetupHrsPerMo]]+(t_Parts[[#This Row],[pv2016.04]]/t_Parts[[NetPPH]:[NetPPH]]),0)</f>
        <v>0</v>
      </c>
      <c r="DI93" s="39">
        <f>IF(AND(BC$3&gt;=VALUE(t_Parts[[SOP]:[SOP]]),BC$3&lt;=VALUE(t_Parts[[EOP]:[EOP]])), t_Parts[[SetupHrsPerMo]:[SetupHrsPerMo]]+(t_Parts[[#This Row],[pv2016.05]]/t_Parts[[NetPPH]:[NetPPH]]),0)</f>
        <v>0</v>
      </c>
      <c r="DJ93" s="39">
        <f>IF(AND(BD$3&gt;=VALUE(t_Parts[[SOP]:[SOP]]),BD$3&lt;=VALUE(t_Parts[[EOP]:[EOP]])), t_Parts[[SetupHrsPerMo]:[SetupHrsPerMo]]+(t_Parts[[#This Row],[pv2016.06]]/t_Parts[[NetPPH]:[NetPPH]]),0)</f>
        <v>0</v>
      </c>
      <c r="DK93" s="39">
        <f>IF(AND(BE$3&gt;=VALUE(t_Parts[[SOP]:[SOP]]),BE$3&lt;=VALUE(t_Parts[[EOP]:[EOP]])), t_Parts[[SetupHrsPerMo]:[SetupHrsPerMo]]+(t_Parts[[#This Row],[pv2016.07]]/t_Parts[[NetPPH]:[NetPPH]]),0)</f>
        <v>0</v>
      </c>
      <c r="DL93" s="39">
        <f>IF(AND(BF$3&gt;=VALUE(t_Parts[[SOP]:[SOP]]),BF$3&lt;=VALUE(t_Parts[[EOP]:[EOP]])), t_Parts[[SetupHrsPerMo]:[SetupHrsPerMo]]+(t_Parts[[#This Row],[pv2016.08]]/t_Parts[[NetPPH]:[NetPPH]]),0)</f>
        <v>0</v>
      </c>
      <c r="DM93" s="39">
        <f>IF(AND(BG$3&gt;=VALUE(t_Parts[[SOP]:[SOP]]),BG$3&lt;=VALUE(t_Parts[[EOP]:[EOP]])), t_Parts[[SetupHrsPerMo]:[SetupHrsPerMo]]+(t_Parts[[#This Row],[pv2016.09]]/t_Parts[[NetPPH]:[NetPPH]]),0)</f>
        <v>0</v>
      </c>
      <c r="DN93" s="39">
        <f>IF(AND(BH$3&gt;=VALUE(t_Parts[[SOP]:[SOP]]),BH$3&lt;=VALUE(t_Parts[[EOP]:[EOP]])), t_Parts[[SetupHrsPerMo]:[SetupHrsPerMo]]+(t_Parts[[#This Row],[pv2016.10]]/t_Parts[[NetPPH]:[NetPPH]]),0)</f>
        <v>0</v>
      </c>
      <c r="DO93" s="39">
        <f>IF(AND(BI$3&gt;=VALUE(t_Parts[[SOP]:[SOP]]),BI$3&lt;=VALUE(t_Parts[[EOP]:[EOP]])), t_Parts[[SetupHrsPerMo]:[SetupHrsPerMo]]+(t_Parts[[#This Row],[pv2016.11]]/t_Parts[[NetPPH]:[NetPPH]]),0)</f>
        <v>0</v>
      </c>
      <c r="DP93" s="39">
        <f>IF(AND(BJ$3&gt;=VALUE(t_Parts[[SOP]:[SOP]]),BJ$3&lt;=VALUE(t_Parts[[EOP]:[EOP]])), t_Parts[[SetupHrsPerMo]:[SetupHrsPerMo]]+(t_Parts[[#This Row],[pv2016.12]]/t_Parts[[NetPPH]:[NetPPH]]),0)</f>
        <v>0</v>
      </c>
      <c r="DQ93" s="39">
        <f>SUM(t_Parts[[#This Row],[hp2016.01]:[hp2016.12]])</f>
        <v>0</v>
      </c>
      <c r="DR93" s="39">
        <f>IF(AND(BL$3&gt;=VALUE(t_Parts[[SOP]:[SOP]]),BL$3&lt;=VALUE(t_Parts[[EOP]:[EOP]])), 12*t_Parts[[SetupHrsPerMo]:[SetupHrsPerMo]]+(t_Parts[[#This Row],[pv2017]]/t_Parts[[NetPPH]:[NetPPH]]),0)</f>
        <v>0</v>
      </c>
      <c r="DS93" s="39">
        <f>IF(AND(BM$3&gt;=VALUE(t_Parts[[SOP]:[SOP]]),BM$3&lt;=VALUE(t_Parts[[EOP]:[EOP]])), 12*t_Parts[[SetupHrsPerMo]:[SetupHrsPerMo]]+(t_Parts[[#This Row],[pv2018]]/t_Parts[[NetPPH]:[NetPPH]]),0)</f>
        <v>0</v>
      </c>
      <c r="DT93" s="39">
        <f>IF(AND(BN$3&gt;=VALUE(t_Parts[[SOP]:[SOP]]),BN$3&lt;=VALUE(t_Parts[[EOP]:[EOP]])), 12*t_Parts[[SetupHrsPerMo]:[SetupHrsPerMo]]+(t_Parts[[#This Row],[pv2019]]/t_Parts[[NetPPH]:[NetPPH]]),0)</f>
        <v>0</v>
      </c>
      <c r="DU93" s="47">
        <f>t_Parts[[#This Row],[hp2015.01]]/t_Parts[[#This Row],[ha2015.01]]</f>
        <v>6.3464313464313459E-3</v>
      </c>
      <c r="DV93" s="47">
        <f>t_Parts[[#This Row],[hp2015.02]]/t_Parts[[#This Row],[ha2015.02]]</f>
        <v>6.3464313464313459E-3</v>
      </c>
      <c r="DW93" s="47">
        <f>t_Parts[[#This Row],[hp2015.03]]/t_Parts[[#This Row],[ha2015.03]]</f>
        <v>5.6321456321456317E-3</v>
      </c>
      <c r="DX93" s="47">
        <f>t_Parts[[#This Row],[hp2015.04]]/t_Parts[[#This Row],[ha2015.04]]</f>
        <v>6.3464313464313459E-3</v>
      </c>
      <c r="DY93" s="47">
        <f>t_Parts[[#This Row],[hp2015.05]]/t_Parts[[#This Row],[ha2015.05]]</f>
        <v>6.3464313464313459E-3</v>
      </c>
      <c r="DZ93" s="47">
        <f>t_Parts[[#This Row],[hp2015.06]]/t_Parts[[#This Row],[ha2015.06]]</f>
        <v>5.6321456321456317E-3</v>
      </c>
      <c r="EA93" s="47">
        <f>t_Parts[[#This Row],[hp2015.07]]/t_Parts[[#This Row],[ha2015.07]]</f>
        <v>6.3464313464313459E-3</v>
      </c>
      <c r="EB93" s="47">
        <f>t_Parts[[#This Row],[hp2015.08]]/t_Parts[[#This Row],[ha2015.08]]</f>
        <v>6.3464313464313459E-3</v>
      </c>
      <c r="EC93" s="47">
        <f>t_Parts[[#This Row],[hp2015.09]]/t_Parts[[#This Row],[ha2015.09]]</f>
        <v>5.6321456321456317E-3</v>
      </c>
      <c r="ED93" s="47">
        <f>t_Parts[[#This Row],[hp2015.10]]/t_Parts[[#This Row],[ha2015.10]]</f>
        <v>6.3464313464313459E-3</v>
      </c>
      <c r="EE93" s="47">
        <f>t_Parts[[#This Row],[hp2015.11]]/t_Parts[[#This Row],[ha2015.11]]</f>
        <v>6.3464313464313459E-3</v>
      </c>
      <c r="EF93" s="47">
        <f>t_Parts[[#This Row],[hp2015.12]]/t_Parts[[#This Row],[ha2015.12]]</f>
        <v>5.6321456321456317E-3</v>
      </c>
      <c r="EG93" s="47">
        <f>t_Parts[[#This Row],[hp2015.FY]]/t_Parts[[#This Row],[ha2015.FY]]</f>
        <v>6.0717060717060695E-3</v>
      </c>
      <c r="EH93" s="47">
        <f>t_Parts[[#This Row],[hp2016.01]]/t_Parts[[#This Row],[ha2016.01]]</f>
        <v>0</v>
      </c>
      <c r="EI93" s="47">
        <f>t_Parts[[#This Row],[hp2016.02]]/t_Parts[[#This Row],[ha2016.02]]</f>
        <v>0</v>
      </c>
      <c r="EJ93" s="47">
        <f>t_Parts[[#This Row],[hp2016.03]]/t_Parts[[#This Row],[ha2016.03]]</f>
        <v>0</v>
      </c>
      <c r="EK93" s="47">
        <f>t_Parts[[#This Row],[hp2016.04]]/t_Parts[[#This Row],[ha2016.04]]</f>
        <v>0</v>
      </c>
      <c r="EL93" s="47">
        <f>t_Parts[[#This Row],[hp2016.05]]/t_Parts[[#This Row],[ha2016.05]]</f>
        <v>0</v>
      </c>
      <c r="EM93" s="47">
        <f>t_Parts[[#This Row],[hp2016.06]]/t_Parts[[#This Row],[ha2016.06]]</f>
        <v>0</v>
      </c>
      <c r="EN93" s="47">
        <f>t_Parts[[#This Row],[hp2016.07]]/t_Parts[[#This Row],[ha2016.07]]</f>
        <v>0</v>
      </c>
      <c r="EO93" s="47">
        <f>t_Parts[[#This Row],[hp2016.08]]/t_Parts[[#This Row],[ha2016.08]]</f>
        <v>0</v>
      </c>
      <c r="EP93" s="47">
        <f>t_Parts[[#This Row],[hp2016.09]]/t_Parts[[#This Row],[ha2016.09]]</f>
        <v>0</v>
      </c>
      <c r="EQ93" s="47">
        <f>t_Parts[[#This Row],[hp2016.10]]/t_Parts[[#This Row],[ha2016.10]]</f>
        <v>0</v>
      </c>
      <c r="ER93" s="47">
        <f>t_Parts[[#This Row],[hp2016.11]]/t_Parts[[#This Row],[ha2016.11]]</f>
        <v>0</v>
      </c>
      <c r="ES93" s="47">
        <f>t_Parts[[#This Row],[hp2016.12]]/t_Parts[[#This Row],[ha2016.12]]</f>
        <v>0</v>
      </c>
      <c r="ET93" s="47">
        <f>t_Parts[[#This Row],[hp2016.FY]]/t_Parts[[#This Row],[ha2016.FY]]</f>
        <v>0</v>
      </c>
      <c r="EU93" s="47">
        <f>t_Parts[[#This Row],[hp2017]]/t_Parts[[#This Row],[ha2017]]</f>
        <v>0</v>
      </c>
      <c r="EV93" s="47">
        <f>t_Parts[[#This Row],[hp2018]]/t_Parts[[#This Row],[ha2018]]</f>
        <v>0</v>
      </c>
      <c r="EW93" s="47">
        <f>t_Parts[[#This Row],[hp2019]]/t_Parts[[#This Row],[hp2015.01]]</f>
        <v>0</v>
      </c>
      <c r="EX93" s="58">
        <f>(t_Parts[[#This Row],[ha2015.01]]-t_Parts[[#This Row],[hp2015.01]])*t_Parts[[NetPPH]:[NetPPH]]</f>
        <v>413161.15384615393</v>
      </c>
      <c r="EY93" s="58">
        <f>(t_Parts[[#This Row],[ha2015.02]]-t_Parts[[#This Row],[hp2015.02]])*t_Parts[[NetPPH]:[NetPPH]]</f>
        <v>413161.15384615393</v>
      </c>
      <c r="EZ93" s="58">
        <f>(t_Parts[[#This Row],[ha2015.03]]-t_Parts[[#This Row],[hp2015.03]])*t_Parts[[NetPPH]:[NetPPH]]</f>
        <v>516822.69230769237</v>
      </c>
      <c r="FA93" s="58">
        <f>(t_Parts[[#This Row],[ha2015.04]]-t_Parts[[#This Row],[hp2015.04]])*t_Parts[[NetPPH]:[NetPPH]]</f>
        <v>413161.15384615393</v>
      </c>
      <c r="FB93" s="58">
        <f>(t_Parts[[#This Row],[ha2015.05]]-t_Parts[[#This Row],[hp2015.05]])*t_Parts[[NetPPH]:[NetPPH]]</f>
        <v>413161.15384615393</v>
      </c>
      <c r="FC93" s="58">
        <f>(t_Parts[[#This Row],[ha2015.06]]-t_Parts[[#This Row],[hp2015.06]])*t_Parts[[NetPPH]:[NetPPH]]</f>
        <v>516822.69230769237</v>
      </c>
      <c r="FD93" s="58">
        <f>(t_Parts[[#This Row],[ha2015.07]]-t_Parts[[#This Row],[hp2015.07]])*t_Parts[[NetPPH]:[NetPPH]]</f>
        <v>413161.15384615393</v>
      </c>
      <c r="FE93" s="58">
        <f>(t_Parts[[#This Row],[ha2015.08]]-t_Parts[[#This Row],[hp2015.08]])*t_Parts[[NetPPH]:[NetPPH]]</f>
        <v>413161.15384615393</v>
      </c>
      <c r="FF93" s="58">
        <f>(t_Parts[[#This Row],[ha2015.09]]-t_Parts[[#This Row],[hp2015.09]])*t_Parts[[NetPPH]:[NetPPH]]</f>
        <v>516822.69230769237</v>
      </c>
      <c r="FG93" s="58">
        <f>(t_Parts[[#This Row],[ha2015.10]]-t_Parts[[#This Row],[hp2015.10]])*t_Parts[[NetPPH]:[NetPPH]]</f>
        <v>413161.15384615393</v>
      </c>
      <c r="FH93" s="58">
        <f>(t_Parts[[#This Row],[ha2015.11]]-t_Parts[[#This Row],[hp2015.11]])*t_Parts[[NetPPH]:[NetPPH]]</f>
        <v>413161.15384615393</v>
      </c>
      <c r="FI93" s="58">
        <f>(t_Parts[[#This Row],[ha2015.12]]-t_Parts[[#This Row],[hp2015.12]])*t_Parts[[NetPPH]:[NetPPH]]</f>
        <v>516822.69230769237</v>
      </c>
      <c r="FJ93" s="58">
        <f>(t_Parts[[#This Row],[ha2015.FY]]-t_Parts[[#This Row],[hp2015.FY]])*t_Parts[[NetPPH]:[NetPPH]]</f>
        <v>5372580.0000000009</v>
      </c>
      <c r="FK93" s="58">
        <f>(t_Parts[[#This Row],[ha2016.01]]-t_Parts[[#This Row],[hp2016.01]])*t_Parts[[NetPPH]:[NetPPH]]</f>
        <v>415800.00000000006</v>
      </c>
      <c r="FL93" s="58">
        <f>(t_Parts[[#This Row],[ha2016.02]]-t_Parts[[#This Row],[hp2016.02]])*t_Parts[[NetPPH]:[NetPPH]]</f>
        <v>415800.00000000006</v>
      </c>
      <c r="FM93" s="58">
        <f>(t_Parts[[#This Row],[ha2016.03]]-t_Parts[[#This Row],[hp2016.03]])*t_Parts[[NetPPH]:[NetPPH]]</f>
        <v>519750.00000000006</v>
      </c>
      <c r="FN93" s="58">
        <f>(t_Parts[[#This Row],[ha2016.04]]-t_Parts[[#This Row],[hp2016.04]])*t_Parts[[NetPPH]:[NetPPH]]</f>
        <v>415800.00000000006</v>
      </c>
      <c r="FO93" s="58">
        <f>(t_Parts[[#This Row],[ha2016.05]]-t_Parts[[#This Row],[hp2016.05]])*t_Parts[[NetPPH]:[NetPPH]]</f>
        <v>415800.00000000006</v>
      </c>
      <c r="FP93" s="58">
        <f>(t_Parts[[#This Row],[ha2016.06]]-t_Parts[[#This Row],[hp2016.06]])*t_Parts[[NetPPH]:[NetPPH]]</f>
        <v>519750.00000000006</v>
      </c>
      <c r="FQ93" s="58">
        <f>(t_Parts[[#This Row],[ha2016.07]]-t_Parts[[#This Row],[hp2016.07]])*t_Parts[[NetPPH]:[NetPPH]]</f>
        <v>415800.00000000006</v>
      </c>
      <c r="FR93" s="58">
        <f>(t_Parts[[#This Row],[ha2016.08]]-t_Parts[[#This Row],[hp2016.08]])*t_Parts[[NetPPH]:[NetPPH]]</f>
        <v>415800.00000000006</v>
      </c>
      <c r="FS93" s="58">
        <f>(t_Parts[[#This Row],[ha2016.09]]-t_Parts[[#This Row],[hp2016.09]])*t_Parts[[NetPPH]:[NetPPH]]</f>
        <v>519750.00000000006</v>
      </c>
      <c r="FT93" s="58">
        <f>(t_Parts[[#This Row],[ha2016.10]]-t_Parts[[#This Row],[hp2016.10]])*t_Parts[[NetPPH]:[NetPPH]]</f>
        <v>415800.00000000006</v>
      </c>
      <c r="FU93" s="58">
        <f>(t_Parts[[#This Row],[ha2016.11]]-t_Parts[[#This Row],[hp2016.11]])*t_Parts[[NetPPH]:[NetPPH]]</f>
        <v>415800.00000000006</v>
      </c>
      <c r="FV93" s="58">
        <f>(t_Parts[[#This Row],[ha2016.12]]-t_Parts[[#This Row],[hp2016.12]])*t_Parts[[NetPPH]:[NetPPH]]</f>
        <v>519750.00000000006</v>
      </c>
      <c r="FW93" s="58">
        <f>(t_Parts[[#This Row],[ha2016.FY]]-t_Parts[[#This Row],[hp2016.FY]])*t_Parts[[NetPPH]:[NetPPH]]</f>
        <v>5405400.0000000009</v>
      </c>
      <c r="FX93" s="58">
        <f>(t_Parts[[#This Row],[ha2017]]-t_Parts[[#This Row],[hp2017]])*t_Parts[[NetPPH]:[NetPPH]]</f>
        <v>5405400.0000000009</v>
      </c>
      <c r="FY93" s="58">
        <f>(t_Parts[[#This Row],[ha2018]]-t_Parts[[#This Row],[hp2018]])*t_Parts[[NetPPH]:[NetPPH]]</f>
        <v>5405400.0000000009</v>
      </c>
      <c r="FZ93" s="58">
        <f>(t_Parts[[#This Row],[ha2019]]-t_Parts[[#This Row],[hp2019]])*t_Parts[[NetPPH]:[NetPPH]]</f>
        <v>5405400.0000000009</v>
      </c>
    </row>
    <row r="94" spans="1:182" s="14" customFormat="1" x14ac:dyDescent="0.25">
      <c r="A94" s="74">
        <v>29254</v>
      </c>
      <c r="B94" s="74"/>
      <c r="C94" s="74">
        <v>21001</v>
      </c>
      <c r="D94" s="75">
        <v>1</v>
      </c>
      <c r="E94" s="73">
        <v>1800</v>
      </c>
      <c r="F94" s="76">
        <v>1</v>
      </c>
      <c r="G94" s="77">
        <v>2</v>
      </c>
      <c r="H94" s="16">
        <v>2015.01</v>
      </c>
      <c r="I94" s="16" t="s">
        <v>83</v>
      </c>
      <c r="J94" s="73">
        <v>32299</v>
      </c>
      <c r="K94" s="73">
        <v>32299</v>
      </c>
      <c r="L94" s="73">
        <v>32299</v>
      </c>
      <c r="M94" s="73">
        <v>32299</v>
      </c>
      <c r="N94" s="73">
        <v>32299</v>
      </c>
      <c r="O94" s="78">
        <v>46</v>
      </c>
      <c r="P94" s="78">
        <v>96</v>
      </c>
      <c r="Q94" s="79">
        <v>23.684999999999999</v>
      </c>
      <c r="R94" s="79"/>
      <c r="S94" s="78">
        <v>248</v>
      </c>
      <c r="T94" s="80">
        <v>14</v>
      </c>
      <c r="U94" s="80" t="s">
        <v>121</v>
      </c>
      <c r="V94" s="81" t="s">
        <v>546</v>
      </c>
      <c r="W94" s="82">
        <v>1.69</v>
      </c>
      <c r="X94" s="82" t="s">
        <v>495</v>
      </c>
      <c r="Y94" s="82" t="s">
        <v>547</v>
      </c>
      <c r="Z94" s="82"/>
      <c r="AA94" s="82"/>
      <c r="AB94" s="82"/>
      <c r="AC94" s="83" t="s">
        <v>111</v>
      </c>
      <c r="AD94" s="40" t="str">
        <f>VLOOKUP(t_Parts[[#This Row],[Press]],t_Presses[],Press!B$1,FALSE)</f>
        <v>Plainfield</v>
      </c>
      <c r="AE94" s="40" t="str">
        <f>VLOOKUP(t_Parts[[#This Row],[Press]],t_Presses[],Press!E$1,FALSE)</f>
        <v>300-599</v>
      </c>
      <c r="AF94" s="47">
        <f>VLOOKUP(t_Parts[[#This Row],[Plant]],t_Plants[],Plants!C$1,FALSE)</f>
        <v>0.55000000000000004</v>
      </c>
      <c r="AG94" s="47">
        <f>VLOOKUP(t_Parts[[#This Row],[Press]],t_Presses[],Press!F$1,FALSE)</f>
        <v>0</v>
      </c>
      <c r="AH94" s="84"/>
      <c r="AI94" s="47">
        <f>IF(ISBLANK(t_Parts[[#This Row],[PartOEE]])=FALSE,t_Parts[[#This Row],[PartOEE]], IF(t_Parts[[#This Row],[PressOEE]]&gt;0, t_Parts[[#This Row],[PressOEE]], t_Parts[[#This Row],[PlantOEE]] ))</f>
        <v>0.55000000000000004</v>
      </c>
      <c r="AJ94" s="70">
        <f>t_Parts[[#This Row],[SetupsPerMo]]*t_Parts[[#This Row],[SetupHrs]]</f>
        <v>2</v>
      </c>
      <c r="AK94" s="39">
        <f>(t_Parts[[#This Row],[PartsPerStroke]]*t_Parts[[#This Row],[StrokesPerHr]])*t_Parts[[#This Row],[UseOEE]]</f>
        <v>990.00000000000011</v>
      </c>
      <c r="AL9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2484.5384615384614</v>
      </c>
      <c r="AM9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2484.5384615384614</v>
      </c>
      <c r="AN9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3105.6730769230767</v>
      </c>
      <c r="AO9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2484.5384615384614</v>
      </c>
      <c r="AP9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2484.5384615384614</v>
      </c>
      <c r="AQ9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3105.6730769230767</v>
      </c>
      <c r="AR9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2484.5384615384614</v>
      </c>
      <c r="AS9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2484.5384615384614</v>
      </c>
      <c r="AT9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3105.6730769230767</v>
      </c>
      <c r="AU9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2484.5384615384614</v>
      </c>
      <c r="AV9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2484.5384615384614</v>
      </c>
      <c r="AW9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3105.6730769230767</v>
      </c>
      <c r="AX94" s="39">
        <f>SUM(t_Parts[[#This Row],[pv2015.01]:[pv2015.12]])</f>
        <v>32299</v>
      </c>
      <c r="AY9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2484.5384615384614</v>
      </c>
      <c r="AZ9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2484.5384615384614</v>
      </c>
      <c r="BA9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3105.6730769230767</v>
      </c>
      <c r="BB9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2484.5384615384614</v>
      </c>
      <c r="BC9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2484.5384615384614</v>
      </c>
      <c r="BD9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3105.6730769230767</v>
      </c>
      <c r="BE9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2484.5384615384614</v>
      </c>
      <c r="BF9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2484.5384615384614</v>
      </c>
      <c r="BG9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3105.6730769230767</v>
      </c>
      <c r="BH9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2484.5384615384614</v>
      </c>
      <c r="BI9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2484.5384615384614</v>
      </c>
      <c r="BJ9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3105.6730769230767</v>
      </c>
      <c r="BK94" s="39">
        <f>SUM(t_Parts[[#This Row],[pv2016.01]:[pv2016.12]])</f>
        <v>32299</v>
      </c>
      <c r="BL94" s="39">
        <f>t_Parts[[#This Row],[2017vol]]</f>
        <v>32299</v>
      </c>
      <c r="BM94" s="39">
        <f>t_Parts[[#This Row],[2018vol]]</f>
        <v>32299</v>
      </c>
      <c r="BN94" s="39">
        <f>t_Parts[[#This Row],[2019vol]]</f>
        <v>32299</v>
      </c>
      <c r="BO94" s="40">
        <f>VLOOKUP(t_Parts[[Plant]:[Plant]],t_Plants[],Plants!CN$1,FALSE)</f>
        <v>280</v>
      </c>
      <c r="BP94" s="14">
        <f>VLOOKUP(t_Parts[[Plant]:[Plant]],t_Plants[],Plants!CO$1,FALSE)</f>
        <v>280</v>
      </c>
      <c r="BQ94" s="14">
        <f>VLOOKUP(t_Parts[[Plant]:[Plant]],t_Plants[],Plants!CP$1,FALSE)</f>
        <v>350</v>
      </c>
      <c r="BR94" s="14">
        <f>VLOOKUP(t_Parts[[Plant]:[Plant]],t_Plants[],Plants!CQ$1,FALSE)</f>
        <v>280</v>
      </c>
      <c r="BS94" s="14">
        <f>VLOOKUP(t_Parts[[Plant]:[Plant]],t_Plants[],Plants!CR$1,FALSE)</f>
        <v>280</v>
      </c>
      <c r="BT94" s="14">
        <f>VLOOKUP(t_Parts[[Plant]:[Plant]],t_Plants[],Plants!CS$1,FALSE)</f>
        <v>350</v>
      </c>
      <c r="BU94" s="14">
        <f>VLOOKUP(t_Parts[[Plant]:[Plant]],t_Plants[],Plants!CT$1,FALSE)</f>
        <v>280</v>
      </c>
      <c r="BV94" s="14">
        <f>VLOOKUP(t_Parts[[Plant]:[Plant]],t_Plants[],Plants!CU$1,FALSE)</f>
        <v>280</v>
      </c>
      <c r="BW94" s="14">
        <f>VLOOKUP(t_Parts[[Plant]:[Plant]],t_Plants[],Plants!CV$1,FALSE)</f>
        <v>350</v>
      </c>
      <c r="BX94" s="14">
        <f>VLOOKUP(t_Parts[[Plant]:[Plant]],t_Plants[],Plants!CW$1,FALSE)</f>
        <v>280</v>
      </c>
      <c r="BY94" s="14">
        <f>VLOOKUP(t_Parts[[Plant]:[Plant]],t_Plants[],Plants!CX$1,FALSE)</f>
        <v>280</v>
      </c>
      <c r="BZ94" s="14">
        <f>VLOOKUP(t_Parts[[Plant]:[Plant]],t_Plants[],Plants!CY$1,FALSE)</f>
        <v>350</v>
      </c>
      <c r="CA94" s="40">
        <f>SUM(t_Parts[[#This Row],[ha2015.01]:[ha2015.12]])</f>
        <v>3640</v>
      </c>
      <c r="CB94" s="14">
        <f>VLOOKUP(t_Parts[[Plant]:[Plant]],t_Plants[],Plants!DA$1,FALSE)</f>
        <v>280</v>
      </c>
      <c r="CC94" s="14">
        <f>VLOOKUP(t_Parts[[Plant]:[Plant]],t_Plants[],Plants!DB$1,FALSE)</f>
        <v>280</v>
      </c>
      <c r="CD94" s="14">
        <f>VLOOKUP(t_Parts[[Plant]:[Plant]],t_Plants[],Plants!DC$1,FALSE)</f>
        <v>350</v>
      </c>
      <c r="CE94" s="14">
        <f>VLOOKUP(t_Parts[[Plant]:[Plant]],t_Plants[],Plants!DD$1,FALSE)</f>
        <v>280</v>
      </c>
      <c r="CF94" s="14">
        <f>VLOOKUP(t_Parts[[Plant]:[Plant]],t_Plants[],Plants!DE$1,FALSE)</f>
        <v>280</v>
      </c>
      <c r="CG94" s="14">
        <f>VLOOKUP(t_Parts[[Plant]:[Plant]],t_Plants[],Plants!DF$1,FALSE)</f>
        <v>350</v>
      </c>
      <c r="CH94" s="14">
        <f>VLOOKUP(t_Parts[[Plant]:[Plant]],t_Plants[],Plants!DG$1,FALSE)</f>
        <v>280</v>
      </c>
      <c r="CI94" s="14">
        <f>VLOOKUP(t_Parts[[Plant]:[Plant]],t_Plants[],Plants!DH$1,FALSE)</f>
        <v>280</v>
      </c>
      <c r="CJ94" s="14">
        <f>VLOOKUP(t_Parts[[Plant]:[Plant]],t_Plants[],Plants!DI$1,FALSE)</f>
        <v>350</v>
      </c>
      <c r="CK94" s="14">
        <f>VLOOKUP(t_Parts[[Plant]:[Plant]],t_Plants[],Plants!DJ$1,FALSE)</f>
        <v>280</v>
      </c>
      <c r="CL94" s="14">
        <f>VLOOKUP(t_Parts[[Plant]:[Plant]],t_Plants[],Plants!DK$1,FALSE)</f>
        <v>280</v>
      </c>
      <c r="CM94" s="14">
        <f>VLOOKUP(t_Parts[[Plant]:[Plant]],t_Plants[],Plants!DL$1,FALSE)</f>
        <v>350</v>
      </c>
      <c r="CN94" s="14">
        <f>VLOOKUP(t_Parts[[Plant]:[Plant]],t_Plants[],Plants!DM$1,FALSE)</f>
        <v>3640</v>
      </c>
      <c r="CO94" s="14">
        <f>VLOOKUP(t_Parts[[Plant]:[Plant]],t_Plants[],Plants!DN$1,FALSE)</f>
        <v>3640</v>
      </c>
      <c r="CP94" s="14">
        <f>VLOOKUP(t_Parts[[Plant]:[Plant]],t_Plants[],Plants!DO$1,FALSE)</f>
        <v>3640</v>
      </c>
      <c r="CQ94" s="14">
        <f>VLOOKUP(t_Parts[[Plant]:[Plant]],t_Plants[],Plants!DP$1,FALSE)</f>
        <v>3640</v>
      </c>
      <c r="CR94" s="39">
        <f>IF(AND(AL$3&gt;=VALUE(t_Parts[[SOP]:[SOP]]),AL$3&lt;=VALUE(t_Parts[[EOP]:[EOP]])), t_Parts[[SetupHrsPerMo]:[SetupHrsPerMo]]+(t_Parts[[#This Row],[pv2015.01]]/t_Parts[[NetPPH]:[NetPPH]]),0)</f>
        <v>4.5096348096348091</v>
      </c>
      <c r="CS94" s="39">
        <f>IF(AND(AM$3&gt;=VALUE(t_Parts[[SOP]:[SOP]]),AM$3&lt;=VALUE(t_Parts[[EOP]:[EOP]])), t_Parts[[SetupHrsPerMo]:[SetupHrsPerMo]]+(t_Parts[[#This Row],[pv2015.02]]/t_Parts[[NetPPH]:[NetPPH]]),0)</f>
        <v>4.5096348096348091</v>
      </c>
      <c r="CT94" s="39">
        <f>IF(AND(AN$3&gt;=VALUE(t_Parts[[SOP]:[SOP]]),AN$3&lt;=VALUE(t_Parts[[EOP]:[EOP]])), t_Parts[[SetupHrsPerMo]:[SetupHrsPerMo]]+(t_Parts[[#This Row],[pv2015.03]]/t_Parts[[NetPPH]:[NetPPH]]),0)</f>
        <v>5.1370435120435118</v>
      </c>
      <c r="CU94" s="39">
        <f>IF(AND(AO$3&gt;=VALUE(t_Parts[[SOP]:[SOP]]),AO$3&lt;=VALUE(t_Parts[[EOP]:[EOP]])), t_Parts[[SetupHrsPerMo]:[SetupHrsPerMo]]+(t_Parts[[#This Row],[pv2015.04]]/t_Parts[[NetPPH]:[NetPPH]]),0)</f>
        <v>4.5096348096348091</v>
      </c>
      <c r="CV94" s="39">
        <f>IF(AND(AP$3&gt;=VALUE(t_Parts[[SOP]:[SOP]]),AP$3&lt;=VALUE(t_Parts[[EOP]:[EOP]])), t_Parts[[SetupHrsPerMo]:[SetupHrsPerMo]]+(t_Parts[[#This Row],[pv2015.05]]/t_Parts[[NetPPH]:[NetPPH]]),0)</f>
        <v>4.5096348096348091</v>
      </c>
      <c r="CW94" s="39">
        <f>IF(AND(AQ$3&gt;=VALUE(t_Parts[[SOP]:[SOP]]),AQ$3&lt;=VALUE(t_Parts[[EOP]:[EOP]])), t_Parts[[SetupHrsPerMo]:[SetupHrsPerMo]]+(t_Parts[[#This Row],[pv2015.06]]/t_Parts[[NetPPH]:[NetPPH]]),0)</f>
        <v>5.1370435120435118</v>
      </c>
      <c r="CX94" s="39">
        <f>IF(AND(AR$3&gt;=VALUE(t_Parts[[SOP]:[SOP]]),AR$3&lt;=VALUE(t_Parts[[EOP]:[EOP]])), t_Parts[[SetupHrsPerMo]:[SetupHrsPerMo]]+(t_Parts[[#This Row],[pv2015.07]]/t_Parts[[NetPPH]:[NetPPH]]),0)</f>
        <v>4.5096348096348091</v>
      </c>
      <c r="CY94" s="39">
        <f>IF(AND(AS$3&gt;=VALUE(t_Parts[[SOP]:[SOP]]),AS$3&lt;=VALUE(t_Parts[[EOP]:[EOP]])), t_Parts[[SetupHrsPerMo]:[SetupHrsPerMo]]+(t_Parts[[#This Row],[pv2015.08]]/t_Parts[[NetPPH]:[NetPPH]]),0)</f>
        <v>4.5096348096348091</v>
      </c>
      <c r="CZ94" s="39">
        <f>IF(AND(AT$3&gt;=VALUE(t_Parts[[SOP]:[SOP]]),AT$3&lt;=VALUE(t_Parts[[EOP]:[EOP]])), t_Parts[[SetupHrsPerMo]:[SetupHrsPerMo]]+(t_Parts[[#This Row],[pv2015.09]]/t_Parts[[NetPPH]:[NetPPH]]),0)</f>
        <v>5.1370435120435118</v>
      </c>
      <c r="DA94" s="39">
        <f>IF(AND(AU$3&gt;=VALUE(t_Parts[[SOP]:[SOP]]),AU$3&lt;=VALUE(t_Parts[[EOP]:[EOP]])), t_Parts[[SetupHrsPerMo]:[SetupHrsPerMo]]+(t_Parts[[#This Row],[pv2015.10]]/t_Parts[[NetPPH]:[NetPPH]]),0)</f>
        <v>4.5096348096348091</v>
      </c>
      <c r="DB94" s="39">
        <f>IF(AND(AV$3&gt;=VALUE(t_Parts[[SOP]:[SOP]]),AV$3&lt;=VALUE(t_Parts[[EOP]:[EOP]])), t_Parts[[SetupHrsPerMo]:[SetupHrsPerMo]]+(t_Parts[[#This Row],[pv2015.11]]/t_Parts[[NetPPH]:[NetPPH]]),0)</f>
        <v>4.5096348096348091</v>
      </c>
      <c r="DC94" s="39">
        <f>IF(AND(AW$3&gt;=VALUE(t_Parts[[SOP]:[SOP]]),AW$3&lt;=VALUE(t_Parts[[EOP]:[EOP]])), t_Parts[[SetupHrsPerMo]:[SetupHrsPerMo]]+(t_Parts[[#This Row],[pv2015.12]]/t_Parts[[NetPPH]:[NetPPH]]),0)</f>
        <v>5.1370435120435118</v>
      </c>
      <c r="DD94" s="39">
        <f>SUM(t_Parts[[#This Row],[hp2015.01]:[hp2015.12]])</f>
        <v>56.625252525252527</v>
      </c>
      <c r="DE94" s="39">
        <f>IF(AND(AY$3&gt;=VALUE(t_Parts[[SOP]:[SOP]]),AY$3&lt;=VALUE(t_Parts[[EOP]:[EOP]])), t_Parts[[SetupHrsPerMo]:[SetupHrsPerMo]]+(t_Parts[[#This Row],[pv2016.01]]/t_Parts[[NetPPH]:[NetPPH]]),0)</f>
        <v>4.5096348096348091</v>
      </c>
      <c r="DF94" s="39">
        <f>IF(AND(AZ$3&gt;=VALUE(t_Parts[[SOP]:[SOP]]),AZ$3&lt;=VALUE(t_Parts[[EOP]:[EOP]])), t_Parts[[SetupHrsPerMo]:[SetupHrsPerMo]]+(t_Parts[[#This Row],[pv2016.02]]/t_Parts[[NetPPH]:[NetPPH]]),0)</f>
        <v>4.5096348096348091</v>
      </c>
      <c r="DG94" s="39">
        <f>IF(AND(BA$3&gt;=VALUE(t_Parts[[SOP]:[SOP]]),BA$3&lt;=VALUE(t_Parts[[EOP]:[EOP]])), t_Parts[[SetupHrsPerMo]:[SetupHrsPerMo]]+(t_Parts[[#This Row],[pv2016.03]]/t_Parts[[NetPPH]:[NetPPH]]),0)</f>
        <v>5.1370435120435118</v>
      </c>
      <c r="DH94" s="39">
        <f>IF(AND(BB$3&gt;=VALUE(t_Parts[[SOP]:[SOP]]),BB$3&lt;=VALUE(t_Parts[[EOP]:[EOP]])), t_Parts[[SetupHrsPerMo]:[SetupHrsPerMo]]+(t_Parts[[#This Row],[pv2016.04]]/t_Parts[[NetPPH]:[NetPPH]]),0)</f>
        <v>4.5096348096348091</v>
      </c>
      <c r="DI94" s="39">
        <f>IF(AND(BC$3&gt;=VALUE(t_Parts[[SOP]:[SOP]]),BC$3&lt;=VALUE(t_Parts[[EOP]:[EOP]])), t_Parts[[SetupHrsPerMo]:[SetupHrsPerMo]]+(t_Parts[[#This Row],[pv2016.05]]/t_Parts[[NetPPH]:[NetPPH]]),0)</f>
        <v>4.5096348096348091</v>
      </c>
      <c r="DJ94" s="39">
        <f>IF(AND(BD$3&gt;=VALUE(t_Parts[[SOP]:[SOP]]),BD$3&lt;=VALUE(t_Parts[[EOP]:[EOP]])), t_Parts[[SetupHrsPerMo]:[SetupHrsPerMo]]+(t_Parts[[#This Row],[pv2016.06]]/t_Parts[[NetPPH]:[NetPPH]]),0)</f>
        <v>5.1370435120435118</v>
      </c>
      <c r="DK94" s="39">
        <f>IF(AND(BE$3&gt;=VALUE(t_Parts[[SOP]:[SOP]]),BE$3&lt;=VALUE(t_Parts[[EOP]:[EOP]])), t_Parts[[SetupHrsPerMo]:[SetupHrsPerMo]]+(t_Parts[[#This Row],[pv2016.07]]/t_Parts[[NetPPH]:[NetPPH]]),0)</f>
        <v>4.5096348096348091</v>
      </c>
      <c r="DL94" s="39">
        <f>IF(AND(BF$3&gt;=VALUE(t_Parts[[SOP]:[SOP]]),BF$3&lt;=VALUE(t_Parts[[EOP]:[EOP]])), t_Parts[[SetupHrsPerMo]:[SetupHrsPerMo]]+(t_Parts[[#This Row],[pv2016.08]]/t_Parts[[NetPPH]:[NetPPH]]),0)</f>
        <v>4.5096348096348091</v>
      </c>
      <c r="DM94" s="39">
        <f>IF(AND(BG$3&gt;=VALUE(t_Parts[[SOP]:[SOP]]),BG$3&lt;=VALUE(t_Parts[[EOP]:[EOP]])), t_Parts[[SetupHrsPerMo]:[SetupHrsPerMo]]+(t_Parts[[#This Row],[pv2016.09]]/t_Parts[[NetPPH]:[NetPPH]]),0)</f>
        <v>5.1370435120435118</v>
      </c>
      <c r="DN94" s="39">
        <f>IF(AND(BH$3&gt;=VALUE(t_Parts[[SOP]:[SOP]]),BH$3&lt;=VALUE(t_Parts[[EOP]:[EOP]])), t_Parts[[SetupHrsPerMo]:[SetupHrsPerMo]]+(t_Parts[[#This Row],[pv2016.10]]/t_Parts[[NetPPH]:[NetPPH]]),0)</f>
        <v>4.5096348096348091</v>
      </c>
      <c r="DO94" s="39">
        <f>IF(AND(BI$3&gt;=VALUE(t_Parts[[SOP]:[SOP]]),BI$3&lt;=VALUE(t_Parts[[EOP]:[EOP]])), t_Parts[[SetupHrsPerMo]:[SetupHrsPerMo]]+(t_Parts[[#This Row],[pv2016.11]]/t_Parts[[NetPPH]:[NetPPH]]),0)</f>
        <v>4.5096348096348091</v>
      </c>
      <c r="DP94" s="39">
        <f>IF(AND(BJ$3&gt;=VALUE(t_Parts[[SOP]:[SOP]]),BJ$3&lt;=VALUE(t_Parts[[EOP]:[EOP]])), t_Parts[[SetupHrsPerMo]:[SetupHrsPerMo]]+(t_Parts[[#This Row],[pv2016.12]]/t_Parts[[NetPPH]:[NetPPH]]),0)</f>
        <v>5.1370435120435118</v>
      </c>
      <c r="DQ94" s="39">
        <f>SUM(t_Parts[[#This Row],[hp2016.01]:[hp2016.12]])</f>
        <v>56.625252525252527</v>
      </c>
      <c r="DR94" s="39">
        <f>IF(AND(BL$3&gt;=VALUE(t_Parts[[SOP]:[SOP]]),BL$3&lt;=VALUE(t_Parts[[EOP]:[EOP]])), 12*t_Parts[[SetupHrsPerMo]:[SetupHrsPerMo]]+(t_Parts[[#This Row],[pv2017]]/t_Parts[[NetPPH]:[NetPPH]]),0)</f>
        <v>56.62525252525252</v>
      </c>
      <c r="DS94" s="39">
        <f>IF(AND(BM$3&gt;=VALUE(t_Parts[[SOP]:[SOP]]),BM$3&lt;=VALUE(t_Parts[[EOP]:[EOP]])), 12*t_Parts[[SetupHrsPerMo]:[SetupHrsPerMo]]+(t_Parts[[#This Row],[pv2018]]/t_Parts[[NetPPH]:[NetPPH]]),0)</f>
        <v>56.62525252525252</v>
      </c>
      <c r="DT94" s="39">
        <f>IF(AND(BN$3&gt;=VALUE(t_Parts[[SOP]:[SOP]]),BN$3&lt;=VALUE(t_Parts[[EOP]:[EOP]])), 12*t_Parts[[SetupHrsPerMo]:[SetupHrsPerMo]]+(t_Parts[[#This Row],[pv2019]]/t_Parts[[NetPPH]:[NetPPH]]),0)</f>
        <v>56.62525252525252</v>
      </c>
      <c r="DU94" s="47">
        <f>t_Parts[[#This Row],[hp2015.01]]/t_Parts[[#This Row],[ha2015.01]]</f>
        <v>1.6105838605838602E-2</v>
      </c>
      <c r="DV94" s="47">
        <f>t_Parts[[#This Row],[hp2015.02]]/t_Parts[[#This Row],[ha2015.02]]</f>
        <v>1.6105838605838602E-2</v>
      </c>
      <c r="DW94" s="47">
        <f>t_Parts[[#This Row],[hp2015.03]]/t_Parts[[#This Row],[ha2015.03]]</f>
        <v>1.4677267177267177E-2</v>
      </c>
      <c r="DX94" s="47">
        <f>t_Parts[[#This Row],[hp2015.04]]/t_Parts[[#This Row],[ha2015.04]]</f>
        <v>1.6105838605838602E-2</v>
      </c>
      <c r="DY94" s="47">
        <f>t_Parts[[#This Row],[hp2015.05]]/t_Parts[[#This Row],[ha2015.05]]</f>
        <v>1.6105838605838602E-2</v>
      </c>
      <c r="DZ94" s="47">
        <f>t_Parts[[#This Row],[hp2015.06]]/t_Parts[[#This Row],[ha2015.06]]</f>
        <v>1.4677267177267177E-2</v>
      </c>
      <c r="EA94" s="47">
        <f>t_Parts[[#This Row],[hp2015.07]]/t_Parts[[#This Row],[ha2015.07]]</f>
        <v>1.6105838605838602E-2</v>
      </c>
      <c r="EB94" s="47">
        <f>t_Parts[[#This Row],[hp2015.08]]/t_Parts[[#This Row],[ha2015.08]]</f>
        <v>1.6105838605838602E-2</v>
      </c>
      <c r="EC94" s="47">
        <f>t_Parts[[#This Row],[hp2015.09]]/t_Parts[[#This Row],[ha2015.09]]</f>
        <v>1.4677267177267177E-2</v>
      </c>
      <c r="ED94" s="47">
        <f>t_Parts[[#This Row],[hp2015.10]]/t_Parts[[#This Row],[ha2015.10]]</f>
        <v>1.6105838605838602E-2</v>
      </c>
      <c r="EE94" s="47">
        <f>t_Parts[[#This Row],[hp2015.11]]/t_Parts[[#This Row],[ha2015.11]]</f>
        <v>1.6105838605838602E-2</v>
      </c>
      <c r="EF94" s="47">
        <f>t_Parts[[#This Row],[hp2015.12]]/t_Parts[[#This Row],[ha2015.12]]</f>
        <v>1.4677267177267177E-2</v>
      </c>
      <c r="EG94" s="47">
        <f>t_Parts[[#This Row],[hp2015.FY]]/t_Parts[[#This Row],[ha2015.FY]]</f>
        <v>1.5556388056388057E-2</v>
      </c>
      <c r="EH94" s="47">
        <f>t_Parts[[#This Row],[hp2016.01]]/t_Parts[[#This Row],[ha2016.01]]</f>
        <v>1.6105838605838602E-2</v>
      </c>
      <c r="EI94" s="47">
        <f>t_Parts[[#This Row],[hp2016.02]]/t_Parts[[#This Row],[ha2016.02]]</f>
        <v>1.6105838605838602E-2</v>
      </c>
      <c r="EJ94" s="47">
        <f>t_Parts[[#This Row],[hp2016.03]]/t_Parts[[#This Row],[ha2016.03]]</f>
        <v>1.4677267177267177E-2</v>
      </c>
      <c r="EK94" s="47">
        <f>t_Parts[[#This Row],[hp2016.04]]/t_Parts[[#This Row],[ha2016.04]]</f>
        <v>1.6105838605838602E-2</v>
      </c>
      <c r="EL94" s="47">
        <f>t_Parts[[#This Row],[hp2016.05]]/t_Parts[[#This Row],[ha2016.05]]</f>
        <v>1.6105838605838602E-2</v>
      </c>
      <c r="EM94" s="47">
        <f>t_Parts[[#This Row],[hp2016.06]]/t_Parts[[#This Row],[ha2016.06]]</f>
        <v>1.4677267177267177E-2</v>
      </c>
      <c r="EN94" s="47">
        <f>t_Parts[[#This Row],[hp2016.07]]/t_Parts[[#This Row],[ha2016.07]]</f>
        <v>1.6105838605838602E-2</v>
      </c>
      <c r="EO94" s="47">
        <f>t_Parts[[#This Row],[hp2016.08]]/t_Parts[[#This Row],[ha2016.08]]</f>
        <v>1.6105838605838602E-2</v>
      </c>
      <c r="EP94" s="47">
        <f>t_Parts[[#This Row],[hp2016.09]]/t_Parts[[#This Row],[ha2016.09]]</f>
        <v>1.4677267177267177E-2</v>
      </c>
      <c r="EQ94" s="47">
        <f>t_Parts[[#This Row],[hp2016.10]]/t_Parts[[#This Row],[ha2016.10]]</f>
        <v>1.6105838605838602E-2</v>
      </c>
      <c r="ER94" s="47">
        <f>t_Parts[[#This Row],[hp2016.11]]/t_Parts[[#This Row],[ha2016.11]]</f>
        <v>1.6105838605838602E-2</v>
      </c>
      <c r="ES94" s="47">
        <f>t_Parts[[#This Row],[hp2016.12]]/t_Parts[[#This Row],[ha2016.12]]</f>
        <v>1.4677267177267177E-2</v>
      </c>
      <c r="ET94" s="47">
        <f>t_Parts[[#This Row],[hp2016.FY]]/t_Parts[[#This Row],[ha2016.FY]]</f>
        <v>1.5556388056388057E-2</v>
      </c>
      <c r="EU94" s="47">
        <f>t_Parts[[#This Row],[hp2017]]/t_Parts[[#This Row],[ha2017]]</f>
        <v>1.5556388056388055E-2</v>
      </c>
      <c r="EV94" s="47">
        <f>t_Parts[[#This Row],[hp2018]]/t_Parts[[#This Row],[ha2018]]</f>
        <v>1.5556388056388055E-2</v>
      </c>
      <c r="EW94" s="47">
        <f>t_Parts[[#This Row],[hp2019]]/t_Parts[[#This Row],[hp2015.01]]</f>
        <v>12.55650510863385</v>
      </c>
      <c r="EX94" s="58">
        <f>(t_Parts[[#This Row],[ha2015.01]]-t_Parts[[#This Row],[hp2015.01]])*t_Parts[[NetPPH]:[NetPPH]]</f>
        <v>272735.46153846156</v>
      </c>
      <c r="EY94" s="58">
        <f>(t_Parts[[#This Row],[ha2015.02]]-t_Parts[[#This Row],[hp2015.02]])*t_Parts[[NetPPH]:[NetPPH]]</f>
        <v>272735.46153846156</v>
      </c>
      <c r="EZ94" s="58">
        <f>(t_Parts[[#This Row],[ha2015.03]]-t_Parts[[#This Row],[hp2015.03]])*t_Parts[[NetPPH]:[NetPPH]]</f>
        <v>341414.32692307694</v>
      </c>
      <c r="FA94" s="58">
        <f>(t_Parts[[#This Row],[ha2015.04]]-t_Parts[[#This Row],[hp2015.04]])*t_Parts[[NetPPH]:[NetPPH]]</f>
        <v>272735.46153846156</v>
      </c>
      <c r="FB94" s="58">
        <f>(t_Parts[[#This Row],[ha2015.05]]-t_Parts[[#This Row],[hp2015.05]])*t_Parts[[NetPPH]:[NetPPH]]</f>
        <v>272735.46153846156</v>
      </c>
      <c r="FC94" s="58">
        <f>(t_Parts[[#This Row],[ha2015.06]]-t_Parts[[#This Row],[hp2015.06]])*t_Parts[[NetPPH]:[NetPPH]]</f>
        <v>341414.32692307694</v>
      </c>
      <c r="FD94" s="58">
        <f>(t_Parts[[#This Row],[ha2015.07]]-t_Parts[[#This Row],[hp2015.07]])*t_Parts[[NetPPH]:[NetPPH]]</f>
        <v>272735.46153846156</v>
      </c>
      <c r="FE94" s="58">
        <f>(t_Parts[[#This Row],[ha2015.08]]-t_Parts[[#This Row],[hp2015.08]])*t_Parts[[NetPPH]:[NetPPH]]</f>
        <v>272735.46153846156</v>
      </c>
      <c r="FF94" s="58">
        <f>(t_Parts[[#This Row],[ha2015.09]]-t_Parts[[#This Row],[hp2015.09]])*t_Parts[[NetPPH]:[NetPPH]]</f>
        <v>341414.32692307694</v>
      </c>
      <c r="FG94" s="58">
        <f>(t_Parts[[#This Row],[ha2015.10]]-t_Parts[[#This Row],[hp2015.10]])*t_Parts[[NetPPH]:[NetPPH]]</f>
        <v>272735.46153846156</v>
      </c>
      <c r="FH94" s="58">
        <f>(t_Parts[[#This Row],[ha2015.11]]-t_Parts[[#This Row],[hp2015.11]])*t_Parts[[NetPPH]:[NetPPH]]</f>
        <v>272735.46153846156</v>
      </c>
      <c r="FI94" s="58">
        <f>(t_Parts[[#This Row],[ha2015.12]]-t_Parts[[#This Row],[hp2015.12]])*t_Parts[[NetPPH]:[NetPPH]]</f>
        <v>341414.32692307694</v>
      </c>
      <c r="FJ94" s="58">
        <f>(t_Parts[[#This Row],[ha2015.FY]]-t_Parts[[#This Row],[hp2015.FY]])*t_Parts[[NetPPH]:[NetPPH]]</f>
        <v>3547541.0000000005</v>
      </c>
      <c r="FK94" s="58">
        <f>(t_Parts[[#This Row],[ha2016.01]]-t_Parts[[#This Row],[hp2016.01]])*t_Parts[[NetPPH]:[NetPPH]]</f>
        <v>272735.46153846156</v>
      </c>
      <c r="FL94" s="58">
        <f>(t_Parts[[#This Row],[ha2016.02]]-t_Parts[[#This Row],[hp2016.02]])*t_Parts[[NetPPH]:[NetPPH]]</f>
        <v>272735.46153846156</v>
      </c>
      <c r="FM94" s="58">
        <f>(t_Parts[[#This Row],[ha2016.03]]-t_Parts[[#This Row],[hp2016.03]])*t_Parts[[NetPPH]:[NetPPH]]</f>
        <v>341414.32692307694</v>
      </c>
      <c r="FN94" s="58">
        <f>(t_Parts[[#This Row],[ha2016.04]]-t_Parts[[#This Row],[hp2016.04]])*t_Parts[[NetPPH]:[NetPPH]]</f>
        <v>272735.46153846156</v>
      </c>
      <c r="FO94" s="58">
        <f>(t_Parts[[#This Row],[ha2016.05]]-t_Parts[[#This Row],[hp2016.05]])*t_Parts[[NetPPH]:[NetPPH]]</f>
        <v>272735.46153846156</v>
      </c>
      <c r="FP94" s="58">
        <f>(t_Parts[[#This Row],[ha2016.06]]-t_Parts[[#This Row],[hp2016.06]])*t_Parts[[NetPPH]:[NetPPH]]</f>
        <v>341414.32692307694</v>
      </c>
      <c r="FQ94" s="58">
        <f>(t_Parts[[#This Row],[ha2016.07]]-t_Parts[[#This Row],[hp2016.07]])*t_Parts[[NetPPH]:[NetPPH]]</f>
        <v>272735.46153846156</v>
      </c>
      <c r="FR94" s="58">
        <f>(t_Parts[[#This Row],[ha2016.08]]-t_Parts[[#This Row],[hp2016.08]])*t_Parts[[NetPPH]:[NetPPH]]</f>
        <v>272735.46153846156</v>
      </c>
      <c r="FS94" s="58">
        <f>(t_Parts[[#This Row],[ha2016.09]]-t_Parts[[#This Row],[hp2016.09]])*t_Parts[[NetPPH]:[NetPPH]]</f>
        <v>341414.32692307694</v>
      </c>
      <c r="FT94" s="58">
        <f>(t_Parts[[#This Row],[ha2016.10]]-t_Parts[[#This Row],[hp2016.10]])*t_Parts[[NetPPH]:[NetPPH]]</f>
        <v>272735.46153846156</v>
      </c>
      <c r="FU94" s="58">
        <f>(t_Parts[[#This Row],[ha2016.11]]-t_Parts[[#This Row],[hp2016.11]])*t_Parts[[NetPPH]:[NetPPH]]</f>
        <v>272735.46153846156</v>
      </c>
      <c r="FV94" s="58">
        <f>(t_Parts[[#This Row],[ha2016.12]]-t_Parts[[#This Row],[hp2016.12]])*t_Parts[[NetPPH]:[NetPPH]]</f>
        <v>341414.32692307694</v>
      </c>
      <c r="FW94" s="58">
        <f>(t_Parts[[#This Row],[ha2016.FY]]-t_Parts[[#This Row],[hp2016.FY]])*t_Parts[[NetPPH]:[NetPPH]]</f>
        <v>3547541.0000000005</v>
      </c>
      <c r="FX94" s="58">
        <f>(t_Parts[[#This Row],[ha2017]]-t_Parts[[#This Row],[hp2017]])*t_Parts[[NetPPH]:[NetPPH]]</f>
        <v>3547541.0000000005</v>
      </c>
      <c r="FY94" s="58">
        <f>(t_Parts[[#This Row],[ha2018]]-t_Parts[[#This Row],[hp2018]])*t_Parts[[NetPPH]:[NetPPH]]</f>
        <v>3547541.0000000005</v>
      </c>
      <c r="FZ94" s="58">
        <f>(t_Parts[[#This Row],[ha2019]]-t_Parts[[#This Row],[hp2019]])*t_Parts[[NetPPH]:[NetPPH]]</f>
        <v>3547541.0000000005</v>
      </c>
    </row>
    <row r="95" spans="1:182" s="14" customFormat="1" x14ac:dyDescent="0.25">
      <c r="A95" s="74">
        <v>29245</v>
      </c>
      <c r="B95" s="74"/>
      <c r="C95" s="74">
        <v>21013</v>
      </c>
      <c r="D95" s="75">
        <v>2</v>
      </c>
      <c r="E95" s="73">
        <v>3600</v>
      </c>
      <c r="F95" s="76">
        <v>1</v>
      </c>
      <c r="G95" s="77">
        <v>4</v>
      </c>
      <c r="H95" s="16">
        <v>2015.01</v>
      </c>
      <c r="I95" s="16" t="s">
        <v>83</v>
      </c>
      <c r="J95" s="73">
        <v>298488</v>
      </c>
      <c r="K95" s="73">
        <v>298488</v>
      </c>
      <c r="L95" s="73">
        <v>298488</v>
      </c>
      <c r="M95" s="73">
        <v>298488</v>
      </c>
      <c r="N95" s="73">
        <v>298488</v>
      </c>
      <c r="O95" s="78">
        <v>31</v>
      </c>
      <c r="P95" s="78">
        <v>35</v>
      </c>
      <c r="Q95" s="79"/>
      <c r="R95" s="79"/>
      <c r="S95" s="78">
        <v>112</v>
      </c>
      <c r="T95" s="80">
        <v>14</v>
      </c>
      <c r="U95" s="80" t="s">
        <v>121</v>
      </c>
      <c r="V95" s="81" t="s">
        <v>653</v>
      </c>
      <c r="W95" s="82">
        <v>0.11899999999999999</v>
      </c>
      <c r="X95" s="82" t="s">
        <v>495</v>
      </c>
      <c r="Y95" s="82"/>
      <c r="Z95" s="82"/>
      <c r="AA95" s="82"/>
      <c r="AB95" s="82"/>
      <c r="AC95" s="83" t="s">
        <v>667</v>
      </c>
      <c r="AD95" s="40" t="str">
        <f>VLOOKUP(t_Parts[[#This Row],[Press]],t_Presses[],Press!B$1,FALSE)</f>
        <v>Plainfield</v>
      </c>
      <c r="AE95" s="40" t="str">
        <f>VLOOKUP(t_Parts[[#This Row],[Press]],t_Presses[],Press!E$1,FALSE)</f>
        <v>0-299</v>
      </c>
      <c r="AF95" s="47">
        <f>VLOOKUP(t_Parts[[#This Row],[Plant]],t_Plants[],Plants!C$1,FALSE)</f>
        <v>0.55000000000000004</v>
      </c>
      <c r="AG95" s="47">
        <f>VLOOKUP(t_Parts[[#This Row],[Press]],t_Presses[],Press!F$1,FALSE)</f>
        <v>0</v>
      </c>
      <c r="AH95" s="84"/>
      <c r="AI95" s="47">
        <f>IF(ISBLANK(t_Parts[[#This Row],[PartOEE]])=FALSE,t_Parts[[#This Row],[PartOEE]], IF(t_Parts[[#This Row],[PressOEE]]&gt;0, t_Parts[[#This Row],[PressOEE]], t_Parts[[#This Row],[PlantOEE]] ))</f>
        <v>0.55000000000000004</v>
      </c>
      <c r="AJ95" s="70">
        <f>t_Parts[[#This Row],[SetupsPerMo]]*t_Parts[[#This Row],[SetupHrs]]</f>
        <v>4</v>
      </c>
      <c r="AK95" s="39">
        <f>(t_Parts[[#This Row],[PartsPerStroke]]*t_Parts[[#This Row],[StrokesPerHr]])*t_Parts[[#This Row],[UseOEE]]</f>
        <v>3960.0000000000005</v>
      </c>
      <c r="AL9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22960.615384615387</v>
      </c>
      <c r="AM9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22960.615384615387</v>
      </c>
      <c r="AN9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28700.76923076923</v>
      </c>
      <c r="AO9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22960.615384615387</v>
      </c>
      <c r="AP9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22960.615384615387</v>
      </c>
      <c r="AQ9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28700.76923076923</v>
      </c>
      <c r="AR9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22960.615384615387</v>
      </c>
      <c r="AS9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22960.615384615387</v>
      </c>
      <c r="AT9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28700.76923076923</v>
      </c>
      <c r="AU9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22960.615384615387</v>
      </c>
      <c r="AV9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22960.615384615387</v>
      </c>
      <c r="AW9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28700.76923076923</v>
      </c>
      <c r="AX95" s="39">
        <f>SUM(t_Parts[[#This Row],[pv2015.01]:[pv2015.12]])</f>
        <v>298488</v>
      </c>
      <c r="AY9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22960.615384615387</v>
      </c>
      <c r="AZ9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22960.615384615387</v>
      </c>
      <c r="BA9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28700.76923076923</v>
      </c>
      <c r="BB9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22960.615384615387</v>
      </c>
      <c r="BC9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22960.615384615387</v>
      </c>
      <c r="BD9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28700.76923076923</v>
      </c>
      <c r="BE9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22960.615384615387</v>
      </c>
      <c r="BF9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22960.615384615387</v>
      </c>
      <c r="BG9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28700.76923076923</v>
      </c>
      <c r="BH9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22960.615384615387</v>
      </c>
      <c r="BI9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22960.615384615387</v>
      </c>
      <c r="BJ9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28700.76923076923</v>
      </c>
      <c r="BK95" s="39">
        <f>SUM(t_Parts[[#This Row],[pv2016.01]:[pv2016.12]])</f>
        <v>298488</v>
      </c>
      <c r="BL95" s="39">
        <f>t_Parts[[#This Row],[2017vol]]</f>
        <v>298488</v>
      </c>
      <c r="BM95" s="39">
        <f>t_Parts[[#This Row],[2018vol]]</f>
        <v>298488</v>
      </c>
      <c r="BN95" s="39">
        <f>t_Parts[[#This Row],[2019vol]]</f>
        <v>298488</v>
      </c>
      <c r="BO95" s="40">
        <f>VLOOKUP(t_Parts[[Plant]:[Plant]],t_Plants[],Plants!CN$1,FALSE)</f>
        <v>280</v>
      </c>
      <c r="BP95" s="14">
        <f>VLOOKUP(t_Parts[[Plant]:[Plant]],t_Plants[],Plants!CO$1,FALSE)</f>
        <v>280</v>
      </c>
      <c r="BQ95" s="14">
        <f>VLOOKUP(t_Parts[[Plant]:[Plant]],t_Plants[],Plants!CP$1,FALSE)</f>
        <v>350</v>
      </c>
      <c r="BR95" s="14">
        <f>VLOOKUP(t_Parts[[Plant]:[Plant]],t_Plants[],Plants!CQ$1,FALSE)</f>
        <v>280</v>
      </c>
      <c r="BS95" s="14">
        <f>VLOOKUP(t_Parts[[Plant]:[Plant]],t_Plants[],Plants!CR$1,FALSE)</f>
        <v>280</v>
      </c>
      <c r="BT95" s="14">
        <f>VLOOKUP(t_Parts[[Plant]:[Plant]],t_Plants[],Plants!CS$1,FALSE)</f>
        <v>350</v>
      </c>
      <c r="BU95" s="14">
        <f>VLOOKUP(t_Parts[[Plant]:[Plant]],t_Plants[],Plants!CT$1,FALSE)</f>
        <v>280</v>
      </c>
      <c r="BV95" s="14">
        <f>VLOOKUP(t_Parts[[Plant]:[Plant]],t_Plants[],Plants!CU$1,FALSE)</f>
        <v>280</v>
      </c>
      <c r="BW95" s="14">
        <f>VLOOKUP(t_Parts[[Plant]:[Plant]],t_Plants[],Plants!CV$1,FALSE)</f>
        <v>350</v>
      </c>
      <c r="BX95" s="14">
        <f>VLOOKUP(t_Parts[[Plant]:[Plant]],t_Plants[],Plants!CW$1,FALSE)</f>
        <v>280</v>
      </c>
      <c r="BY95" s="14">
        <f>VLOOKUP(t_Parts[[Plant]:[Plant]],t_Plants[],Plants!CX$1,FALSE)</f>
        <v>280</v>
      </c>
      <c r="BZ95" s="14">
        <f>VLOOKUP(t_Parts[[Plant]:[Plant]],t_Plants[],Plants!CY$1,FALSE)</f>
        <v>350</v>
      </c>
      <c r="CA95" s="40">
        <f>SUM(t_Parts[[#This Row],[ha2015.01]:[ha2015.12]])</f>
        <v>3640</v>
      </c>
      <c r="CB95" s="14">
        <f>VLOOKUP(t_Parts[[Plant]:[Plant]],t_Plants[],Plants!DA$1,FALSE)</f>
        <v>280</v>
      </c>
      <c r="CC95" s="14">
        <f>VLOOKUP(t_Parts[[Plant]:[Plant]],t_Plants[],Plants!DB$1,FALSE)</f>
        <v>280</v>
      </c>
      <c r="CD95" s="14">
        <f>VLOOKUP(t_Parts[[Plant]:[Plant]],t_Plants[],Plants!DC$1,FALSE)</f>
        <v>350</v>
      </c>
      <c r="CE95" s="14">
        <f>VLOOKUP(t_Parts[[Plant]:[Plant]],t_Plants[],Plants!DD$1,FALSE)</f>
        <v>280</v>
      </c>
      <c r="CF95" s="14">
        <f>VLOOKUP(t_Parts[[Plant]:[Plant]],t_Plants[],Plants!DE$1,FALSE)</f>
        <v>280</v>
      </c>
      <c r="CG95" s="14">
        <f>VLOOKUP(t_Parts[[Plant]:[Plant]],t_Plants[],Plants!DF$1,FALSE)</f>
        <v>350</v>
      </c>
      <c r="CH95" s="14">
        <f>VLOOKUP(t_Parts[[Plant]:[Plant]],t_Plants[],Plants!DG$1,FALSE)</f>
        <v>280</v>
      </c>
      <c r="CI95" s="14">
        <f>VLOOKUP(t_Parts[[Plant]:[Plant]],t_Plants[],Plants!DH$1,FALSE)</f>
        <v>280</v>
      </c>
      <c r="CJ95" s="14">
        <f>VLOOKUP(t_Parts[[Plant]:[Plant]],t_Plants[],Plants!DI$1,FALSE)</f>
        <v>350</v>
      </c>
      <c r="CK95" s="14">
        <f>VLOOKUP(t_Parts[[Plant]:[Plant]],t_Plants[],Plants!DJ$1,FALSE)</f>
        <v>280</v>
      </c>
      <c r="CL95" s="14">
        <f>VLOOKUP(t_Parts[[Plant]:[Plant]],t_Plants[],Plants!DK$1,FALSE)</f>
        <v>280</v>
      </c>
      <c r="CM95" s="14">
        <f>VLOOKUP(t_Parts[[Plant]:[Plant]],t_Plants[],Plants!DL$1,FALSE)</f>
        <v>350</v>
      </c>
      <c r="CN95" s="14">
        <f>VLOOKUP(t_Parts[[Plant]:[Plant]],t_Plants[],Plants!DM$1,FALSE)</f>
        <v>3640</v>
      </c>
      <c r="CO95" s="14">
        <f>VLOOKUP(t_Parts[[Plant]:[Plant]],t_Plants[],Plants!DN$1,FALSE)</f>
        <v>3640</v>
      </c>
      <c r="CP95" s="14">
        <f>VLOOKUP(t_Parts[[Plant]:[Plant]],t_Plants[],Plants!DO$1,FALSE)</f>
        <v>3640</v>
      </c>
      <c r="CQ95" s="14">
        <f>VLOOKUP(t_Parts[[Plant]:[Plant]],t_Plants[],Plants!DP$1,FALSE)</f>
        <v>3640</v>
      </c>
      <c r="CR95" s="39">
        <f>IF(AND(AL$3&gt;=VALUE(t_Parts[[SOP]:[SOP]]),AL$3&lt;=VALUE(t_Parts[[EOP]:[EOP]])), t_Parts[[SetupHrsPerMo]:[SetupHrsPerMo]]+(t_Parts[[#This Row],[pv2015.01]]/t_Parts[[NetPPH]:[NetPPH]]),0)</f>
        <v>9.7981351981351992</v>
      </c>
      <c r="CS95" s="39">
        <f>IF(AND(AM$3&gt;=VALUE(t_Parts[[SOP]:[SOP]]),AM$3&lt;=VALUE(t_Parts[[EOP]:[EOP]])), t_Parts[[SetupHrsPerMo]:[SetupHrsPerMo]]+(t_Parts[[#This Row],[pv2015.02]]/t_Parts[[NetPPH]:[NetPPH]]),0)</f>
        <v>9.7981351981351992</v>
      </c>
      <c r="CT95" s="39">
        <f>IF(AND(AN$3&gt;=VALUE(t_Parts[[SOP]:[SOP]]),AN$3&lt;=VALUE(t_Parts[[EOP]:[EOP]])), t_Parts[[SetupHrsPerMo]:[SetupHrsPerMo]]+(t_Parts[[#This Row],[pv2015.03]]/t_Parts[[NetPPH]:[NetPPH]]),0)</f>
        <v>11.247668997668997</v>
      </c>
      <c r="CU95" s="39">
        <f>IF(AND(AO$3&gt;=VALUE(t_Parts[[SOP]:[SOP]]),AO$3&lt;=VALUE(t_Parts[[EOP]:[EOP]])), t_Parts[[SetupHrsPerMo]:[SetupHrsPerMo]]+(t_Parts[[#This Row],[pv2015.04]]/t_Parts[[NetPPH]:[NetPPH]]),0)</f>
        <v>9.7981351981351992</v>
      </c>
      <c r="CV95" s="39">
        <f>IF(AND(AP$3&gt;=VALUE(t_Parts[[SOP]:[SOP]]),AP$3&lt;=VALUE(t_Parts[[EOP]:[EOP]])), t_Parts[[SetupHrsPerMo]:[SetupHrsPerMo]]+(t_Parts[[#This Row],[pv2015.05]]/t_Parts[[NetPPH]:[NetPPH]]),0)</f>
        <v>9.7981351981351992</v>
      </c>
      <c r="CW95" s="39">
        <f>IF(AND(AQ$3&gt;=VALUE(t_Parts[[SOP]:[SOP]]),AQ$3&lt;=VALUE(t_Parts[[EOP]:[EOP]])), t_Parts[[SetupHrsPerMo]:[SetupHrsPerMo]]+(t_Parts[[#This Row],[pv2015.06]]/t_Parts[[NetPPH]:[NetPPH]]),0)</f>
        <v>11.247668997668997</v>
      </c>
      <c r="CX95" s="39">
        <f>IF(AND(AR$3&gt;=VALUE(t_Parts[[SOP]:[SOP]]),AR$3&lt;=VALUE(t_Parts[[EOP]:[EOP]])), t_Parts[[SetupHrsPerMo]:[SetupHrsPerMo]]+(t_Parts[[#This Row],[pv2015.07]]/t_Parts[[NetPPH]:[NetPPH]]),0)</f>
        <v>9.7981351981351992</v>
      </c>
      <c r="CY95" s="39">
        <f>IF(AND(AS$3&gt;=VALUE(t_Parts[[SOP]:[SOP]]),AS$3&lt;=VALUE(t_Parts[[EOP]:[EOP]])), t_Parts[[SetupHrsPerMo]:[SetupHrsPerMo]]+(t_Parts[[#This Row],[pv2015.08]]/t_Parts[[NetPPH]:[NetPPH]]),0)</f>
        <v>9.7981351981351992</v>
      </c>
      <c r="CZ95" s="39">
        <f>IF(AND(AT$3&gt;=VALUE(t_Parts[[SOP]:[SOP]]),AT$3&lt;=VALUE(t_Parts[[EOP]:[EOP]])), t_Parts[[SetupHrsPerMo]:[SetupHrsPerMo]]+(t_Parts[[#This Row],[pv2015.09]]/t_Parts[[NetPPH]:[NetPPH]]),0)</f>
        <v>11.247668997668997</v>
      </c>
      <c r="DA95" s="39">
        <f>IF(AND(AU$3&gt;=VALUE(t_Parts[[SOP]:[SOP]]),AU$3&lt;=VALUE(t_Parts[[EOP]:[EOP]])), t_Parts[[SetupHrsPerMo]:[SetupHrsPerMo]]+(t_Parts[[#This Row],[pv2015.10]]/t_Parts[[NetPPH]:[NetPPH]]),0)</f>
        <v>9.7981351981351992</v>
      </c>
      <c r="DB95" s="39">
        <f>IF(AND(AV$3&gt;=VALUE(t_Parts[[SOP]:[SOP]]),AV$3&lt;=VALUE(t_Parts[[EOP]:[EOP]])), t_Parts[[SetupHrsPerMo]:[SetupHrsPerMo]]+(t_Parts[[#This Row],[pv2015.11]]/t_Parts[[NetPPH]:[NetPPH]]),0)</f>
        <v>9.7981351981351992</v>
      </c>
      <c r="DC95" s="39">
        <f>IF(AND(AW$3&gt;=VALUE(t_Parts[[SOP]:[SOP]]),AW$3&lt;=VALUE(t_Parts[[EOP]:[EOP]])), t_Parts[[SetupHrsPerMo]:[SetupHrsPerMo]]+(t_Parts[[#This Row],[pv2015.12]]/t_Parts[[NetPPH]:[NetPPH]]),0)</f>
        <v>11.247668997668997</v>
      </c>
      <c r="DD95" s="39">
        <f>SUM(t_Parts[[#This Row],[hp2015.01]:[hp2015.12]])</f>
        <v>123.37575757575758</v>
      </c>
      <c r="DE95" s="39">
        <f>IF(AND(AY$3&gt;=VALUE(t_Parts[[SOP]:[SOP]]),AY$3&lt;=VALUE(t_Parts[[EOP]:[EOP]])), t_Parts[[SetupHrsPerMo]:[SetupHrsPerMo]]+(t_Parts[[#This Row],[pv2016.01]]/t_Parts[[NetPPH]:[NetPPH]]),0)</f>
        <v>9.7981351981351992</v>
      </c>
      <c r="DF95" s="39">
        <f>IF(AND(AZ$3&gt;=VALUE(t_Parts[[SOP]:[SOP]]),AZ$3&lt;=VALUE(t_Parts[[EOP]:[EOP]])), t_Parts[[SetupHrsPerMo]:[SetupHrsPerMo]]+(t_Parts[[#This Row],[pv2016.02]]/t_Parts[[NetPPH]:[NetPPH]]),0)</f>
        <v>9.7981351981351992</v>
      </c>
      <c r="DG95" s="39">
        <f>IF(AND(BA$3&gt;=VALUE(t_Parts[[SOP]:[SOP]]),BA$3&lt;=VALUE(t_Parts[[EOP]:[EOP]])), t_Parts[[SetupHrsPerMo]:[SetupHrsPerMo]]+(t_Parts[[#This Row],[pv2016.03]]/t_Parts[[NetPPH]:[NetPPH]]),0)</f>
        <v>11.247668997668997</v>
      </c>
      <c r="DH95" s="39">
        <f>IF(AND(BB$3&gt;=VALUE(t_Parts[[SOP]:[SOP]]),BB$3&lt;=VALUE(t_Parts[[EOP]:[EOP]])), t_Parts[[SetupHrsPerMo]:[SetupHrsPerMo]]+(t_Parts[[#This Row],[pv2016.04]]/t_Parts[[NetPPH]:[NetPPH]]),0)</f>
        <v>9.7981351981351992</v>
      </c>
      <c r="DI95" s="39">
        <f>IF(AND(BC$3&gt;=VALUE(t_Parts[[SOP]:[SOP]]),BC$3&lt;=VALUE(t_Parts[[EOP]:[EOP]])), t_Parts[[SetupHrsPerMo]:[SetupHrsPerMo]]+(t_Parts[[#This Row],[pv2016.05]]/t_Parts[[NetPPH]:[NetPPH]]),0)</f>
        <v>9.7981351981351992</v>
      </c>
      <c r="DJ95" s="39">
        <f>IF(AND(BD$3&gt;=VALUE(t_Parts[[SOP]:[SOP]]),BD$3&lt;=VALUE(t_Parts[[EOP]:[EOP]])), t_Parts[[SetupHrsPerMo]:[SetupHrsPerMo]]+(t_Parts[[#This Row],[pv2016.06]]/t_Parts[[NetPPH]:[NetPPH]]),0)</f>
        <v>11.247668997668997</v>
      </c>
      <c r="DK95" s="39">
        <f>IF(AND(BE$3&gt;=VALUE(t_Parts[[SOP]:[SOP]]),BE$3&lt;=VALUE(t_Parts[[EOP]:[EOP]])), t_Parts[[SetupHrsPerMo]:[SetupHrsPerMo]]+(t_Parts[[#This Row],[pv2016.07]]/t_Parts[[NetPPH]:[NetPPH]]),0)</f>
        <v>9.7981351981351992</v>
      </c>
      <c r="DL95" s="39">
        <f>IF(AND(BF$3&gt;=VALUE(t_Parts[[SOP]:[SOP]]),BF$3&lt;=VALUE(t_Parts[[EOP]:[EOP]])), t_Parts[[SetupHrsPerMo]:[SetupHrsPerMo]]+(t_Parts[[#This Row],[pv2016.08]]/t_Parts[[NetPPH]:[NetPPH]]),0)</f>
        <v>9.7981351981351992</v>
      </c>
      <c r="DM95" s="39">
        <f>IF(AND(BG$3&gt;=VALUE(t_Parts[[SOP]:[SOP]]),BG$3&lt;=VALUE(t_Parts[[EOP]:[EOP]])), t_Parts[[SetupHrsPerMo]:[SetupHrsPerMo]]+(t_Parts[[#This Row],[pv2016.09]]/t_Parts[[NetPPH]:[NetPPH]]),0)</f>
        <v>11.247668997668997</v>
      </c>
      <c r="DN95" s="39">
        <f>IF(AND(BH$3&gt;=VALUE(t_Parts[[SOP]:[SOP]]),BH$3&lt;=VALUE(t_Parts[[EOP]:[EOP]])), t_Parts[[SetupHrsPerMo]:[SetupHrsPerMo]]+(t_Parts[[#This Row],[pv2016.10]]/t_Parts[[NetPPH]:[NetPPH]]),0)</f>
        <v>9.7981351981351992</v>
      </c>
      <c r="DO95" s="39">
        <f>IF(AND(BI$3&gt;=VALUE(t_Parts[[SOP]:[SOP]]),BI$3&lt;=VALUE(t_Parts[[EOP]:[EOP]])), t_Parts[[SetupHrsPerMo]:[SetupHrsPerMo]]+(t_Parts[[#This Row],[pv2016.11]]/t_Parts[[NetPPH]:[NetPPH]]),0)</f>
        <v>9.7981351981351992</v>
      </c>
      <c r="DP95" s="39">
        <f>IF(AND(BJ$3&gt;=VALUE(t_Parts[[SOP]:[SOP]]),BJ$3&lt;=VALUE(t_Parts[[EOP]:[EOP]])), t_Parts[[SetupHrsPerMo]:[SetupHrsPerMo]]+(t_Parts[[#This Row],[pv2016.12]]/t_Parts[[NetPPH]:[NetPPH]]),0)</f>
        <v>11.247668997668997</v>
      </c>
      <c r="DQ95" s="39">
        <f>SUM(t_Parts[[#This Row],[hp2016.01]:[hp2016.12]])</f>
        <v>123.37575757575758</v>
      </c>
      <c r="DR95" s="39">
        <f>IF(AND(BL$3&gt;=VALUE(t_Parts[[SOP]:[SOP]]),BL$3&lt;=VALUE(t_Parts[[EOP]:[EOP]])), 12*t_Parts[[SetupHrsPerMo]:[SetupHrsPerMo]]+(t_Parts[[#This Row],[pv2017]]/t_Parts[[NetPPH]:[NetPPH]]),0)</f>
        <v>123.37575757575756</v>
      </c>
      <c r="DS95" s="39">
        <f>IF(AND(BM$3&gt;=VALUE(t_Parts[[SOP]:[SOP]]),BM$3&lt;=VALUE(t_Parts[[EOP]:[EOP]])), 12*t_Parts[[SetupHrsPerMo]:[SetupHrsPerMo]]+(t_Parts[[#This Row],[pv2018]]/t_Parts[[NetPPH]:[NetPPH]]),0)</f>
        <v>123.37575757575756</v>
      </c>
      <c r="DT95" s="39">
        <f>IF(AND(BN$3&gt;=VALUE(t_Parts[[SOP]:[SOP]]),BN$3&lt;=VALUE(t_Parts[[EOP]:[EOP]])), 12*t_Parts[[SetupHrsPerMo]:[SetupHrsPerMo]]+(t_Parts[[#This Row],[pv2019]]/t_Parts[[NetPPH]:[NetPPH]]),0)</f>
        <v>123.37575757575756</v>
      </c>
      <c r="DU95" s="47">
        <f>t_Parts[[#This Row],[hp2015.01]]/t_Parts[[#This Row],[ha2015.01]]</f>
        <v>3.4993339993339999E-2</v>
      </c>
      <c r="DV95" s="47">
        <f>t_Parts[[#This Row],[hp2015.02]]/t_Parts[[#This Row],[ha2015.02]]</f>
        <v>3.4993339993339999E-2</v>
      </c>
      <c r="DW95" s="47">
        <f>t_Parts[[#This Row],[hp2015.03]]/t_Parts[[#This Row],[ha2015.03]]</f>
        <v>3.2136197136197135E-2</v>
      </c>
      <c r="DX95" s="47">
        <f>t_Parts[[#This Row],[hp2015.04]]/t_Parts[[#This Row],[ha2015.04]]</f>
        <v>3.4993339993339999E-2</v>
      </c>
      <c r="DY95" s="47">
        <f>t_Parts[[#This Row],[hp2015.05]]/t_Parts[[#This Row],[ha2015.05]]</f>
        <v>3.4993339993339999E-2</v>
      </c>
      <c r="DZ95" s="47">
        <f>t_Parts[[#This Row],[hp2015.06]]/t_Parts[[#This Row],[ha2015.06]]</f>
        <v>3.2136197136197135E-2</v>
      </c>
      <c r="EA95" s="47">
        <f>t_Parts[[#This Row],[hp2015.07]]/t_Parts[[#This Row],[ha2015.07]]</f>
        <v>3.4993339993339999E-2</v>
      </c>
      <c r="EB95" s="47">
        <f>t_Parts[[#This Row],[hp2015.08]]/t_Parts[[#This Row],[ha2015.08]]</f>
        <v>3.4993339993339999E-2</v>
      </c>
      <c r="EC95" s="47">
        <f>t_Parts[[#This Row],[hp2015.09]]/t_Parts[[#This Row],[ha2015.09]]</f>
        <v>3.2136197136197135E-2</v>
      </c>
      <c r="ED95" s="47">
        <f>t_Parts[[#This Row],[hp2015.10]]/t_Parts[[#This Row],[ha2015.10]]</f>
        <v>3.4993339993339999E-2</v>
      </c>
      <c r="EE95" s="47">
        <f>t_Parts[[#This Row],[hp2015.11]]/t_Parts[[#This Row],[ha2015.11]]</f>
        <v>3.4993339993339999E-2</v>
      </c>
      <c r="EF95" s="47">
        <f>t_Parts[[#This Row],[hp2015.12]]/t_Parts[[#This Row],[ha2015.12]]</f>
        <v>3.2136197136197135E-2</v>
      </c>
      <c r="EG95" s="47">
        <f>t_Parts[[#This Row],[hp2015.FY]]/t_Parts[[#This Row],[ha2015.FY]]</f>
        <v>3.3894438894438897E-2</v>
      </c>
      <c r="EH95" s="47">
        <f>t_Parts[[#This Row],[hp2016.01]]/t_Parts[[#This Row],[ha2016.01]]</f>
        <v>3.4993339993339999E-2</v>
      </c>
      <c r="EI95" s="47">
        <f>t_Parts[[#This Row],[hp2016.02]]/t_Parts[[#This Row],[ha2016.02]]</f>
        <v>3.4993339993339999E-2</v>
      </c>
      <c r="EJ95" s="47">
        <f>t_Parts[[#This Row],[hp2016.03]]/t_Parts[[#This Row],[ha2016.03]]</f>
        <v>3.2136197136197135E-2</v>
      </c>
      <c r="EK95" s="47">
        <f>t_Parts[[#This Row],[hp2016.04]]/t_Parts[[#This Row],[ha2016.04]]</f>
        <v>3.4993339993339999E-2</v>
      </c>
      <c r="EL95" s="47">
        <f>t_Parts[[#This Row],[hp2016.05]]/t_Parts[[#This Row],[ha2016.05]]</f>
        <v>3.4993339993339999E-2</v>
      </c>
      <c r="EM95" s="47">
        <f>t_Parts[[#This Row],[hp2016.06]]/t_Parts[[#This Row],[ha2016.06]]</f>
        <v>3.2136197136197135E-2</v>
      </c>
      <c r="EN95" s="47">
        <f>t_Parts[[#This Row],[hp2016.07]]/t_Parts[[#This Row],[ha2016.07]]</f>
        <v>3.4993339993339999E-2</v>
      </c>
      <c r="EO95" s="47">
        <f>t_Parts[[#This Row],[hp2016.08]]/t_Parts[[#This Row],[ha2016.08]]</f>
        <v>3.4993339993339999E-2</v>
      </c>
      <c r="EP95" s="47">
        <f>t_Parts[[#This Row],[hp2016.09]]/t_Parts[[#This Row],[ha2016.09]]</f>
        <v>3.2136197136197135E-2</v>
      </c>
      <c r="EQ95" s="47">
        <f>t_Parts[[#This Row],[hp2016.10]]/t_Parts[[#This Row],[ha2016.10]]</f>
        <v>3.4993339993339999E-2</v>
      </c>
      <c r="ER95" s="47">
        <f>t_Parts[[#This Row],[hp2016.11]]/t_Parts[[#This Row],[ha2016.11]]</f>
        <v>3.4993339993339999E-2</v>
      </c>
      <c r="ES95" s="47">
        <f>t_Parts[[#This Row],[hp2016.12]]/t_Parts[[#This Row],[ha2016.12]]</f>
        <v>3.2136197136197135E-2</v>
      </c>
      <c r="ET95" s="47">
        <f>t_Parts[[#This Row],[hp2016.FY]]/t_Parts[[#This Row],[ha2016.FY]]</f>
        <v>3.3894438894438897E-2</v>
      </c>
      <c r="EU95" s="47">
        <f>t_Parts[[#This Row],[hp2017]]/t_Parts[[#This Row],[ha2017]]</f>
        <v>3.389443889443889E-2</v>
      </c>
      <c r="EV95" s="47">
        <f>t_Parts[[#This Row],[hp2018]]/t_Parts[[#This Row],[ha2018]]</f>
        <v>3.389443889443889E-2</v>
      </c>
      <c r="EW95" s="47">
        <f>t_Parts[[#This Row],[hp2019]]/t_Parts[[#This Row],[hp2015.01]]</f>
        <v>12.591759052195838</v>
      </c>
      <c r="EX95" s="58">
        <f>(t_Parts[[#This Row],[ha2015.01]]-t_Parts[[#This Row],[hp2015.01]])*t_Parts[[NetPPH]:[NetPPH]]</f>
        <v>1069999.3846153847</v>
      </c>
      <c r="EY95" s="58">
        <f>(t_Parts[[#This Row],[ha2015.02]]-t_Parts[[#This Row],[hp2015.02]])*t_Parts[[NetPPH]:[NetPPH]]</f>
        <v>1069999.3846153847</v>
      </c>
      <c r="EZ95" s="58">
        <f>(t_Parts[[#This Row],[ha2015.03]]-t_Parts[[#This Row],[hp2015.03]])*t_Parts[[NetPPH]:[NetPPH]]</f>
        <v>1341459.230769231</v>
      </c>
      <c r="FA95" s="58">
        <f>(t_Parts[[#This Row],[ha2015.04]]-t_Parts[[#This Row],[hp2015.04]])*t_Parts[[NetPPH]:[NetPPH]]</f>
        <v>1069999.3846153847</v>
      </c>
      <c r="FB95" s="58">
        <f>(t_Parts[[#This Row],[ha2015.05]]-t_Parts[[#This Row],[hp2015.05]])*t_Parts[[NetPPH]:[NetPPH]]</f>
        <v>1069999.3846153847</v>
      </c>
      <c r="FC95" s="58">
        <f>(t_Parts[[#This Row],[ha2015.06]]-t_Parts[[#This Row],[hp2015.06]])*t_Parts[[NetPPH]:[NetPPH]]</f>
        <v>1341459.230769231</v>
      </c>
      <c r="FD95" s="58">
        <f>(t_Parts[[#This Row],[ha2015.07]]-t_Parts[[#This Row],[hp2015.07]])*t_Parts[[NetPPH]:[NetPPH]]</f>
        <v>1069999.3846153847</v>
      </c>
      <c r="FE95" s="58">
        <f>(t_Parts[[#This Row],[ha2015.08]]-t_Parts[[#This Row],[hp2015.08]])*t_Parts[[NetPPH]:[NetPPH]]</f>
        <v>1069999.3846153847</v>
      </c>
      <c r="FF95" s="58">
        <f>(t_Parts[[#This Row],[ha2015.09]]-t_Parts[[#This Row],[hp2015.09]])*t_Parts[[NetPPH]:[NetPPH]]</f>
        <v>1341459.230769231</v>
      </c>
      <c r="FG95" s="58">
        <f>(t_Parts[[#This Row],[ha2015.10]]-t_Parts[[#This Row],[hp2015.10]])*t_Parts[[NetPPH]:[NetPPH]]</f>
        <v>1069999.3846153847</v>
      </c>
      <c r="FH95" s="58">
        <f>(t_Parts[[#This Row],[ha2015.11]]-t_Parts[[#This Row],[hp2015.11]])*t_Parts[[NetPPH]:[NetPPH]]</f>
        <v>1069999.3846153847</v>
      </c>
      <c r="FI95" s="58">
        <f>(t_Parts[[#This Row],[ha2015.12]]-t_Parts[[#This Row],[hp2015.12]])*t_Parts[[NetPPH]:[NetPPH]]</f>
        <v>1341459.230769231</v>
      </c>
      <c r="FJ95" s="58">
        <f>(t_Parts[[#This Row],[ha2015.FY]]-t_Parts[[#This Row],[hp2015.FY]])*t_Parts[[NetPPH]:[NetPPH]]</f>
        <v>13925832.000000002</v>
      </c>
      <c r="FK95" s="58">
        <f>(t_Parts[[#This Row],[ha2016.01]]-t_Parts[[#This Row],[hp2016.01]])*t_Parts[[NetPPH]:[NetPPH]]</f>
        <v>1069999.3846153847</v>
      </c>
      <c r="FL95" s="58">
        <f>(t_Parts[[#This Row],[ha2016.02]]-t_Parts[[#This Row],[hp2016.02]])*t_Parts[[NetPPH]:[NetPPH]]</f>
        <v>1069999.3846153847</v>
      </c>
      <c r="FM95" s="58">
        <f>(t_Parts[[#This Row],[ha2016.03]]-t_Parts[[#This Row],[hp2016.03]])*t_Parts[[NetPPH]:[NetPPH]]</f>
        <v>1341459.230769231</v>
      </c>
      <c r="FN95" s="58">
        <f>(t_Parts[[#This Row],[ha2016.04]]-t_Parts[[#This Row],[hp2016.04]])*t_Parts[[NetPPH]:[NetPPH]]</f>
        <v>1069999.3846153847</v>
      </c>
      <c r="FO95" s="58">
        <f>(t_Parts[[#This Row],[ha2016.05]]-t_Parts[[#This Row],[hp2016.05]])*t_Parts[[NetPPH]:[NetPPH]]</f>
        <v>1069999.3846153847</v>
      </c>
      <c r="FP95" s="58">
        <f>(t_Parts[[#This Row],[ha2016.06]]-t_Parts[[#This Row],[hp2016.06]])*t_Parts[[NetPPH]:[NetPPH]]</f>
        <v>1341459.230769231</v>
      </c>
      <c r="FQ95" s="58">
        <f>(t_Parts[[#This Row],[ha2016.07]]-t_Parts[[#This Row],[hp2016.07]])*t_Parts[[NetPPH]:[NetPPH]]</f>
        <v>1069999.3846153847</v>
      </c>
      <c r="FR95" s="58">
        <f>(t_Parts[[#This Row],[ha2016.08]]-t_Parts[[#This Row],[hp2016.08]])*t_Parts[[NetPPH]:[NetPPH]]</f>
        <v>1069999.3846153847</v>
      </c>
      <c r="FS95" s="58">
        <f>(t_Parts[[#This Row],[ha2016.09]]-t_Parts[[#This Row],[hp2016.09]])*t_Parts[[NetPPH]:[NetPPH]]</f>
        <v>1341459.230769231</v>
      </c>
      <c r="FT95" s="58">
        <f>(t_Parts[[#This Row],[ha2016.10]]-t_Parts[[#This Row],[hp2016.10]])*t_Parts[[NetPPH]:[NetPPH]]</f>
        <v>1069999.3846153847</v>
      </c>
      <c r="FU95" s="58">
        <f>(t_Parts[[#This Row],[ha2016.11]]-t_Parts[[#This Row],[hp2016.11]])*t_Parts[[NetPPH]:[NetPPH]]</f>
        <v>1069999.3846153847</v>
      </c>
      <c r="FV95" s="58">
        <f>(t_Parts[[#This Row],[ha2016.12]]-t_Parts[[#This Row],[hp2016.12]])*t_Parts[[NetPPH]:[NetPPH]]</f>
        <v>1341459.230769231</v>
      </c>
      <c r="FW95" s="58">
        <f>(t_Parts[[#This Row],[ha2016.FY]]-t_Parts[[#This Row],[hp2016.FY]])*t_Parts[[NetPPH]:[NetPPH]]</f>
        <v>13925832.000000002</v>
      </c>
      <c r="FX95" s="58">
        <f>(t_Parts[[#This Row],[ha2017]]-t_Parts[[#This Row],[hp2017]])*t_Parts[[NetPPH]:[NetPPH]]</f>
        <v>13925832.000000002</v>
      </c>
      <c r="FY95" s="58">
        <f>(t_Parts[[#This Row],[ha2018]]-t_Parts[[#This Row],[hp2018]])*t_Parts[[NetPPH]:[NetPPH]]</f>
        <v>13925832.000000002</v>
      </c>
      <c r="FZ95" s="58">
        <f>(t_Parts[[#This Row],[ha2019]]-t_Parts[[#This Row],[hp2019]])*t_Parts[[NetPPH]:[NetPPH]]</f>
        <v>13925832.000000002</v>
      </c>
    </row>
    <row r="96" spans="1:182" s="14" customFormat="1" x14ac:dyDescent="0.25">
      <c r="A96" s="74">
        <v>29244</v>
      </c>
      <c r="B96" s="74"/>
      <c r="C96" s="74">
        <v>21014</v>
      </c>
      <c r="D96" s="75">
        <v>2</v>
      </c>
      <c r="E96" s="73">
        <v>2400</v>
      </c>
      <c r="F96" s="76">
        <v>1</v>
      </c>
      <c r="G96" s="77">
        <v>4</v>
      </c>
      <c r="H96" s="16">
        <v>2015.01</v>
      </c>
      <c r="I96" s="16" t="s">
        <v>83</v>
      </c>
      <c r="J96" s="73">
        <v>149244</v>
      </c>
      <c r="K96" s="73">
        <v>149244</v>
      </c>
      <c r="L96" s="73">
        <v>149244</v>
      </c>
      <c r="M96" s="73">
        <v>149244</v>
      </c>
      <c r="N96" s="73">
        <v>149244</v>
      </c>
      <c r="O96" s="78">
        <v>46</v>
      </c>
      <c r="P96" s="78">
        <v>66</v>
      </c>
      <c r="Q96" s="79">
        <v>20.93</v>
      </c>
      <c r="R96" s="79"/>
      <c r="S96" s="78">
        <v>151</v>
      </c>
      <c r="T96" s="80">
        <v>13.5</v>
      </c>
      <c r="U96" s="80" t="s">
        <v>121</v>
      </c>
      <c r="V96" s="81" t="s">
        <v>613</v>
      </c>
      <c r="W96" s="82">
        <v>1.24</v>
      </c>
      <c r="X96" s="82" t="s">
        <v>495</v>
      </c>
      <c r="Y96" s="82"/>
      <c r="Z96" s="82"/>
      <c r="AA96" s="82"/>
      <c r="AB96" s="82"/>
      <c r="AC96" s="83" t="s">
        <v>667</v>
      </c>
      <c r="AD96" s="40" t="str">
        <f>VLOOKUP(t_Parts[[#This Row],[Press]],t_Presses[],Press!B$1,FALSE)</f>
        <v>Plainfield</v>
      </c>
      <c r="AE96" s="40" t="str">
        <f>VLOOKUP(t_Parts[[#This Row],[Press]],t_Presses[],Press!E$1,FALSE)</f>
        <v>300-599</v>
      </c>
      <c r="AF96" s="47">
        <f>VLOOKUP(t_Parts[[#This Row],[Plant]],t_Plants[],Plants!C$1,FALSE)</f>
        <v>0.55000000000000004</v>
      </c>
      <c r="AG96" s="47">
        <f>VLOOKUP(t_Parts[[#This Row],[Press]],t_Presses[],Press!F$1,FALSE)</f>
        <v>0</v>
      </c>
      <c r="AH96" s="84"/>
      <c r="AI96" s="47">
        <f>IF(ISBLANK(t_Parts[[#This Row],[PartOEE]])=FALSE,t_Parts[[#This Row],[PartOEE]], IF(t_Parts[[#This Row],[PressOEE]]&gt;0, t_Parts[[#This Row],[PressOEE]], t_Parts[[#This Row],[PlantOEE]] ))</f>
        <v>0.55000000000000004</v>
      </c>
      <c r="AJ96" s="70">
        <f>t_Parts[[#This Row],[SetupsPerMo]]*t_Parts[[#This Row],[SetupHrs]]</f>
        <v>4</v>
      </c>
      <c r="AK96" s="39">
        <f>(t_Parts[[#This Row],[PartsPerStroke]]*t_Parts[[#This Row],[StrokesPerHr]])*t_Parts[[#This Row],[UseOEE]]</f>
        <v>2640</v>
      </c>
      <c r="AL9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11480.307692307693</v>
      </c>
      <c r="AM9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11480.307692307693</v>
      </c>
      <c r="AN9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9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11480.307692307693</v>
      </c>
      <c r="AP9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11480.307692307693</v>
      </c>
      <c r="AQ9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9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11480.307692307693</v>
      </c>
      <c r="AS9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11480.307692307693</v>
      </c>
      <c r="AT9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9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11480.307692307693</v>
      </c>
      <c r="AV9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11480.307692307693</v>
      </c>
      <c r="AW9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96" s="39">
        <f>SUM(t_Parts[[#This Row],[pv2015.01]:[pv2015.12]])</f>
        <v>149244</v>
      </c>
      <c r="AY9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9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9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9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9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9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9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9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9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9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9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9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96" s="39">
        <f>SUM(t_Parts[[#This Row],[pv2016.01]:[pv2016.12]])</f>
        <v>149244</v>
      </c>
      <c r="BL96" s="39">
        <f>t_Parts[[#This Row],[2017vol]]</f>
        <v>149244</v>
      </c>
      <c r="BM96" s="39">
        <f>t_Parts[[#This Row],[2018vol]]</f>
        <v>149244</v>
      </c>
      <c r="BN96" s="39">
        <f>t_Parts[[#This Row],[2019vol]]</f>
        <v>149244</v>
      </c>
      <c r="BO96" s="40">
        <f>VLOOKUP(t_Parts[[Plant]:[Plant]],t_Plants[],Plants!CN$1,FALSE)</f>
        <v>280</v>
      </c>
      <c r="BP96" s="14">
        <f>VLOOKUP(t_Parts[[Plant]:[Plant]],t_Plants[],Plants!CO$1,FALSE)</f>
        <v>280</v>
      </c>
      <c r="BQ96" s="14">
        <f>VLOOKUP(t_Parts[[Plant]:[Plant]],t_Plants[],Plants!CP$1,FALSE)</f>
        <v>350</v>
      </c>
      <c r="BR96" s="14">
        <f>VLOOKUP(t_Parts[[Plant]:[Plant]],t_Plants[],Plants!CQ$1,FALSE)</f>
        <v>280</v>
      </c>
      <c r="BS96" s="14">
        <f>VLOOKUP(t_Parts[[Plant]:[Plant]],t_Plants[],Plants!CR$1,FALSE)</f>
        <v>280</v>
      </c>
      <c r="BT96" s="14">
        <f>VLOOKUP(t_Parts[[Plant]:[Plant]],t_Plants[],Plants!CS$1,FALSE)</f>
        <v>350</v>
      </c>
      <c r="BU96" s="14">
        <f>VLOOKUP(t_Parts[[Plant]:[Plant]],t_Plants[],Plants!CT$1,FALSE)</f>
        <v>280</v>
      </c>
      <c r="BV96" s="14">
        <f>VLOOKUP(t_Parts[[Plant]:[Plant]],t_Plants[],Plants!CU$1,FALSE)</f>
        <v>280</v>
      </c>
      <c r="BW96" s="14">
        <f>VLOOKUP(t_Parts[[Plant]:[Plant]],t_Plants[],Plants!CV$1,FALSE)</f>
        <v>350</v>
      </c>
      <c r="BX96" s="14">
        <f>VLOOKUP(t_Parts[[Plant]:[Plant]],t_Plants[],Plants!CW$1,FALSE)</f>
        <v>280</v>
      </c>
      <c r="BY96" s="14">
        <f>VLOOKUP(t_Parts[[Plant]:[Plant]],t_Plants[],Plants!CX$1,FALSE)</f>
        <v>280</v>
      </c>
      <c r="BZ96" s="14">
        <f>VLOOKUP(t_Parts[[Plant]:[Plant]],t_Plants[],Plants!CY$1,FALSE)</f>
        <v>350</v>
      </c>
      <c r="CA96" s="40">
        <f>SUM(t_Parts[[#This Row],[ha2015.01]:[ha2015.12]])</f>
        <v>3640</v>
      </c>
      <c r="CB96" s="14">
        <f>VLOOKUP(t_Parts[[Plant]:[Plant]],t_Plants[],Plants!DA$1,FALSE)</f>
        <v>280</v>
      </c>
      <c r="CC96" s="14">
        <f>VLOOKUP(t_Parts[[Plant]:[Plant]],t_Plants[],Plants!DB$1,FALSE)</f>
        <v>280</v>
      </c>
      <c r="CD96" s="14">
        <f>VLOOKUP(t_Parts[[Plant]:[Plant]],t_Plants[],Plants!DC$1,FALSE)</f>
        <v>350</v>
      </c>
      <c r="CE96" s="14">
        <f>VLOOKUP(t_Parts[[Plant]:[Plant]],t_Plants[],Plants!DD$1,FALSE)</f>
        <v>280</v>
      </c>
      <c r="CF96" s="14">
        <f>VLOOKUP(t_Parts[[Plant]:[Plant]],t_Plants[],Plants!DE$1,FALSE)</f>
        <v>280</v>
      </c>
      <c r="CG96" s="14">
        <f>VLOOKUP(t_Parts[[Plant]:[Plant]],t_Plants[],Plants!DF$1,FALSE)</f>
        <v>350</v>
      </c>
      <c r="CH96" s="14">
        <f>VLOOKUP(t_Parts[[Plant]:[Plant]],t_Plants[],Plants!DG$1,FALSE)</f>
        <v>280</v>
      </c>
      <c r="CI96" s="14">
        <f>VLOOKUP(t_Parts[[Plant]:[Plant]],t_Plants[],Plants!DH$1,FALSE)</f>
        <v>280</v>
      </c>
      <c r="CJ96" s="14">
        <f>VLOOKUP(t_Parts[[Plant]:[Plant]],t_Plants[],Plants!DI$1,FALSE)</f>
        <v>350</v>
      </c>
      <c r="CK96" s="14">
        <f>VLOOKUP(t_Parts[[Plant]:[Plant]],t_Plants[],Plants!DJ$1,FALSE)</f>
        <v>280</v>
      </c>
      <c r="CL96" s="14">
        <f>VLOOKUP(t_Parts[[Plant]:[Plant]],t_Plants[],Plants!DK$1,FALSE)</f>
        <v>280</v>
      </c>
      <c r="CM96" s="14">
        <f>VLOOKUP(t_Parts[[Plant]:[Plant]],t_Plants[],Plants!DL$1,FALSE)</f>
        <v>350</v>
      </c>
      <c r="CN96" s="14">
        <f>VLOOKUP(t_Parts[[Plant]:[Plant]],t_Plants[],Plants!DM$1,FALSE)</f>
        <v>3640</v>
      </c>
      <c r="CO96" s="14">
        <f>VLOOKUP(t_Parts[[Plant]:[Plant]],t_Plants[],Plants!DN$1,FALSE)</f>
        <v>3640</v>
      </c>
      <c r="CP96" s="14">
        <f>VLOOKUP(t_Parts[[Plant]:[Plant]],t_Plants[],Plants!DO$1,FALSE)</f>
        <v>3640</v>
      </c>
      <c r="CQ96" s="14">
        <f>VLOOKUP(t_Parts[[Plant]:[Plant]],t_Plants[],Plants!DP$1,FALSE)</f>
        <v>3640</v>
      </c>
      <c r="CR96" s="39">
        <f>IF(AND(AL$3&gt;=VALUE(t_Parts[[SOP]:[SOP]]),AL$3&lt;=VALUE(t_Parts[[EOP]:[EOP]])), t_Parts[[SetupHrsPerMo]:[SetupHrsPerMo]]+(t_Parts[[#This Row],[pv2015.01]]/t_Parts[[NetPPH]:[NetPPH]]),0)</f>
        <v>8.3486013986013994</v>
      </c>
      <c r="CS96" s="39">
        <f>IF(AND(AM$3&gt;=VALUE(t_Parts[[SOP]:[SOP]]),AM$3&lt;=VALUE(t_Parts[[EOP]:[EOP]])), t_Parts[[SetupHrsPerMo]:[SetupHrsPerMo]]+(t_Parts[[#This Row],[pv2015.02]]/t_Parts[[NetPPH]:[NetPPH]]),0)</f>
        <v>8.3486013986013994</v>
      </c>
      <c r="CT96" s="39">
        <f>IF(AND(AN$3&gt;=VALUE(t_Parts[[SOP]:[SOP]]),AN$3&lt;=VALUE(t_Parts[[EOP]:[EOP]])), t_Parts[[SetupHrsPerMo]:[SetupHrsPerMo]]+(t_Parts[[#This Row],[pv2015.03]]/t_Parts[[NetPPH]:[NetPPH]]),0)</f>
        <v>9.4357517482517483</v>
      </c>
      <c r="CU96" s="39">
        <f>IF(AND(AO$3&gt;=VALUE(t_Parts[[SOP]:[SOP]]),AO$3&lt;=VALUE(t_Parts[[EOP]:[EOP]])), t_Parts[[SetupHrsPerMo]:[SetupHrsPerMo]]+(t_Parts[[#This Row],[pv2015.04]]/t_Parts[[NetPPH]:[NetPPH]]),0)</f>
        <v>8.3486013986013994</v>
      </c>
      <c r="CV96" s="39">
        <f>IF(AND(AP$3&gt;=VALUE(t_Parts[[SOP]:[SOP]]),AP$3&lt;=VALUE(t_Parts[[EOP]:[EOP]])), t_Parts[[SetupHrsPerMo]:[SetupHrsPerMo]]+(t_Parts[[#This Row],[pv2015.05]]/t_Parts[[NetPPH]:[NetPPH]]),0)</f>
        <v>8.3486013986013994</v>
      </c>
      <c r="CW96" s="39">
        <f>IF(AND(AQ$3&gt;=VALUE(t_Parts[[SOP]:[SOP]]),AQ$3&lt;=VALUE(t_Parts[[EOP]:[EOP]])), t_Parts[[SetupHrsPerMo]:[SetupHrsPerMo]]+(t_Parts[[#This Row],[pv2015.06]]/t_Parts[[NetPPH]:[NetPPH]]),0)</f>
        <v>9.4357517482517483</v>
      </c>
      <c r="CX96" s="39">
        <f>IF(AND(AR$3&gt;=VALUE(t_Parts[[SOP]:[SOP]]),AR$3&lt;=VALUE(t_Parts[[EOP]:[EOP]])), t_Parts[[SetupHrsPerMo]:[SetupHrsPerMo]]+(t_Parts[[#This Row],[pv2015.07]]/t_Parts[[NetPPH]:[NetPPH]]),0)</f>
        <v>8.3486013986013994</v>
      </c>
      <c r="CY96" s="39">
        <f>IF(AND(AS$3&gt;=VALUE(t_Parts[[SOP]:[SOP]]),AS$3&lt;=VALUE(t_Parts[[EOP]:[EOP]])), t_Parts[[SetupHrsPerMo]:[SetupHrsPerMo]]+(t_Parts[[#This Row],[pv2015.08]]/t_Parts[[NetPPH]:[NetPPH]]),0)</f>
        <v>8.3486013986013994</v>
      </c>
      <c r="CZ96" s="39">
        <f>IF(AND(AT$3&gt;=VALUE(t_Parts[[SOP]:[SOP]]),AT$3&lt;=VALUE(t_Parts[[EOP]:[EOP]])), t_Parts[[SetupHrsPerMo]:[SetupHrsPerMo]]+(t_Parts[[#This Row],[pv2015.09]]/t_Parts[[NetPPH]:[NetPPH]]),0)</f>
        <v>9.4357517482517483</v>
      </c>
      <c r="DA96" s="39">
        <f>IF(AND(AU$3&gt;=VALUE(t_Parts[[SOP]:[SOP]]),AU$3&lt;=VALUE(t_Parts[[EOP]:[EOP]])), t_Parts[[SetupHrsPerMo]:[SetupHrsPerMo]]+(t_Parts[[#This Row],[pv2015.10]]/t_Parts[[NetPPH]:[NetPPH]]),0)</f>
        <v>8.3486013986013994</v>
      </c>
      <c r="DB96" s="39">
        <f>IF(AND(AV$3&gt;=VALUE(t_Parts[[SOP]:[SOP]]),AV$3&lt;=VALUE(t_Parts[[EOP]:[EOP]])), t_Parts[[SetupHrsPerMo]:[SetupHrsPerMo]]+(t_Parts[[#This Row],[pv2015.11]]/t_Parts[[NetPPH]:[NetPPH]]),0)</f>
        <v>8.3486013986013994</v>
      </c>
      <c r="DC96" s="39">
        <f>IF(AND(AW$3&gt;=VALUE(t_Parts[[SOP]:[SOP]]),AW$3&lt;=VALUE(t_Parts[[EOP]:[EOP]])), t_Parts[[SetupHrsPerMo]:[SetupHrsPerMo]]+(t_Parts[[#This Row],[pv2015.12]]/t_Parts[[NetPPH]:[NetPPH]]),0)</f>
        <v>9.4357517482517483</v>
      </c>
      <c r="DD96" s="39">
        <f>SUM(t_Parts[[#This Row],[hp2015.01]:[hp2015.12]])</f>
        <v>104.5318181818182</v>
      </c>
      <c r="DE96" s="39">
        <f>IF(AND(AY$3&gt;=VALUE(t_Parts[[SOP]:[SOP]]),AY$3&lt;=VALUE(t_Parts[[EOP]:[EOP]])), t_Parts[[SetupHrsPerMo]:[SetupHrsPerMo]]+(t_Parts[[#This Row],[pv2016.01]]/t_Parts[[NetPPH]:[NetPPH]]),0)</f>
        <v>8.3486013986013994</v>
      </c>
      <c r="DF96" s="39">
        <f>IF(AND(AZ$3&gt;=VALUE(t_Parts[[SOP]:[SOP]]),AZ$3&lt;=VALUE(t_Parts[[EOP]:[EOP]])), t_Parts[[SetupHrsPerMo]:[SetupHrsPerMo]]+(t_Parts[[#This Row],[pv2016.02]]/t_Parts[[NetPPH]:[NetPPH]]),0)</f>
        <v>8.3486013986013994</v>
      </c>
      <c r="DG96" s="39">
        <f>IF(AND(BA$3&gt;=VALUE(t_Parts[[SOP]:[SOP]]),BA$3&lt;=VALUE(t_Parts[[EOP]:[EOP]])), t_Parts[[SetupHrsPerMo]:[SetupHrsPerMo]]+(t_Parts[[#This Row],[pv2016.03]]/t_Parts[[NetPPH]:[NetPPH]]),0)</f>
        <v>9.4357517482517483</v>
      </c>
      <c r="DH96" s="39">
        <f>IF(AND(BB$3&gt;=VALUE(t_Parts[[SOP]:[SOP]]),BB$3&lt;=VALUE(t_Parts[[EOP]:[EOP]])), t_Parts[[SetupHrsPerMo]:[SetupHrsPerMo]]+(t_Parts[[#This Row],[pv2016.04]]/t_Parts[[NetPPH]:[NetPPH]]),0)</f>
        <v>8.3486013986013994</v>
      </c>
      <c r="DI96" s="39">
        <f>IF(AND(BC$3&gt;=VALUE(t_Parts[[SOP]:[SOP]]),BC$3&lt;=VALUE(t_Parts[[EOP]:[EOP]])), t_Parts[[SetupHrsPerMo]:[SetupHrsPerMo]]+(t_Parts[[#This Row],[pv2016.05]]/t_Parts[[NetPPH]:[NetPPH]]),0)</f>
        <v>8.3486013986013994</v>
      </c>
      <c r="DJ96" s="39">
        <f>IF(AND(BD$3&gt;=VALUE(t_Parts[[SOP]:[SOP]]),BD$3&lt;=VALUE(t_Parts[[EOP]:[EOP]])), t_Parts[[SetupHrsPerMo]:[SetupHrsPerMo]]+(t_Parts[[#This Row],[pv2016.06]]/t_Parts[[NetPPH]:[NetPPH]]),0)</f>
        <v>9.4357517482517483</v>
      </c>
      <c r="DK96" s="39">
        <f>IF(AND(BE$3&gt;=VALUE(t_Parts[[SOP]:[SOP]]),BE$3&lt;=VALUE(t_Parts[[EOP]:[EOP]])), t_Parts[[SetupHrsPerMo]:[SetupHrsPerMo]]+(t_Parts[[#This Row],[pv2016.07]]/t_Parts[[NetPPH]:[NetPPH]]),0)</f>
        <v>8.3486013986013994</v>
      </c>
      <c r="DL96" s="39">
        <f>IF(AND(BF$3&gt;=VALUE(t_Parts[[SOP]:[SOP]]),BF$3&lt;=VALUE(t_Parts[[EOP]:[EOP]])), t_Parts[[SetupHrsPerMo]:[SetupHrsPerMo]]+(t_Parts[[#This Row],[pv2016.08]]/t_Parts[[NetPPH]:[NetPPH]]),0)</f>
        <v>8.3486013986013994</v>
      </c>
      <c r="DM96" s="39">
        <f>IF(AND(BG$3&gt;=VALUE(t_Parts[[SOP]:[SOP]]),BG$3&lt;=VALUE(t_Parts[[EOP]:[EOP]])), t_Parts[[SetupHrsPerMo]:[SetupHrsPerMo]]+(t_Parts[[#This Row],[pv2016.09]]/t_Parts[[NetPPH]:[NetPPH]]),0)</f>
        <v>9.4357517482517483</v>
      </c>
      <c r="DN96" s="39">
        <f>IF(AND(BH$3&gt;=VALUE(t_Parts[[SOP]:[SOP]]),BH$3&lt;=VALUE(t_Parts[[EOP]:[EOP]])), t_Parts[[SetupHrsPerMo]:[SetupHrsPerMo]]+(t_Parts[[#This Row],[pv2016.10]]/t_Parts[[NetPPH]:[NetPPH]]),0)</f>
        <v>8.3486013986013994</v>
      </c>
      <c r="DO96" s="39">
        <f>IF(AND(BI$3&gt;=VALUE(t_Parts[[SOP]:[SOP]]),BI$3&lt;=VALUE(t_Parts[[EOP]:[EOP]])), t_Parts[[SetupHrsPerMo]:[SetupHrsPerMo]]+(t_Parts[[#This Row],[pv2016.11]]/t_Parts[[NetPPH]:[NetPPH]]),0)</f>
        <v>8.3486013986013994</v>
      </c>
      <c r="DP96" s="39">
        <f>IF(AND(BJ$3&gt;=VALUE(t_Parts[[SOP]:[SOP]]),BJ$3&lt;=VALUE(t_Parts[[EOP]:[EOP]])), t_Parts[[SetupHrsPerMo]:[SetupHrsPerMo]]+(t_Parts[[#This Row],[pv2016.12]]/t_Parts[[NetPPH]:[NetPPH]]),0)</f>
        <v>9.4357517482517483</v>
      </c>
      <c r="DQ96" s="39">
        <f>SUM(t_Parts[[#This Row],[hp2016.01]:[hp2016.12]])</f>
        <v>104.5318181818182</v>
      </c>
      <c r="DR96" s="39">
        <f>IF(AND(BL$3&gt;=VALUE(t_Parts[[SOP]:[SOP]]),BL$3&lt;=VALUE(t_Parts[[EOP]:[EOP]])), 12*t_Parts[[SetupHrsPerMo]:[SetupHrsPerMo]]+(t_Parts[[#This Row],[pv2017]]/t_Parts[[NetPPH]:[NetPPH]]),0)</f>
        <v>104.53181818181818</v>
      </c>
      <c r="DS96" s="39">
        <f>IF(AND(BM$3&gt;=VALUE(t_Parts[[SOP]:[SOP]]),BM$3&lt;=VALUE(t_Parts[[EOP]:[EOP]])), 12*t_Parts[[SetupHrsPerMo]:[SetupHrsPerMo]]+(t_Parts[[#This Row],[pv2018]]/t_Parts[[NetPPH]:[NetPPH]]),0)</f>
        <v>104.53181818181818</v>
      </c>
      <c r="DT96" s="39">
        <f>IF(AND(BN$3&gt;=VALUE(t_Parts[[SOP]:[SOP]]),BN$3&lt;=VALUE(t_Parts[[EOP]:[EOP]])), 12*t_Parts[[SetupHrsPerMo]:[SetupHrsPerMo]]+(t_Parts[[#This Row],[pv2019]]/t_Parts[[NetPPH]:[NetPPH]]),0)</f>
        <v>104.53181818181818</v>
      </c>
      <c r="DU96" s="47">
        <f>t_Parts[[#This Row],[hp2015.01]]/t_Parts[[#This Row],[ha2015.01]]</f>
        <v>2.981643356643357E-2</v>
      </c>
      <c r="DV96" s="47">
        <f>t_Parts[[#This Row],[hp2015.02]]/t_Parts[[#This Row],[ha2015.02]]</f>
        <v>2.981643356643357E-2</v>
      </c>
      <c r="DW96" s="47">
        <f>t_Parts[[#This Row],[hp2015.03]]/t_Parts[[#This Row],[ha2015.03]]</f>
        <v>2.695929070929071E-2</v>
      </c>
      <c r="DX96" s="47">
        <f>t_Parts[[#This Row],[hp2015.04]]/t_Parts[[#This Row],[ha2015.04]]</f>
        <v>2.981643356643357E-2</v>
      </c>
      <c r="DY96" s="47">
        <f>t_Parts[[#This Row],[hp2015.05]]/t_Parts[[#This Row],[ha2015.05]]</f>
        <v>2.981643356643357E-2</v>
      </c>
      <c r="DZ96" s="47">
        <f>t_Parts[[#This Row],[hp2015.06]]/t_Parts[[#This Row],[ha2015.06]]</f>
        <v>2.695929070929071E-2</v>
      </c>
      <c r="EA96" s="47">
        <f>t_Parts[[#This Row],[hp2015.07]]/t_Parts[[#This Row],[ha2015.07]]</f>
        <v>2.981643356643357E-2</v>
      </c>
      <c r="EB96" s="47">
        <f>t_Parts[[#This Row],[hp2015.08]]/t_Parts[[#This Row],[ha2015.08]]</f>
        <v>2.981643356643357E-2</v>
      </c>
      <c r="EC96" s="47">
        <f>t_Parts[[#This Row],[hp2015.09]]/t_Parts[[#This Row],[ha2015.09]]</f>
        <v>2.695929070929071E-2</v>
      </c>
      <c r="ED96" s="47">
        <f>t_Parts[[#This Row],[hp2015.10]]/t_Parts[[#This Row],[ha2015.10]]</f>
        <v>2.981643356643357E-2</v>
      </c>
      <c r="EE96" s="47">
        <f>t_Parts[[#This Row],[hp2015.11]]/t_Parts[[#This Row],[ha2015.11]]</f>
        <v>2.981643356643357E-2</v>
      </c>
      <c r="EF96" s="47">
        <f>t_Parts[[#This Row],[hp2015.12]]/t_Parts[[#This Row],[ha2015.12]]</f>
        <v>2.695929070929071E-2</v>
      </c>
      <c r="EG96" s="47">
        <f>t_Parts[[#This Row],[hp2015.FY]]/t_Parts[[#This Row],[ha2015.FY]]</f>
        <v>2.8717532467532472E-2</v>
      </c>
      <c r="EH96" s="47">
        <f>t_Parts[[#This Row],[hp2016.01]]/t_Parts[[#This Row],[ha2016.01]]</f>
        <v>2.981643356643357E-2</v>
      </c>
      <c r="EI96" s="47">
        <f>t_Parts[[#This Row],[hp2016.02]]/t_Parts[[#This Row],[ha2016.02]]</f>
        <v>2.981643356643357E-2</v>
      </c>
      <c r="EJ96" s="47">
        <f>t_Parts[[#This Row],[hp2016.03]]/t_Parts[[#This Row],[ha2016.03]]</f>
        <v>2.695929070929071E-2</v>
      </c>
      <c r="EK96" s="47">
        <f>t_Parts[[#This Row],[hp2016.04]]/t_Parts[[#This Row],[ha2016.04]]</f>
        <v>2.981643356643357E-2</v>
      </c>
      <c r="EL96" s="47">
        <f>t_Parts[[#This Row],[hp2016.05]]/t_Parts[[#This Row],[ha2016.05]]</f>
        <v>2.981643356643357E-2</v>
      </c>
      <c r="EM96" s="47">
        <f>t_Parts[[#This Row],[hp2016.06]]/t_Parts[[#This Row],[ha2016.06]]</f>
        <v>2.695929070929071E-2</v>
      </c>
      <c r="EN96" s="47">
        <f>t_Parts[[#This Row],[hp2016.07]]/t_Parts[[#This Row],[ha2016.07]]</f>
        <v>2.981643356643357E-2</v>
      </c>
      <c r="EO96" s="47">
        <f>t_Parts[[#This Row],[hp2016.08]]/t_Parts[[#This Row],[ha2016.08]]</f>
        <v>2.981643356643357E-2</v>
      </c>
      <c r="EP96" s="47">
        <f>t_Parts[[#This Row],[hp2016.09]]/t_Parts[[#This Row],[ha2016.09]]</f>
        <v>2.695929070929071E-2</v>
      </c>
      <c r="EQ96" s="47">
        <f>t_Parts[[#This Row],[hp2016.10]]/t_Parts[[#This Row],[ha2016.10]]</f>
        <v>2.981643356643357E-2</v>
      </c>
      <c r="ER96" s="47">
        <f>t_Parts[[#This Row],[hp2016.11]]/t_Parts[[#This Row],[ha2016.11]]</f>
        <v>2.981643356643357E-2</v>
      </c>
      <c r="ES96" s="47">
        <f>t_Parts[[#This Row],[hp2016.12]]/t_Parts[[#This Row],[ha2016.12]]</f>
        <v>2.695929070929071E-2</v>
      </c>
      <c r="ET96" s="47">
        <f>t_Parts[[#This Row],[hp2016.FY]]/t_Parts[[#This Row],[ha2016.FY]]</f>
        <v>2.8717532467532472E-2</v>
      </c>
      <c r="EU96" s="47">
        <f>t_Parts[[#This Row],[hp2017]]/t_Parts[[#This Row],[ha2017]]</f>
        <v>2.8717532467532468E-2</v>
      </c>
      <c r="EV96" s="47">
        <f>t_Parts[[#This Row],[hp2018]]/t_Parts[[#This Row],[ha2018]]</f>
        <v>2.8717532467532468E-2</v>
      </c>
      <c r="EW96" s="47">
        <f>t_Parts[[#This Row],[hp2019]]/t_Parts[[#This Row],[hp2015.01]]</f>
        <v>12.520877832223478</v>
      </c>
      <c r="EX96" s="58">
        <f>(t_Parts[[#This Row],[ha2015.01]]-t_Parts[[#This Row],[hp2015.01]])*t_Parts[[NetPPH]:[NetPPH]]</f>
        <v>717159.69230769237</v>
      </c>
      <c r="EY96" s="58">
        <f>(t_Parts[[#This Row],[ha2015.02]]-t_Parts[[#This Row],[hp2015.02]])*t_Parts[[NetPPH]:[NetPPH]]</f>
        <v>717159.69230769237</v>
      </c>
      <c r="EZ96" s="58">
        <f>(t_Parts[[#This Row],[ha2015.03]]-t_Parts[[#This Row],[hp2015.03]])*t_Parts[[NetPPH]:[NetPPH]]</f>
        <v>899089.61538461538</v>
      </c>
      <c r="FA96" s="58">
        <f>(t_Parts[[#This Row],[ha2015.04]]-t_Parts[[#This Row],[hp2015.04]])*t_Parts[[NetPPH]:[NetPPH]]</f>
        <v>717159.69230769237</v>
      </c>
      <c r="FB96" s="58">
        <f>(t_Parts[[#This Row],[ha2015.05]]-t_Parts[[#This Row],[hp2015.05]])*t_Parts[[NetPPH]:[NetPPH]]</f>
        <v>717159.69230769237</v>
      </c>
      <c r="FC96" s="58">
        <f>(t_Parts[[#This Row],[ha2015.06]]-t_Parts[[#This Row],[hp2015.06]])*t_Parts[[NetPPH]:[NetPPH]]</f>
        <v>899089.61538461538</v>
      </c>
      <c r="FD96" s="58">
        <f>(t_Parts[[#This Row],[ha2015.07]]-t_Parts[[#This Row],[hp2015.07]])*t_Parts[[NetPPH]:[NetPPH]]</f>
        <v>717159.69230769237</v>
      </c>
      <c r="FE96" s="58">
        <f>(t_Parts[[#This Row],[ha2015.08]]-t_Parts[[#This Row],[hp2015.08]])*t_Parts[[NetPPH]:[NetPPH]]</f>
        <v>717159.69230769237</v>
      </c>
      <c r="FF96" s="58">
        <f>(t_Parts[[#This Row],[ha2015.09]]-t_Parts[[#This Row],[hp2015.09]])*t_Parts[[NetPPH]:[NetPPH]]</f>
        <v>899089.61538461538</v>
      </c>
      <c r="FG96" s="58">
        <f>(t_Parts[[#This Row],[ha2015.10]]-t_Parts[[#This Row],[hp2015.10]])*t_Parts[[NetPPH]:[NetPPH]]</f>
        <v>717159.69230769237</v>
      </c>
      <c r="FH96" s="58">
        <f>(t_Parts[[#This Row],[ha2015.11]]-t_Parts[[#This Row],[hp2015.11]])*t_Parts[[NetPPH]:[NetPPH]]</f>
        <v>717159.69230769237</v>
      </c>
      <c r="FI96" s="58">
        <f>(t_Parts[[#This Row],[ha2015.12]]-t_Parts[[#This Row],[hp2015.12]])*t_Parts[[NetPPH]:[NetPPH]]</f>
        <v>899089.61538461538</v>
      </c>
      <c r="FJ96" s="58">
        <f>(t_Parts[[#This Row],[ha2015.FY]]-t_Parts[[#This Row],[hp2015.FY]])*t_Parts[[NetPPH]:[NetPPH]]</f>
        <v>9333636</v>
      </c>
      <c r="FK96" s="58">
        <f>(t_Parts[[#This Row],[ha2016.01]]-t_Parts[[#This Row],[hp2016.01]])*t_Parts[[NetPPH]:[NetPPH]]</f>
        <v>717159.69230769237</v>
      </c>
      <c r="FL96" s="58">
        <f>(t_Parts[[#This Row],[ha2016.02]]-t_Parts[[#This Row],[hp2016.02]])*t_Parts[[NetPPH]:[NetPPH]]</f>
        <v>717159.69230769237</v>
      </c>
      <c r="FM96" s="58">
        <f>(t_Parts[[#This Row],[ha2016.03]]-t_Parts[[#This Row],[hp2016.03]])*t_Parts[[NetPPH]:[NetPPH]]</f>
        <v>899089.61538461538</v>
      </c>
      <c r="FN96" s="58">
        <f>(t_Parts[[#This Row],[ha2016.04]]-t_Parts[[#This Row],[hp2016.04]])*t_Parts[[NetPPH]:[NetPPH]]</f>
        <v>717159.69230769237</v>
      </c>
      <c r="FO96" s="58">
        <f>(t_Parts[[#This Row],[ha2016.05]]-t_Parts[[#This Row],[hp2016.05]])*t_Parts[[NetPPH]:[NetPPH]]</f>
        <v>717159.69230769237</v>
      </c>
      <c r="FP96" s="58">
        <f>(t_Parts[[#This Row],[ha2016.06]]-t_Parts[[#This Row],[hp2016.06]])*t_Parts[[NetPPH]:[NetPPH]]</f>
        <v>899089.61538461538</v>
      </c>
      <c r="FQ96" s="58">
        <f>(t_Parts[[#This Row],[ha2016.07]]-t_Parts[[#This Row],[hp2016.07]])*t_Parts[[NetPPH]:[NetPPH]]</f>
        <v>717159.69230769237</v>
      </c>
      <c r="FR96" s="58">
        <f>(t_Parts[[#This Row],[ha2016.08]]-t_Parts[[#This Row],[hp2016.08]])*t_Parts[[NetPPH]:[NetPPH]]</f>
        <v>717159.69230769237</v>
      </c>
      <c r="FS96" s="58">
        <f>(t_Parts[[#This Row],[ha2016.09]]-t_Parts[[#This Row],[hp2016.09]])*t_Parts[[NetPPH]:[NetPPH]]</f>
        <v>899089.61538461538</v>
      </c>
      <c r="FT96" s="58">
        <f>(t_Parts[[#This Row],[ha2016.10]]-t_Parts[[#This Row],[hp2016.10]])*t_Parts[[NetPPH]:[NetPPH]]</f>
        <v>717159.69230769237</v>
      </c>
      <c r="FU96" s="58">
        <f>(t_Parts[[#This Row],[ha2016.11]]-t_Parts[[#This Row],[hp2016.11]])*t_Parts[[NetPPH]:[NetPPH]]</f>
        <v>717159.69230769237</v>
      </c>
      <c r="FV96" s="58">
        <f>(t_Parts[[#This Row],[ha2016.12]]-t_Parts[[#This Row],[hp2016.12]])*t_Parts[[NetPPH]:[NetPPH]]</f>
        <v>899089.61538461538</v>
      </c>
      <c r="FW96" s="58">
        <f>(t_Parts[[#This Row],[ha2016.FY]]-t_Parts[[#This Row],[hp2016.FY]])*t_Parts[[NetPPH]:[NetPPH]]</f>
        <v>9333636</v>
      </c>
      <c r="FX96" s="58">
        <f>(t_Parts[[#This Row],[ha2017]]-t_Parts[[#This Row],[hp2017]])*t_Parts[[NetPPH]:[NetPPH]]</f>
        <v>9333636</v>
      </c>
      <c r="FY96" s="58">
        <f>(t_Parts[[#This Row],[ha2018]]-t_Parts[[#This Row],[hp2018]])*t_Parts[[NetPPH]:[NetPPH]]</f>
        <v>9333636</v>
      </c>
      <c r="FZ96" s="58">
        <f>(t_Parts[[#This Row],[ha2019]]-t_Parts[[#This Row],[hp2019]])*t_Parts[[NetPPH]:[NetPPH]]</f>
        <v>9333636</v>
      </c>
    </row>
    <row r="97" spans="1:182" s="14" customFormat="1" x14ac:dyDescent="0.25">
      <c r="A97" s="74">
        <v>29242</v>
      </c>
      <c r="B97" s="74"/>
      <c r="C97" s="74">
        <v>21013</v>
      </c>
      <c r="D97" s="75">
        <v>1</v>
      </c>
      <c r="E97" s="73">
        <v>2760</v>
      </c>
      <c r="F97" s="76">
        <v>1</v>
      </c>
      <c r="G97" s="77">
        <v>4</v>
      </c>
      <c r="H97" s="16">
        <v>2015.01</v>
      </c>
      <c r="I97" s="16" t="s">
        <v>83</v>
      </c>
      <c r="J97" s="73">
        <v>149244</v>
      </c>
      <c r="K97" s="73">
        <v>149244</v>
      </c>
      <c r="L97" s="73">
        <v>149244</v>
      </c>
      <c r="M97" s="73">
        <v>149244</v>
      </c>
      <c r="N97" s="73">
        <v>149244</v>
      </c>
      <c r="O97" s="78">
        <v>37</v>
      </c>
      <c r="P97" s="78">
        <v>47</v>
      </c>
      <c r="Q97" s="79">
        <v>20.92</v>
      </c>
      <c r="R97" s="79"/>
      <c r="S97" s="78">
        <v>53</v>
      </c>
      <c r="T97" s="80">
        <v>15</v>
      </c>
      <c r="U97" s="80" t="s">
        <v>121</v>
      </c>
      <c r="V97" s="81" t="s">
        <v>619</v>
      </c>
      <c r="W97" s="82">
        <v>0.55000000000000004</v>
      </c>
      <c r="X97" s="82" t="s">
        <v>495</v>
      </c>
      <c r="Y97" s="82"/>
      <c r="Z97" s="82"/>
      <c r="AA97" s="82"/>
      <c r="AB97" s="82"/>
      <c r="AC97" s="83" t="s">
        <v>667</v>
      </c>
      <c r="AD97" s="40" t="str">
        <f>VLOOKUP(t_Parts[[#This Row],[Press]],t_Presses[],Press!B$1,FALSE)</f>
        <v>Plainfield</v>
      </c>
      <c r="AE97" s="40" t="str">
        <f>VLOOKUP(t_Parts[[#This Row],[Press]],t_Presses[],Press!E$1,FALSE)</f>
        <v>0-299</v>
      </c>
      <c r="AF97" s="47">
        <f>VLOOKUP(t_Parts[[#This Row],[Plant]],t_Plants[],Plants!C$1,FALSE)</f>
        <v>0.55000000000000004</v>
      </c>
      <c r="AG97" s="47">
        <f>VLOOKUP(t_Parts[[#This Row],[Press]],t_Presses[],Press!F$1,FALSE)</f>
        <v>0</v>
      </c>
      <c r="AH97" s="84"/>
      <c r="AI97" s="47">
        <f>IF(ISBLANK(t_Parts[[#This Row],[PartOEE]])=FALSE,t_Parts[[#This Row],[PartOEE]], IF(t_Parts[[#This Row],[PressOEE]]&gt;0, t_Parts[[#This Row],[PressOEE]], t_Parts[[#This Row],[PlantOEE]] ))</f>
        <v>0.55000000000000004</v>
      </c>
      <c r="AJ97" s="70">
        <f>t_Parts[[#This Row],[SetupsPerMo]]*t_Parts[[#This Row],[SetupHrs]]</f>
        <v>4</v>
      </c>
      <c r="AK97" s="39">
        <f>(t_Parts[[#This Row],[PartsPerStroke]]*t_Parts[[#This Row],[StrokesPerHr]])*t_Parts[[#This Row],[UseOEE]]</f>
        <v>1518.0000000000002</v>
      </c>
      <c r="AL9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11480.307692307693</v>
      </c>
      <c r="AM9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11480.307692307693</v>
      </c>
      <c r="AN9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9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11480.307692307693</v>
      </c>
      <c r="AP9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11480.307692307693</v>
      </c>
      <c r="AQ9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9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11480.307692307693</v>
      </c>
      <c r="AS9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11480.307692307693</v>
      </c>
      <c r="AT9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9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11480.307692307693</v>
      </c>
      <c r="AV9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11480.307692307693</v>
      </c>
      <c r="AW9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97" s="39">
        <f>SUM(t_Parts[[#This Row],[pv2015.01]:[pv2015.12]])</f>
        <v>149244</v>
      </c>
      <c r="AY9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9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9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9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9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9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9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9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9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9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9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9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97" s="39">
        <f>SUM(t_Parts[[#This Row],[pv2016.01]:[pv2016.12]])</f>
        <v>149244</v>
      </c>
      <c r="BL97" s="39">
        <f>t_Parts[[#This Row],[2017vol]]</f>
        <v>149244</v>
      </c>
      <c r="BM97" s="39">
        <f>t_Parts[[#This Row],[2018vol]]</f>
        <v>149244</v>
      </c>
      <c r="BN97" s="39">
        <f>t_Parts[[#This Row],[2019vol]]</f>
        <v>149244</v>
      </c>
      <c r="BO97" s="40">
        <f>VLOOKUP(t_Parts[[Plant]:[Plant]],t_Plants[],Plants!CN$1,FALSE)</f>
        <v>280</v>
      </c>
      <c r="BP97" s="14">
        <f>VLOOKUP(t_Parts[[Plant]:[Plant]],t_Plants[],Plants!CO$1,FALSE)</f>
        <v>280</v>
      </c>
      <c r="BQ97" s="14">
        <f>VLOOKUP(t_Parts[[Plant]:[Plant]],t_Plants[],Plants!CP$1,FALSE)</f>
        <v>350</v>
      </c>
      <c r="BR97" s="14">
        <f>VLOOKUP(t_Parts[[Plant]:[Plant]],t_Plants[],Plants!CQ$1,FALSE)</f>
        <v>280</v>
      </c>
      <c r="BS97" s="14">
        <f>VLOOKUP(t_Parts[[Plant]:[Plant]],t_Plants[],Plants!CR$1,FALSE)</f>
        <v>280</v>
      </c>
      <c r="BT97" s="14">
        <f>VLOOKUP(t_Parts[[Plant]:[Plant]],t_Plants[],Plants!CS$1,FALSE)</f>
        <v>350</v>
      </c>
      <c r="BU97" s="14">
        <f>VLOOKUP(t_Parts[[Plant]:[Plant]],t_Plants[],Plants!CT$1,FALSE)</f>
        <v>280</v>
      </c>
      <c r="BV97" s="14">
        <f>VLOOKUP(t_Parts[[Plant]:[Plant]],t_Plants[],Plants!CU$1,FALSE)</f>
        <v>280</v>
      </c>
      <c r="BW97" s="14">
        <f>VLOOKUP(t_Parts[[Plant]:[Plant]],t_Plants[],Plants!CV$1,FALSE)</f>
        <v>350</v>
      </c>
      <c r="BX97" s="14">
        <f>VLOOKUP(t_Parts[[Plant]:[Plant]],t_Plants[],Plants!CW$1,FALSE)</f>
        <v>280</v>
      </c>
      <c r="BY97" s="14">
        <f>VLOOKUP(t_Parts[[Plant]:[Plant]],t_Plants[],Plants!CX$1,FALSE)</f>
        <v>280</v>
      </c>
      <c r="BZ97" s="14">
        <f>VLOOKUP(t_Parts[[Plant]:[Plant]],t_Plants[],Plants!CY$1,FALSE)</f>
        <v>350</v>
      </c>
      <c r="CA97" s="40">
        <f>SUM(t_Parts[[#This Row],[ha2015.01]:[ha2015.12]])</f>
        <v>3640</v>
      </c>
      <c r="CB97" s="14">
        <f>VLOOKUP(t_Parts[[Plant]:[Plant]],t_Plants[],Plants!DA$1,FALSE)</f>
        <v>280</v>
      </c>
      <c r="CC97" s="14">
        <f>VLOOKUP(t_Parts[[Plant]:[Plant]],t_Plants[],Plants!DB$1,FALSE)</f>
        <v>280</v>
      </c>
      <c r="CD97" s="14">
        <f>VLOOKUP(t_Parts[[Plant]:[Plant]],t_Plants[],Plants!DC$1,FALSE)</f>
        <v>350</v>
      </c>
      <c r="CE97" s="14">
        <f>VLOOKUP(t_Parts[[Plant]:[Plant]],t_Plants[],Plants!DD$1,FALSE)</f>
        <v>280</v>
      </c>
      <c r="CF97" s="14">
        <f>VLOOKUP(t_Parts[[Plant]:[Plant]],t_Plants[],Plants!DE$1,FALSE)</f>
        <v>280</v>
      </c>
      <c r="CG97" s="14">
        <f>VLOOKUP(t_Parts[[Plant]:[Plant]],t_Plants[],Plants!DF$1,FALSE)</f>
        <v>350</v>
      </c>
      <c r="CH97" s="14">
        <f>VLOOKUP(t_Parts[[Plant]:[Plant]],t_Plants[],Plants!DG$1,FALSE)</f>
        <v>280</v>
      </c>
      <c r="CI97" s="14">
        <f>VLOOKUP(t_Parts[[Plant]:[Plant]],t_Plants[],Plants!DH$1,FALSE)</f>
        <v>280</v>
      </c>
      <c r="CJ97" s="14">
        <f>VLOOKUP(t_Parts[[Plant]:[Plant]],t_Plants[],Plants!DI$1,FALSE)</f>
        <v>350</v>
      </c>
      <c r="CK97" s="14">
        <f>VLOOKUP(t_Parts[[Plant]:[Plant]],t_Plants[],Plants!DJ$1,FALSE)</f>
        <v>280</v>
      </c>
      <c r="CL97" s="14">
        <f>VLOOKUP(t_Parts[[Plant]:[Plant]],t_Plants[],Plants!DK$1,FALSE)</f>
        <v>280</v>
      </c>
      <c r="CM97" s="14">
        <f>VLOOKUP(t_Parts[[Plant]:[Plant]],t_Plants[],Plants!DL$1,FALSE)</f>
        <v>350</v>
      </c>
      <c r="CN97" s="14">
        <f>VLOOKUP(t_Parts[[Plant]:[Plant]],t_Plants[],Plants!DM$1,FALSE)</f>
        <v>3640</v>
      </c>
      <c r="CO97" s="14">
        <f>VLOOKUP(t_Parts[[Plant]:[Plant]],t_Plants[],Plants!DN$1,FALSE)</f>
        <v>3640</v>
      </c>
      <c r="CP97" s="14">
        <f>VLOOKUP(t_Parts[[Plant]:[Plant]],t_Plants[],Plants!DO$1,FALSE)</f>
        <v>3640</v>
      </c>
      <c r="CQ97" s="14">
        <f>VLOOKUP(t_Parts[[Plant]:[Plant]],t_Plants[],Plants!DP$1,FALSE)</f>
        <v>3640</v>
      </c>
      <c r="CR97" s="39">
        <f>IF(AND(AL$3&gt;=VALUE(t_Parts[[SOP]:[SOP]]),AL$3&lt;=VALUE(t_Parts[[EOP]:[EOP]])), t_Parts[[SetupHrsPerMo]:[SetupHrsPerMo]]+(t_Parts[[#This Row],[pv2015.01]]/t_Parts[[NetPPH]:[NetPPH]]),0)</f>
        <v>11.56278504104591</v>
      </c>
      <c r="CS97" s="39">
        <f>IF(AND(AM$3&gt;=VALUE(t_Parts[[SOP]:[SOP]]),AM$3&lt;=VALUE(t_Parts[[EOP]:[EOP]])), t_Parts[[SetupHrsPerMo]:[SetupHrsPerMo]]+(t_Parts[[#This Row],[pv2015.02]]/t_Parts[[NetPPH]:[NetPPH]]),0)</f>
        <v>11.56278504104591</v>
      </c>
      <c r="CT97" s="39">
        <f>IF(AND(AN$3&gt;=VALUE(t_Parts[[SOP]:[SOP]]),AN$3&lt;=VALUE(t_Parts[[EOP]:[EOP]])), t_Parts[[SetupHrsPerMo]:[SetupHrsPerMo]]+(t_Parts[[#This Row],[pv2015.03]]/t_Parts[[NetPPH]:[NetPPH]]),0)</f>
        <v>13.453481301307386</v>
      </c>
      <c r="CU97" s="39">
        <f>IF(AND(AO$3&gt;=VALUE(t_Parts[[SOP]:[SOP]]),AO$3&lt;=VALUE(t_Parts[[EOP]:[EOP]])), t_Parts[[SetupHrsPerMo]:[SetupHrsPerMo]]+(t_Parts[[#This Row],[pv2015.04]]/t_Parts[[NetPPH]:[NetPPH]]),0)</f>
        <v>11.56278504104591</v>
      </c>
      <c r="CV97" s="39">
        <f>IF(AND(AP$3&gt;=VALUE(t_Parts[[SOP]:[SOP]]),AP$3&lt;=VALUE(t_Parts[[EOP]:[EOP]])), t_Parts[[SetupHrsPerMo]:[SetupHrsPerMo]]+(t_Parts[[#This Row],[pv2015.05]]/t_Parts[[NetPPH]:[NetPPH]]),0)</f>
        <v>11.56278504104591</v>
      </c>
      <c r="CW97" s="39">
        <f>IF(AND(AQ$3&gt;=VALUE(t_Parts[[SOP]:[SOP]]),AQ$3&lt;=VALUE(t_Parts[[EOP]:[EOP]])), t_Parts[[SetupHrsPerMo]:[SetupHrsPerMo]]+(t_Parts[[#This Row],[pv2015.06]]/t_Parts[[NetPPH]:[NetPPH]]),0)</f>
        <v>13.453481301307386</v>
      </c>
      <c r="CX97" s="39">
        <f>IF(AND(AR$3&gt;=VALUE(t_Parts[[SOP]:[SOP]]),AR$3&lt;=VALUE(t_Parts[[EOP]:[EOP]])), t_Parts[[SetupHrsPerMo]:[SetupHrsPerMo]]+(t_Parts[[#This Row],[pv2015.07]]/t_Parts[[NetPPH]:[NetPPH]]),0)</f>
        <v>11.56278504104591</v>
      </c>
      <c r="CY97" s="39">
        <f>IF(AND(AS$3&gt;=VALUE(t_Parts[[SOP]:[SOP]]),AS$3&lt;=VALUE(t_Parts[[EOP]:[EOP]])), t_Parts[[SetupHrsPerMo]:[SetupHrsPerMo]]+(t_Parts[[#This Row],[pv2015.08]]/t_Parts[[NetPPH]:[NetPPH]]),0)</f>
        <v>11.56278504104591</v>
      </c>
      <c r="CZ97" s="39">
        <f>IF(AND(AT$3&gt;=VALUE(t_Parts[[SOP]:[SOP]]),AT$3&lt;=VALUE(t_Parts[[EOP]:[EOP]])), t_Parts[[SetupHrsPerMo]:[SetupHrsPerMo]]+(t_Parts[[#This Row],[pv2015.09]]/t_Parts[[NetPPH]:[NetPPH]]),0)</f>
        <v>13.453481301307386</v>
      </c>
      <c r="DA97" s="39">
        <f>IF(AND(AU$3&gt;=VALUE(t_Parts[[SOP]:[SOP]]),AU$3&lt;=VALUE(t_Parts[[EOP]:[EOP]])), t_Parts[[SetupHrsPerMo]:[SetupHrsPerMo]]+(t_Parts[[#This Row],[pv2015.10]]/t_Parts[[NetPPH]:[NetPPH]]),0)</f>
        <v>11.56278504104591</v>
      </c>
      <c r="DB97" s="39">
        <f>IF(AND(AV$3&gt;=VALUE(t_Parts[[SOP]:[SOP]]),AV$3&lt;=VALUE(t_Parts[[EOP]:[EOP]])), t_Parts[[SetupHrsPerMo]:[SetupHrsPerMo]]+(t_Parts[[#This Row],[pv2015.11]]/t_Parts[[NetPPH]:[NetPPH]]),0)</f>
        <v>11.56278504104591</v>
      </c>
      <c r="DC97" s="39">
        <f>IF(AND(AW$3&gt;=VALUE(t_Parts[[SOP]:[SOP]]),AW$3&lt;=VALUE(t_Parts[[EOP]:[EOP]])), t_Parts[[SetupHrsPerMo]:[SetupHrsPerMo]]+(t_Parts[[#This Row],[pv2015.12]]/t_Parts[[NetPPH]:[NetPPH]]),0)</f>
        <v>13.453481301307386</v>
      </c>
      <c r="DD97" s="39">
        <f>SUM(t_Parts[[#This Row],[hp2015.01]:[hp2015.12]])</f>
        <v>146.31620553359684</v>
      </c>
      <c r="DE97" s="39">
        <f>IF(AND(AY$3&gt;=VALUE(t_Parts[[SOP]:[SOP]]),AY$3&lt;=VALUE(t_Parts[[EOP]:[EOP]])), t_Parts[[SetupHrsPerMo]:[SetupHrsPerMo]]+(t_Parts[[#This Row],[pv2016.01]]/t_Parts[[NetPPH]:[NetPPH]]),0)</f>
        <v>11.56278504104591</v>
      </c>
      <c r="DF97" s="39">
        <f>IF(AND(AZ$3&gt;=VALUE(t_Parts[[SOP]:[SOP]]),AZ$3&lt;=VALUE(t_Parts[[EOP]:[EOP]])), t_Parts[[SetupHrsPerMo]:[SetupHrsPerMo]]+(t_Parts[[#This Row],[pv2016.02]]/t_Parts[[NetPPH]:[NetPPH]]),0)</f>
        <v>11.56278504104591</v>
      </c>
      <c r="DG97" s="39">
        <f>IF(AND(BA$3&gt;=VALUE(t_Parts[[SOP]:[SOP]]),BA$3&lt;=VALUE(t_Parts[[EOP]:[EOP]])), t_Parts[[SetupHrsPerMo]:[SetupHrsPerMo]]+(t_Parts[[#This Row],[pv2016.03]]/t_Parts[[NetPPH]:[NetPPH]]),0)</f>
        <v>13.453481301307386</v>
      </c>
      <c r="DH97" s="39">
        <f>IF(AND(BB$3&gt;=VALUE(t_Parts[[SOP]:[SOP]]),BB$3&lt;=VALUE(t_Parts[[EOP]:[EOP]])), t_Parts[[SetupHrsPerMo]:[SetupHrsPerMo]]+(t_Parts[[#This Row],[pv2016.04]]/t_Parts[[NetPPH]:[NetPPH]]),0)</f>
        <v>11.56278504104591</v>
      </c>
      <c r="DI97" s="39">
        <f>IF(AND(BC$3&gt;=VALUE(t_Parts[[SOP]:[SOP]]),BC$3&lt;=VALUE(t_Parts[[EOP]:[EOP]])), t_Parts[[SetupHrsPerMo]:[SetupHrsPerMo]]+(t_Parts[[#This Row],[pv2016.05]]/t_Parts[[NetPPH]:[NetPPH]]),0)</f>
        <v>11.56278504104591</v>
      </c>
      <c r="DJ97" s="39">
        <f>IF(AND(BD$3&gt;=VALUE(t_Parts[[SOP]:[SOP]]),BD$3&lt;=VALUE(t_Parts[[EOP]:[EOP]])), t_Parts[[SetupHrsPerMo]:[SetupHrsPerMo]]+(t_Parts[[#This Row],[pv2016.06]]/t_Parts[[NetPPH]:[NetPPH]]),0)</f>
        <v>13.453481301307386</v>
      </c>
      <c r="DK97" s="39">
        <f>IF(AND(BE$3&gt;=VALUE(t_Parts[[SOP]:[SOP]]),BE$3&lt;=VALUE(t_Parts[[EOP]:[EOP]])), t_Parts[[SetupHrsPerMo]:[SetupHrsPerMo]]+(t_Parts[[#This Row],[pv2016.07]]/t_Parts[[NetPPH]:[NetPPH]]),0)</f>
        <v>11.56278504104591</v>
      </c>
      <c r="DL97" s="39">
        <f>IF(AND(BF$3&gt;=VALUE(t_Parts[[SOP]:[SOP]]),BF$3&lt;=VALUE(t_Parts[[EOP]:[EOP]])), t_Parts[[SetupHrsPerMo]:[SetupHrsPerMo]]+(t_Parts[[#This Row],[pv2016.08]]/t_Parts[[NetPPH]:[NetPPH]]),0)</f>
        <v>11.56278504104591</v>
      </c>
      <c r="DM97" s="39">
        <f>IF(AND(BG$3&gt;=VALUE(t_Parts[[SOP]:[SOP]]),BG$3&lt;=VALUE(t_Parts[[EOP]:[EOP]])), t_Parts[[SetupHrsPerMo]:[SetupHrsPerMo]]+(t_Parts[[#This Row],[pv2016.09]]/t_Parts[[NetPPH]:[NetPPH]]),0)</f>
        <v>13.453481301307386</v>
      </c>
      <c r="DN97" s="39">
        <f>IF(AND(BH$3&gt;=VALUE(t_Parts[[SOP]:[SOP]]),BH$3&lt;=VALUE(t_Parts[[EOP]:[EOP]])), t_Parts[[SetupHrsPerMo]:[SetupHrsPerMo]]+(t_Parts[[#This Row],[pv2016.10]]/t_Parts[[NetPPH]:[NetPPH]]),0)</f>
        <v>11.56278504104591</v>
      </c>
      <c r="DO97" s="39">
        <f>IF(AND(BI$3&gt;=VALUE(t_Parts[[SOP]:[SOP]]),BI$3&lt;=VALUE(t_Parts[[EOP]:[EOP]])), t_Parts[[SetupHrsPerMo]:[SetupHrsPerMo]]+(t_Parts[[#This Row],[pv2016.11]]/t_Parts[[NetPPH]:[NetPPH]]),0)</f>
        <v>11.56278504104591</v>
      </c>
      <c r="DP97" s="39">
        <f>IF(AND(BJ$3&gt;=VALUE(t_Parts[[SOP]:[SOP]]),BJ$3&lt;=VALUE(t_Parts[[EOP]:[EOP]])), t_Parts[[SetupHrsPerMo]:[SetupHrsPerMo]]+(t_Parts[[#This Row],[pv2016.12]]/t_Parts[[NetPPH]:[NetPPH]]),0)</f>
        <v>13.453481301307386</v>
      </c>
      <c r="DQ97" s="39">
        <f>SUM(t_Parts[[#This Row],[hp2016.01]:[hp2016.12]])</f>
        <v>146.31620553359684</v>
      </c>
      <c r="DR97" s="39">
        <f>IF(AND(BL$3&gt;=VALUE(t_Parts[[SOP]:[SOP]]),BL$3&lt;=VALUE(t_Parts[[EOP]:[EOP]])), 12*t_Parts[[SetupHrsPerMo]:[SetupHrsPerMo]]+(t_Parts[[#This Row],[pv2017]]/t_Parts[[NetPPH]:[NetPPH]]),0)</f>
        <v>146.31620553359681</v>
      </c>
      <c r="DS97" s="39">
        <f>IF(AND(BM$3&gt;=VALUE(t_Parts[[SOP]:[SOP]]),BM$3&lt;=VALUE(t_Parts[[EOP]:[EOP]])), 12*t_Parts[[SetupHrsPerMo]:[SetupHrsPerMo]]+(t_Parts[[#This Row],[pv2018]]/t_Parts[[NetPPH]:[NetPPH]]),0)</f>
        <v>146.31620553359681</v>
      </c>
      <c r="DT97" s="39">
        <f>IF(AND(BN$3&gt;=VALUE(t_Parts[[SOP]:[SOP]]),BN$3&lt;=VALUE(t_Parts[[EOP]:[EOP]])), 12*t_Parts[[SetupHrsPerMo]:[SetupHrsPerMo]]+(t_Parts[[#This Row],[pv2019]]/t_Parts[[NetPPH]:[NetPPH]]),0)</f>
        <v>146.31620553359681</v>
      </c>
      <c r="DU97" s="47">
        <f>t_Parts[[#This Row],[hp2015.01]]/t_Parts[[#This Row],[ha2015.01]]</f>
        <v>4.1295660860878249E-2</v>
      </c>
      <c r="DV97" s="47">
        <f>t_Parts[[#This Row],[hp2015.02]]/t_Parts[[#This Row],[ha2015.02]]</f>
        <v>4.1295660860878249E-2</v>
      </c>
      <c r="DW97" s="47">
        <f>t_Parts[[#This Row],[hp2015.03]]/t_Parts[[#This Row],[ha2015.03]]</f>
        <v>3.8438518003735392E-2</v>
      </c>
      <c r="DX97" s="47">
        <f>t_Parts[[#This Row],[hp2015.04]]/t_Parts[[#This Row],[ha2015.04]]</f>
        <v>4.1295660860878249E-2</v>
      </c>
      <c r="DY97" s="47">
        <f>t_Parts[[#This Row],[hp2015.05]]/t_Parts[[#This Row],[ha2015.05]]</f>
        <v>4.1295660860878249E-2</v>
      </c>
      <c r="DZ97" s="47">
        <f>t_Parts[[#This Row],[hp2015.06]]/t_Parts[[#This Row],[ha2015.06]]</f>
        <v>3.8438518003735392E-2</v>
      </c>
      <c r="EA97" s="47">
        <f>t_Parts[[#This Row],[hp2015.07]]/t_Parts[[#This Row],[ha2015.07]]</f>
        <v>4.1295660860878249E-2</v>
      </c>
      <c r="EB97" s="47">
        <f>t_Parts[[#This Row],[hp2015.08]]/t_Parts[[#This Row],[ha2015.08]]</f>
        <v>4.1295660860878249E-2</v>
      </c>
      <c r="EC97" s="47">
        <f>t_Parts[[#This Row],[hp2015.09]]/t_Parts[[#This Row],[ha2015.09]]</f>
        <v>3.8438518003735392E-2</v>
      </c>
      <c r="ED97" s="47">
        <f>t_Parts[[#This Row],[hp2015.10]]/t_Parts[[#This Row],[ha2015.10]]</f>
        <v>4.1295660860878249E-2</v>
      </c>
      <c r="EE97" s="47">
        <f>t_Parts[[#This Row],[hp2015.11]]/t_Parts[[#This Row],[ha2015.11]]</f>
        <v>4.1295660860878249E-2</v>
      </c>
      <c r="EF97" s="47">
        <f>t_Parts[[#This Row],[hp2015.12]]/t_Parts[[#This Row],[ha2015.12]]</f>
        <v>3.8438518003735392E-2</v>
      </c>
      <c r="EG97" s="47">
        <f>t_Parts[[#This Row],[hp2015.FY]]/t_Parts[[#This Row],[ha2015.FY]]</f>
        <v>4.0196759761977154E-2</v>
      </c>
      <c r="EH97" s="47">
        <f>t_Parts[[#This Row],[hp2016.01]]/t_Parts[[#This Row],[ha2016.01]]</f>
        <v>4.1295660860878249E-2</v>
      </c>
      <c r="EI97" s="47">
        <f>t_Parts[[#This Row],[hp2016.02]]/t_Parts[[#This Row],[ha2016.02]]</f>
        <v>4.1295660860878249E-2</v>
      </c>
      <c r="EJ97" s="47">
        <f>t_Parts[[#This Row],[hp2016.03]]/t_Parts[[#This Row],[ha2016.03]]</f>
        <v>3.8438518003735392E-2</v>
      </c>
      <c r="EK97" s="47">
        <f>t_Parts[[#This Row],[hp2016.04]]/t_Parts[[#This Row],[ha2016.04]]</f>
        <v>4.1295660860878249E-2</v>
      </c>
      <c r="EL97" s="47">
        <f>t_Parts[[#This Row],[hp2016.05]]/t_Parts[[#This Row],[ha2016.05]]</f>
        <v>4.1295660860878249E-2</v>
      </c>
      <c r="EM97" s="47">
        <f>t_Parts[[#This Row],[hp2016.06]]/t_Parts[[#This Row],[ha2016.06]]</f>
        <v>3.8438518003735392E-2</v>
      </c>
      <c r="EN97" s="47">
        <f>t_Parts[[#This Row],[hp2016.07]]/t_Parts[[#This Row],[ha2016.07]]</f>
        <v>4.1295660860878249E-2</v>
      </c>
      <c r="EO97" s="47">
        <f>t_Parts[[#This Row],[hp2016.08]]/t_Parts[[#This Row],[ha2016.08]]</f>
        <v>4.1295660860878249E-2</v>
      </c>
      <c r="EP97" s="47">
        <f>t_Parts[[#This Row],[hp2016.09]]/t_Parts[[#This Row],[ha2016.09]]</f>
        <v>3.8438518003735392E-2</v>
      </c>
      <c r="EQ97" s="47">
        <f>t_Parts[[#This Row],[hp2016.10]]/t_Parts[[#This Row],[ha2016.10]]</f>
        <v>4.1295660860878249E-2</v>
      </c>
      <c r="ER97" s="47">
        <f>t_Parts[[#This Row],[hp2016.11]]/t_Parts[[#This Row],[ha2016.11]]</f>
        <v>4.1295660860878249E-2</v>
      </c>
      <c r="ES97" s="47">
        <f>t_Parts[[#This Row],[hp2016.12]]/t_Parts[[#This Row],[ha2016.12]]</f>
        <v>3.8438518003735392E-2</v>
      </c>
      <c r="ET97" s="47">
        <f>t_Parts[[#This Row],[hp2016.FY]]/t_Parts[[#This Row],[ha2016.FY]]</f>
        <v>4.0196759761977154E-2</v>
      </c>
      <c r="EU97" s="47">
        <f>t_Parts[[#This Row],[hp2017]]/t_Parts[[#This Row],[ha2017]]</f>
        <v>4.0196759761977147E-2</v>
      </c>
      <c r="EV97" s="47">
        <f>t_Parts[[#This Row],[hp2018]]/t_Parts[[#This Row],[ha2018]]</f>
        <v>4.0196759761977147E-2</v>
      </c>
      <c r="EW97" s="47">
        <f>t_Parts[[#This Row],[hp2019]]/t_Parts[[#This Row],[hp2015.01]]</f>
        <v>12.654062582171969</v>
      </c>
      <c r="EX97" s="58">
        <f>(t_Parts[[#This Row],[ha2015.01]]-t_Parts[[#This Row],[hp2015.01]])*t_Parts[[NetPPH]:[NetPPH]]</f>
        <v>407487.69230769237</v>
      </c>
      <c r="EY97" s="58">
        <f>(t_Parts[[#This Row],[ha2015.02]]-t_Parts[[#This Row],[hp2015.02]])*t_Parts[[NetPPH]:[NetPPH]]</f>
        <v>407487.69230769237</v>
      </c>
      <c r="EZ97" s="58">
        <f>(t_Parts[[#This Row],[ha2015.03]]-t_Parts[[#This Row],[hp2015.03]])*t_Parts[[NetPPH]:[NetPPH]]</f>
        <v>510877.61538461549</v>
      </c>
      <c r="FA97" s="58">
        <f>(t_Parts[[#This Row],[ha2015.04]]-t_Parts[[#This Row],[hp2015.04]])*t_Parts[[NetPPH]:[NetPPH]]</f>
        <v>407487.69230769237</v>
      </c>
      <c r="FB97" s="58">
        <f>(t_Parts[[#This Row],[ha2015.05]]-t_Parts[[#This Row],[hp2015.05]])*t_Parts[[NetPPH]:[NetPPH]]</f>
        <v>407487.69230769237</v>
      </c>
      <c r="FC97" s="58">
        <f>(t_Parts[[#This Row],[ha2015.06]]-t_Parts[[#This Row],[hp2015.06]])*t_Parts[[NetPPH]:[NetPPH]]</f>
        <v>510877.61538461549</v>
      </c>
      <c r="FD97" s="58">
        <f>(t_Parts[[#This Row],[ha2015.07]]-t_Parts[[#This Row],[hp2015.07]])*t_Parts[[NetPPH]:[NetPPH]]</f>
        <v>407487.69230769237</v>
      </c>
      <c r="FE97" s="58">
        <f>(t_Parts[[#This Row],[ha2015.08]]-t_Parts[[#This Row],[hp2015.08]])*t_Parts[[NetPPH]:[NetPPH]]</f>
        <v>407487.69230769237</v>
      </c>
      <c r="FF97" s="58">
        <f>(t_Parts[[#This Row],[ha2015.09]]-t_Parts[[#This Row],[hp2015.09]])*t_Parts[[NetPPH]:[NetPPH]]</f>
        <v>510877.61538461549</v>
      </c>
      <c r="FG97" s="58">
        <f>(t_Parts[[#This Row],[ha2015.10]]-t_Parts[[#This Row],[hp2015.10]])*t_Parts[[NetPPH]:[NetPPH]]</f>
        <v>407487.69230769237</v>
      </c>
      <c r="FH97" s="58">
        <f>(t_Parts[[#This Row],[ha2015.11]]-t_Parts[[#This Row],[hp2015.11]])*t_Parts[[NetPPH]:[NetPPH]]</f>
        <v>407487.69230769237</v>
      </c>
      <c r="FI97" s="58">
        <f>(t_Parts[[#This Row],[ha2015.12]]-t_Parts[[#This Row],[hp2015.12]])*t_Parts[[NetPPH]:[NetPPH]]</f>
        <v>510877.61538461549</v>
      </c>
      <c r="FJ97" s="58">
        <f>(t_Parts[[#This Row],[ha2015.FY]]-t_Parts[[#This Row],[hp2015.FY]])*t_Parts[[NetPPH]:[NetPPH]]</f>
        <v>5303412.0000000009</v>
      </c>
      <c r="FK97" s="58">
        <f>(t_Parts[[#This Row],[ha2016.01]]-t_Parts[[#This Row],[hp2016.01]])*t_Parts[[NetPPH]:[NetPPH]]</f>
        <v>407487.69230769237</v>
      </c>
      <c r="FL97" s="58">
        <f>(t_Parts[[#This Row],[ha2016.02]]-t_Parts[[#This Row],[hp2016.02]])*t_Parts[[NetPPH]:[NetPPH]]</f>
        <v>407487.69230769237</v>
      </c>
      <c r="FM97" s="58">
        <f>(t_Parts[[#This Row],[ha2016.03]]-t_Parts[[#This Row],[hp2016.03]])*t_Parts[[NetPPH]:[NetPPH]]</f>
        <v>510877.61538461549</v>
      </c>
      <c r="FN97" s="58">
        <f>(t_Parts[[#This Row],[ha2016.04]]-t_Parts[[#This Row],[hp2016.04]])*t_Parts[[NetPPH]:[NetPPH]]</f>
        <v>407487.69230769237</v>
      </c>
      <c r="FO97" s="58">
        <f>(t_Parts[[#This Row],[ha2016.05]]-t_Parts[[#This Row],[hp2016.05]])*t_Parts[[NetPPH]:[NetPPH]]</f>
        <v>407487.69230769237</v>
      </c>
      <c r="FP97" s="58">
        <f>(t_Parts[[#This Row],[ha2016.06]]-t_Parts[[#This Row],[hp2016.06]])*t_Parts[[NetPPH]:[NetPPH]]</f>
        <v>510877.61538461549</v>
      </c>
      <c r="FQ97" s="58">
        <f>(t_Parts[[#This Row],[ha2016.07]]-t_Parts[[#This Row],[hp2016.07]])*t_Parts[[NetPPH]:[NetPPH]]</f>
        <v>407487.69230769237</v>
      </c>
      <c r="FR97" s="58">
        <f>(t_Parts[[#This Row],[ha2016.08]]-t_Parts[[#This Row],[hp2016.08]])*t_Parts[[NetPPH]:[NetPPH]]</f>
        <v>407487.69230769237</v>
      </c>
      <c r="FS97" s="58">
        <f>(t_Parts[[#This Row],[ha2016.09]]-t_Parts[[#This Row],[hp2016.09]])*t_Parts[[NetPPH]:[NetPPH]]</f>
        <v>510877.61538461549</v>
      </c>
      <c r="FT97" s="58">
        <f>(t_Parts[[#This Row],[ha2016.10]]-t_Parts[[#This Row],[hp2016.10]])*t_Parts[[NetPPH]:[NetPPH]]</f>
        <v>407487.69230769237</v>
      </c>
      <c r="FU97" s="58">
        <f>(t_Parts[[#This Row],[ha2016.11]]-t_Parts[[#This Row],[hp2016.11]])*t_Parts[[NetPPH]:[NetPPH]]</f>
        <v>407487.69230769237</v>
      </c>
      <c r="FV97" s="58">
        <f>(t_Parts[[#This Row],[ha2016.12]]-t_Parts[[#This Row],[hp2016.12]])*t_Parts[[NetPPH]:[NetPPH]]</f>
        <v>510877.61538461549</v>
      </c>
      <c r="FW97" s="58">
        <f>(t_Parts[[#This Row],[ha2016.FY]]-t_Parts[[#This Row],[hp2016.FY]])*t_Parts[[NetPPH]:[NetPPH]]</f>
        <v>5303412.0000000009</v>
      </c>
      <c r="FX97" s="58">
        <f>(t_Parts[[#This Row],[ha2017]]-t_Parts[[#This Row],[hp2017]])*t_Parts[[NetPPH]:[NetPPH]]</f>
        <v>5303412.0000000009</v>
      </c>
      <c r="FY97" s="58">
        <f>(t_Parts[[#This Row],[ha2018]]-t_Parts[[#This Row],[hp2018]])*t_Parts[[NetPPH]:[NetPPH]]</f>
        <v>5303412.0000000009</v>
      </c>
      <c r="FZ97" s="58">
        <f>(t_Parts[[#This Row],[ha2019]]-t_Parts[[#This Row],[hp2019]])*t_Parts[[NetPPH]:[NetPPH]]</f>
        <v>5303412.0000000009</v>
      </c>
    </row>
    <row r="98" spans="1:182" s="14" customFormat="1" x14ac:dyDescent="0.25">
      <c r="A98" s="74">
        <v>29240</v>
      </c>
      <c r="B98" s="74"/>
      <c r="C98" s="74">
        <v>21003</v>
      </c>
      <c r="D98" s="75">
        <v>1</v>
      </c>
      <c r="E98" s="73">
        <v>2100</v>
      </c>
      <c r="F98" s="76">
        <v>1</v>
      </c>
      <c r="G98" s="77">
        <v>4</v>
      </c>
      <c r="H98" s="16">
        <v>2015.01</v>
      </c>
      <c r="I98" s="16" t="s">
        <v>83</v>
      </c>
      <c r="J98" s="73">
        <v>149244</v>
      </c>
      <c r="K98" s="73">
        <v>149244</v>
      </c>
      <c r="L98" s="73">
        <v>149244</v>
      </c>
      <c r="M98" s="73">
        <v>149244</v>
      </c>
      <c r="N98" s="73">
        <v>149244</v>
      </c>
      <c r="O98" s="78"/>
      <c r="P98" s="78"/>
      <c r="Q98" s="79">
        <v>22.43</v>
      </c>
      <c r="R98" s="79"/>
      <c r="S98" s="78">
        <v>166</v>
      </c>
      <c r="T98" s="80"/>
      <c r="U98" s="80" t="s">
        <v>121</v>
      </c>
      <c r="V98" s="81" t="s">
        <v>618</v>
      </c>
      <c r="W98" s="82">
        <v>1.6060000000000001</v>
      </c>
      <c r="X98" s="82" t="s">
        <v>495</v>
      </c>
      <c r="Y98" s="82"/>
      <c r="Z98" s="82"/>
      <c r="AA98" s="82"/>
      <c r="AB98" s="82"/>
      <c r="AC98" s="83" t="s">
        <v>667</v>
      </c>
      <c r="AD98" s="40" t="str">
        <f>VLOOKUP(t_Parts[[#This Row],[Press]],t_Presses[],Press!B$1,FALSE)</f>
        <v>Plainfield</v>
      </c>
      <c r="AE98" s="40" t="str">
        <f>VLOOKUP(t_Parts[[#This Row],[Press]],t_Presses[],Press!E$1,FALSE)</f>
        <v>300-599</v>
      </c>
      <c r="AF98" s="47">
        <f>VLOOKUP(t_Parts[[#This Row],[Plant]],t_Plants[],Plants!C$1,FALSE)</f>
        <v>0.55000000000000004</v>
      </c>
      <c r="AG98" s="47">
        <f>VLOOKUP(t_Parts[[#This Row],[Press]],t_Presses[],Press!F$1,FALSE)</f>
        <v>0</v>
      </c>
      <c r="AH98" s="84"/>
      <c r="AI98" s="47">
        <f>IF(ISBLANK(t_Parts[[#This Row],[PartOEE]])=FALSE,t_Parts[[#This Row],[PartOEE]], IF(t_Parts[[#This Row],[PressOEE]]&gt;0, t_Parts[[#This Row],[PressOEE]], t_Parts[[#This Row],[PlantOEE]] ))</f>
        <v>0.55000000000000004</v>
      </c>
      <c r="AJ98" s="70">
        <f>t_Parts[[#This Row],[SetupsPerMo]]*t_Parts[[#This Row],[SetupHrs]]</f>
        <v>4</v>
      </c>
      <c r="AK98" s="39">
        <f>(t_Parts[[#This Row],[PartsPerStroke]]*t_Parts[[#This Row],[StrokesPerHr]])*t_Parts[[#This Row],[UseOEE]]</f>
        <v>1155</v>
      </c>
      <c r="AL9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11480.307692307693</v>
      </c>
      <c r="AM9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11480.307692307693</v>
      </c>
      <c r="AN9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9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11480.307692307693</v>
      </c>
      <c r="AP9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11480.307692307693</v>
      </c>
      <c r="AQ9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9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11480.307692307693</v>
      </c>
      <c r="AS9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11480.307692307693</v>
      </c>
      <c r="AT9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9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11480.307692307693</v>
      </c>
      <c r="AV9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11480.307692307693</v>
      </c>
      <c r="AW9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98" s="39">
        <f>SUM(t_Parts[[#This Row],[pv2015.01]:[pv2015.12]])</f>
        <v>149244</v>
      </c>
      <c r="AY9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9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9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9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9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9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9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9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9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9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9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9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98" s="39">
        <f>SUM(t_Parts[[#This Row],[pv2016.01]:[pv2016.12]])</f>
        <v>149244</v>
      </c>
      <c r="BL98" s="39">
        <f>t_Parts[[#This Row],[2017vol]]</f>
        <v>149244</v>
      </c>
      <c r="BM98" s="39">
        <f>t_Parts[[#This Row],[2018vol]]</f>
        <v>149244</v>
      </c>
      <c r="BN98" s="39">
        <f>t_Parts[[#This Row],[2019vol]]</f>
        <v>149244</v>
      </c>
      <c r="BO98" s="40">
        <f>VLOOKUP(t_Parts[[Plant]:[Plant]],t_Plants[],Plants!CN$1,FALSE)</f>
        <v>280</v>
      </c>
      <c r="BP98" s="14">
        <f>VLOOKUP(t_Parts[[Plant]:[Plant]],t_Plants[],Plants!CO$1,FALSE)</f>
        <v>280</v>
      </c>
      <c r="BQ98" s="14">
        <f>VLOOKUP(t_Parts[[Plant]:[Plant]],t_Plants[],Plants!CP$1,FALSE)</f>
        <v>350</v>
      </c>
      <c r="BR98" s="14">
        <f>VLOOKUP(t_Parts[[Plant]:[Plant]],t_Plants[],Plants!CQ$1,FALSE)</f>
        <v>280</v>
      </c>
      <c r="BS98" s="14">
        <f>VLOOKUP(t_Parts[[Plant]:[Plant]],t_Plants[],Plants!CR$1,FALSE)</f>
        <v>280</v>
      </c>
      <c r="BT98" s="14">
        <f>VLOOKUP(t_Parts[[Plant]:[Plant]],t_Plants[],Plants!CS$1,FALSE)</f>
        <v>350</v>
      </c>
      <c r="BU98" s="14">
        <f>VLOOKUP(t_Parts[[Plant]:[Plant]],t_Plants[],Plants!CT$1,FALSE)</f>
        <v>280</v>
      </c>
      <c r="BV98" s="14">
        <f>VLOOKUP(t_Parts[[Plant]:[Plant]],t_Plants[],Plants!CU$1,FALSE)</f>
        <v>280</v>
      </c>
      <c r="BW98" s="14">
        <f>VLOOKUP(t_Parts[[Plant]:[Plant]],t_Plants[],Plants!CV$1,FALSE)</f>
        <v>350</v>
      </c>
      <c r="BX98" s="14">
        <f>VLOOKUP(t_Parts[[Plant]:[Plant]],t_Plants[],Plants!CW$1,FALSE)</f>
        <v>280</v>
      </c>
      <c r="BY98" s="14">
        <f>VLOOKUP(t_Parts[[Plant]:[Plant]],t_Plants[],Plants!CX$1,FALSE)</f>
        <v>280</v>
      </c>
      <c r="BZ98" s="14">
        <f>VLOOKUP(t_Parts[[Plant]:[Plant]],t_Plants[],Plants!CY$1,FALSE)</f>
        <v>350</v>
      </c>
      <c r="CA98" s="40">
        <f>SUM(t_Parts[[#This Row],[ha2015.01]:[ha2015.12]])</f>
        <v>3640</v>
      </c>
      <c r="CB98" s="14">
        <f>VLOOKUP(t_Parts[[Plant]:[Plant]],t_Plants[],Plants!DA$1,FALSE)</f>
        <v>280</v>
      </c>
      <c r="CC98" s="14">
        <f>VLOOKUP(t_Parts[[Plant]:[Plant]],t_Plants[],Plants!DB$1,FALSE)</f>
        <v>280</v>
      </c>
      <c r="CD98" s="14">
        <f>VLOOKUP(t_Parts[[Plant]:[Plant]],t_Plants[],Plants!DC$1,FALSE)</f>
        <v>350</v>
      </c>
      <c r="CE98" s="14">
        <f>VLOOKUP(t_Parts[[Plant]:[Plant]],t_Plants[],Plants!DD$1,FALSE)</f>
        <v>280</v>
      </c>
      <c r="CF98" s="14">
        <f>VLOOKUP(t_Parts[[Plant]:[Plant]],t_Plants[],Plants!DE$1,FALSE)</f>
        <v>280</v>
      </c>
      <c r="CG98" s="14">
        <f>VLOOKUP(t_Parts[[Plant]:[Plant]],t_Plants[],Plants!DF$1,FALSE)</f>
        <v>350</v>
      </c>
      <c r="CH98" s="14">
        <f>VLOOKUP(t_Parts[[Plant]:[Plant]],t_Plants[],Plants!DG$1,FALSE)</f>
        <v>280</v>
      </c>
      <c r="CI98" s="14">
        <f>VLOOKUP(t_Parts[[Plant]:[Plant]],t_Plants[],Plants!DH$1,FALSE)</f>
        <v>280</v>
      </c>
      <c r="CJ98" s="14">
        <f>VLOOKUP(t_Parts[[Plant]:[Plant]],t_Plants[],Plants!DI$1,FALSE)</f>
        <v>350</v>
      </c>
      <c r="CK98" s="14">
        <f>VLOOKUP(t_Parts[[Plant]:[Plant]],t_Plants[],Plants!DJ$1,FALSE)</f>
        <v>280</v>
      </c>
      <c r="CL98" s="14">
        <f>VLOOKUP(t_Parts[[Plant]:[Plant]],t_Plants[],Plants!DK$1,FALSE)</f>
        <v>280</v>
      </c>
      <c r="CM98" s="14">
        <f>VLOOKUP(t_Parts[[Plant]:[Plant]],t_Plants[],Plants!DL$1,FALSE)</f>
        <v>350</v>
      </c>
      <c r="CN98" s="14">
        <f>VLOOKUP(t_Parts[[Plant]:[Plant]],t_Plants[],Plants!DM$1,FALSE)</f>
        <v>3640</v>
      </c>
      <c r="CO98" s="14">
        <f>VLOOKUP(t_Parts[[Plant]:[Plant]],t_Plants[],Plants!DN$1,FALSE)</f>
        <v>3640</v>
      </c>
      <c r="CP98" s="14">
        <f>VLOOKUP(t_Parts[[Plant]:[Plant]],t_Plants[],Plants!DO$1,FALSE)</f>
        <v>3640</v>
      </c>
      <c r="CQ98" s="14">
        <f>VLOOKUP(t_Parts[[Plant]:[Plant]],t_Plants[],Plants!DP$1,FALSE)</f>
        <v>3640</v>
      </c>
      <c r="CR98" s="39">
        <f>IF(AND(AL$3&gt;=VALUE(t_Parts[[SOP]:[SOP]]),AL$3&lt;=VALUE(t_Parts[[EOP]:[EOP]])), t_Parts[[SetupHrsPerMo]:[SetupHrsPerMo]]+(t_Parts[[#This Row],[pv2015.01]]/t_Parts[[NetPPH]:[NetPPH]]),0)</f>
        <v>13.939660339660341</v>
      </c>
      <c r="CS98" s="39">
        <f>IF(AND(AM$3&gt;=VALUE(t_Parts[[SOP]:[SOP]]),AM$3&lt;=VALUE(t_Parts[[EOP]:[EOP]])), t_Parts[[SetupHrsPerMo]:[SetupHrsPerMo]]+(t_Parts[[#This Row],[pv2015.02]]/t_Parts[[NetPPH]:[NetPPH]]),0)</f>
        <v>13.939660339660341</v>
      </c>
      <c r="CT98" s="39">
        <f>IF(AND(AN$3&gt;=VALUE(t_Parts[[SOP]:[SOP]]),AN$3&lt;=VALUE(t_Parts[[EOP]:[EOP]])), t_Parts[[SetupHrsPerMo]:[SetupHrsPerMo]]+(t_Parts[[#This Row],[pv2015.03]]/t_Parts[[NetPPH]:[NetPPH]]),0)</f>
        <v>16.424575424575423</v>
      </c>
      <c r="CU98" s="39">
        <f>IF(AND(AO$3&gt;=VALUE(t_Parts[[SOP]:[SOP]]),AO$3&lt;=VALUE(t_Parts[[EOP]:[EOP]])), t_Parts[[SetupHrsPerMo]:[SetupHrsPerMo]]+(t_Parts[[#This Row],[pv2015.04]]/t_Parts[[NetPPH]:[NetPPH]]),0)</f>
        <v>13.939660339660341</v>
      </c>
      <c r="CV98" s="39">
        <f>IF(AND(AP$3&gt;=VALUE(t_Parts[[SOP]:[SOP]]),AP$3&lt;=VALUE(t_Parts[[EOP]:[EOP]])), t_Parts[[SetupHrsPerMo]:[SetupHrsPerMo]]+(t_Parts[[#This Row],[pv2015.05]]/t_Parts[[NetPPH]:[NetPPH]]),0)</f>
        <v>13.939660339660341</v>
      </c>
      <c r="CW98" s="39">
        <f>IF(AND(AQ$3&gt;=VALUE(t_Parts[[SOP]:[SOP]]),AQ$3&lt;=VALUE(t_Parts[[EOP]:[EOP]])), t_Parts[[SetupHrsPerMo]:[SetupHrsPerMo]]+(t_Parts[[#This Row],[pv2015.06]]/t_Parts[[NetPPH]:[NetPPH]]),0)</f>
        <v>16.424575424575423</v>
      </c>
      <c r="CX98" s="39">
        <f>IF(AND(AR$3&gt;=VALUE(t_Parts[[SOP]:[SOP]]),AR$3&lt;=VALUE(t_Parts[[EOP]:[EOP]])), t_Parts[[SetupHrsPerMo]:[SetupHrsPerMo]]+(t_Parts[[#This Row],[pv2015.07]]/t_Parts[[NetPPH]:[NetPPH]]),0)</f>
        <v>13.939660339660341</v>
      </c>
      <c r="CY98" s="39">
        <f>IF(AND(AS$3&gt;=VALUE(t_Parts[[SOP]:[SOP]]),AS$3&lt;=VALUE(t_Parts[[EOP]:[EOP]])), t_Parts[[SetupHrsPerMo]:[SetupHrsPerMo]]+(t_Parts[[#This Row],[pv2015.08]]/t_Parts[[NetPPH]:[NetPPH]]),0)</f>
        <v>13.939660339660341</v>
      </c>
      <c r="CZ98" s="39">
        <f>IF(AND(AT$3&gt;=VALUE(t_Parts[[SOP]:[SOP]]),AT$3&lt;=VALUE(t_Parts[[EOP]:[EOP]])), t_Parts[[SetupHrsPerMo]:[SetupHrsPerMo]]+(t_Parts[[#This Row],[pv2015.09]]/t_Parts[[NetPPH]:[NetPPH]]),0)</f>
        <v>16.424575424575423</v>
      </c>
      <c r="DA98" s="39">
        <f>IF(AND(AU$3&gt;=VALUE(t_Parts[[SOP]:[SOP]]),AU$3&lt;=VALUE(t_Parts[[EOP]:[EOP]])), t_Parts[[SetupHrsPerMo]:[SetupHrsPerMo]]+(t_Parts[[#This Row],[pv2015.10]]/t_Parts[[NetPPH]:[NetPPH]]),0)</f>
        <v>13.939660339660341</v>
      </c>
      <c r="DB98" s="39">
        <f>IF(AND(AV$3&gt;=VALUE(t_Parts[[SOP]:[SOP]]),AV$3&lt;=VALUE(t_Parts[[EOP]:[EOP]])), t_Parts[[SetupHrsPerMo]:[SetupHrsPerMo]]+(t_Parts[[#This Row],[pv2015.11]]/t_Parts[[NetPPH]:[NetPPH]]),0)</f>
        <v>13.939660339660341</v>
      </c>
      <c r="DC98" s="39">
        <f>IF(AND(AW$3&gt;=VALUE(t_Parts[[SOP]:[SOP]]),AW$3&lt;=VALUE(t_Parts[[EOP]:[EOP]])), t_Parts[[SetupHrsPerMo]:[SetupHrsPerMo]]+(t_Parts[[#This Row],[pv2015.12]]/t_Parts[[NetPPH]:[NetPPH]]),0)</f>
        <v>16.424575424575423</v>
      </c>
      <c r="DD98" s="39">
        <f>SUM(t_Parts[[#This Row],[hp2015.01]:[hp2015.12]])</f>
        <v>177.21558441558443</v>
      </c>
      <c r="DE98" s="39">
        <f>IF(AND(AY$3&gt;=VALUE(t_Parts[[SOP]:[SOP]]),AY$3&lt;=VALUE(t_Parts[[EOP]:[EOP]])), t_Parts[[SetupHrsPerMo]:[SetupHrsPerMo]]+(t_Parts[[#This Row],[pv2016.01]]/t_Parts[[NetPPH]:[NetPPH]]),0)</f>
        <v>13.939660339660341</v>
      </c>
      <c r="DF98" s="39">
        <f>IF(AND(AZ$3&gt;=VALUE(t_Parts[[SOP]:[SOP]]),AZ$3&lt;=VALUE(t_Parts[[EOP]:[EOP]])), t_Parts[[SetupHrsPerMo]:[SetupHrsPerMo]]+(t_Parts[[#This Row],[pv2016.02]]/t_Parts[[NetPPH]:[NetPPH]]),0)</f>
        <v>13.939660339660341</v>
      </c>
      <c r="DG98" s="39">
        <f>IF(AND(BA$3&gt;=VALUE(t_Parts[[SOP]:[SOP]]),BA$3&lt;=VALUE(t_Parts[[EOP]:[EOP]])), t_Parts[[SetupHrsPerMo]:[SetupHrsPerMo]]+(t_Parts[[#This Row],[pv2016.03]]/t_Parts[[NetPPH]:[NetPPH]]),0)</f>
        <v>16.424575424575423</v>
      </c>
      <c r="DH98" s="39">
        <f>IF(AND(BB$3&gt;=VALUE(t_Parts[[SOP]:[SOP]]),BB$3&lt;=VALUE(t_Parts[[EOP]:[EOP]])), t_Parts[[SetupHrsPerMo]:[SetupHrsPerMo]]+(t_Parts[[#This Row],[pv2016.04]]/t_Parts[[NetPPH]:[NetPPH]]),0)</f>
        <v>13.939660339660341</v>
      </c>
      <c r="DI98" s="39">
        <f>IF(AND(BC$3&gt;=VALUE(t_Parts[[SOP]:[SOP]]),BC$3&lt;=VALUE(t_Parts[[EOP]:[EOP]])), t_Parts[[SetupHrsPerMo]:[SetupHrsPerMo]]+(t_Parts[[#This Row],[pv2016.05]]/t_Parts[[NetPPH]:[NetPPH]]),0)</f>
        <v>13.939660339660341</v>
      </c>
      <c r="DJ98" s="39">
        <f>IF(AND(BD$3&gt;=VALUE(t_Parts[[SOP]:[SOP]]),BD$3&lt;=VALUE(t_Parts[[EOP]:[EOP]])), t_Parts[[SetupHrsPerMo]:[SetupHrsPerMo]]+(t_Parts[[#This Row],[pv2016.06]]/t_Parts[[NetPPH]:[NetPPH]]),0)</f>
        <v>16.424575424575423</v>
      </c>
      <c r="DK98" s="39">
        <f>IF(AND(BE$3&gt;=VALUE(t_Parts[[SOP]:[SOP]]),BE$3&lt;=VALUE(t_Parts[[EOP]:[EOP]])), t_Parts[[SetupHrsPerMo]:[SetupHrsPerMo]]+(t_Parts[[#This Row],[pv2016.07]]/t_Parts[[NetPPH]:[NetPPH]]),0)</f>
        <v>13.939660339660341</v>
      </c>
      <c r="DL98" s="39">
        <f>IF(AND(BF$3&gt;=VALUE(t_Parts[[SOP]:[SOP]]),BF$3&lt;=VALUE(t_Parts[[EOP]:[EOP]])), t_Parts[[SetupHrsPerMo]:[SetupHrsPerMo]]+(t_Parts[[#This Row],[pv2016.08]]/t_Parts[[NetPPH]:[NetPPH]]),0)</f>
        <v>13.939660339660341</v>
      </c>
      <c r="DM98" s="39">
        <f>IF(AND(BG$3&gt;=VALUE(t_Parts[[SOP]:[SOP]]),BG$3&lt;=VALUE(t_Parts[[EOP]:[EOP]])), t_Parts[[SetupHrsPerMo]:[SetupHrsPerMo]]+(t_Parts[[#This Row],[pv2016.09]]/t_Parts[[NetPPH]:[NetPPH]]),0)</f>
        <v>16.424575424575423</v>
      </c>
      <c r="DN98" s="39">
        <f>IF(AND(BH$3&gt;=VALUE(t_Parts[[SOP]:[SOP]]),BH$3&lt;=VALUE(t_Parts[[EOP]:[EOP]])), t_Parts[[SetupHrsPerMo]:[SetupHrsPerMo]]+(t_Parts[[#This Row],[pv2016.10]]/t_Parts[[NetPPH]:[NetPPH]]),0)</f>
        <v>13.939660339660341</v>
      </c>
      <c r="DO98" s="39">
        <f>IF(AND(BI$3&gt;=VALUE(t_Parts[[SOP]:[SOP]]),BI$3&lt;=VALUE(t_Parts[[EOP]:[EOP]])), t_Parts[[SetupHrsPerMo]:[SetupHrsPerMo]]+(t_Parts[[#This Row],[pv2016.11]]/t_Parts[[NetPPH]:[NetPPH]]),0)</f>
        <v>13.939660339660341</v>
      </c>
      <c r="DP98" s="39">
        <f>IF(AND(BJ$3&gt;=VALUE(t_Parts[[SOP]:[SOP]]),BJ$3&lt;=VALUE(t_Parts[[EOP]:[EOP]])), t_Parts[[SetupHrsPerMo]:[SetupHrsPerMo]]+(t_Parts[[#This Row],[pv2016.12]]/t_Parts[[NetPPH]:[NetPPH]]),0)</f>
        <v>16.424575424575423</v>
      </c>
      <c r="DQ98" s="39">
        <f>SUM(t_Parts[[#This Row],[hp2016.01]:[hp2016.12]])</f>
        <v>177.21558441558443</v>
      </c>
      <c r="DR98" s="39">
        <f>IF(AND(BL$3&gt;=VALUE(t_Parts[[SOP]:[SOP]]),BL$3&lt;=VALUE(t_Parts[[EOP]:[EOP]])), 12*t_Parts[[SetupHrsPerMo]:[SetupHrsPerMo]]+(t_Parts[[#This Row],[pv2017]]/t_Parts[[NetPPH]:[NetPPH]]),0)</f>
        <v>177.2155844155844</v>
      </c>
      <c r="DS98" s="39">
        <f>IF(AND(BM$3&gt;=VALUE(t_Parts[[SOP]:[SOP]]),BM$3&lt;=VALUE(t_Parts[[EOP]:[EOP]])), 12*t_Parts[[SetupHrsPerMo]:[SetupHrsPerMo]]+(t_Parts[[#This Row],[pv2018]]/t_Parts[[NetPPH]:[NetPPH]]),0)</f>
        <v>177.2155844155844</v>
      </c>
      <c r="DT98" s="39">
        <f>IF(AND(BN$3&gt;=VALUE(t_Parts[[SOP]:[SOP]]),BN$3&lt;=VALUE(t_Parts[[EOP]:[EOP]])), 12*t_Parts[[SetupHrsPerMo]:[SetupHrsPerMo]]+(t_Parts[[#This Row],[pv2019]]/t_Parts[[NetPPH]:[NetPPH]]),0)</f>
        <v>177.2155844155844</v>
      </c>
      <c r="DU98" s="47">
        <f>t_Parts[[#This Row],[hp2015.01]]/t_Parts[[#This Row],[ha2015.01]]</f>
        <v>4.9784501213072645E-2</v>
      </c>
      <c r="DV98" s="47">
        <f>t_Parts[[#This Row],[hp2015.02]]/t_Parts[[#This Row],[ha2015.02]]</f>
        <v>4.9784501213072645E-2</v>
      </c>
      <c r="DW98" s="47">
        <f>t_Parts[[#This Row],[hp2015.03]]/t_Parts[[#This Row],[ha2015.03]]</f>
        <v>4.6927358355929781E-2</v>
      </c>
      <c r="DX98" s="47">
        <f>t_Parts[[#This Row],[hp2015.04]]/t_Parts[[#This Row],[ha2015.04]]</f>
        <v>4.9784501213072645E-2</v>
      </c>
      <c r="DY98" s="47">
        <f>t_Parts[[#This Row],[hp2015.05]]/t_Parts[[#This Row],[ha2015.05]]</f>
        <v>4.9784501213072645E-2</v>
      </c>
      <c r="DZ98" s="47">
        <f>t_Parts[[#This Row],[hp2015.06]]/t_Parts[[#This Row],[ha2015.06]]</f>
        <v>4.6927358355929781E-2</v>
      </c>
      <c r="EA98" s="47">
        <f>t_Parts[[#This Row],[hp2015.07]]/t_Parts[[#This Row],[ha2015.07]]</f>
        <v>4.9784501213072645E-2</v>
      </c>
      <c r="EB98" s="47">
        <f>t_Parts[[#This Row],[hp2015.08]]/t_Parts[[#This Row],[ha2015.08]]</f>
        <v>4.9784501213072645E-2</v>
      </c>
      <c r="EC98" s="47">
        <f>t_Parts[[#This Row],[hp2015.09]]/t_Parts[[#This Row],[ha2015.09]]</f>
        <v>4.6927358355929781E-2</v>
      </c>
      <c r="ED98" s="47">
        <f>t_Parts[[#This Row],[hp2015.10]]/t_Parts[[#This Row],[ha2015.10]]</f>
        <v>4.9784501213072645E-2</v>
      </c>
      <c r="EE98" s="47">
        <f>t_Parts[[#This Row],[hp2015.11]]/t_Parts[[#This Row],[ha2015.11]]</f>
        <v>4.9784501213072645E-2</v>
      </c>
      <c r="EF98" s="47">
        <f>t_Parts[[#This Row],[hp2015.12]]/t_Parts[[#This Row],[ha2015.12]]</f>
        <v>4.6927358355929781E-2</v>
      </c>
      <c r="EG98" s="47">
        <f>t_Parts[[#This Row],[hp2015.FY]]/t_Parts[[#This Row],[ha2015.FY]]</f>
        <v>4.868560011417155E-2</v>
      </c>
      <c r="EH98" s="47">
        <f>t_Parts[[#This Row],[hp2016.01]]/t_Parts[[#This Row],[ha2016.01]]</f>
        <v>4.9784501213072645E-2</v>
      </c>
      <c r="EI98" s="47">
        <f>t_Parts[[#This Row],[hp2016.02]]/t_Parts[[#This Row],[ha2016.02]]</f>
        <v>4.9784501213072645E-2</v>
      </c>
      <c r="EJ98" s="47">
        <f>t_Parts[[#This Row],[hp2016.03]]/t_Parts[[#This Row],[ha2016.03]]</f>
        <v>4.6927358355929781E-2</v>
      </c>
      <c r="EK98" s="47">
        <f>t_Parts[[#This Row],[hp2016.04]]/t_Parts[[#This Row],[ha2016.04]]</f>
        <v>4.9784501213072645E-2</v>
      </c>
      <c r="EL98" s="47">
        <f>t_Parts[[#This Row],[hp2016.05]]/t_Parts[[#This Row],[ha2016.05]]</f>
        <v>4.9784501213072645E-2</v>
      </c>
      <c r="EM98" s="47">
        <f>t_Parts[[#This Row],[hp2016.06]]/t_Parts[[#This Row],[ha2016.06]]</f>
        <v>4.6927358355929781E-2</v>
      </c>
      <c r="EN98" s="47">
        <f>t_Parts[[#This Row],[hp2016.07]]/t_Parts[[#This Row],[ha2016.07]]</f>
        <v>4.9784501213072645E-2</v>
      </c>
      <c r="EO98" s="47">
        <f>t_Parts[[#This Row],[hp2016.08]]/t_Parts[[#This Row],[ha2016.08]]</f>
        <v>4.9784501213072645E-2</v>
      </c>
      <c r="EP98" s="47">
        <f>t_Parts[[#This Row],[hp2016.09]]/t_Parts[[#This Row],[ha2016.09]]</f>
        <v>4.6927358355929781E-2</v>
      </c>
      <c r="EQ98" s="47">
        <f>t_Parts[[#This Row],[hp2016.10]]/t_Parts[[#This Row],[ha2016.10]]</f>
        <v>4.9784501213072645E-2</v>
      </c>
      <c r="ER98" s="47">
        <f>t_Parts[[#This Row],[hp2016.11]]/t_Parts[[#This Row],[ha2016.11]]</f>
        <v>4.9784501213072645E-2</v>
      </c>
      <c r="ES98" s="47">
        <f>t_Parts[[#This Row],[hp2016.12]]/t_Parts[[#This Row],[ha2016.12]]</f>
        <v>4.6927358355929781E-2</v>
      </c>
      <c r="ET98" s="47">
        <f>t_Parts[[#This Row],[hp2016.FY]]/t_Parts[[#This Row],[ha2016.FY]]</f>
        <v>4.868560011417155E-2</v>
      </c>
      <c r="EU98" s="47">
        <f>t_Parts[[#This Row],[hp2017]]/t_Parts[[#This Row],[ha2017]]</f>
        <v>4.8685600114171536E-2</v>
      </c>
      <c r="EV98" s="47">
        <f>t_Parts[[#This Row],[hp2018]]/t_Parts[[#This Row],[ha2018]]</f>
        <v>4.8685600114171536E-2</v>
      </c>
      <c r="EW98" s="47">
        <f>t_Parts[[#This Row],[hp2019]]/t_Parts[[#This Row],[hp2015.01]]</f>
        <v>12.713048962274966</v>
      </c>
      <c r="EX98" s="58">
        <f>(t_Parts[[#This Row],[ha2015.01]]-t_Parts[[#This Row],[hp2015.01]])*t_Parts[[NetPPH]:[NetPPH]]</f>
        <v>307299.69230769231</v>
      </c>
      <c r="EY98" s="58">
        <f>(t_Parts[[#This Row],[ha2015.02]]-t_Parts[[#This Row],[hp2015.02]])*t_Parts[[NetPPH]:[NetPPH]]</f>
        <v>307299.69230769231</v>
      </c>
      <c r="EZ98" s="58">
        <f>(t_Parts[[#This Row],[ha2015.03]]-t_Parts[[#This Row],[hp2015.03]])*t_Parts[[NetPPH]:[NetPPH]]</f>
        <v>385279.61538461538</v>
      </c>
      <c r="FA98" s="58">
        <f>(t_Parts[[#This Row],[ha2015.04]]-t_Parts[[#This Row],[hp2015.04]])*t_Parts[[NetPPH]:[NetPPH]]</f>
        <v>307299.69230769231</v>
      </c>
      <c r="FB98" s="58">
        <f>(t_Parts[[#This Row],[ha2015.05]]-t_Parts[[#This Row],[hp2015.05]])*t_Parts[[NetPPH]:[NetPPH]]</f>
        <v>307299.69230769231</v>
      </c>
      <c r="FC98" s="58">
        <f>(t_Parts[[#This Row],[ha2015.06]]-t_Parts[[#This Row],[hp2015.06]])*t_Parts[[NetPPH]:[NetPPH]]</f>
        <v>385279.61538461538</v>
      </c>
      <c r="FD98" s="58">
        <f>(t_Parts[[#This Row],[ha2015.07]]-t_Parts[[#This Row],[hp2015.07]])*t_Parts[[NetPPH]:[NetPPH]]</f>
        <v>307299.69230769231</v>
      </c>
      <c r="FE98" s="58">
        <f>(t_Parts[[#This Row],[ha2015.08]]-t_Parts[[#This Row],[hp2015.08]])*t_Parts[[NetPPH]:[NetPPH]]</f>
        <v>307299.69230769231</v>
      </c>
      <c r="FF98" s="58">
        <f>(t_Parts[[#This Row],[ha2015.09]]-t_Parts[[#This Row],[hp2015.09]])*t_Parts[[NetPPH]:[NetPPH]]</f>
        <v>385279.61538461538</v>
      </c>
      <c r="FG98" s="58">
        <f>(t_Parts[[#This Row],[ha2015.10]]-t_Parts[[#This Row],[hp2015.10]])*t_Parts[[NetPPH]:[NetPPH]]</f>
        <v>307299.69230769231</v>
      </c>
      <c r="FH98" s="58">
        <f>(t_Parts[[#This Row],[ha2015.11]]-t_Parts[[#This Row],[hp2015.11]])*t_Parts[[NetPPH]:[NetPPH]]</f>
        <v>307299.69230769231</v>
      </c>
      <c r="FI98" s="58">
        <f>(t_Parts[[#This Row],[ha2015.12]]-t_Parts[[#This Row],[hp2015.12]])*t_Parts[[NetPPH]:[NetPPH]]</f>
        <v>385279.61538461538</v>
      </c>
      <c r="FJ98" s="58">
        <f>(t_Parts[[#This Row],[ha2015.FY]]-t_Parts[[#This Row],[hp2015.FY]])*t_Parts[[NetPPH]:[NetPPH]]</f>
        <v>3999516</v>
      </c>
      <c r="FK98" s="58">
        <f>(t_Parts[[#This Row],[ha2016.01]]-t_Parts[[#This Row],[hp2016.01]])*t_Parts[[NetPPH]:[NetPPH]]</f>
        <v>307299.69230769231</v>
      </c>
      <c r="FL98" s="58">
        <f>(t_Parts[[#This Row],[ha2016.02]]-t_Parts[[#This Row],[hp2016.02]])*t_Parts[[NetPPH]:[NetPPH]]</f>
        <v>307299.69230769231</v>
      </c>
      <c r="FM98" s="58">
        <f>(t_Parts[[#This Row],[ha2016.03]]-t_Parts[[#This Row],[hp2016.03]])*t_Parts[[NetPPH]:[NetPPH]]</f>
        <v>385279.61538461538</v>
      </c>
      <c r="FN98" s="58">
        <f>(t_Parts[[#This Row],[ha2016.04]]-t_Parts[[#This Row],[hp2016.04]])*t_Parts[[NetPPH]:[NetPPH]]</f>
        <v>307299.69230769231</v>
      </c>
      <c r="FO98" s="58">
        <f>(t_Parts[[#This Row],[ha2016.05]]-t_Parts[[#This Row],[hp2016.05]])*t_Parts[[NetPPH]:[NetPPH]]</f>
        <v>307299.69230769231</v>
      </c>
      <c r="FP98" s="58">
        <f>(t_Parts[[#This Row],[ha2016.06]]-t_Parts[[#This Row],[hp2016.06]])*t_Parts[[NetPPH]:[NetPPH]]</f>
        <v>385279.61538461538</v>
      </c>
      <c r="FQ98" s="58">
        <f>(t_Parts[[#This Row],[ha2016.07]]-t_Parts[[#This Row],[hp2016.07]])*t_Parts[[NetPPH]:[NetPPH]]</f>
        <v>307299.69230769231</v>
      </c>
      <c r="FR98" s="58">
        <f>(t_Parts[[#This Row],[ha2016.08]]-t_Parts[[#This Row],[hp2016.08]])*t_Parts[[NetPPH]:[NetPPH]]</f>
        <v>307299.69230769231</v>
      </c>
      <c r="FS98" s="58">
        <f>(t_Parts[[#This Row],[ha2016.09]]-t_Parts[[#This Row],[hp2016.09]])*t_Parts[[NetPPH]:[NetPPH]]</f>
        <v>385279.61538461538</v>
      </c>
      <c r="FT98" s="58">
        <f>(t_Parts[[#This Row],[ha2016.10]]-t_Parts[[#This Row],[hp2016.10]])*t_Parts[[NetPPH]:[NetPPH]]</f>
        <v>307299.69230769231</v>
      </c>
      <c r="FU98" s="58">
        <f>(t_Parts[[#This Row],[ha2016.11]]-t_Parts[[#This Row],[hp2016.11]])*t_Parts[[NetPPH]:[NetPPH]]</f>
        <v>307299.69230769231</v>
      </c>
      <c r="FV98" s="58">
        <f>(t_Parts[[#This Row],[ha2016.12]]-t_Parts[[#This Row],[hp2016.12]])*t_Parts[[NetPPH]:[NetPPH]]</f>
        <v>385279.61538461538</v>
      </c>
      <c r="FW98" s="58">
        <f>(t_Parts[[#This Row],[ha2016.FY]]-t_Parts[[#This Row],[hp2016.FY]])*t_Parts[[NetPPH]:[NetPPH]]</f>
        <v>3999516</v>
      </c>
      <c r="FX98" s="58">
        <f>(t_Parts[[#This Row],[ha2017]]-t_Parts[[#This Row],[hp2017]])*t_Parts[[NetPPH]:[NetPPH]]</f>
        <v>3999516</v>
      </c>
      <c r="FY98" s="58">
        <f>(t_Parts[[#This Row],[ha2018]]-t_Parts[[#This Row],[hp2018]])*t_Parts[[NetPPH]:[NetPPH]]</f>
        <v>3999516</v>
      </c>
      <c r="FZ98" s="58">
        <f>(t_Parts[[#This Row],[ha2019]]-t_Parts[[#This Row],[hp2019]])*t_Parts[[NetPPH]:[NetPPH]]</f>
        <v>3999516</v>
      </c>
    </row>
    <row r="99" spans="1:182" s="14" customFormat="1" x14ac:dyDescent="0.25">
      <c r="A99" s="74">
        <v>29238</v>
      </c>
      <c r="B99" s="74"/>
      <c r="C99" s="74">
        <v>21003</v>
      </c>
      <c r="D99" s="75">
        <v>1</v>
      </c>
      <c r="E99" s="73">
        <v>1920</v>
      </c>
      <c r="F99" s="76">
        <v>1</v>
      </c>
      <c r="G99" s="77">
        <v>4</v>
      </c>
      <c r="H99" s="16">
        <v>2015.01</v>
      </c>
      <c r="I99" s="16" t="s">
        <v>83</v>
      </c>
      <c r="J99" s="73">
        <v>298488</v>
      </c>
      <c r="K99" s="73">
        <v>298488</v>
      </c>
      <c r="L99" s="73">
        <v>298488</v>
      </c>
      <c r="M99" s="73">
        <v>298488</v>
      </c>
      <c r="N99" s="73">
        <v>298488</v>
      </c>
      <c r="O99" s="78">
        <v>44</v>
      </c>
      <c r="P99" s="78">
        <v>52</v>
      </c>
      <c r="Q99" s="79">
        <v>22.43</v>
      </c>
      <c r="R99" s="79"/>
      <c r="S99" s="78">
        <v>208</v>
      </c>
      <c r="T99" s="80">
        <v>14</v>
      </c>
      <c r="U99" s="80" t="s">
        <v>121</v>
      </c>
      <c r="V99" s="81"/>
      <c r="W99" s="82">
        <v>1.2849999999999999</v>
      </c>
      <c r="X99" s="82" t="s">
        <v>495</v>
      </c>
      <c r="Y99" s="82"/>
      <c r="Z99" s="82"/>
      <c r="AA99" s="82"/>
      <c r="AB99" s="82"/>
      <c r="AC99" s="83" t="s">
        <v>667</v>
      </c>
      <c r="AD99" s="40" t="str">
        <f>VLOOKUP(t_Parts[[#This Row],[Press]],t_Presses[],Press!B$1,FALSE)</f>
        <v>Plainfield</v>
      </c>
      <c r="AE99" s="40" t="str">
        <f>VLOOKUP(t_Parts[[#This Row],[Press]],t_Presses[],Press!E$1,FALSE)</f>
        <v>300-599</v>
      </c>
      <c r="AF99" s="47">
        <f>VLOOKUP(t_Parts[[#This Row],[Plant]],t_Plants[],Plants!C$1,FALSE)</f>
        <v>0.55000000000000004</v>
      </c>
      <c r="AG99" s="47">
        <f>VLOOKUP(t_Parts[[#This Row],[Press]],t_Presses[],Press!F$1,FALSE)</f>
        <v>0</v>
      </c>
      <c r="AH99" s="84"/>
      <c r="AI99" s="47">
        <f>IF(ISBLANK(t_Parts[[#This Row],[PartOEE]])=FALSE,t_Parts[[#This Row],[PartOEE]], IF(t_Parts[[#This Row],[PressOEE]]&gt;0, t_Parts[[#This Row],[PressOEE]], t_Parts[[#This Row],[PlantOEE]] ))</f>
        <v>0.55000000000000004</v>
      </c>
      <c r="AJ99" s="70">
        <f>t_Parts[[#This Row],[SetupsPerMo]]*t_Parts[[#This Row],[SetupHrs]]</f>
        <v>4</v>
      </c>
      <c r="AK99" s="39">
        <f>(t_Parts[[#This Row],[PartsPerStroke]]*t_Parts[[#This Row],[StrokesPerHr]])*t_Parts[[#This Row],[UseOEE]]</f>
        <v>1056</v>
      </c>
      <c r="AL9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22960.615384615387</v>
      </c>
      <c r="AM9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22960.615384615387</v>
      </c>
      <c r="AN9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28700.76923076923</v>
      </c>
      <c r="AO9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22960.615384615387</v>
      </c>
      <c r="AP9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22960.615384615387</v>
      </c>
      <c r="AQ9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28700.76923076923</v>
      </c>
      <c r="AR9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22960.615384615387</v>
      </c>
      <c r="AS9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22960.615384615387</v>
      </c>
      <c r="AT9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28700.76923076923</v>
      </c>
      <c r="AU9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22960.615384615387</v>
      </c>
      <c r="AV9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22960.615384615387</v>
      </c>
      <c r="AW9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28700.76923076923</v>
      </c>
      <c r="AX99" s="39">
        <f>SUM(t_Parts[[#This Row],[pv2015.01]:[pv2015.12]])</f>
        <v>298488</v>
      </c>
      <c r="AY9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22960.615384615387</v>
      </c>
      <c r="AZ9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22960.615384615387</v>
      </c>
      <c r="BA9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28700.76923076923</v>
      </c>
      <c r="BB9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22960.615384615387</v>
      </c>
      <c r="BC9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22960.615384615387</v>
      </c>
      <c r="BD9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28700.76923076923</v>
      </c>
      <c r="BE9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22960.615384615387</v>
      </c>
      <c r="BF9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22960.615384615387</v>
      </c>
      <c r="BG9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28700.76923076923</v>
      </c>
      <c r="BH9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22960.615384615387</v>
      </c>
      <c r="BI9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22960.615384615387</v>
      </c>
      <c r="BJ9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28700.76923076923</v>
      </c>
      <c r="BK99" s="39">
        <f>SUM(t_Parts[[#This Row],[pv2016.01]:[pv2016.12]])</f>
        <v>298488</v>
      </c>
      <c r="BL99" s="39">
        <f>t_Parts[[#This Row],[2017vol]]</f>
        <v>298488</v>
      </c>
      <c r="BM99" s="39">
        <f>t_Parts[[#This Row],[2018vol]]</f>
        <v>298488</v>
      </c>
      <c r="BN99" s="39">
        <f>t_Parts[[#This Row],[2019vol]]</f>
        <v>298488</v>
      </c>
      <c r="BO99" s="40">
        <f>VLOOKUP(t_Parts[[Plant]:[Plant]],t_Plants[],Plants!CN$1,FALSE)</f>
        <v>280</v>
      </c>
      <c r="BP99" s="14">
        <f>VLOOKUP(t_Parts[[Plant]:[Plant]],t_Plants[],Plants!CO$1,FALSE)</f>
        <v>280</v>
      </c>
      <c r="BQ99" s="14">
        <f>VLOOKUP(t_Parts[[Plant]:[Plant]],t_Plants[],Plants!CP$1,FALSE)</f>
        <v>350</v>
      </c>
      <c r="BR99" s="14">
        <f>VLOOKUP(t_Parts[[Plant]:[Plant]],t_Plants[],Plants!CQ$1,FALSE)</f>
        <v>280</v>
      </c>
      <c r="BS99" s="14">
        <f>VLOOKUP(t_Parts[[Plant]:[Plant]],t_Plants[],Plants!CR$1,FALSE)</f>
        <v>280</v>
      </c>
      <c r="BT99" s="14">
        <f>VLOOKUP(t_Parts[[Plant]:[Plant]],t_Plants[],Plants!CS$1,FALSE)</f>
        <v>350</v>
      </c>
      <c r="BU99" s="14">
        <f>VLOOKUP(t_Parts[[Plant]:[Plant]],t_Plants[],Plants!CT$1,FALSE)</f>
        <v>280</v>
      </c>
      <c r="BV99" s="14">
        <f>VLOOKUP(t_Parts[[Plant]:[Plant]],t_Plants[],Plants!CU$1,FALSE)</f>
        <v>280</v>
      </c>
      <c r="BW99" s="14">
        <f>VLOOKUP(t_Parts[[Plant]:[Plant]],t_Plants[],Plants!CV$1,FALSE)</f>
        <v>350</v>
      </c>
      <c r="BX99" s="14">
        <f>VLOOKUP(t_Parts[[Plant]:[Plant]],t_Plants[],Plants!CW$1,FALSE)</f>
        <v>280</v>
      </c>
      <c r="BY99" s="14">
        <f>VLOOKUP(t_Parts[[Plant]:[Plant]],t_Plants[],Plants!CX$1,FALSE)</f>
        <v>280</v>
      </c>
      <c r="BZ99" s="14">
        <f>VLOOKUP(t_Parts[[Plant]:[Plant]],t_Plants[],Plants!CY$1,FALSE)</f>
        <v>350</v>
      </c>
      <c r="CA99" s="40">
        <f>SUM(t_Parts[[#This Row],[ha2015.01]:[ha2015.12]])</f>
        <v>3640</v>
      </c>
      <c r="CB99" s="14">
        <f>VLOOKUP(t_Parts[[Plant]:[Plant]],t_Plants[],Plants!DA$1,FALSE)</f>
        <v>280</v>
      </c>
      <c r="CC99" s="14">
        <f>VLOOKUP(t_Parts[[Plant]:[Plant]],t_Plants[],Plants!DB$1,FALSE)</f>
        <v>280</v>
      </c>
      <c r="CD99" s="14">
        <f>VLOOKUP(t_Parts[[Plant]:[Plant]],t_Plants[],Plants!DC$1,FALSE)</f>
        <v>350</v>
      </c>
      <c r="CE99" s="14">
        <f>VLOOKUP(t_Parts[[Plant]:[Plant]],t_Plants[],Plants!DD$1,FALSE)</f>
        <v>280</v>
      </c>
      <c r="CF99" s="14">
        <f>VLOOKUP(t_Parts[[Plant]:[Plant]],t_Plants[],Plants!DE$1,FALSE)</f>
        <v>280</v>
      </c>
      <c r="CG99" s="14">
        <f>VLOOKUP(t_Parts[[Plant]:[Plant]],t_Plants[],Plants!DF$1,FALSE)</f>
        <v>350</v>
      </c>
      <c r="CH99" s="14">
        <f>VLOOKUP(t_Parts[[Plant]:[Plant]],t_Plants[],Plants!DG$1,FALSE)</f>
        <v>280</v>
      </c>
      <c r="CI99" s="14">
        <f>VLOOKUP(t_Parts[[Plant]:[Plant]],t_Plants[],Plants!DH$1,FALSE)</f>
        <v>280</v>
      </c>
      <c r="CJ99" s="14">
        <f>VLOOKUP(t_Parts[[Plant]:[Plant]],t_Plants[],Plants!DI$1,FALSE)</f>
        <v>350</v>
      </c>
      <c r="CK99" s="14">
        <f>VLOOKUP(t_Parts[[Plant]:[Plant]],t_Plants[],Plants!DJ$1,FALSE)</f>
        <v>280</v>
      </c>
      <c r="CL99" s="14">
        <f>VLOOKUP(t_Parts[[Plant]:[Plant]],t_Plants[],Plants!DK$1,FALSE)</f>
        <v>280</v>
      </c>
      <c r="CM99" s="14">
        <f>VLOOKUP(t_Parts[[Plant]:[Plant]],t_Plants[],Plants!DL$1,FALSE)</f>
        <v>350</v>
      </c>
      <c r="CN99" s="14">
        <f>VLOOKUP(t_Parts[[Plant]:[Plant]],t_Plants[],Plants!DM$1,FALSE)</f>
        <v>3640</v>
      </c>
      <c r="CO99" s="14">
        <f>VLOOKUP(t_Parts[[Plant]:[Plant]],t_Plants[],Plants!DN$1,FALSE)</f>
        <v>3640</v>
      </c>
      <c r="CP99" s="14">
        <f>VLOOKUP(t_Parts[[Plant]:[Plant]],t_Plants[],Plants!DO$1,FALSE)</f>
        <v>3640</v>
      </c>
      <c r="CQ99" s="14">
        <f>VLOOKUP(t_Parts[[Plant]:[Plant]],t_Plants[],Plants!DP$1,FALSE)</f>
        <v>3640</v>
      </c>
      <c r="CR99" s="39">
        <f>IF(AND(AL$3&gt;=VALUE(t_Parts[[SOP]:[SOP]]),AL$3&lt;=VALUE(t_Parts[[EOP]:[EOP]])), t_Parts[[SetupHrsPerMo]:[SetupHrsPerMo]]+(t_Parts[[#This Row],[pv2015.01]]/t_Parts[[NetPPH]:[NetPPH]]),0)</f>
        <v>25.743006993006993</v>
      </c>
      <c r="CS99" s="39">
        <f>IF(AND(AM$3&gt;=VALUE(t_Parts[[SOP]:[SOP]]),AM$3&lt;=VALUE(t_Parts[[EOP]:[EOP]])), t_Parts[[SetupHrsPerMo]:[SetupHrsPerMo]]+(t_Parts[[#This Row],[pv2015.02]]/t_Parts[[NetPPH]:[NetPPH]]),0)</f>
        <v>25.743006993006993</v>
      </c>
      <c r="CT99" s="39">
        <f>IF(AND(AN$3&gt;=VALUE(t_Parts[[SOP]:[SOP]]),AN$3&lt;=VALUE(t_Parts[[EOP]:[EOP]])), t_Parts[[SetupHrsPerMo]:[SetupHrsPerMo]]+(t_Parts[[#This Row],[pv2015.03]]/t_Parts[[NetPPH]:[NetPPH]]),0)</f>
        <v>31.17875874125874</v>
      </c>
      <c r="CU99" s="39">
        <f>IF(AND(AO$3&gt;=VALUE(t_Parts[[SOP]:[SOP]]),AO$3&lt;=VALUE(t_Parts[[EOP]:[EOP]])), t_Parts[[SetupHrsPerMo]:[SetupHrsPerMo]]+(t_Parts[[#This Row],[pv2015.04]]/t_Parts[[NetPPH]:[NetPPH]]),0)</f>
        <v>25.743006993006993</v>
      </c>
      <c r="CV99" s="39">
        <f>IF(AND(AP$3&gt;=VALUE(t_Parts[[SOP]:[SOP]]),AP$3&lt;=VALUE(t_Parts[[EOP]:[EOP]])), t_Parts[[SetupHrsPerMo]:[SetupHrsPerMo]]+(t_Parts[[#This Row],[pv2015.05]]/t_Parts[[NetPPH]:[NetPPH]]),0)</f>
        <v>25.743006993006993</v>
      </c>
      <c r="CW99" s="39">
        <f>IF(AND(AQ$3&gt;=VALUE(t_Parts[[SOP]:[SOP]]),AQ$3&lt;=VALUE(t_Parts[[EOP]:[EOP]])), t_Parts[[SetupHrsPerMo]:[SetupHrsPerMo]]+(t_Parts[[#This Row],[pv2015.06]]/t_Parts[[NetPPH]:[NetPPH]]),0)</f>
        <v>31.17875874125874</v>
      </c>
      <c r="CX99" s="39">
        <f>IF(AND(AR$3&gt;=VALUE(t_Parts[[SOP]:[SOP]]),AR$3&lt;=VALUE(t_Parts[[EOP]:[EOP]])), t_Parts[[SetupHrsPerMo]:[SetupHrsPerMo]]+(t_Parts[[#This Row],[pv2015.07]]/t_Parts[[NetPPH]:[NetPPH]]),0)</f>
        <v>25.743006993006993</v>
      </c>
      <c r="CY99" s="39">
        <f>IF(AND(AS$3&gt;=VALUE(t_Parts[[SOP]:[SOP]]),AS$3&lt;=VALUE(t_Parts[[EOP]:[EOP]])), t_Parts[[SetupHrsPerMo]:[SetupHrsPerMo]]+(t_Parts[[#This Row],[pv2015.08]]/t_Parts[[NetPPH]:[NetPPH]]),0)</f>
        <v>25.743006993006993</v>
      </c>
      <c r="CZ99" s="39">
        <f>IF(AND(AT$3&gt;=VALUE(t_Parts[[SOP]:[SOP]]),AT$3&lt;=VALUE(t_Parts[[EOP]:[EOP]])), t_Parts[[SetupHrsPerMo]:[SetupHrsPerMo]]+(t_Parts[[#This Row],[pv2015.09]]/t_Parts[[NetPPH]:[NetPPH]]),0)</f>
        <v>31.17875874125874</v>
      </c>
      <c r="DA99" s="39">
        <f>IF(AND(AU$3&gt;=VALUE(t_Parts[[SOP]:[SOP]]),AU$3&lt;=VALUE(t_Parts[[EOP]:[EOP]])), t_Parts[[SetupHrsPerMo]:[SetupHrsPerMo]]+(t_Parts[[#This Row],[pv2015.10]]/t_Parts[[NetPPH]:[NetPPH]]),0)</f>
        <v>25.743006993006993</v>
      </c>
      <c r="DB99" s="39">
        <f>IF(AND(AV$3&gt;=VALUE(t_Parts[[SOP]:[SOP]]),AV$3&lt;=VALUE(t_Parts[[EOP]:[EOP]])), t_Parts[[SetupHrsPerMo]:[SetupHrsPerMo]]+(t_Parts[[#This Row],[pv2015.11]]/t_Parts[[NetPPH]:[NetPPH]]),0)</f>
        <v>25.743006993006993</v>
      </c>
      <c r="DC99" s="39">
        <f>IF(AND(AW$3&gt;=VALUE(t_Parts[[SOP]:[SOP]]),AW$3&lt;=VALUE(t_Parts[[EOP]:[EOP]])), t_Parts[[SetupHrsPerMo]:[SetupHrsPerMo]]+(t_Parts[[#This Row],[pv2015.12]]/t_Parts[[NetPPH]:[NetPPH]]),0)</f>
        <v>31.17875874125874</v>
      </c>
      <c r="DD99" s="39">
        <f>SUM(t_Parts[[#This Row],[hp2015.01]:[hp2015.12]])</f>
        <v>330.65909090909088</v>
      </c>
      <c r="DE99" s="39">
        <f>IF(AND(AY$3&gt;=VALUE(t_Parts[[SOP]:[SOP]]),AY$3&lt;=VALUE(t_Parts[[EOP]:[EOP]])), t_Parts[[SetupHrsPerMo]:[SetupHrsPerMo]]+(t_Parts[[#This Row],[pv2016.01]]/t_Parts[[NetPPH]:[NetPPH]]),0)</f>
        <v>25.743006993006993</v>
      </c>
      <c r="DF99" s="39">
        <f>IF(AND(AZ$3&gt;=VALUE(t_Parts[[SOP]:[SOP]]),AZ$3&lt;=VALUE(t_Parts[[EOP]:[EOP]])), t_Parts[[SetupHrsPerMo]:[SetupHrsPerMo]]+(t_Parts[[#This Row],[pv2016.02]]/t_Parts[[NetPPH]:[NetPPH]]),0)</f>
        <v>25.743006993006993</v>
      </c>
      <c r="DG99" s="39">
        <f>IF(AND(BA$3&gt;=VALUE(t_Parts[[SOP]:[SOP]]),BA$3&lt;=VALUE(t_Parts[[EOP]:[EOP]])), t_Parts[[SetupHrsPerMo]:[SetupHrsPerMo]]+(t_Parts[[#This Row],[pv2016.03]]/t_Parts[[NetPPH]:[NetPPH]]),0)</f>
        <v>31.17875874125874</v>
      </c>
      <c r="DH99" s="39">
        <f>IF(AND(BB$3&gt;=VALUE(t_Parts[[SOP]:[SOP]]),BB$3&lt;=VALUE(t_Parts[[EOP]:[EOP]])), t_Parts[[SetupHrsPerMo]:[SetupHrsPerMo]]+(t_Parts[[#This Row],[pv2016.04]]/t_Parts[[NetPPH]:[NetPPH]]),0)</f>
        <v>25.743006993006993</v>
      </c>
      <c r="DI99" s="39">
        <f>IF(AND(BC$3&gt;=VALUE(t_Parts[[SOP]:[SOP]]),BC$3&lt;=VALUE(t_Parts[[EOP]:[EOP]])), t_Parts[[SetupHrsPerMo]:[SetupHrsPerMo]]+(t_Parts[[#This Row],[pv2016.05]]/t_Parts[[NetPPH]:[NetPPH]]),0)</f>
        <v>25.743006993006993</v>
      </c>
      <c r="DJ99" s="39">
        <f>IF(AND(BD$3&gt;=VALUE(t_Parts[[SOP]:[SOP]]),BD$3&lt;=VALUE(t_Parts[[EOP]:[EOP]])), t_Parts[[SetupHrsPerMo]:[SetupHrsPerMo]]+(t_Parts[[#This Row],[pv2016.06]]/t_Parts[[NetPPH]:[NetPPH]]),0)</f>
        <v>31.17875874125874</v>
      </c>
      <c r="DK99" s="39">
        <f>IF(AND(BE$3&gt;=VALUE(t_Parts[[SOP]:[SOP]]),BE$3&lt;=VALUE(t_Parts[[EOP]:[EOP]])), t_Parts[[SetupHrsPerMo]:[SetupHrsPerMo]]+(t_Parts[[#This Row],[pv2016.07]]/t_Parts[[NetPPH]:[NetPPH]]),0)</f>
        <v>25.743006993006993</v>
      </c>
      <c r="DL99" s="39">
        <f>IF(AND(BF$3&gt;=VALUE(t_Parts[[SOP]:[SOP]]),BF$3&lt;=VALUE(t_Parts[[EOP]:[EOP]])), t_Parts[[SetupHrsPerMo]:[SetupHrsPerMo]]+(t_Parts[[#This Row],[pv2016.08]]/t_Parts[[NetPPH]:[NetPPH]]),0)</f>
        <v>25.743006993006993</v>
      </c>
      <c r="DM99" s="39">
        <f>IF(AND(BG$3&gt;=VALUE(t_Parts[[SOP]:[SOP]]),BG$3&lt;=VALUE(t_Parts[[EOP]:[EOP]])), t_Parts[[SetupHrsPerMo]:[SetupHrsPerMo]]+(t_Parts[[#This Row],[pv2016.09]]/t_Parts[[NetPPH]:[NetPPH]]),0)</f>
        <v>31.17875874125874</v>
      </c>
      <c r="DN99" s="39">
        <f>IF(AND(BH$3&gt;=VALUE(t_Parts[[SOP]:[SOP]]),BH$3&lt;=VALUE(t_Parts[[EOP]:[EOP]])), t_Parts[[SetupHrsPerMo]:[SetupHrsPerMo]]+(t_Parts[[#This Row],[pv2016.10]]/t_Parts[[NetPPH]:[NetPPH]]),0)</f>
        <v>25.743006993006993</v>
      </c>
      <c r="DO99" s="39">
        <f>IF(AND(BI$3&gt;=VALUE(t_Parts[[SOP]:[SOP]]),BI$3&lt;=VALUE(t_Parts[[EOP]:[EOP]])), t_Parts[[SetupHrsPerMo]:[SetupHrsPerMo]]+(t_Parts[[#This Row],[pv2016.11]]/t_Parts[[NetPPH]:[NetPPH]]),0)</f>
        <v>25.743006993006993</v>
      </c>
      <c r="DP99" s="39">
        <f>IF(AND(BJ$3&gt;=VALUE(t_Parts[[SOP]:[SOP]]),BJ$3&lt;=VALUE(t_Parts[[EOP]:[EOP]])), t_Parts[[SetupHrsPerMo]:[SetupHrsPerMo]]+(t_Parts[[#This Row],[pv2016.12]]/t_Parts[[NetPPH]:[NetPPH]]),0)</f>
        <v>31.17875874125874</v>
      </c>
      <c r="DQ99" s="39">
        <f>SUM(t_Parts[[#This Row],[hp2016.01]:[hp2016.12]])</f>
        <v>330.65909090909088</v>
      </c>
      <c r="DR99" s="39">
        <f>IF(AND(BL$3&gt;=VALUE(t_Parts[[SOP]:[SOP]]),BL$3&lt;=VALUE(t_Parts[[EOP]:[EOP]])), 12*t_Parts[[SetupHrsPerMo]:[SetupHrsPerMo]]+(t_Parts[[#This Row],[pv2017]]/t_Parts[[NetPPH]:[NetPPH]]),0)</f>
        <v>330.65909090909093</v>
      </c>
      <c r="DS99" s="39">
        <f>IF(AND(BM$3&gt;=VALUE(t_Parts[[SOP]:[SOP]]),BM$3&lt;=VALUE(t_Parts[[EOP]:[EOP]])), 12*t_Parts[[SetupHrsPerMo]:[SetupHrsPerMo]]+(t_Parts[[#This Row],[pv2018]]/t_Parts[[NetPPH]:[NetPPH]]),0)</f>
        <v>330.65909090909093</v>
      </c>
      <c r="DT99" s="39">
        <f>IF(AND(BN$3&gt;=VALUE(t_Parts[[SOP]:[SOP]]),BN$3&lt;=VALUE(t_Parts[[EOP]:[EOP]])), 12*t_Parts[[SetupHrsPerMo]:[SetupHrsPerMo]]+(t_Parts[[#This Row],[pv2019]]/t_Parts[[NetPPH]:[NetPPH]]),0)</f>
        <v>330.65909090909093</v>
      </c>
      <c r="DU99" s="47">
        <f>t_Parts[[#This Row],[hp2015.01]]/t_Parts[[#This Row],[ha2015.01]]</f>
        <v>9.1939310689310688E-2</v>
      </c>
      <c r="DV99" s="47">
        <f>t_Parts[[#This Row],[hp2015.02]]/t_Parts[[#This Row],[ha2015.02]]</f>
        <v>9.1939310689310688E-2</v>
      </c>
      <c r="DW99" s="47">
        <f>t_Parts[[#This Row],[hp2015.03]]/t_Parts[[#This Row],[ha2015.03]]</f>
        <v>8.9082167832167825E-2</v>
      </c>
      <c r="DX99" s="47">
        <f>t_Parts[[#This Row],[hp2015.04]]/t_Parts[[#This Row],[ha2015.04]]</f>
        <v>9.1939310689310688E-2</v>
      </c>
      <c r="DY99" s="47">
        <f>t_Parts[[#This Row],[hp2015.05]]/t_Parts[[#This Row],[ha2015.05]]</f>
        <v>9.1939310689310688E-2</v>
      </c>
      <c r="DZ99" s="47">
        <f>t_Parts[[#This Row],[hp2015.06]]/t_Parts[[#This Row],[ha2015.06]]</f>
        <v>8.9082167832167825E-2</v>
      </c>
      <c r="EA99" s="47">
        <f>t_Parts[[#This Row],[hp2015.07]]/t_Parts[[#This Row],[ha2015.07]]</f>
        <v>9.1939310689310688E-2</v>
      </c>
      <c r="EB99" s="47">
        <f>t_Parts[[#This Row],[hp2015.08]]/t_Parts[[#This Row],[ha2015.08]]</f>
        <v>9.1939310689310688E-2</v>
      </c>
      <c r="EC99" s="47">
        <f>t_Parts[[#This Row],[hp2015.09]]/t_Parts[[#This Row],[ha2015.09]]</f>
        <v>8.9082167832167825E-2</v>
      </c>
      <c r="ED99" s="47">
        <f>t_Parts[[#This Row],[hp2015.10]]/t_Parts[[#This Row],[ha2015.10]]</f>
        <v>9.1939310689310688E-2</v>
      </c>
      <c r="EE99" s="47">
        <f>t_Parts[[#This Row],[hp2015.11]]/t_Parts[[#This Row],[ha2015.11]]</f>
        <v>9.1939310689310688E-2</v>
      </c>
      <c r="EF99" s="47">
        <f>t_Parts[[#This Row],[hp2015.12]]/t_Parts[[#This Row],[ha2015.12]]</f>
        <v>8.9082167832167825E-2</v>
      </c>
      <c r="EG99" s="47">
        <f>t_Parts[[#This Row],[hp2015.FY]]/t_Parts[[#This Row],[ha2015.FY]]</f>
        <v>9.0840409590409579E-2</v>
      </c>
      <c r="EH99" s="47">
        <f>t_Parts[[#This Row],[hp2016.01]]/t_Parts[[#This Row],[ha2016.01]]</f>
        <v>9.1939310689310688E-2</v>
      </c>
      <c r="EI99" s="47">
        <f>t_Parts[[#This Row],[hp2016.02]]/t_Parts[[#This Row],[ha2016.02]]</f>
        <v>9.1939310689310688E-2</v>
      </c>
      <c r="EJ99" s="47">
        <f>t_Parts[[#This Row],[hp2016.03]]/t_Parts[[#This Row],[ha2016.03]]</f>
        <v>8.9082167832167825E-2</v>
      </c>
      <c r="EK99" s="47">
        <f>t_Parts[[#This Row],[hp2016.04]]/t_Parts[[#This Row],[ha2016.04]]</f>
        <v>9.1939310689310688E-2</v>
      </c>
      <c r="EL99" s="47">
        <f>t_Parts[[#This Row],[hp2016.05]]/t_Parts[[#This Row],[ha2016.05]]</f>
        <v>9.1939310689310688E-2</v>
      </c>
      <c r="EM99" s="47">
        <f>t_Parts[[#This Row],[hp2016.06]]/t_Parts[[#This Row],[ha2016.06]]</f>
        <v>8.9082167832167825E-2</v>
      </c>
      <c r="EN99" s="47">
        <f>t_Parts[[#This Row],[hp2016.07]]/t_Parts[[#This Row],[ha2016.07]]</f>
        <v>9.1939310689310688E-2</v>
      </c>
      <c r="EO99" s="47">
        <f>t_Parts[[#This Row],[hp2016.08]]/t_Parts[[#This Row],[ha2016.08]]</f>
        <v>9.1939310689310688E-2</v>
      </c>
      <c r="EP99" s="47">
        <f>t_Parts[[#This Row],[hp2016.09]]/t_Parts[[#This Row],[ha2016.09]]</f>
        <v>8.9082167832167825E-2</v>
      </c>
      <c r="EQ99" s="47">
        <f>t_Parts[[#This Row],[hp2016.10]]/t_Parts[[#This Row],[ha2016.10]]</f>
        <v>9.1939310689310688E-2</v>
      </c>
      <c r="ER99" s="47">
        <f>t_Parts[[#This Row],[hp2016.11]]/t_Parts[[#This Row],[ha2016.11]]</f>
        <v>9.1939310689310688E-2</v>
      </c>
      <c r="ES99" s="47">
        <f>t_Parts[[#This Row],[hp2016.12]]/t_Parts[[#This Row],[ha2016.12]]</f>
        <v>8.9082167832167825E-2</v>
      </c>
      <c r="ET99" s="47">
        <f>t_Parts[[#This Row],[hp2016.FY]]/t_Parts[[#This Row],[ha2016.FY]]</f>
        <v>9.0840409590409579E-2</v>
      </c>
      <c r="EU99" s="47">
        <f>t_Parts[[#This Row],[hp2017]]/t_Parts[[#This Row],[ha2017]]</f>
        <v>9.0840409590409593E-2</v>
      </c>
      <c r="EV99" s="47">
        <f>t_Parts[[#This Row],[hp2018]]/t_Parts[[#This Row],[ha2018]]</f>
        <v>9.0840409590409593E-2</v>
      </c>
      <c r="EW99" s="47">
        <f>t_Parts[[#This Row],[hp2019]]/t_Parts[[#This Row],[hp2015.01]]</f>
        <v>12.844617996604415</v>
      </c>
      <c r="EX99" s="58">
        <f>(t_Parts[[#This Row],[ha2015.01]]-t_Parts[[#This Row],[hp2015.01]])*t_Parts[[NetPPH]:[NetPPH]]</f>
        <v>268495.38461538462</v>
      </c>
      <c r="EY99" s="58">
        <f>(t_Parts[[#This Row],[ha2015.02]]-t_Parts[[#This Row],[hp2015.02]])*t_Parts[[NetPPH]:[NetPPH]]</f>
        <v>268495.38461538462</v>
      </c>
      <c r="EZ99" s="58">
        <f>(t_Parts[[#This Row],[ha2015.03]]-t_Parts[[#This Row],[hp2015.03]])*t_Parts[[NetPPH]:[NetPPH]]</f>
        <v>336675.23076923081</v>
      </c>
      <c r="FA99" s="58">
        <f>(t_Parts[[#This Row],[ha2015.04]]-t_Parts[[#This Row],[hp2015.04]])*t_Parts[[NetPPH]:[NetPPH]]</f>
        <v>268495.38461538462</v>
      </c>
      <c r="FB99" s="58">
        <f>(t_Parts[[#This Row],[ha2015.05]]-t_Parts[[#This Row],[hp2015.05]])*t_Parts[[NetPPH]:[NetPPH]]</f>
        <v>268495.38461538462</v>
      </c>
      <c r="FC99" s="58">
        <f>(t_Parts[[#This Row],[ha2015.06]]-t_Parts[[#This Row],[hp2015.06]])*t_Parts[[NetPPH]:[NetPPH]]</f>
        <v>336675.23076923081</v>
      </c>
      <c r="FD99" s="58">
        <f>(t_Parts[[#This Row],[ha2015.07]]-t_Parts[[#This Row],[hp2015.07]])*t_Parts[[NetPPH]:[NetPPH]]</f>
        <v>268495.38461538462</v>
      </c>
      <c r="FE99" s="58">
        <f>(t_Parts[[#This Row],[ha2015.08]]-t_Parts[[#This Row],[hp2015.08]])*t_Parts[[NetPPH]:[NetPPH]]</f>
        <v>268495.38461538462</v>
      </c>
      <c r="FF99" s="58">
        <f>(t_Parts[[#This Row],[ha2015.09]]-t_Parts[[#This Row],[hp2015.09]])*t_Parts[[NetPPH]:[NetPPH]]</f>
        <v>336675.23076923081</v>
      </c>
      <c r="FG99" s="58">
        <f>(t_Parts[[#This Row],[ha2015.10]]-t_Parts[[#This Row],[hp2015.10]])*t_Parts[[NetPPH]:[NetPPH]]</f>
        <v>268495.38461538462</v>
      </c>
      <c r="FH99" s="58">
        <f>(t_Parts[[#This Row],[ha2015.11]]-t_Parts[[#This Row],[hp2015.11]])*t_Parts[[NetPPH]:[NetPPH]]</f>
        <v>268495.38461538462</v>
      </c>
      <c r="FI99" s="58">
        <f>(t_Parts[[#This Row],[ha2015.12]]-t_Parts[[#This Row],[hp2015.12]])*t_Parts[[NetPPH]:[NetPPH]]</f>
        <v>336675.23076923081</v>
      </c>
      <c r="FJ99" s="58">
        <f>(t_Parts[[#This Row],[ha2015.FY]]-t_Parts[[#This Row],[hp2015.FY]])*t_Parts[[NetPPH]:[NetPPH]]</f>
        <v>3494664</v>
      </c>
      <c r="FK99" s="58">
        <f>(t_Parts[[#This Row],[ha2016.01]]-t_Parts[[#This Row],[hp2016.01]])*t_Parts[[NetPPH]:[NetPPH]]</f>
        <v>268495.38461538462</v>
      </c>
      <c r="FL99" s="58">
        <f>(t_Parts[[#This Row],[ha2016.02]]-t_Parts[[#This Row],[hp2016.02]])*t_Parts[[NetPPH]:[NetPPH]]</f>
        <v>268495.38461538462</v>
      </c>
      <c r="FM99" s="58">
        <f>(t_Parts[[#This Row],[ha2016.03]]-t_Parts[[#This Row],[hp2016.03]])*t_Parts[[NetPPH]:[NetPPH]]</f>
        <v>336675.23076923081</v>
      </c>
      <c r="FN99" s="58">
        <f>(t_Parts[[#This Row],[ha2016.04]]-t_Parts[[#This Row],[hp2016.04]])*t_Parts[[NetPPH]:[NetPPH]]</f>
        <v>268495.38461538462</v>
      </c>
      <c r="FO99" s="58">
        <f>(t_Parts[[#This Row],[ha2016.05]]-t_Parts[[#This Row],[hp2016.05]])*t_Parts[[NetPPH]:[NetPPH]]</f>
        <v>268495.38461538462</v>
      </c>
      <c r="FP99" s="58">
        <f>(t_Parts[[#This Row],[ha2016.06]]-t_Parts[[#This Row],[hp2016.06]])*t_Parts[[NetPPH]:[NetPPH]]</f>
        <v>336675.23076923081</v>
      </c>
      <c r="FQ99" s="58">
        <f>(t_Parts[[#This Row],[ha2016.07]]-t_Parts[[#This Row],[hp2016.07]])*t_Parts[[NetPPH]:[NetPPH]]</f>
        <v>268495.38461538462</v>
      </c>
      <c r="FR99" s="58">
        <f>(t_Parts[[#This Row],[ha2016.08]]-t_Parts[[#This Row],[hp2016.08]])*t_Parts[[NetPPH]:[NetPPH]]</f>
        <v>268495.38461538462</v>
      </c>
      <c r="FS99" s="58">
        <f>(t_Parts[[#This Row],[ha2016.09]]-t_Parts[[#This Row],[hp2016.09]])*t_Parts[[NetPPH]:[NetPPH]]</f>
        <v>336675.23076923081</v>
      </c>
      <c r="FT99" s="58">
        <f>(t_Parts[[#This Row],[ha2016.10]]-t_Parts[[#This Row],[hp2016.10]])*t_Parts[[NetPPH]:[NetPPH]]</f>
        <v>268495.38461538462</v>
      </c>
      <c r="FU99" s="58">
        <f>(t_Parts[[#This Row],[ha2016.11]]-t_Parts[[#This Row],[hp2016.11]])*t_Parts[[NetPPH]:[NetPPH]]</f>
        <v>268495.38461538462</v>
      </c>
      <c r="FV99" s="58">
        <f>(t_Parts[[#This Row],[ha2016.12]]-t_Parts[[#This Row],[hp2016.12]])*t_Parts[[NetPPH]:[NetPPH]]</f>
        <v>336675.23076923081</v>
      </c>
      <c r="FW99" s="58">
        <f>(t_Parts[[#This Row],[ha2016.FY]]-t_Parts[[#This Row],[hp2016.FY]])*t_Parts[[NetPPH]:[NetPPH]]</f>
        <v>3494664</v>
      </c>
      <c r="FX99" s="58">
        <f>(t_Parts[[#This Row],[ha2017]]-t_Parts[[#This Row],[hp2017]])*t_Parts[[NetPPH]:[NetPPH]]</f>
        <v>3494664</v>
      </c>
      <c r="FY99" s="58">
        <f>(t_Parts[[#This Row],[ha2018]]-t_Parts[[#This Row],[hp2018]])*t_Parts[[NetPPH]:[NetPPH]]</f>
        <v>3494664</v>
      </c>
      <c r="FZ99" s="58">
        <f>(t_Parts[[#This Row],[ha2019]]-t_Parts[[#This Row],[hp2019]])*t_Parts[[NetPPH]:[NetPPH]]</f>
        <v>3494664</v>
      </c>
    </row>
    <row r="100" spans="1:182" s="14" customFormat="1" x14ac:dyDescent="0.25">
      <c r="A100" s="74">
        <v>29236</v>
      </c>
      <c r="B100" s="74"/>
      <c r="C100" s="74">
        <v>21003</v>
      </c>
      <c r="D100" s="75">
        <v>1</v>
      </c>
      <c r="E100" s="73">
        <v>1920</v>
      </c>
      <c r="F100" s="76">
        <v>1</v>
      </c>
      <c r="G100" s="77">
        <v>4</v>
      </c>
      <c r="H100" s="16">
        <v>2015.01</v>
      </c>
      <c r="I100" s="16" t="s">
        <v>83</v>
      </c>
      <c r="J100" s="73">
        <v>298488</v>
      </c>
      <c r="K100" s="73">
        <v>298488</v>
      </c>
      <c r="L100" s="73">
        <v>298488</v>
      </c>
      <c r="M100" s="73">
        <v>298488</v>
      </c>
      <c r="N100" s="73">
        <v>298488</v>
      </c>
      <c r="O100" s="78">
        <v>44</v>
      </c>
      <c r="P100" s="78">
        <v>52</v>
      </c>
      <c r="Q100" s="79">
        <v>22.434000000000001</v>
      </c>
      <c r="R100" s="79"/>
      <c r="S100" s="78">
        <v>188</v>
      </c>
      <c r="T100" s="80">
        <v>14</v>
      </c>
      <c r="U100" s="80" t="s">
        <v>121</v>
      </c>
      <c r="V100" s="81" t="s">
        <v>652</v>
      </c>
      <c r="W100" s="82">
        <v>1.2849999999999999</v>
      </c>
      <c r="X100" s="82" t="s">
        <v>495</v>
      </c>
      <c r="Y100" s="82"/>
      <c r="Z100" s="82"/>
      <c r="AA100" s="82"/>
      <c r="AB100" s="82"/>
      <c r="AC100" s="83" t="s">
        <v>667</v>
      </c>
      <c r="AD100" s="40" t="str">
        <f>VLOOKUP(t_Parts[[#This Row],[Press]],t_Presses[],Press!B$1,FALSE)</f>
        <v>Plainfield</v>
      </c>
      <c r="AE100" s="40" t="str">
        <f>VLOOKUP(t_Parts[[#This Row],[Press]],t_Presses[],Press!E$1,FALSE)</f>
        <v>300-599</v>
      </c>
      <c r="AF100" s="47">
        <f>VLOOKUP(t_Parts[[#This Row],[Plant]],t_Plants[],Plants!C$1,FALSE)</f>
        <v>0.55000000000000004</v>
      </c>
      <c r="AG100" s="47">
        <f>VLOOKUP(t_Parts[[#This Row],[Press]],t_Presses[],Press!F$1,FALSE)</f>
        <v>0</v>
      </c>
      <c r="AH100" s="84"/>
      <c r="AI100" s="47">
        <f>IF(ISBLANK(t_Parts[[#This Row],[PartOEE]])=FALSE,t_Parts[[#This Row],[PartOEE]], IF(t_Parts[[#This Row],[PressOEE]]&gt;0, t_Parts[[#This Row],[PressOEE]], t_Parts[[#This Row],[PlantOEE]] ))</f>
        <v>0.55000000000000004</v>
      </c>
      <c r="AJ100" s="70">
        <f>t_Parts[[#This Row],[SetupsPerMo]]*t_Parts[[#This Row],[SetupHrs]]</f>
        <v>4</v>
      </c>
      <c r="AK100" s="39">
        <f>(t_Parts[[#This Row],[PartsPerStroke]]*t_Parts[[#This Row],[StrokesPerHr]])*t_Parts[[#This Row],[UseOEE]]</f>
        <v>1056</v>
      </c>
      <c r="AL10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22960.615384615387</v>
      </c>
      <c r="AM10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22960.615384615387</v>
      </c>
      <c r="AN10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28700.76923076923</v>
      </c>
      <c r="AO10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22960.615384615387</v>
      </c>
      <c r="AP10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22960.615384615387</v>
      </c>
      <c r="AQ10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28700.76923076923</v>
      </c>
      <c r="AR10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22960.615384615387</v>
      </c>
      <c r="AS10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22960.615384615387</v>
      </c>
      <c r="AT10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28700.76923076923</v>
      </c>
      <c r="AU10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22960.615384615387</v>
      </c>
      <c r="AV10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22960.615384615387</v>
      </c>
      <c r="AW10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28700.76923076923</v>
      </c>
      <c r="AX100" s="39">
        <f>SUM(t_Parts[[#This Row],[pv2015.01]:[pv2015.12]])</f>
        <v>298488</v>
      </c>
      <c r="AY10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22960.615384615387</v>
      </c>
      <c r="AZ10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22960.615384615387</v>
      </c>
      <c r="BA10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28700.76923076923</v>
      </c>
      <c r="BB10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22960.615384615387</v>
      </c>
      <c r="BC10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22960.615384615387</v>
      </c>
      <c r="BD10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28700.76923076923</v>
      </c>
      <c r="BE10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22960.615384615387</v>
      </c>
      <c r="BF10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22960.615384615387</v>
      </c>
      <c r="BG10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28700.76923076923</v>
      </c>
      <c r="BH10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22960.615384615387</v>
      </c>
      <c r="BI10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22960.615384615387</v>
      </c>
      <c r="BJ10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28700.76923076923</v>
      </c>
      <c r="BK100" s="39">
        <f>SUM(t_Parts[[#This Row],[pv2016.01]:[pv2016.12]])</f>
        <v>298488</v>
      </c>
      <c r="BL100" s="39">
        <f>t_Parts[[#This Row],[2017vol]]</f>
        <v>298488</v>
      </c>
      <c r="BM100" s="39">
        <f>t_Parts[[#This Row],[2018vol]]</f>
        <v>298488</v>
      </c>
      <c r="BN100" s="39">
        <f>t_Parts[[#This Row],[2019vol]]</f>
        <v>298488</v>
      </c>
      <c r="BO100" s="40">
        <f>VLOOKUP(t_Parts[[Plant]:[Plant]],t_Plants[],Plants!CN$1,FALSE)</f>
        <v>280</v>
      </c>
      <c r="BP100" s="14">
        <f>VLOOKUP(t_Parts[[Plant]:[Plant]],t_Plants[],Plants!CO$1,FALSE)</f>
        <v>280</v>
      </c>
      <c r="BQ100" s="14">
        <f>VLOOKUP(t_Parts[[Plant]:[Plant]],t_Plants[],Plants!CP$1,FALSE)</f>
        <v>350</v>
      </c>
      <c r="BR100" s="14">
        <f>VLOOKUP(t_Parts[[Plant]:[Plant]],t_Plants[],Plants!CQ$1,FALSE)</f>
        <v>280</v>
      </c>
      <c r="BS100" s="14">
        <f>VLOOKUP(t_Parts[[Plant]:[Plant]],t_Plants[],Plants!CR$1,FALSE)</f>
        <v>280</v>
      </c>
      <c r="BT100" s="14">
        <f>VLOOKUP(t_Parts[[Plant]:[Plant]],t_Plants[],Plants!CS$1,FALSE)</f>
        <v>350</v>
      </c>
      <c r="BU100" s="14">
        <f>VLOOKUP(t_Parts[[Plant]:[Plant]],t_Plants[],Plants!CT$1,FALSE)</f>
        <v>280</v>
      </c>
      <c r="BV100" s="14">
        <f>VLOOKUP(t_Parts[[Plant]:[Plant]],t_Plants[],Plants!CU$1,FALSE)</f>
        <v>280</v>
      </c>
      <c r="BW100" s="14">
        <f>VLOOKUP(t_Parts[[Plant]:[Plant]],t_Plants[],Plants!CV$1,FALSE)</f>
        <v>350</v>
      </c>
      <c r="BX100" s="14">
        <f>VLOOKUP(t_Parts[[Plant]:[Plant]],t_Plants[],Plants!CW$1,FALSE)</f>
        <v>280</v>
      </c>
      <c r="BY100" s="14">
        <f>VLOOKUP(t_Parts[[Plant]:[Plant]],t_Plants[],Plants!CX$1,FALSE)</f>
        <v>280</v>
      </c>
      <c r="BZ100" s="14">
        <f>VLOOKUP(t_Parts[[Plant]:[Plant]],t_Plants[],Plants!CY$1,FALSE)</f>
        <v>350</v>
      </c>
      <c r="CA100" s="40">
        <f>SUM(t_Parts[[#This Row],[ha2015.01]:[ha2015.12]])</f>
        <v>3640</v>
      </c>
      <c r="CB100" s="14">
        <f>VLOOKUP(t_Parts[[Plant]:[Plant]],t_Plants[],Plants!DA$1,FALSE)</f>
        <v>280</v>
      </c>
      <c r="CC100" s="14">
        <f>VLOOKUP(t_Parts[[Plant]:[Plant]],t_Plants[],Plants!DB$1,FALSE)</f>
        <v>280</v>
      </c>
      <c r="CD100" s="14">
        <f>VLOOKUP(t_Parts[[Plant]:[Plant]],t_Plants[],Plants!DC$1,FALSE)</f>
        <v>350</v>
      </c>
      <c r="CE100" s="14">
        <f>VLOOKUP(t_Parts[[Plant]:[Plant]],t_Plants[],Plants!DD$1,FALSE)</f>
        <v>280</v>
      </c>
      <c r="CF100" s="14">
        <f>VLOOKUP(t_Parts[[Plant]:[Plant]],t_Plants[],Plants!DE$1,FALSE)</f>
        <v>280</v>
      </c>
      <c r="CG100" s="14">
        <f>VLOOKUP(t_Parts[[Plant]:[Plant]],t_Plants[],Plants!DF$1,FALSE)</f>
        <v>350</v>
      </c>
      <c r="CH100" s="14">
        <f>VLOOKUP(t_Parts[[Plant]:[Plant]],t_Plants[],Plants!DG$1,FALSE)</f>
        <v>280</v>
      </c>
      <c r="CI100" s="14">
        <f>VLOOKUP(t_Parts[[Plant]:[Plant]],t_Plants[],Plants!DH$1,FALSE)</f>
        <v>280</v>
      </c>
      <c r="CJ100" s="14">
        <f>VLOOKUP(t_Parts[[Plant]:[Plant]],t_Plants[],Plants!DI$1,FALSE)</f>
        <v>350</v>
      </c>
      <c r="CK100" s="14">
        <f>VLOOKUP(t_Parts[[Plant]:[Plant]],t_Plants[],Plants!DJ$1,FALSE)</f>
        <v>280</v>
      </c>
      <c r="CL100" s="14">
        <f>VLOOKUP(t_Parts[[Plant]:[Plant]],t_Plants[],Plants!DK$1,FALSE)</f>
        <v>280</v>
      </c>
      <c r="CM100" s="14">
        <f>VLOOKUP(t_Parts[[Plant]:[Plant]],t_Plants[],Plants!DL$1,FALSE)</f>
        <v>350</v>
      </c>
      <c r="CN100" s="14">
        <f>VLOOKUP(t_Parts[[Plant]:[Plant]],t_Plants[],Plants!DM$1,FALSE)</f>
        <v>3640</v>
      </c>
      <c r="CO100" s="14">
        <f>VLOOKUP(t_Parts[[Plant]:[Plant]],t_Plants[],Plants!DN$1,FALSE)</f>
        <v>3640</v>
      </c>
      <c r="CP100" s="14">
        <f>VLOOKUP(t_Parts[[Plant]:[Plant]],t_Plants[],Plants!DO$1,FALSE)</f>
        <v>3640</v>
      </c>
      <c r="CQ100" s="14">
        <f>VLOOKUP(t_Parts[[Plant]:[Plant]],t_Plants[],Plants!DP$1,FALSE)</f>
        <v>3640</v>
      </c>
      <c r="CR100" s="39">
        <f>IF(AND(AL$3&gt;=VALUE(t_Parts[[SOP]:[SOP]]),AL$3&lt;=VALUE(t_Parts[[EOP]:[EOP]])), t_Parts[[SetupHrsPerMo]:[SetupHrsPerMo]]+(t_Parts[[#This Row],[pv2015.01]]/t_Parts[[NetPPH]:[NetPPH]]),0)</f>
        <v>25.743006993006993</v>
      </c>
      <c r="CS100" s="39">
        <f>IF(AND(AM$3&gt;=VALUE(t_Parts[[SOP]:[SOP]]),AM$3&lt;=VALUE(t_Parts[[EOP]:[EOP]])), t_Parts[[SetupHrsPerMo]:[SetupHrsPerMo]]+(t_Parts[[#This Row],[pv2015.02]]/t_Parts[[NetPPH]:[NetPPH]]),0)</f>
        <v>25.743006993006993</v>
      </c>
      <c r="CT100" s="39">
        <f>IF(AND(AN$3&gt;=VALUE(t_Parts[[SOP]:[SOP]]),AN$3&lt;=VALUE(t_Parts[[EOP]:[EOP]])), t_Parts[[SetupHrsPerMo]:[SetupHrsPerMo]]+(t_Parts[[#This Row],[pv2015.03]]/t_Parts[[NetPPH]:[NetPPH]]),0)</f>
        <v>31.17875874125874</v>
      </c>
      <c r="CU100" s="39">
        <f>IF(AND(AO$3&gt;=VALUE(t_Parts[[SOP]:[SOP]]),AO$3&lt;=VALUE(t_Parts[[EOP]:[EOP]])), t_Parts[[SetupHrsPerMo]:[SetupHrsPerMo]]+(t_Parts[[#This Row],[pv2015.04]]/t_Parts[[NetPPH]:[NetPPH]]),0)</f>
        <v>25.743006993006993</v>
      </c>
      <c r="CV100" s="39">
        <f>IF(AND(AP$3&gt;=VALUE(t_Parts[[SOP]:[SOP]]),AP$3&lt;=VALUE(t_Parts[[EOP]:[EOP]])), t_Parts[[SetupHrsPerMo]:[SetupHrsPerMo]]+(t_Parts[[#This Row],[pv2015.05]]/t_Parts[[NetPPH]:[NetPPH]]),0)</f>
        <v>25.743006993006993</v>
      </c>
      <c r="CW100" s="39">
        <f>IF(AND(AQ$3&gt;=VALUE(t_Parts[[SOP]:[SOP]]),AQ$3&lt;=VALUE(t_Parts[[EOP]:[EOP]])), t_Parts[[SetupHrsPerMo]:[SetupHrsPerMo]]+(t_Parts[[#This Row],[pv2015.06]]/t_Parts[[NetPPH]:[NetPPH]]),0)</f>
        <v>31.17875874125874</v>
      </c>
      <c r="CX100" s="39">
        <f>IF(AND(AR$3&gt;=VALUE(t_Parts[[SOP]:[SOP]]),AR$3&lt;=VALUE(t_Parts[[EOP]:[EOP]])), t_Parts[[SetupHrsPerMo]:[SetupHrsPerMo]]+(t_Parts[[#This Row],[pv2015.07]]/t_Parts[[NetPPH]:[NetPPH]]),0)</f>
        <v>25.743006993006993</v>
      </c>
      <c r="CY100" s="39">
        <f>IF(AND(AS$3&gt;=VALUE(t_Parts[[SOP]:[SOP]]),AS$3&lt;=VALUE(t_Parts[[EOP]:[EOP]])), t_Parts[[SetupHrsPerMo]:[SetupHrsPerMo]]+(t_Parts[[#This Row],[pv2015.08]]/t_Parts[[NetPPH]:[NetPPH]]),0)</f>
        <v>25.743006993006993</v>
      </c>
      <c r="CZ100" s="39">
        <f>IF(AND(AT$3&gt;=VALUE(t_Parts[[SOP]:[SOP]]),AT$3&lt;=VALUE(t_Parts[[EOP]:[EOP]])), t_Parts[[SetupHrsPerMo]:[SetupHrsPerMo]]+(t_Parts[[#This Row],[pv2015.09]]/t_Parts[[NetPPH]:[NetPPH]]),0)</f>
        <v>31.17875874125874</v>
      </c>
      <c r="DA100" s="39">
        <f>IF(AND(AU$3&gt;=VALUE(t_Parts[[SOP]:[SOP]]),AU$3&lt;=VALUE(t_Parts[[EOP]:[EOP]])), t_Parts[[SetupHrsPerMo]:[SetupHrsPerMo]]+(t_Parts[[#This Row],[pv2015.10]]/t_Parts[[NetPPH]:[NetPPH]]),0)</f>
        <v>25.743006993006993</v>
      </c>
      <c r="DB100" s="39">
        <f>IF(AND(AV$3&gt;=VALUE(t_Parts[[SOP]:[SOP]]),AV$3&lt;=VALUE(t_Parts[[EOP]:[EOP]])), t_Parts[[SetupHrsPerMo]:[SetupHrsPerMo]]+(t_Parts[[#This Row],[pv2015.11]]/t_Parts[[NetPPH]:[NetPPH]]),0)</f>
        <v>25.743006993006993</v>
      </c>
      <c r="DC100" s="39">
        <f>IF(AND(AW$3&gt;=VALUE(t_Parts[[SOP]:[SOP]]),AW$3&lt;=VALUE(t_Parts[[EOP]:[EOP]])), t_Parts[[SetupHrsPerMo]:[SetupHrsPerMo]]+(t_Parts[[#This Row],[pv2015.12]]/t_Parts[[NetPPH]:[NetPPH]]),0)</f>
        <v>31.17875874125874</v>
      </c>
      <c r="DD100" s="39">
        <f>SUM(t_Parts[[#This Row],[hp2015.01]:[hp2015.12]])</f>
        <v>330.65909090909088</v>
      </c>
      <c r="DE100" s="39">
        <f>IF(AND(AY$3&gt;=VALUE(t_Parts[[SOP]:[SOP]]),AY$3&lt;=VALUE(t_Parts[[EOP]:[EOP]])), t_Parts[[SetupHrsPerMo]:[SetupHrsPerMo]]+(t_Parts[[#This Row],[pv2016.01]]/t_Parts[[NetPPH]:[NetPPH]]),0)</f>
        <v>25.743006993006993</v>
      </c>
      <c r="DF100" s="39">
        <f>IF(AND(AZ$3&gt;=VALUE(t_Parts[[SOP]:[SOP]]),AZ$3&lt;=VALUE(t_Parts[[EOP]:[EOP]])), t_Parts[[SetupHrsPerMo]:[SetupHrsPerMo]]+(t_Parts[[#This Row],[pv2016.02]]/t_Parts[[NetPPH]:[NetPPH]]),0)</f>
        <v>25.743006993006993</v>
      </c>
      <c r="DG100" s="39">
        <f>IF(AND(BA$3&gt;=VALUE(t_Parts[[SOP]:[SOP]]),BA$3&lt;=VALUE(t_Parts[[EOP]:[EOP]])), t_Parts[[SetupHrsPerMo]:[SetupHrsPerMo]]+(t_Parts[[#This Row],[pv2016.03]]/t_Parts[[NetPPH]:[NetPPH]]),0)</f>
        <v>31.17875874125874</v>
      </c>
      <c r="DH100" s="39">
        <f>IF(AND(BB$3&gt;=VALUE(t_Parts[[SOP]:[SOP]]),BB$3&lt;=VALUE(t_Parts[[EOP]:[EOP]])), t_Parts[[SetupHrsPerMo]:[SetupHrsPerMo]]+(t_Parts[[#This Row],[pv2016.04]]/t_Parts[[NetPPH]:[NetPPH]]),0)</f>
        <v>25.743006993006993</v>
      </c>
      <c r="DI100" s="39">
        <f>IF(AND(BC$3&gt;=VALUE(t_Parts[[SOP]:[SOP]]),BC$3&lt;=VALUE(t_Parts[[EOP]:[EOP]])), t_Parts[[SetupHrsPerMo]:[SetupHrsPerMo]]+(t_Parts[[#This Row],[pv2016.05]]/t_Parts[[NetPPH]:[NetPPH]]),0)</f>
        <v>25.743006993006993</v>
      </c>
      <c r="DJ100" s="39">
        <f>IF(AND(BD$3&gt;=VALUE(t_Parts[[SOP]:[SOP]]),BD$3&lt;=VALUE(t_Parts[[EOP]:[EOP]])), t_Parts[[SetupHrsPerMo]:[SetupHrsPerMo]]+(t_Parts[[#This Row],[pv2016.06]]/t_Parts[[NetPPH]:[NetPPH]]),0)</f>
        <v>31.17875874125874</v>
      </c>
      <c r="DK100" s="39">
        <f>IF(AND(BE$3&gt;=VALUE(t_Parts[[SOP]:[SOP]]),BE$3&lt;=VALUE(t_Parts[[EOP]:[EOP]])), t_Parts[[SetupHrsPerMo]:[SetupHrsPerMo]]+(t_Parts[[#This Row],[pv2016.07]]/t_Parts[[NetPPH]:[NetPPH]]),0)</f>
        <v>25.743006993006993</v>
      </c>
      <c r="DL100" s="39">
        <f>IF(AND(BF$3&gt;=VALUE(t_Parts[[SOP]:[SOP]]),BF$3&lt;=VALUE(t_Parts[[EOP]:[EOP]])), t_Parts[[SetupHrsPerMo]:[SetupHrsPerMo]]+(t_Parts[[#This Row],[pv2016.08]]/t_Parts[[NetPPH]:[NetPPH]]),0)</f>
        <v>25.743006993006993</v>
      </c>
      <c r="DM100" s="39">
        <f>IF(AND(BG$3&gt;=VALUE(t_Parts[[SOP]:[SOP]]),BG$3&lt;=VALUE(t_Parts[[EOP]:[EOP]])), t_Parts[[SetupHrsPerMo]:[SetupHrsPerMo]]+(t_Parts[[#This Row],[pv2016.09]]/t_Parts[[NetPPH]:[NetPPH]]),0)</f>
        <v>31.17875874125874</v>
      </c>
      <c r="DN100" s="39">
        <f>IF(AND(BH$3&gt;=VALUE(t_Parts[[SOP]:[SOP]]),BH$3&lt;=VALUE(t_Parts[[EOP]:[EOP]])), t_Parts[[SetupHrsPerMo]:[SetupHrsPerMo]]+(t_Parts[[#This Row],[pv2016.10]]/t_Parts[[NetPPH]:[NetPPH]]),0)</f>
        <v>25.743006993006993</v>
      </c>
      <c r="DO100" s="39">
        <f>IF(AND(BI$3&gt;=VALUE(t_Parts[[SOP]:[SOP]]),BI$3&lt;=VALUE(t_Parts[[EOP]:[EOP]])), t_Parts[[SetupHrsPerMo]:[SetupHrsPerMo]]+(t_Parts[[#This Row],[pv2016.11]]/t_Parts[[NetPPH]:[NetPPH]]),0)</f>
        <v>25.743006993006993</v>
      </c>
      <c r="DP100" s="39">
        <f>IF(AND(BJ$3&gt;=VALUE(t_Parts[[SOP]:[SOP]]),BJ$3&lt;=VALUE(t_Parts[[EOP]:[EOP]])), t_Parts[[SetupHrsPerMo]:[SetupHrsPerMo]]+(t_Parts[[#This Row],[pv2016.12]]/t_Parts[[NetPPH]:[NetPPH]]),0)</f>
        <v>31.17875874125874</v>
      </c>
      <c r="DQ100" s="39">
        <f>SUM(t_Parts[[#This Row],[hp2016.01]:[hp2016.12]])</f>
        <v>330.65909090909088</v>
      </c>
      <c r="DR100" s="39">
        <f>IF(AND(BL$3&gt;=VALUE(t_Parts[[SOP]:[SOP]]),BL$3&lt;=VALUE(t_Parts[[EOP]:[EOP]])), 12*t_Parts[[SetupHrsPerMo]:[SetupHrsPerMo]]+(t_Parts[[#This Row],[pv2017]]/t_Parts[[NetPPH]:[NetPPH]]),0)</f>
        <v>330.65909090909093</v>
      </c>
      <c r="DS100" s="39">
        <f>IF(AND(BM$3&gt;=VALUE(t_Parts[[SOP]:[SOP]]),BM$3&lt;=VALUE(t_Parts[[EOP]:[EOP]])), 12*t_Parts[[SetupHrsPerMo]:[SetupHrsPerMo]]+(t_Parts[[#This Row],[pv2018]]/t_Parts[[NetPPH]:[NetPPH]]),0)</f>
        <v>330.65909090909093</v>
      </c>
      <c r="DT100" s="39">
        <f>IF(AND(BN$3&gt;=VALUE(t_Parts[[SOP]:[SOP]]),BN$3&lt;=VALUE(t_Parts[[EOP]:[EOP]])), 12*t_Parts[[SetupHrsPerMo]:[SetupHrsPerMo]]+(t_Parts[[#This Row],[pv2019]]/t_Parts[[NetPPH]:[NetPPH]]),0)</f>
        <v>330.65909090909093</v>
      </c>
      <c r="DU100" s="47">
        <f>t_Parts[[#This Row],[hp2015.01]]/t_Parts[[#This Row],[ha2015.01]]</f>
        <v>9.1939310689310688E-2</v>
      </c>
      <c r="DV100" s="47">
        <f>t_Parts[[#This Row],[hp2015.02]]/t_Parts[[#This Row],[ha2015.02]]</f>
        <v>9.1939310689310688E-2</v>
      </c>
      <c r="DW100" s="47">
        <f>t_Parts[[#This Row],[hp2015.03]]/t_Parts[[#This Row],[ha2015.03]]</f>
        <v>8.9082167832167825E-2</v>
      </c>
      <c r="DX100" s="47">
        <f>t_Parts[[#This Row],[hp2015.04]]/t_Parts[[#This Row],[ha2015.04]]</f>
        <v>9.1939310689310688E-2</v>
      </c>
      <c r="DY100" s="47">
        <f>t_Parts[[#This Row],[hp2015.05]]/t_Parts[[#This Row],[ha2015.05]]</f>
        <v>9.1939310689310688E-2</v>
      </c>
      <c r="DZ100" s="47">
        <f>t_Parts[[#This Row],[hp2015.06]]/t_Parts[[#This Row],[ha2015.06]]</f>
        <v>8.9082167832167825E-2</v>
      </c>
      <c r="EA100" s="47">
        <f>t_Parts[[#This Row],[hp2015.07]]/t_Parts[[#This Row],[ha2015.07]]</f>
        <v>9.1939310689310688E-2</v>
      </c>
      <c r="EB100" s="47">
        <f>t_Parts[[#This Row],[hp2015.08]]/t_Parts[[#This Row],[ha2015.08]]</f>
        <v>9.1939310689310688E-2</v>
      </c>
      <c r="EC100" s="47">
        <f>t_Parts[[#This Row],[hp2015.09]]/t_Parts[[#This Row],[ha2015.09]]</f>
        <v>8.9082167832167825E-2</v>
      </c>
      <c r="ED100" s="47">
        <f>t_Parts[[#This Row],[hp2015.10]]/t_Parts[[#This Row],[ha2015.10]]</f>
        <v>9.1939310689310688E-2</v>
      </c>
      <c r="EE100" s="47">
        <f>t_Parts[[#This Row],[hp2015.11]]/t_Parts[[#This Row],[ha2015.11]]</f>
        <v>9.1939310689310688E-2</v>
      </c>
      <c r="EF100" s="47">
        <f>t_Parts[[#This Row],[hp2015.12]]/t_Parts[[#This Row],[ha2015.12]]</f>
        <v>8.9082167832167825E-2</v>
      </c>
      <c r="EG100" s="47">
        <f>t_Parts[[#This Row],[hp2015.FY]]/t_Parts[[#This Row],[ha2015.FY]]</f>
        <v>9.0840409590409579E-2</v>
      </c>
      <c r="EH100" s="47">
        <f>t_Parts[[#This Row],[hp2016.01]]/t_Parts[[#This Row],[ha2016.01]]</f>
        <v>9.1939310689310688E-2</v>
      </c>
      <c r="EI100" s="47">
        <f>t_Parts[[#This Row],[hp2016.02]]/t_Parts[[#This Row],[ha2016.02]]</f>
        <v>9.1939310689310688E-2</v>
      </c>
      <c r="EJ100" s="47">
        <f>t_Parts[[#This Row],[hp2016.03]]/t_Parts[[#This Row],[ha2016.03]]</f>
        <v>8.9082167832167825E-2</v>
      </c>
      <c r="EK100" s="47">
        <f>t_Parts[[#This Row],[hp2016.04]]/t_Parts[[#This Row],[ha2016.04]]</f>
        <v>9.1939310689310688E-2</v>
      </c>
      <c r="EL100" s="47">
        <f>t_Parts[[#This Row],[hp2016.05]]/t_Parts[[#This Row],[ha2016.05]]</f>
        <v>9.1939310689310688E-2</v>
      </c>
      <c r="EM100" s="47">
        <f>t_Parts[[#This Row],[hp2016.06]]/t_Parts[[#This Row],[ha2016.06]]</f>
        <v>8.9082167832167825E-2</v>
      </c>
      <c r="EN100" s="47">
        <f>t_Parts[[#This Row],[hp2016.07]]/t_Parts[[#This Row],[ha2016.07]]</f>
        <v>9.1939310689310688E-2</v>
      </c>
      <c r="EO100" s="47">
        <f>t_Parts[[#This Row],[hp2016.08]]/t_Parts[[#This Row],[ha2016.08]]</f>
        <v>9.1939310689310688E-2</v>
      </c>
      <c r="EP100" s="47">
        <f>t_Parts[[#This Row],[hp2016.09]]/t_Parts[[#This Row],[ha2016.09]]</f>
        <v>8.9082167832167825E-2</v>
      </c>
      <c r="EQ100" s="47">
        <f>t_Parts[[#This Row],[hp2016.10]]/t_Parts[[#This Row],[ha2016.10]]</f>
        <v>9.1939310689310688E-2</v>
      </c>
      <c r="ER100" s="47">
        <f>t_Parts[[#This Row],[hp2016.11]]/t_Parts[[#This Row],[ha2016.11]]</f>
        <v>9.1939310689310688E-2</v>
      </c>
      <c r="ES100" s="47">
        <f>t_Parts[[#This Row],[hp2016.12]]/t_Parts[[#This Row],[ha2016.12]]</f>
        <v>8.9082167832167825E-2</v>
      </c>
      <c r="ET100" s="47">
        <f>t_Parts[[#This Row],[hp2016.FY]]/t_Parts[[#This Row],[ha2016.FY]]</f>
        <v>9.0840409590409579E-2</v>
      </c>
      <c r="EU100" s="47">
        <f>t_Parts[[#This Row],[hp2017]]/t_Parts[[#This Row],[ha2017]]</f>
        <v>9.0840409590409593E-2</v>
      </c>
      <c r="EV100" s="47">
        <f>t_Parts[[#This Row],[hp2018]]/t_Parts[[#This Row],[ha2018]]</f>
        <v>9.0840409590409593E-2</v>
      </c>
      <c r="EW100" s="47">
        <f>t_Parts[[#This Row],[hp2019]]/t_Parts[[#This Row],[hp2015.01]]</f>
        <v>12.844617996604415</v>
      </c>
      <c r="EX100" s="58">
        <f>(t_Parts[[#This Row],[ha2015.01]]-t_Parts[[#This Row],[hp2015.01]])*t_Parts[[NetPPH]:[NetPPH]]</f>
        <v>268495.38461538462</v>
      </c>
      <c r="EY100" s="58">
        <f>(t_Parts[[#This Row],[ha2015.02]]-t_Parts[[#This Row],[hp2015.02]])*t_Parts[[NetPPH]:[NetPPH]]</f>
        <v>268495.38461538462</v>
      </c>
      <c r="EZ100" s="58">
        <f>(t_Parts[[#This Row],[ha2015.03]]-t_Parts[[#This Row],[hp2015.03]])*t_Parts[[NetPPH]:[NetPPH]]</f>
        <v>336675.23076923081</v>
      </c>
      <c r="FA100" s="58">
        <f>(t_Parts[[#This Row],[ha2015.04]]-t_Parts[[#This Row],[hp2015.04]])*t_Parts[[NetPPH]:[NetPPH]]</f>
        <v>268495.38461538462</v>
      </c>
      <c r="FB100" s="58">
        <f>(t_Parts[[#This Row],[ha2015.05]]-t_Parts[[#This Row],[hp2015.05]])*t_Parts[[NetPPH]:[NetPPH]]</f>
        <v>268495.38461538462</v>
      </c>
      <c r="FC100" s="58">
        <f>(t_Parts[[#This Row],[ha2015.06]]-t_Parts[[#This Row],[hp2015.06]])*t_Parts[[NetPPH]:[NetPPH]]</f>
        <v>336675.23076923081</v>
      </c>
      <c r="FD100" s="58">
        <f>(t_Parts[[#This Row],[ha2015.07]]-t_Parts[[#This Row],[hp2015.07]])*t_Parts[[NetPPH]:[NetPPH]]</f>
        <v>268495.38461538462</v>
      </c>
      <c r="FE100" s="58">
        <f>(t_Parts[[#This Row],[ha2015.08]]-t_Parts[[#This Row],[hp2015.08]])*t_Parts[[NetPPH]:[NetPPH]]</f>
        <v>268495.38461538462</v>
      </c>
      <c r="FF100" s="58">
        <f>(t_Parts[[#This Row],[ha2015.09]]-t_Parts[[#This Row],[hp2015.09]])*t_Parts[[NetPPH]:[NetPPH]]</f>
        <v>336675.23076923081</v>
      </c>
      <c r="FG100" s="58">
        <f>(t_Parts[[#This Row],[ha2015.10]]-t_Parts[[#This Row],[hp2015.10]])*t_Parts[[NetPPH]:[NetPPH]]</f>
        <v>268495.38461538462</v>
      </c>
      <c r="FH100" s="58">
        <f>(t_Parts[[#This Row],[ha2015.11]]-t_Parts[[#This Row],[hp2015.11]])*t_Parts[[NetPPH]:[NetPPH]]</f>
        <v>268495.38461538462</v>
      </c>
      <c r="FI100" s="58">
        <f>(t_Parts[[#This Row],[ha2015.12]]-t_Parts[[#This Row],[hp2015.12]])*t_Parts[[NetPPH]:[NetPPH]]</f>
        <v>336675.23076923081</v>
      </c>
      <c r="FJ100" s="58">
        <f>(t_Parts[[#This Row],[ha2015.FY]]-t_Parts[[#This Row],[hp2015.FY]])*t_Parts[[NetPPH]:[NetPPH]]</f>
        <v>3494664</v>
      </c>
      <c r="FK100" s="58">
        <f>(t_Parts[[#This Row],[ha2016.01]]-t_Parts[[#This Row],[hp2016.01]])*t_Parts[[NetPPH]:[NetPPH]]</f>
        <v>268495.38461538462</v>
      </c>
      <c r="FL100" s="58">
        <f>(t_Parts[[#This Row],[ha2016.02]]-t_Parts[[#This Row],[hp2016.02]])*t_Parts[[NetPPH]:[NetPPH]]</f>
        <v>268495.38461538462</v>
      </c>
      <c r="FM100" s="58">
        <f>(t_Parts[[#This Row],[ha2016.03]]-t_Parts[[#This Row],[hp2016.03]])*t_Parts[[NetPPH]:[NetPPH]]</f>
        <v>336675.23076923081</v>
      </c>
      <c r="FN100" s="58">
        <f>(t_Parts[[#This Row],[ha2016.04]]-t_Parts[[#This Row],[hp2016.04]])*t_Parts[[NetPPH]:[NetPPH]]</f>
        <v>268495.38461538462</v>
      </c>
      <c r="FO100" s="58">
        <f>(t_Parts[[#This Row],[ha2016.05]]-t_Parts[[#This Row],[hp2016.05]])*t_Parts[[NetPPH]:[NetPPH]]</f>
        <v>268495.38461538462</v>
      </c>
      <c r="FP100" s="58">
        <f>(t_Parts[[#This Row],[ha2016.06]]-t_Parts[[#This Row],[hp2016.06]])*t_Parts[[NetPPH]:[NetPPH]]</f>
        <v>336675.23076923081</v>
      </c>
      <c r="FQ100" s="58">
        <f>(t_Parts[[#This Row],[ha2016.07]]-t_Parts[[#This Row],[hp2016.07]])*t_Parts[[NetPPH]:[NetPPH]]</f>
        <v>268495.38461538462</v>
      </c>
      <c r="FR100" s="58">
        <f>(t_Parts[[#This Row],[ha2016.08]]-t_Parts[[#This Row],[hp2016.08]])*t_Parts[[NetPPH]:[NetPPH]]</f>
        <v>268495.38461538462</v>
      </c>
      <c r="FS100" s="58">
        <f>(t_Parts[[#This Row],[ha2016.09]]-t_Parts[[#This Row],[hp2016.09]])*t_Parts[[NetPPH]:[NetPPH]]</f>
        <v>336675.23076923081</v>
      </c>
      <c r="FT100" s="58">
        <f>(t_Parts[[#This Row],[ha2016.10]]-t_Parts[[#This Row],[hp2016.10]])*t_Parts[[NetPPH]:[NetPPH]]</f>
        <v>268495.38461538462</v>
      </c>
      <c r="FU100" s="58">
        <f>(t_Parts[[#This Row],[ha2016.11]]-t_Parts[[#This Row],[hp2016.11]])*t_Parts[[NetPPH]:[NetPPH]]</f>
        <v>268495.38461538462</v>
      </c>
      <c r="FV100" s="58">
        <f>(t_Parts[[#This Row],[ha2016.12]]-t_Parts[[#This Row],[hp2016.12]])*t_Parts[[NetPPH]:[NetPPH]]</f>
        <v>336675.23076923081</v>
      </c>
      <c r="FW100" s="58">
        <f>(t_Parts[[#This Row],[ha2016.FY]]-t_Parts[[#This Row],[hp2016.FY]])*t_Parts[[NetPPH]:[NetPPH]]</f>
        <v>3494664</v>
      </c>
      <c r="FX100" s="58">
        <f>(t_Parts[[#This Row],[ha2017]]-t_Parts[[#This Row],[hp2017]])*t_Parts[[NetPPH]:[NetPPH]]</f>
        <v>3494664</v>
      </c>
      <c r="FY100" s="58">
        <f>(t_Parts[[#This Row],[ha2018]]-t_Parts[[#This Row],[hp2018]])*t_Parts[[NetPPH]:[NetPPH]]</f>
        <v>3494664</v>
      </c>
      <c r="FZ100" s="58">
        <f>(t_Parts[[#This Row],[ha2019]]-t_Parts[[#This Row],[hp2019]])*t_Parts[[NetPPH]:[NetPPH]]</f>
        <v>3494664</v>
      </c>
    </row>
    <row r="101" spans="1:182" s="14" customFormat="1" x14ac:dyDescent="0.25">
      <c r="A101" s="74">
        <v>29206</v>
      </c>
      <c r="B101" s="74"/>
      <c r="C101" s="74">
        <v>21013</v>
      </c>
      <c r="D101" s="75">
        <v>1</v>
      </c>
      <c r="E101" s="73">
        <v>3600</v>
      </c>
      <c r="F101" s="76">
        <v>1</v>
      </c>
      <c r="G101" s="77">
        <v>2</v>
      </c>
      <c r="H101" s="16">
        <v>2015.01</v>
      </c>
      <c r="I101" s="16" t="s">
        <v>83</v>
      </c>
      <c r="J101" s="73">
        <v>18000</v>
      </c>
      <c r="K101" s="73">
        <v>18000</v>
      </c>
      <c r="L101" s="73">
        <v>18000</v>
      </c>
      <c r="M101" s="73">
        <v>18000</v>
      </c>
      <c r="N101" s="73">
        <v>18000</v>
      </c>
      <c r="O101" s="78">
        <v>22</v>
      </c>
      <c r="P101" s="78">
        <v>22</v>
      </c>
      <c r="Q101" s="79">
        <v>20.98</v>
      </c>
      <c r="R101" s="79"/>
      <c r="S101" s="78">
        <v>115</v>
      </c>
      <c r="T101" s="80">
        <v>13</v>
      </c>
      <c r="U101" s="80" t="s">
        <v>121</v>
      </c>
      <c r="V101" s="81"/>
      <c r="W101" s="82">
        <v>7.0999999999999994E-2</v>
      </c>
      <c r="X101" s="82" t="s">
        <v>495</v>
      </c>
      <c r="Y101" s="82" t="s">
        <v>519</v>
      </c>
      <c r="Z101" s="82"/>
      <c r="AA101" s="82"/>
      <c r="AB101" s="82"/>
      <c r="AC101" s="83" t="s">
        <v>110</v>
      </c>
      <c r="AD101" s="40" t="str">
        <f>VLOOKUP(t_Parts[[#This Row],[Press]],t_Presses[],Press!B$1,FALSE)</f>
        <v>Plainfield</v>
      </c>
      <c r="AE101" s="40" t="str">
        <f>VLOOKUP(t_Parts[[#This Row],[Press]],t_Presses[],Press!E$1,FALSE)</f>
        <v>0-299</v>
      </c>
      <c r="AF101" s="47">
        <f>VLOOKUP(t_Parts[[#This Row],[Plant]],t_Plants[],Plants!C$1,FALSE)</f>
        <v>0.55000000000000004</v>
      </c>
      <c r="AG101" s="47">
        <f>VLOOKUP(t_Parts[[#This Row],[Press]],t_Presses[],Press!F$1,FALSE)</f>
        <v>0</v>
      </c>
      <c r="AH101" s="84"/>
      <c r="AI101" s="47">
        <f>IF(ISBLANK(t_Parts[[#This Row],[PartOEE]])=FALSE,t_Parts[[#This Row],[PartOEE]], IF(t_Parts[[#This Row],[PressOEE]]&gt;0, t_Parts[[#This Row],[PressOEE]], t_Parts[[#This Row],[PlantOEE]] ))</f>
        <v>0.55000000000000004</v>
      </c>
      <c r="AJ101" s="70">
        <f>t_Parts[[#This Row],[SetupsPerMo]]*t_Parts[[#This Row],[SetupHrs]]</f>
        <v>2</v>
      </c>
      <c r="AK101" s="39">
        <f>(t_Parts[[#This Row],[PartsPerStroke]]*t_Parts[[#This Row],[StrokesPerHr]])*t_Parts[[#This Row],[UseOEE]]</f>
        <v>1980.0000000000002</v>
      </c>
      <c r="AL10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1384.6153846153848</v>
      </c>
      <c r="AM10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1384.6153846153848</v>
      </c>
      <c r="AN10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1730.7692307692309</v>
      </c>
      <c r="AO10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1384.6153846153848</v>
      </c>
      <c r="AP10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1384.6153846153848</v>
      </c>
      <c r="AQ10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1730.7692307692309</v>
      </c>
      <c r="AR10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1384.6153846153848</v>
      </c>
      <c r="AS10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1384.6153846153848</v>
      </c>
      <c r="AT10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1730.7692307692309</v>
      </c>
      <c r="AU10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1384.6153846153848</v>
      </c>
      <c r="AV10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1384.6153846153848</v>
      </c>
      <c r="AW10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1730.7692307692309</v>
      </c>
      <c r="AX101" s="39">
        <f>SUM(t_Parts[[#This Row],[pv2015.01]:[pv2015.12]])</f>
        <v>18000</v>
      </c>
      <c r="AY10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1384.6153846153848</v>
      </c>
      <c r="AZ10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1384.6153846153848</v>
      </c>
      <c r="BA10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1730.7692307692309</v>
      </c>
      <c r="BB10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1384.6153846153848</v>
      </c>
      <c r="BC10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1384.6153846153848</v>
      </c>
      <c r="BD10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1730.7692307692309</v>
      </c>
      <c r="BE10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1384.6153846153848</v>
      </c>
      <c r="BF10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1384.6153846153848</v>
      </c>
      <c r="BG10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1730.7692307692309</v>
      </c>
      <c r="BH10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1384.6153846153848</v>
      </c>
      <c r="BI10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1384.6153846153848</v>
      </c>
      <c r="BJ10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1730.7692307692309</v>
      </c>
      <c r="BK101" s="39">
        <f>SUM(t_Parts[[#This Row],[pv2016.01]:[pv2016.12]])</f>
        <v>18000</v>
      </c>
      <c r="BL101" s="39">
        <f>t_Parts[[#This Row],[2017vol]]</f>
        <v>18000</v>
      </c>
      <c r="BM101" s="39">
        <f>t_Parts[[#This Row],[2018vol]]</f>
        <v>18000</v>
      </c>
      <c r="BN101" s="39">
        <f>t_Parts[[#This Row],[2019vol]]</f>
        <v>18000</v>
      </c>
      <c r="BO101" s="40">
        <f>VLOOKUP(t_Parts[[Plant]:[Plant]],t_Plants[],Plants!CN$1,FALSE)</f>
        <v>280</v>
      </c>
      <c r="BP101" s="14">
        <f>VLOOKUP(t_Parts[[Plant]:[Plant]],t_Plants[],Plants!CO$1,FALSE)</f>
        <v>280</v>
      </c>
      <c r="BQ101" s="14">
        <f>VLOOKUP(t_Parts[[Plant]:[Plant]],t_Plants[],Plants!CP$1,FALSE)</f>
        <v>350</v>
      </c>
      <c r="BR101" s="14">
        <f>VLOOKUP(t_Parts[[Plant]:[Plant]],t_Plants[],Plants!CQ$1,FALSE)</f>
        <v>280</v>
      </c>
      <c r="BS101" s="14">
        <f>VLOOKUP(t_Parts[[Plant]:[Plant]],t_Plants[],Plants!CR$1,FALSE)</f>
        <v>280</v>
      </c>
      <c r="BT101" s="14">
        <f>VLOOKUP(t_Parts[[Plant]:[Plant]],t_Plants[],Plants!CS$1,FALSE)</f>
        <v>350</v>
      </c>
      <c r="BU101" s="14">
        <f>VLOOKUP(t_Parts[[Plant]:[Plant]],t_Plants[],Plants!CT$1,FALSE)</f>
        <v>280</v>
      </c>
      <c r="BV101" s="14">
        <f>VLOOKUP(t_Parts[[Plant]:[Plant]],t_Plants[],Plants!CU$1,FALSE)</f>
        <v>280</v>
      </c>
      <c r="BW101" s="14">
        <f>VLOOKUP(t_Parts[[Plant]:[Plant]],t_Plants[],Plants!CV$1,FALSE)</f>
        <v>350</v>
      </c>
      <c r="BX101" s="14">
        <f>VLOOKUP(t_Parts[[Plant]:[Plant]],t_Plants[],Plants!CW$1,FALSE)</f>
        <v>280</v>
      </c>
      <c r="BY101" s="14">
        <f>VLOOKUP(t_Parts[[Plant]:[Plant]],t_Plants[],Plants!CX$1,FALSE)</f>
        <v>280</v>
      </c>
      <c r="BZ101" s="14">
        <f>VLOOKUP(t_Parts[[Plant]:[Plant]],t_Plants[],Plants!CY$1,FALSE)</f>
        <v>350</v>
      </c>
      <c r="CA101" s="40">
        <f>SUM(t_Parts[[#This Row],[ha2015.01]:[ha2015.12]])</f>
        <v>3640</v>
      </c>
      <c r="CB101" s="14">
        <f>VLOOKUP(t_Parts[[Plant]:[Plant]],t_Plants[],Plants!DA$1,FALSE)</f>
        <v>280</v>
      </c>
      <c r="CC101" s="14">
        <f>VLOOKUP(t_Parts[[Plant]:[Plant]],t_Plants[],Plants!DB$1,FALSE)</f>
        <v>280</v>
      </c>
      <c r="CD101" s="14">
        <f>VLOOKUP(t_Parts[[Plant]:[Plant]],t_Plants[],Plants!DC$1,FALSE)</f>
        <v>350</v>
      </c>
      <c r="CE101" s="14">
        <f>VLOOKUP(t_Parts[[Plant]:[Plant]],t_Plants[],Plants!DD$1,FALSE)</f>
        <v>280</v>
      </c>
      <c r="CF101" s="14">
        <f>VLOOKUP(t_Parts[[Plant]:[Plant]],t_Plants[],Plants!DE$1,FALSE)</f>
        <v>280</v>
      </c>
      <c r="CG101" s="14">
        <f>VLOOKUP(t_Parts[[Plant]:[Plant]],t_Plants[],Plants!DF$1,FALSE)</f>
        <v>350</v>
      </c>
      <c r="CH101" s="14">
        <f>VLOOKUP(t_Parts[[Plant]:[Plant]],t_Plants[],Plants!DG$1,FALSE)</f>
        <v>280</v>
      </c>
      <c r="CI101" s="14">
        <f>VLOOKUP(t_Parts[[Plant]:[Plant]],t_Plants[],Plants!DH$1,FALSE)</f>
        <v>280</v>
      </c>
      <c r="CJ101" s="14">
        <f>VLOOKUP(t_Parts[[Plant]:[Plant]],t_Plants[],Plants!DI$1,FALSE)</f>
        <v>350</v>
      </c>
      <c r="CK101" s="14">
        <f>VLOOKUP(t_Parts[[Plant]:[Plant]],t_Plants[],Plants!DJ$1,FALSE)</f>
        <v>280</v>
      </c>
      <c r="CL101" s="14">
        <f>VLOOKUP(t_Parts[[Plant]:[Plant]],t_Plants[],Plants!DK$1,FALSE)</f>
        <v>280</v>
      </c>
      <c r="CM101" s="14">
        <f>VLOOKUP(t_Parts[[Plant]:[Plant]],t_Plants[],Plants!DL$1,FALSE)</f>
        <v>350</v>
      </c>
      <c r="CN101" s="14">
        <f>VLOOKUP(t_Parts[[Plant]:[Plant]],t_Plants[],Plants!DM$1,FALSE)</f>
        <v>3640</v>
      </c>
      <c r="CO101" s="14">
        <f>VLOOKUP(t_Parts[[Plant]:[Plant]],t_Plants[],Plants!DN$1,FALSE)</f>
        <v>3640</v>
      </c>
      <c r="CP101" s="14">
        <f>VLOOKUP(t_Parts[[Plant]:[Plant]],t_Plants[],Plants!DO$1,FALSE)</f>
        <v>3640</v>
      </c>
      <c r="CQ101" s="14">
        <f>VLOOKUP(t_Parts[[Plant]:[Plant]],t_Plants[],Plants!DP$1,FALSE)</f>
        <v>3640</v>
      </c>
      <c r="CR101" s="39">
        <f>IF(AND(AL$3&gt;=VALUE(t_Parts[[SOP]:[SOP]]),AL$3&lt;=VALUE(t_Parts[[EOP]:[EOP]])), t_Parts[[SetupHrsPerMo]:[SetupHrsPerMo]]+(t_Parts[[#This Row],[pv2015.01]]/t_Parts[[NetPPH]:[NetPPH]]),0)</f>
        <v>2.6993006993006992</v>
      </c>
      <c r="CS101" s="39">
        <f>IF(AND(AM$3&gt;=VALUE(t_Parts[[SOP]:[SOP]]),AM$3&lt;=VALUE(t_Parts[[EOP]:[EOP]])), t_Parts[[SetupHrsPerMo]:[SetupHrsPerMo]]+(t_Parts[[#This Row],[pv2015.02]]/t_Parts[[NetPPH]:[NetPPH]]),0)</f>
        <v>2.6993006993006992</v>
      </c>
      <c r="CT101" s="39">
        <f>IF(AND(AN$3&gt;=VALUE(t_Parts[[SOP]:[SOP]]),AN$3&lt;=VALUE(t_Parts[[EOP]:[EOP]])), t_Parts[[SetupHrsPerMo]:[SetupHrsPerMo]]+(t_Parts[[#This Row],[pv2015.03]]/t_Parts[[NetPPH]:[NetPPH]]),0)</f>
        <v>2.8741258741258742</v>
      </c>
      <c r="CU101" s="39">
        <f>IF(AND(AO$3&gt;=VALUE(t_Parts[[SOP]:[SOP]]),AO$3&lt;=VALUE(t_Parts[[EOP]:[EOP]])), t_Parts[[SetupHrsPerMo]:[SetupHrsPerMo]]+(t_Parts[[#This Row],[pv2015.04]]/t_Parts[[NetPPH]:[NetPPH]]),0)</f>
        <v>2.6993006993006992</v>
      </c>
      <c r="CV101" s="39">
        <f>IF(AND(AP$3&gt;=VALUE(t_Parts[[SOP]:[SOP]]),AP$3&lt;=VALUE(t_Parts[[EOP]:[EOP]])), t_Parts[[SetupHrsPerMo]:[SetupHrsPerMo]]+(t_Parts[[#This Row],[pv2015.05]]/t_Parts[[NetPPH]:[NetPPH]]),0)</f>
        <v>2.6993006993006992</v>
      </c>
      <c r="CW101" s="39">
        <f>IF(AND(AQ$3&gt;=VALUE(t_Parts[[SOP]:[SOP]]),AQ$3&lt;=VALUE(t_Parts[[EOP]:[EOP]])), t_Parts[[SetupHrsPerMo]:[SetupHrsPerMo]]+(t_Parts[[#This Row],[pv2015.06]]/t_Parts[[NetPPH]:[NetPPH]]),0)</f>
        <v>2.8741258741258742</v>
      </c>
      <c r="CX101" s="39">
        <f>IF(AND(AR$3&gt;=VALUE(t_Parts[[SOP]:[SOP]]),AR$3&lt;=VALUE(t_Parts[[EOP]:[EOP]])), t_Parts[[SetupHrsPerMo]:[SetupHrsPerMo]]+(t_Parts[[#This Row],[pv2015.07]]/t_Parts[[NetPPH]:[NetPPH]]),0)</f>
        <v>2.6993006993006992</v>
      </c>
      <c r="CY101" s="39">
        <f>IF(AND(AS$3&gt;=VALUE(t_Parts[[SOP]:[SOP]]),AS$3&lt;=VALUE(t_Parts[[EOP]:[EOP]])), t_Parts[[SetupHrsPerMo]:[SetupHrsPerMo]]+(t_Parts[[#This Row],[pv2015.08]]/t_Parts[[NetPPH]:[NetPPH]]),0)</f>
        <v>2.6993006993006992</v>
      </c>
      <c r="CZ101" s="39">
        <f>IF(AND(AT$3&gt;=VALUE(t_Parts[[SOP]:[SOP]]),AT$3&lt;=VALUE(t_Parts[[EOP]:[EOP]])), t_Parts[[SetupHrsPerMo]:[SetupHrsPerMo]]+(t_Parts[[#This Row],[pv2015.09]]/t_Parts[[NetPPH]:[NetPPH]]),0)</f>
        <v>2.8741258741258742</v>
      </c>
      <c r="DA101" s="39">
        <f>IF(AND(AU$3&gt;=VALUE(t_Parts[[SOP]:[SOP]]),AU$3&lt;=VALUE(t_Parts[[EOP]:[EOP]])), t_Parts[[SetupHrsPerMo]:[SetupHrsPerMo]]+(t_Parts[[#This Row],[pv2015.10]]/t_Parts[[NetPPH]:[NetPPH]]),0)</f>
        <v>2.6993006993006992</v>
      </c>
      <c r="DB101" s="39">
        <f>IF(AND(AV$3&gt;=VALUE(t_Parts[[SOP]:[SOP]]),AV$3&lt;=VALUE(t_Parts[[EOP]:[EOP]])), t_Parts[[SetupHrsPerMo]:[SetupHrsPerMo]]+(t_Parts[[#This Row],[pv2015.11]]/t_Parts[[NetPPH]:[NetPPH]]),0)</f>
        <v>2.6993006993006992</v>
      </c>
      <c r="DC101" s="39">
        <f>IF(AND(AW$3&gt;=VALUE(t_Parts[[SOP]:[SOP]]),AW$3&lt;=VALUE(t_Parts[[EOP]:[EOP]])), t_Parts[[SetupHrsPerMo]:[SetupHrsPerMo]]+(t_Parts[[#This Row],[pv2015.12]]/t_Parts[[NetPPH]:[NetPPH]]),0)</f>
        <v>2.8741258741258742</v>
      </c>
      <c r="DD101" s="39">
        <f>SUM(t_Parts[[#This Row],[hp2015.01]:[hp2015.12]])</f>
        <v>33.090909090909093</v>
      </c>
      <c r="DE101" s="39">
        <f>IF(AND(AY$3&gt;=VALUE(t_Parts[[SOP]:[SOP]]),AY$3&lt;=VALUE(t_Parts[[EOP]:[EOP]])), t_Parts[[SetupHrsPerMo]:[SetupHrsPerMo]]+(t_Parts[[#This Row],[pv2016.01]]/t_Parts[[NetPPH]:[NetPPH]]),0)</f>
        <v>2.6993006993006992</v>
      </c>
      <c r="DF101" s="39">
        <f>IF(AND(AZ$3&gt;=VALUE(t_Parts[[SOP]:[SOP]]),AZ$3&lt;=VALUE(t_Parts[[EOP]:[EOP]])), t_Parts[[SetupHrsPerMo]:[SetupHrsPerMo]]+(t_Parts[[#This Row],[pv2016.02]]/t_Parts[[NetPPH]:[NetPPH]]),0)</f>
        <v>2.6993006993006992</v>
      </c>
      <c r="DG101" s="39">
        <f>IF(AND(BA$3&gt;=VALUE(t_Parts[[SOP]:[SOP]]),BA$3&lt;=VALUE(t_Parts[[EOP]:[EOP]])), t_Parts[[SetupHrsPerMo]:[SetupHrsPerMo]]+(t_Parts[[#This Row],[pv2016.03]]/t_Parts[[NetPPH]:[NetPPH]]),0)</f>
        <v>2.8741258741258742</v>
      </c>
      <c r="DH101" s="39">
        <f>IF(AND(BB$3&gt;=VALUE(t_Parts[[SOP]:[SOP]]),BB$3&lt;=VALUE(t_Parts[[EOP]:[EOP]])), t_Parts[[SetupHrsPerMo]:[SetupHrsPerMo]]+(t_Parts[[#This Row],[pv2016.04]]/t_Parts[[NetPPH]:[NetPPH]]),0)</f>
        <v>2.6993006993006992</v>
      </c>
      <c r="DI101" s="39">
        <f>IF(AND(BC$3&gt;=VALUE(t_Parts[[SOP]:[SOP]]),BC$3&lt;=VALUE(t_Parts[[EOP]:[EOP]])), t_Parts[[SetupHrsPerMo]:[SetupHrsPerMo]]+(t_Parts[[#This Row],[pv2016.05]]/t_Parts[[NetPPH]:[NetPPH]]),0)</f>
        <v>2.6993006993006992</v>
      </c>
      <c r="DJ101" s="39">
        <f>IF(AND(BD$3&gt;=VALUE(t_Parts[[SOP]:[SOP]]),BD$3&lt;=VALUE(t_Parts[[EOP]:[EOP]])), t_Parts[[SetupHrsPerMo]:[SetupHrsPerMo]]+(t_Parts[[#This Row],[pv2016.06]]/t_Parts[[NetPPH]:[NetPPH]]),0)</f>
        <v>2.8741258741258742</v>
      </c>
      <c r="DK101" s="39">
        <f>IF(AND(BE$3&gt;=VALUE(t_Parts[[SOP]:[SOP]]),BE$3&lt;=VALUE(t_Parts[[EOP]:[EOP]])), t_Parts[[SetupHrsPerMo]:[SetupHrsPerMo]]+(t_Parts[[#This Row],[pv2016.07]]/t_Parts[[NetPPH]:[NetPPH]]),0)</f>
        <v>2.6993006993006992</v>
      </c>
      <c r="DL101" s="39">
        <f>IF(AND(BF$3&gt;=VALUE(t_Parts[[SOP]:[SOP]]),BF$3&lt;=VALUE(t_Parts[[EOP]:[EOP]])), t_Parts[[SetupHrsPerMo]:[SetupHrsPerMo]]+(t_Parts[[#This Row],[pv2016.08]]/t_Parts[[NetPPH]:[NetPPH]]),0)</f>
        <v>2.6993006993006992</v>
      </c>
      <c r="DM101" s="39">
        <f>IF(AND(BG$3&gt;=VALUE(t_Parts[[SOP]:[SOP]]),BG$3&lt;=VALUE(t_Parts[[EOP]:[EOP]])), t_Parts[[SetupHrsPerMo]:[SetupHrsPerMo]]+(t_Parts[[#This Row],[pv2016.09]]/t_Parts[[NetPPH]:[NetPPH]]),0)</f>
        <v>2.8741258741258742</v>
      </c>
      <c r="DN101" s="39">
        <f>IF(AND(BH$3&gt;=VALUE(t_Parts[[SOP]:[SOP]]),BH$3&lt;=VALUE(t_Parts[[EOP]:[EOP]])), t_Parts[[SetupHrsPerMo]:[SetupHrsPerMo]]+(t_Parts[[#This Row],[pv2016.10]]/t_Parts[[NetPPH]:[NetPPH]]),0)</f>
        <v>2.6993006993006992</v>
      </c>
      <c r="DO101" s="39">
        <f>IF(AND(BI$3&gt;=VALUE(t_Parts[[SOP]:[SOP]]),BI$3&lt;=VALUE(t_Parts[[EOP]:[EOP]])), t_Parts[[SetupHrsPerMo]:[SetupHrsPerMo]]+(t_Parts[[#This Row],[pv2016.11]]/t_Parts[[NetPPH]:[NetPPH]]),0)</f>
        <v>2.6993006993006992</v>
      </c>
      <c r="DP101" s="39">
        <f>IF(AND(BJ$3&gt;=VALUE(t_Parts[[SOP]:[SOP]]),BJ$3&lt;=VALUE(t_Parts[[EOP]:[EOP]])), t_Parts[[SetupHrsPerMo]:[SetupHrsPerMo]]+(t_Parts[[#This Row],[pv2016.12]]/t_Parts[[NetPPH]:[NetPPH]]),0)</f>
        <v>2.8741258741258742</v>
      </c>
      <c r="DQ101" s="39">
        <f>SUM(t_Parts[[#This Row],[hp2016.01]:[hp2016.12]])</f>
        <v>33.090909090909093</v>
      </c>
      <c r="DR101" s="39">
        <f>IF(AND(BL$3&gt;=VALUE(t_Parts[[SOP]:[SOP]]),BL$3&lt;=VALUE(t_Parts[[EOP]:[EOP]])), 12*t_Parts[[SetupHrsPerMo]:[SetupHrsPerMo]]+(t_Parts[[#This Row],[pv2017]]/t_Parts[[NetPPH]:[NetPPH]]),0)</f>
        <v>33.090909090909093</v>
      </c>
      <c r="DS101" s="39">
        <f>IF(AND(BM$3&gt;=VALUE(t_Parts[[SOP]:[SOP]]),BM$3&lt;=VALUE(t_Parts[[EOP]:[EOP]])), 12*t_Parts[[SetupHrsPerMo]:[SetupHrsPerMo]]+(t_Parts[[#This Row],[pv2018]]/t_Parts[[NetPPH]:[NetPPH]]),0)</f>
        <v>33.090909090909093</v>
      </c>
      <c r="DT101" s="39">
        <f>IF(AND(BN$3&gt;=VALUE(t_Parts[[SOP]:[SOP]]),BN$3&lt;=VALUE(t_Parts[[EOP]:[EOP]])), 12*t_Parts[[SetupHrsPerMo]:[SetupHrsPerMo]]+(t_Parts[[#This Row],[pv2019]]/t_Parts[[NetPPH]:[NetPPH]]),0)</f>
        <v>33.090909090909093</v>
      </c>
      <c r="DU101" s="47">
        <f>t_Parts[[#This Row],[hp2015.01]]/t_Parts[[#This Row],[ha2015.01]]</f>
        <v>9.6403596403596397E-3</v>
      </c>
      <c r="DV101" s="47">
        <f>t_Parts[[#This Row],[hp2015.02]]/t_Parts[[#This Row],[ha2015.02]]</f>
        <v>9.6403596403596397E-3</v>
      </c>
      <c r="DW101" s="47">
        <f>t_Parts[[#This Row],[hp2015.03]]/t_Parts[[#This Row],[ha2015.03]]</f>
        <v>8.2117882117882113E-3</v>
      </c>
      <c r="DX101" s="47">
        <f>t_Parts[[#This Row],[hp2015.04]]/t_Parts[[#This Row],[ha2015.04]]</f>
        <v>9.6403596403596397E-3</v>
      </c>
      <c r="DY101" s="47">
        <f>t_Parts[[#This Row],[hp2015.05]]/t_Parts[[#This Row],[ha2015.05]]</f>
        <v>9.6403596403596397E-3</v>
      </c>
      <c r="DZ101" s="47">
        <f>t_Parts[[#This Row],[hp2015.06]]/t_Parts[[#This Row],[ha2015.06]]</f>
        <v>8.2117882117882113E-3</v>
      </c>
      <c r="EA101" s="47">
        <f>t_Parts[[#This Row],[hp2015.07]]/t_Parts[[#This Row],[ha2015.07]]</f>
        <v>9.6403596403596397E-3</v>
      </c>
      <c r="EB101" s="47">
        <f>t_Parts[[#This Row],[hp2015.08]]/t_Parts[[#This Row],[ha2015.08]]</f>
        <v>9.6403596403596397E-3</v>
      </c>
      <c r="EC101" s="47">
        <f>t_Parts[[#This Row],[hp2015.09]]/t_Parts[[#This Row],[ha2015.09]]</f>
        <v>8.2117882117882113E-3</v>
      </c>
      <c r="ED101" s="47">
        <f>t_Parts[[#This Row],[hp2015.10]]/t_Parts[[#This Row],[ha2015.10]]</f>
        <v>9.6403596403596397E-3</v>
      </c>
      <c r="EE101" s="47">
        <f>t_Parts[[#This Row],[hp2015.11]]/t_Parts[[#This Row],[ha2015.11]]</f>
        <v>9.6403596403596397E-3</v>
      </c>
      <c r="EF101" s="47">
        <f>t_Parts[[#This Row],[hp2015.12]]/t_Parts[[#This Row],[ha2015.12]]</f>
        <v>8.2117882117882113E-3</v>
      </c>
      <c r="EG101" s="47">
        <f>t_Parts[[#This Row],[hp2015.FY]]/t_Parts[[#This Row],[ha2015.FY]]</f>
        <v>9.0909090909090922E-3</v>
      </c>
      <c r="EH101" s="47">
        <f>t_Parts[[#This Row],[hp2016.01]]/t_Parts[[#This Row],[ha2016.01]]</f>
        <v>9.6403596403596397E-3</v>
      </c>
      <c r="EI101" s="47">
        <f>t_Parts[[#This Row],[hp2016.02]]/t_Parts[[#This Row],[ha2016.02]]</f>
        <v>9.6403596403596397E-3</v>
      </c>
      <c r="EJ101" s="47">
        <f>t_Parts[[#This Row],[hp2016.03]]/t_Parts[[#This Row],[ha2016.03]]</f>
        <v>8.2117882117882113E-3</v>
      </c>
      <c r="EK101" s="47">
        <f>t_Parts[[#This Row],[hp2016.04]]/t_Parts[[#This Row],[ha2016.04]]</f>
        <v>9.6403596403596397E-3</v>
      </c>
      <c r="EL101" s="47">
        <f>t_Parts[[#This Row],[hp2016.05]]/t_Parts[[#This Row],[ha2016.05]]</f>
        <v>9.6403596403596397E-3</v>
      </c>
      <c r="EM101" s="47">
        <f>t_Parts[[#This Row],[hp2016.06]]/t_Parts[[#This Row],[ha2016.06]]</f>
        <v>8.2117882117882113E-3</v>
      </c>
      <c r="EN101" s="47">
        <f>t_Parts[[#This Row],[hp2016.07]]/t_Parts[[#This Row],[ha2016.07]]</f>
        <v>9.6403596403596397E-3</v>
      </c>
      <c r="EO101" s="47">
        <f>t_Parts[[#This Row],[hp2016.08]]/t_Parts[[#This Row],[ha2016.08]]</f>
        <v>9.6403596403596397E-3</v>
      </c>
      <c r="EP101" s="47">
        <f>t_Parts[[#This Row],[hp2016.09]]/t_Parts[[#This Row],[ha2016.09]]</f>
        <v>8.2117882117882113E-3</v>
      </c>
      <c r="EQ101" s="47">
        <f>t_Parts[[#This Row],[hp2016.10]]/t_Parts[[#This Row],[ha2016.10]]</f>
        <v>9.6403596403596397E-3</v>
      </c>
      <c r="ER101" s="47">
        <f>t_Parts[[#This Row],[hp2016.11]]/t_Parts[[#This Row],[ha2016.11]]</f>
        <v>9.6403596403596397E-3</v>
      </c>
      <c r="ES101" s="47">
        <f>t_Parts[[#This Row],[hp2016.12]]/t_Parts[[#This Row],[ha2016.12]]</f>
        <v>8.2117882117882113E-3</v>
      </c>
      <c r="ET101" s="47">
        <f>t_Parts[[#This Row],[hp2016.FY]]/t_Parts[[#This Row],[ha2016.FY]]</f>
        <v>9.0909090909090922E-3</v>
      </c>
      <c r="EU101" s="47">
        <f>t_Parts[[#This Row],[hp2017]]/t_Parts[[#This Row],[ha2017]]</f>
        <v>9.0909090909090922E-3</v>
      </c>
      <c r="EV101" s="47">
        <f>t_Parts[[#This Row],[hp2018]]/t_Parts[[#This Row],[ha2018]]</f>
        <v>9.0909090909090922E-3</v>
      </c>
      <c r="EW101" s="47">
        <f>t_Parts[[#This Row],[hp2019]]/t_Parts[[#This Row],[hp2015.01]]</f>
        <v>12.259067357512954</v>
      </c>
      <c r="EX101" s="58">
        <f>(t_Parts[[#This Row],[ha2015.01]]-t_Parts[[#This Row],[hp2015.01]])*t_Parts[[NetPPH]:[NetPPH]]</f>
        <v>549055.38461538474</v>
      </c>
      <c r="EY101" s="58">
        <f>(t_Parts[[#This Row],[ha2015.02]]-t_Parts[[#This Row],[hp2015.02]])*t_Parts[[NetPPH]:[NetPPH]]</f>
        <v>549055.38461538474</v>
      </c>
      <c r="EZ101" s="58">
        <f>(t_Parts[[#This Row],[ha2015.03]]-t_Parts[[#This Row],[hp2015.03]])*t_Parts[[NetPPH]:[NetPPH]]</f>
        <v>687309.23076923087</v>
      </c>
      <c r="FA101" s="58">
        <f>(t_Parts[[#This Row],[ha2015.04]]-t_Parts[[#This Row],[hp2015.04]])*t_Parts[[NetPPH]:[NetPPH]]</f>
        <v>549055.38461538474</v>
      </c>
      <c r="FB101" s="58">
        <f>(t_Parts[[#This Row],[ha2015.05]]-t_Parts[[#This Row],[hp2015.05]])*t_Parts[[NetPPH]:[NetPPH]]</f>
        <v>549055.38461538474</v>
      </c>
      <c r="FC101" s="58">
        <f>(t_Parts[[#This Row],[ha2015.06]]-t_Parts[[#This Row],[hp2015.06]])*t_Parts[[NetPPH]:[NetPPH]]</f>
        <v>687309.23076923087</v>
      </c>
      <c r="FD101" s="58">
        <f>(t_Parts[[#This Row],[ha2015.07]]-t_Parts[[#This Row],[hp2015.07]])*t_Parts[[NetPPH]:[NetPPH]]</f>
        <v>549055.38461538474</v>
      </c>
      <c r="FE101" s="58">
        <f>(t_Parts[[#This Row],[ha2015.08]]-t_Parts[[#This Row],[hp2015.08]])*t_Parts[[NetPPH]:[NetPPH]]</f>
        <v>549055.38461538474</v>
      </c>
      <c r="FF101" s="58">
        <f>(t_Parts[[#This Row],[ha2015.09]]-t_Parts[[#This Row],[hp2015.09]])*t_Parts[[NetPPH]:[NetPPH]]</f>
        <v>687309.23076923087</v>
      </c>
      <c r="FG101" s="58">
        <f>(t_Parts[[#This Row],[ha2015.10]]-t_Parts[[#This Row],[hp2015.10]])*t_Parts[[NetPPH]:[NetPPH]]</f>
        <v>549055.38461538474</v>
      </c>
      <c r="FH101" s="58">
        <f>(t_Parts[[#This Row],[ha2015.11]]-t_Parts[[#This Row],[hp2015.11]])*t_Parts[[NetPPH]:[NetPPH]]</f>
        <v>549055.38461538474</v>
      </c>
      <c r="FI101" s="58">
        <f>(t_Parts[[#This Row],[ha2015.12]]-t_Parts[[#This Row],[hp2015.12]])*t_Parts[[NetPPH]:[NetPPH]]</f>
        <v>687309.23076923087</v>
      </c>
      <c r="FJ101" s="58">
        <f>(t_Parts[[#This Row],[ha2015.FY]]-t_Parts[[#This Row],[hp2015.FY]])*t_Parts[[NetPPH]:[NetPPH]]</f>
        <v>7141680.0000000009</v>
      </c>
      <c r="FK101" s="58">
        <f>(t_Parts[[#This Row],[ha2016.01]]-t_Parts[[#This Row],[hp2016.01]])*t_Parts[[NetPPH]:[NetPPH]]</f>
        <v>549055.38461538474</v>
      </c>
      <c r="FL101" s="58">
        <f>(t_Parts[[#This Row],[ha2016.02]]-t_Parts[[#This Row],[hp2016.02]])*t_Parts[[NetPPH]:[NetPPH]]</f>
        <v>549055.38461538474</v>
      </c>
      <c r="FM101" s="58">
        <f>(t_Parts[[#This Row],[ha2016.03]]-t_Parts[[#This Row],[hp2016.03]])*t_Parts[[NetPPH]:[NetPPH]]</f>
        <v>687309.23076923087</v>
      </c>
      <c r="FN101" s="58">
        <f>(t_Parts[[#This Row],[ha2016.04]]-t_Parts[[#This Row],[hp2016.04]])*t_Parts[[NetPPH]:[NetPPH]]</f>
        <v>549055.38461538474</v>
      </c>
      <c r="FO101" s="58">
        <f>(t_Parts[[#This Row],[ha2016.05]]-t_Parts[[#This Row],[hp2016.05]])*t_Parts[[NetPPH]:[NetPPH]]</f>
        <v>549055.38461538474</v>
      </c>
      <c r="FP101" s="58">
        <f>(t_Parts[[#This Row],[ha2016.06]]-t_Parts[[#This Row],[hp2016.06]])*t_Parts[[NetPPH]:[NetPPH]]</f>
        <v>687309.23076923087</v>
      </c>
      <c r="FQ101" s="58">
        <f>(t_Parts[[#This Row],[ha2016.07]]-t_Parts[[#This Row],[hp2016.07]])*t_Parts[[NetPPH]:[NetPPH]]</f>
        <v>549055.38461538474</v>
      </c>
      <c r="FR101" s="58">
        <f>(t_Parts[[#This Row],[ha2016.08]]-t_Parts[[#This Row],[hp2016.08]])*t_Parts[[NetPPH]:[NetPPH]]</f>
        <v>549055.38461538474</v>
      </c>
      <c r="FS101" s="58">
        <f>(t_Parts[[#This Row],[ha2016.09]]-t_Parts[[#This Row],[hp2016.09]])*t_Parts[[NetPPH]:[NetPPH]]</f>
        <v>687309.23076923087</v>
      </c>
      <c r="FT101" s="58">
        <f>(t_Parts[[#This Row],[ha2016.10]]-t_Parts[[#This Row],[hp2016.10]])*t_Parts[[NetPPH]:[NetPPH]]</f>
        <v>549055.38461538474</v>
      </c>
      <c r="FU101" s="58">
        <f>(t_Parts[[#This Row],[ha2016.11]]-t_Parts[[#This Row],[hp2016.11]])*t_Parts[[NetPPH]:[NetPPH]]</f>
        <v>549055.38461538474</v>
      </c>
      <c r="FV101" s="58">
        <f>(t_Parts[[#This Row],[ha2016.12]]-t_Parts[[#This Row],[hp2016.12]])*t_Parts[[NetPPH]:[NetPPH]]</f>
        <v>687309.23076923087</v>
      </c>
      <c r="FW101" s="58">
        <f>(t_Parts[[#This Row],[ha2016.FY]]-t_Parts[[#This Row],[hp2016.FY]])*t_Parts[[NetPPH]:[NetPPH]]</f>
        <v>7141680.0000000009</v>
      </c>
      <c r="FX101" s="58">
        <f>(t_Parts[[#This Row],[ha2017]]-t_Parts[[#This Row],[hp2017]])*t_Parts[[NetPPH]:[NetPPH]]</f>
        <v>7141680.0000000009</v>
      </c>
      <c r="FY101" s="58">
        <f>(t_Parts[[#This Row],[ha2018]]-t_Parts[[#This Row],[hp2018]])*t_Parts[[NetPPH]:[NetPPH]]</f>
        <v>7141680.0000000009</v>
      </c>
      <c r="FZ101" s="58">
        <f>(t_Parts[[#This Row],[ha2019]]-t_Parts[[#This Row],[hp2019]])*t_Parts[[NetPPH]:[NetPPH]]</f>
        <v>7141680.0000000009</v>
      </c>
    </row>
    <row r="102" spans="1:182" s="14" customFormat="1" x14ac:dyDescent="0.25">
      <c r="A102" s="74">
        <v>29203</v>
      </c>
      <c r="B102" s="74"/>
      <c r="C102" s="74">
        <v>21013</v>
      </c>
      <c r="D102" s="75">
        <v>1</v>
      </c>
      <c r="E102" s="73">
        <v>4200</v>
      </c>
      <c r="F102" s="76">
        <v>1</v>
      </c>
      <c r="G102" s="77">
        <v>1</v>
      </c>
      <c r="H102" s="16">
        <v>2015.01</v>
      </c>
      <c r="I102" s="16" t="s">
        <v>83</v>
      </c>
      <c r="J102" s="73">
        <v>89596</v>
      </c>
      <c r="K102" s="73">
        <v>89596</v>
      </c>
      <c r="L102" s="73">
        <v>89596</v>
      </c>
      <c r="M102" s="73">
        <v>89596</v>
      </c>
      <c r="N102" s="73">
        <v>89596</v>
      </c>
      <c r="O102" s="78">
        <v>26</v>
      </c>
      <c r="P102" s="78">
        <v>48</v>
      </c>
      <c r="Q102" s="79">
        <v>20.922999999999998</v>
      </c>
      <c r="R102" s="79"/>
      <c r="S102" s="78">
        <v>124</v>
      </c>
      <c r="T102" s="80">
        <v>13</v>
      </c>
      <c r="U102" s="80" t="s">
        <v>121</v>
      </c>
      <c r="V102" s="81" t="s">
        <v>597</v>
      </c>
      <c r="W102" s="82">
        <v>0.127</v>
      </c>
      <c r="X102" s="82" t="s">
        <v>495</v>
      </c>
      <c r="Y102" s="82" t="s">
        <v>598</v>
      </c>
      <c r="Z102" s="82"/>
      <c r="AA102" s="82"/>
      <c r="AB102" s="82"/>
      <c r="AC102" s="83" t="s">
        <v>110</v>
      </c>
      <c r="AD102" s="40" t="str">
        <f>VLOOKUP(t_Parts[[#This Row],[Press]],t_Presses[],Press!B$1,FALSE)</f>
        <v>Plainfield</v>
      </c>
      <c r="AE102" s="40" t="str">
        <f>VLOOKUP(t_Parts[[#This Row],[Press]],t_Presses[],Press!E$1,FALSE)</f>
        <v>0-299</v>
      </c>
      <c r="AF102" s="47">
        <f>VLOOKUP(t_Parts[[#This Row],[Plant]],t_Plants[],Plants!C$1,FALSE)</f>
        <v>0.55000000000000004</v>
      </c>
      <c r="AG102" s="47">
        <f>VLOOKUP(t_Parts[[#This Row],[Press]],t_Presses[],Press!F$1,FALSE)</f>
        <v>0</v>
      </c>
      <c r="AH102" s="84"/>
      <c r="AI102" s="47">
        <f>IF(ISBLANK(t_Parts[[#This Row],[PartOEE]])=FALSE,t_Parts[[#This Row],[PartOEE]], IF(t_Parts[[#This Row],[PressOEE]]&gt;0, t_Parts[[#This Row],[PressOEE]], t_Parts[[#This Row],[PlantOEE]] ))</f>
        <v>0.55000000000000004</v>
      </c>
      <c r="AJ102" s="70">
        <f>t_Parts[[#This Row],[SetupsPerMo]]*t_Parts[[#This Row],[SetupHrs]]</f>
        <v>1</v>
      </c>
      <c r="AK102" s="39">
        <f>(t_Parts[[#This Row],[PartsPerStroke]]*t_Parts[[#This Row],[StrokesPerHr]])*t_Parts[[#This Row],[UseOEE]]</f>
        <v>2310</v>
      </c>
      <c r="AL10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6892</v>
      </c>
      <c r="AM10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6892</v>
      </c>
      <c r="AN10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8615</v>
      </c>
      <c r="AO10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6892</v>
      </c>
      <c r="AP10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6892</v>
      </c>
      <c r="AQ10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8615</v>
      </c>
      <c r="AR10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6892</v>
      </c>
      <c r="AS10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6892</v>
      </c>
      <c r="AT10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8615</v>
      </c>
      <c r="AU10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6892</v>
      </c>
      <c r="AV10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6892</v>
      </c>
      <c r="AW10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8615</v>
      </c>
      <c r="AX102" s="39">
        <f>SUM(t_Parts[[#This Row],[pv2015.01]:[pv2015.12]])</f>
        <v>89596</v>
      </c>
      <c r="AY10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6892</v>
      </c>
      <c r="AZ10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6892</v>
      </c>
      <c r="BA10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8615</v>
      </c>
      <c r="BB10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6892</v>
      </c>
      <c r="BC10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6892</v>
      </c>
      <c r="BD10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8615</v>
      </c>
      <c r="BE10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6892</v>
      </c>
      <c r="BF10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6892</v>
      </c>
      <c r="BG10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8615</v>
      </c>
      <c r="BH10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6892</v>
      </c>
      <c r="BI10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6892</v>
      </c>
      <c r="BJ10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8615</v>
      </c>
      <c r="BK102" s="39">
        <f>SUM(t_Parts[[#This Row],[pv2016.01]:[pv2016.12]])</f>
        <v>89596</v>
      </c>
      <c r="BL102" s="39">
        <f>t_Parts[[#This Row],[2017vol]]</f>
        <v>89596</v>
      </c>
      <c r="BM102" s="39">
        <f>t_Parts[[#This Row],[2018vol]]</f>
        <v>89596</v>
      </c>
      <c r="BN102" s="39">
        <f>t_Parts[[#This Row],[2019vol]]</f>
        <v>89596</v>
      </c>
      <c r="BO102" s="40">
        <f>VLOOKUP(t_Parts[[Plant]:[Plant]],t_Plants[],Plants!CN$1,FALSE)</f>
        <v>280</v>
      </c>
      <c r="BP102" s="14">
        <f>VLOOKUP(t_Parts[[Plant]:[Plant]],t_Plants[],Plants!CO$1,FALSE)</f>
        <v>280</v>
      </c>
      <c r="BQ102" s="14">
        <f>VLOOKUP(t_Parts[[Plant]:[Plant]],t_Plants[],Plants!CP$1,FALSE)</f>
        <v>350</v>
      </c>
      <c r="BR102" s="14">
        <f>VLOOKUP(t_Parts[[Plant]:[Plant]],t_Plants[],Plants!CQ$1,FALSE)</f>
        <v>280</v>
      </c>
      <c r="BS102" s="14">
        <f>VLOOKUP(t_Parts[[Plant]:[Plant]],t_Plants[],Plants!CR$1,FALSE)</f>
        <v>280</v>
      </c>
      <c r="BT102" s="14">
        <f>VLOOKUP(t_Parts[[Plant]:[Plant]],t_Plants[],Plants!CS$1,FALSE)</f>
        <v>350</v>
      </c>
      <c r="BU102" s="14">
        <f>VLOOKUP(t_Parts[[Plant]:[Plant]],t_Plants[],Plants!CT$1,FALSE)</f>
        <v>280</v>
      </c>
      <c r="BV102" s="14">
        <f>VLOOKUP(t_Parts[[Plant]:[Plant]],t_Plants[],Plants!CU$1,FALSE)</f>
        <v>280</v>
      </c>
      <c r="BW102" s="14">
        <f>VLOOKUP(t_Parts[[Plant]:[Plant]],t_Plants[],Plants!CV$1,FALSE)</f>
        <v>350</v>
      </c>
      <c r="BX102" s="14">
        <f>VLOOKUP(t_Parts[[Plant]:[Plant]],t_Plants[],Plants!CW$1,FALSE)</f>
        <v>280</v>
      </c>
      <c r="BY102" s="14">
        <f>VLOOKUP(t_Parts[[Plant]:[Plant]],t_Plants[],Plants!CX$1,FALSE)</f>
        <v>280</v>
      </c>
      <c r="BZ102" s="14">
        <f>VLOOKUP(t_Parts[[Plant]:[Plant]],t_Plants[],Plants!CY$1,FALSE)</f>
        <v>350</v>
      </c>
      <c r="CA102" s="40">
        <f>SUM(t_Parts[[#This Row],[ha2015.01]:[ha2015.12]])</f>
        <v>3640</v>
      </c>
      <c r="CB102" s="14">
        <f>VLOOKUP(t_Parts[[Plant]:[Plant]],t_Plants[],Plants!DA$1,FALSE)</f>
        <v>280</v>
      </c>
      <c r="CC102" s="14">
        <f>VLOOKUP(t_Parts[[Plant]:[Plant]],t_Plants[],Plants!DB$1,FALSE)</f>
        <v>280</v>
      </c>
      <c r="CD102" s="14">
        <f>VLOOKUP(t_Parts[[Plant]:[Plant]],t_Plants[],Plants!DC$1,FALSE)</f>
        <v>350</v>
      </c>
      <c r="CE102" s="14">
        <f>VLOOKUP(t_Parts[[Plant]:[Plant]],t_Plants[],Plants!DD$1,FALSE)</f>
        <v>280</v>
      </c>
      <c r="CF102" s="14">
        <f>VLOOKUP(t_Parts[[Plant]:[Plant]],t_Plants[],Plants!DE$1,FALSE)</f>
        <v>280</v>
      </c>
      <c r="CG102" s="14">
        <f>VLOOKUP(t_Parts[[Plant]:[Plant]],t_Plants[],Plants!DF$1,FALSE)</f>
        <v>350</v>
      </c>
      <c r="CH102" s="14">
        <f>VLOOKUP(t_Parts[[Plant]:[Plant]],t_Plants[],Plants!DG$1,FALSE)</f>
        <v>280</v>
      </c>
      <c r="CI102" s="14">
        <f>VLOOKUP(t_Parts[[Plant]:[Plant]],t_Plants[],Plants!DH$1,FALSE)</f>
        <v>280</v>
      </c>
      <c r="CJ102" s="14">
        <f>VLOOKUP(t_Parts[[Plant]:[Plant]],t_Plants[],Plants!DI$1,FALSE)</f>
        <v>350</v>
      </c>
      <c r="CK102" s="14">
        <f>VLOOKUP(t_Parts[[Plant]:[Plant]],t_Plants[],Plants!DJ$1,FALSE)</f>
        <v>280</v>
      </c>
      <c r="CL102" s="14">
        <f>VLOOKUP(t_Parts[[Plant]:[Plant]],t_Plants[],Plants!DK$1,FALSE)</f>
        <v>280</v>
      </c>
      <c r="CM102" s="14">
        <f>VLOOKUP(t_Parts[[Plant]:[Plant]],t_Plants[],Plants!DL$1,FALSE)</f>
        <v>350</v>
      </c>
      <c r="CN102" s="14">
        <f>VLOOKUP(t_Parts[[Plant]:[Plant]],t_Plants[],Plants!DM$1,FALSE)</f>
        <v>3640</v>
      </c>
      <c r="CO102" s="14">
        <f>VLOOKUP(t_Parts[[Plant]:[Plant]],t_Plants[],Plants!DN$1,FALSE)</f>
        <v>3640</v>
      </c>
      <c r="CP102" s="14">
        <f>VLOOKUP(t_Parts[[Plant]:[Plant]],t_Plants[],Plants!DO$1,FALSE)</f>
        <v>3640</v>
      </c>
      <c r="CQ102" s="14">
        <f>VLOOKUP(t_Parts[[Plant]:[Plant]],t_Plants[],Plants!DP$1,FALSE)</f>
        <v>3640</v>
      </c>
      <c r="CR102" s="39">
        <f>IF(AND(AL$3&gt;=VALUE(t_Parts[[SOP]:[SOP]]),AL$3&lt;=VALUE(t_Parts[[EOP]:[EOP]])), t_Parts[[SetupHrsPerMo]:[SetupHrsPerMo]]+(t_Parts[[#This Row],[pv2015.01]]/t_Parts[[NetPPH]:[NetPPH]]),0)</f>
        <v>3.9835497835497837</v>
      </c>
      <c r="CS102" s="39">
        <f>IF(AND(AM$3&gt;=VALUE(t_Parts[[SOP]:[SOP]]),AM$3&lt;=VALUE(t_Parts[[EOP]:[EOP]])), t_Parts[[SetupHrsPerMo]:[SetupHrsPerMo]]+(t_Parts[[#This Row],[pv2015.02]]/t_Parts[[NetPPH]:[NetPPH]]),0)</f>
        <v>3.9835497835497837</v>
      </c>
      <c r="CT102" s="39">
        <f>IF(AND(AN$3&gt;=VALUE(t_Parts[[SOP]:[SOP]]),AN$3&lt;=VALUE(t_Parts[[EOP]:[EOP]])), t_Parts[[SetupHrsPerMo]:[SetupHrsPerMo]]+(t_Parts[[#This Row],[pv2015.03]]/t_Parts[[NetPPH]:[NetPPH]]),0)</f>
        <v>4.7294372294372291</v>
      </c>
      <c r="CU102" s="39">
        <f>IF(AND(AO$3&gt;=VALUE(t_Parts[[SOP]:[SOP]]),AO$3&lt;=VALUE(t_Parts[[EOP]:[EOP]])), t_Parts[[SetupHrsPerMo]:[SetupHrsPerMo]]+(t_Parts[[#This Row],[pv2015.04]]/t_Parts[[NetPPH]:[NetPPH]]),0)</f>
        <v>3.9835497835497837</v>
      </c>
      <c r="CV102" s="39">
        <f>IF(AND(AP$3&gt;=VALUE(t_Parts[[SOP]:[SOP]]),AP$3&lt;=VALUE(t_Parts[[EOP]:[EOP]])), t_Parts[[SetupHrsPerMo]:[SetupHrsPerMo]]+(t_Parts[[#This Row],[pv2015.05]]/t_Parts[[NetPPH]:[NetPPH]]),0)</f>
        <v>3.9835497835497837</v>
      </c>
      <c r="CW102" s="39">
        <f>IF(AND(AQ$3&gt;=VALUE(t_Parts[[SOP]:[SOP]]),AQ$3&lt;=VALUE(t_Parts[[EOP]:[EOP]])), t_Parts[[SetupHrsPerMo]:[SetupHrsPerMo]]+(t_Parts[[#This Row],[pv2015.06]]/t_Parts[[NetPPH]:[NetPPH]]),0)</f>
        <v>4.7294372294372291</v>
      </c>
      <c r="CX102" s="39">
        <f>IF(AND(AR$3&gt;=VALUE(t_Parts[[SOP]:[SOP]]),AR$3&lt;=VALUE(t_Parts[[EOP]:[EOP]])), t_Parts[[SetupHrsPerMo]:[SetupHrsPerMo]]+(t_Parts[[#This Row],[pv2015.07]]/t_Parts[[NetPPH]:[NetPPH]]),0)</f>
        <v>3.9835497835497837</v>
      </c>
      <c r="CY102" s="39">
        <f>IF(AND(AS$3&gt;=VALUE(t_Parts[[SOP]:[SOP]]),AS$3&lt;=VALUE(t_Parts[[EOP]:[EOP]])), t_Parts[[SetupHrsPerMo]:[SetupHrsPerMo]]+(t_Parts[[#This Row],[pv2015.08]]/t_Parts[[NetPPH]:[NetPPH]]),0)</f>
        <v>3.9835497835497837</v>
      </c>
      <c r="CZ102" s="39">
        <f>IF(AND(AT$3&gt;=VALUE(t_Parts[[SOP]:[SOP]]),AT$3&lt;=VALUE(t_Parts[[EOP]:[EOP]])), t_Parts[[SetupHrsPerMo]:[SetupHrsPerMo]]+(t_Parts[[#This Row],[pv2015.09]]/t_Parts[[NetPPH]:[NetPPH]]),0)</f>
        <v>4.7294372294372291</v>
      </c>
      <c r="DA102" s="39">
        <f>IF(AND(AU$3&gt;=VALUE(t_Parts[[SOP]:[SOP]]),AU$3&lt;=VALUE(t_Parts[[EOP]:[EOP]])), t_Parts[[SetupHrsPerMo]:[SetupHrsPerMo]]+(t_Parts[[#This Row],[pv2015.10]]/t_Parts[[NetPPH]:[NetPPH]]),0)</f>
        <v>3.9835497835497837</v>
      </c>
      <c r="DB102" s="39">
        <f>IF(AND(AV$3&gt;=VALUE(t_Parts[[SOP]:[SOP]]),AV$3&lt;=VALUE(t_Parts[[EOP]:[EOP]])), t_Parts[[SetupHrsPerMo]:[SetupHrsPerMo]]+(t_Parts[[#This Row],[pv2015.11]]/t_Parts[[NetPPH]:[NetPPH]]),0)</f>
        <v>3.9835497835497837</v>
      </c>
      <c r="DC102" s="39">
        <f>IF(AND(AW$3&gt;=VALUE(t_Parts[[SOP]:[SOP]]),AW$3&lt;=VALUE(t_Parts[[EOP]:[EOP]])), t_Parts[[SetupHrsPerMo]:[SetupHrsPerMo]]+(t_Parts[[#This Row],[pv2015.12]]/t_Parts[[NetPPH]:[NetPPH]]),0)</f>
        <v>4.7294372294372291</v>
      </c>
      <c r="DD102" s="39">
        <f>SUM(t_Parts[[#This Row],[hp2015.01]:[hp2015.12]])</f>
        <v>50.78614718614719</v>
      </c>
      <c r="DE102" s="39">
        <f>IF(AND(AY$3&gt;=VALUE(t_Parts[[SOP]:[SOP]]),AY$3&lt;=VALUE(t_Parts[[EOP]:[EOP]])), t_Parts[[SetupHrsPerMo]:[SetupHrsPerMo]]+(t_Parts[[#This Row],[pv2016.01]]/t_Parts[[NetPPH]:[NetPPH]]),0)</f>
        <v>3.9835497835497837</v>
      </c>
      <c r="DF102" s="39">
        <f>IF(AND(AZ$3&gt;=VALUE(t_Parts[[SOP]:[SOP]]),AZ$3&lt;=VALUE(t_Parts[[EOP]:[EOP]])), t_Parts[[SetupHrsPerMo]:[SetupHrsPerMo]]+(t_Parts[[#This Row],[pv2016.02]]/t_Parts[[NetPPH]:[NetPPH]]),0)</f>
        <v>3.9835497835497837</v>
      </c>
      <c r="DG102" s="39">
        <f>IF(AND(BA$3&gt;=VALUE(t_Parts[[SOP]:[SOP]]),BA$3&lt;=VALUE(t_Parts[[EOP]:[EOP]])), t_Parts[[SetupHrsPerMo]:[SetupHrsPerMo]]+(t_Parts[[#This Row],[pv2016.03]]/t_Parts[[NetPPH]:[NetPPH]]),0)</f>
        <v>4.7294372294372291</v>
      </c>
      <c r="DH102" s="39">
        <f>IF(AND(BB$3&gt;=VALUE(t_Parts[[SOP]:[SOP]]),BB$3&lt;=VALUE(t_Parts[[EOP]:[EOP]])), t_Parts[[SetupHrsPerMo]:[SetupHrsPerMo]]+(t_Parts[[#This Row],[pv2016.04]]/t_Parts[[NetPPH]:[NetPPH]]),0)</f>
        <v>3.9835497835497837</v>
      </c>
      <c r="DI102" s="39">
        <f>IF(AND(BC$3&gt;=VALUE(t_Parts[[SOP]:[SOP]]),BC$3&lt;=VALUE(t_Parts[[EOP]:[EOP]])), t_Parts[[SetupHrsPerMo]:[SetupHrsPerMo]]+(t_Parts[[#This Row],[pv2016.05]]/t_Parts[[NetPPH]:[NetPPH]]),0)</f>
        <v>3.9835497835497837</v>
      </c>
      <c r="DJ102" s="39">
        <f>IF(AND(BD$3&gt;=VALUE(t_Parts[[SOP]:[SOP]]),BD$3&lt;=VALUE(t_Parts[[EOP]:[EOP]])), t_Parts[[SetupHrsPerMo]:[SetupHrsPerMo]]+(t_Parts[[#This Row],[pv2016.06]]/t_Parts[[NetPPH]:[NetPPH]]),0)</f>
        <v>4.7294372294372291</v>
      </c>
      <c r="DK102" s="39">
        <f>IF(AND(BE$3&gt;=VALUE(t_Parts[[SOP]:[SOP]]),BE$3&lt;=VALUE(t_Parts[[EOP]:[EOP]])), t_Parts[[SetupHrsPerMo]:[SetupHrsPerMo]]+(t_Parts[[#This Row],[pv2016.07]]/t_Parts[[NetPPH]:[NetPPH]]),0)</f>
        <v>3.9835497835497837</v>
      </c>
      <c r="DL102" s="39">
        <f>IF(AND(BF$3&gt;=VALUE(t_Parts[[SOP]:[SOP]]),BF$3&lt;=VALUE(t_Parts[[EOP]:[EOP]])), t_Parts[[SetupHrsPerMo]:[SetupHrsPerMo]]+(t_Parts[[#This Row],[pv2016.08]]/t_Parts[[NetPPH]:[NetPPH]]),0)</f>
        <v>3.9835497835497837</v>
      </c>
      <c r="DM102" s="39">
        <f>IF(AND(BG$3&gt;=VALUE(t_Parts[[SOP]:[SOP]]),BG$3&lt;=VALUE(t_Parts[[EOP]:[EOP]])), t_Parts[[SetupHrsPerMo]:[SetupHrsPerMo]]+(t_Parts[[#This Row],[pv2016.09]]/t_Parts[[NetPPH]:[NetPPH]]),0)</f>
        <v>4.7294372294372291</v>
      </c>
      <c r="DN102" s="39">
        <f>IF(AND(BH$3&gt;=VALUE(t_Parts[[SOP]:[SOP]]),BH$3&lt;=VALUE(t_Parts[[EOP]:[EOP]])), t_Parts[[SetupHrsPerMo]:[SetupHrsPerMo]]+(t_Parts[[#This Row],[pv2016.10]]/t_Parts[[NetPPH]:[NetPPH]]),0)</f>
        <v>3.9835497835497837</v>
      </c>
      <c r="DO102" s="39">
        <f>IF(AND(BI$3&gt;=VALUE(t_Parts[[SOP]:[SOP]]),BI$3&lt;=VALUE(t_Parts[[EOP]:[EOP]])), t_Parts[[SetupHrsPerMo]:[SetupHrsPerMo]]+(t_Parts[[#This Row],[pv2016.11]]/t_Parts[[NetPPH]:[NetPPH]]),0)</f>
        <v>3.9835497835497837</v>
      </c>
      <c r="DP102" s="39">
        <f>IF(AND(BJ$3&gt;=VALUE(t_Parts[[SOP]:[SOP]]),BJ$3&lt;=VALUE(t_Parts[[EOP]:[EOP]])), t_Parts[[SetupHrsPerMo]:[SetupHrsPerMo]]+(t_Parts[[#This Row],[pv2016.12]]/t_Parts[[NetPPH]:[NetPPH]]),0)</f>
        <v>4.7294372294372291</v>
      </c>
      <c r="DQ102" s="39">
        <f>SUM(t_Parts[[#This Row],[hp2016.01]:[hp2016.12]])</f>
        <v>50.78614718614719</v>
      </c>
      <c r="DR102" s="39">
        <f>IF(AND(BL$3&gt;=VALUE(t_Parts[[SOP]:[SOP]]),BL$3&lt;=VALUE(t_Parts[[EOP]:[EOP]])), 12*t_Parts[[SetupHrsPerMo]:[SetupHrsPerMo]]+(t_Parts[[#This Row],[pv2017]]/t_Parts[[NetPPH]:[NetPPH]]),0)</f>
        <v>50.786147186147183</v>
      </c>
      <c r="DS102" s="39">
        <f>IF(AND(BM$3&gt;=VALUE(t_Parts[[SOP]:[SOP]]),BM$3&lt;=VALUE(t_Parts[[EOP]:[EOP]])), 12*t_Parts[[SetupHrsPerMo]:[SetupHrsPerMo]]+(t_Parts[[#This Row],[pv2018]]/t_Parts[[NetPPH]:[NetPPH]]),0)</f>
        <v>50.786147186147183</v>
      </c>
      <c r="DT102" s="39">
        <f>IF(AND(BN$3&gt;=VALUE(t_Parts[[SOP]:[SOP]]),BN$3&lt;=VALUE(t_Parts[[EOP]:[EOP]])), 12*t_Parts[[SetupHrsPerMo]:[SetupHrsPerMo]]+(t_Parts[[#This Row],[pv2019]]/t_Parts[[NetPPH]:[NetPPH]]),0)</f>
        <v>50.786147186147183</v>
      </c>
      <c r="DU102" s="47">
        <f>t_Parts[[#This Row],[hp2015.01]]/t_Parts[[#This Row],[ha2015.01]]</f>
        <v>1.4226963512677798E-2</v>
      </c>
      <c r="DV102" s="47">
        <f>t_Parts[[#This Row],[hp2015.02]]/t_Parts[[#This Row],[ha2015.02]]</f>
        <v>1.4226963512677798E-2</v>
      </c>
      <c r="DW102" s="47">
        <f>t_Parts[[#This Row],[hp2015.03]]/t_Parts[[#This Row],[ha2015.03]]</f>
        <v>1.3512677798392082E-2</v>
      </c>
      <c r="DX102" s="47">
        <f>t_Parts[[#This Row],[hp2015.04]]/t_Parts[[#This Row],[ha2015.04]]</f>
        <v>1.4226963512677798E-2</v>
      </c>
      <c r="DY102" s="47">
        <f>t_Parts[[#This Row],[hp2015.05]]/t_Parts[[#This Row],[ha2015.05]]</f>
        <v>1.4226963512677798E-2</v>
      </c>
      <c r="DZ102" s="47">
        <f>t_Parts[[#This Row],[hp2015.06]]/t_Parts[[#This Row],[ha2015.06]]</f>
        <v>1.3512677798392082E-2</v>
      </c>
      <c r="EA102" s="47">
        <f>t_Parts[[#This Row],[hp2015.07]]/t_Parts[[#This Row],[ha2015.07]]</f>
        <v>1.4226963512677798E-2</v>
      </c>
      <c r="EB102" s="47">
        <f>t_Parts[[#This Row],[hp2015.08]]/t_Parts[[#This Row],[ha2015.08]]</f>
        <v>1.4226963512677798E-2</v>
      </c>
      <c r="EC102" s="47">
        <f>t_Parts[[#This Row],[hp2015.09]]/t_Parts[[#This Row],[ha2015.09]]</f>
        <v>1.3512677798392082E-2</v>
      </c>
      <c r="ED102" s="47">
        <f>t_Parts[[#This Row],[hp2015.10]]/t_Parts[[#This Row],[ha2015.10]]</f>
        <v>1.4226963512677798E-2</v>
      </c>
      <c r="EE102" s="47">
        <f>t_Parts[[#This Row],[hp2015.11]]/t_Parts[[#This Row],[ha2015.11]]</f>
        <v>1.4226963512677798E-2</v>
      </c>
      <c r="EF102" s="47">
        <f>t_Parts[[#This Row],[hp2015.12]]/t_Parts[[#This Row],[ha2015.12]]</f>
        <v>1.3512677798392082E-2</v>
      </c>
      <c r="EG102" s="47">
        <f>t_Parts[[#This Row],[hp2015.FY]]/t_Parts[[#This Row],[ha2015.FY]]</f>
        <v>1.3952238237952524E-2</v>
      </c>
      <c r="EH102" s="47">
        <f>t_Parts[[#This Row],[hp2016.01]]/t_Parts[[#This Row],[ha2016.01]]</f>
        <v>1.4226963512677798E-2</v>
      </c>
      <c r="EI102" s="47">
        <f>t_Parts[[#This Row],[hp2016.02]]/t_Parts[[#This Row],[ha2016.02]]</f>
        <v>1.4226963512677798E-2</v>
      </c>
      <c r="EJ102" s="47">
        <f>t_Parts[[#This Row],[hp2016.03]]/t_Parts[[#This Row],[ha2016.03]]</f>
        <v>1.3512677798392082E-2</v>
      </c>
      <c r="EK102" s="47">
        <f>t_Parts[[#This Row],[hp2016.04]]/t_Parts[[#This Row],[ha2016.04]]</f>
        <v>1.4226963512677798E-2</v>
      </c>
      <c r="EL102" s="47">
        <f>t_Parts[[#This Row],[hp2016.05]]/t_Parts[[#This Row],[ha2016.05]]</f>
        <v>1.4226963512677798E-2</v>
      </c>
      <c r="EM102" s="47">
        <f>t_Parts[[#This Row],[hp2016.06]]/t_Parts[[#This Row],[ha2016.06]]</f>
        <v>1.3512677798392082E-2</v>
      </c>
      <c r="EN102" s="47">
        <f>t_Parts[[#This Row],[hp2016.07]]/t_Parts[[#This Row],[ha2016.07]]</f>
        <v>1.4226963512677798E-2</v>
      </c>
      <c r="EO102" s="47">
        <f>t_Parts[[#This Row],[hp2016.08]]/t_Parts[[#This Row],[ha2016.08]]</f>
        <v>1.4226963512677798E-2</v>
      </c>
      <c r="EP102" s="47">
        <f>t_Parts[[#This Row],[hp2016.09]]/t_Parts[[#This Row],[ha2016.09]]</f>
        <v>1.3512677798392082E-2</v>
      </c>
      <c r="EQ102" s="47">
        <f>t_Parts[[#This Row],[hp2016.10]]/t_Parts[[#This Row],[ha2016.10]]</f>
        <v>1.4226963512677798E-2</v>
      </c>
      <c r="ER102" s="47">
        <f>t_Parts[[#This Row],[hp2016.11]]/t_Parts[[#This Row],[ha2016.11]]</f>
        <v>1.4226963512677798E-2</v>
      </c>
      <c r="ES102" s="47">
        <f>t_Parts[[#This Row],[hp2016.12]]/t_Parts[[#This Row],[ha2016.12]]</f>
        <v>1.3512677798392082E-2</v>
      </c>
      <c r="ET102" s="47">
        <f>t_Parts[[#This Row],[hp2016.FY]]/t_Parts[[#This Row],[ha2016.FY]]</f>
        <v>1.3952238237952524E-2</v>
      </c>
      <c r="EU102" s="47">
        <f>t_Parts[[#This Row],[hp2017]]/t_Parts[[#This Row],[ha2017]]</f>
        <v>1.3952238237952523E-2</v>
      </c>
      <c r="EV102" s="47">
        <f>t_Parts[[#This Row],[hp2018]]/t_Parts[[#This Row],[ha2018]]</f>
        <v>1.3952238237952523E-2</v>
      </c>
      <c r="EW102" s="47">
        <f>t_Parts[[#This Row],[hp2019]]/t_Parts[[#This Row],[hp2015.01]]</f>
        <v>12.748967615735708</v>
      </c>
      <c r="EX102" s="58">
        <f>(t_Parts[[#This Row],[ha2015.01]]-t_Parts[[#This Row],[hp2015.01]])*t_Parts[[NetPPH]:[NetPPH]]</f>
        <v>637598</v>
      </c>
      <c r="EY102" s="58">
        <f>(t_Parts[[#This Row],[ha2015.02]]-t_Parts[[#This Row],[hp2015.02]])*t_Parts[[NetPPH]:[NetPPH]]</f>
        <v>637598</v>
      </c>
      <c r="EZ102" s="58">
        <f>(t_Parts[[#This Row],[ha2015.03]]-t_Parts[[#This Row],[hp2015.03]])*t_Parts[[NetPPH]:[NetPPH]]</f>
        <v>797575</v>
      </c>
      <c r="FA102" s="58">
        <f>(t_Parts[[#This Row],[ha2015.04]]-t_Parts[[#This Row],[hp2015.04]])*t_Parts[[NetPPH]:[NetPPH]]</f>
        <v>637598</v>
      </c>
      <c r="FB102" s="58">
        <f>(t_Parts[[#This Row],[ha2015.05]]-t_Parts[[#This Row],[hp2015.05]])*t_Parts[[NetPPH]:[NetPPH]]</f>
        <v>637598</v>
      </c>
      <c r="FC102" s="58">
        <f>(t_Parts[[#This Row],[ha2015.06]]-t_Parts[[#This Row],[hp2015.06]])*t_Parts[[NetPPH]:[NetPPH]]</f>
        <v>797575</v>
      </c>
      <c r="FD102" s="58">
        <f>(t_Parts[[#This Row],[ha2015.07]]-t_Parts[[#This Row],[hp2015.07]])*t_Parts[[NetPPH]:[NetPPH]]</f>
        <v>637598</v>
      </c>
      <c r="FE102" s="58">
        <f>(t_Parts[[#This Row],[ha2015.08]]-t_Parts[[#This Row],[hp2015.08]])*t_Parts[[NetPPH]:[NetPPH]]</f>
        <v>637598</v>
      </c>
      <c r="FF102" s="58">
        <f>(t_Parts[[#This Row],[ha2015.09]]-t_Parts[[#This Row],[hp2015.09]])*t_Parts[[NetPPH]:[NetPPH]]</f>
        <v>797575</v>
      </c>
      <c r="FG102" s="58">
        <f>(t_Parts[[#This Row],[ha2015.10]]-t_Parts[[#This Row],[hp2015.10]])*t_Parts[[NetPPH]:[NetPPH]]</f>
        <v>637598</v>
      </c>
      <c r="FH102" s="58">
        <f>(t_Parts[[#This Row],[ha2015.11]]-t_Parts[[#This Row],[hp2015.11]])*t_Parts[[NetPPH]:[NetPPH]]</f>
        <v>637598</v>
      </c>
      <c r="FI102" s="58">
        <f>(t_Parts[[#This Row],[ha2015.12]]-t_Parts[[#This Row],[hp2015.12]])*t_Parts[[NetPPH]:[NetPPH]]</f>
        <v>797575</v>
      </c>
      <c r="FJ102" s="58">
        <f>(t_Parts[[#This Row],[ha2015.FY]]-t_Parts[[#This Row],[hp2015.FY]])*t_Parts[[NetPPH]:[NetPPH]]</f>
        <v>8291084</v>
      </c>
      <c r="FK102" s="58">
        <f>(t_Parts[[#This Row],[ha2016.01]]-t_Parts[[#This Row],[hp2016.01]])*t_Parts[[NetPPH]:[NetPPH]]</f>
        <v>637598</v>
      </c>
      <c r="FL102" s="58">
        <f>(t_Parts[[#This Row],[ha2016.02]]-t_Parts[[#This Row],[hp2016.02]])*t_Parts[[NetPPH]:[NetPPH]]</f>
        <v>637598</v>
      </c>
      <c r="FM102" s="58">
        <f>(t_Parts[[#This Row],[ha2016.03]]-t_Parts[[#This Row],[hp2016.03]])*t_Parts[[NetPPH]:[NetPPH]]</f>
        <v>797575</v>
      </c>
      <c r="FN102" s="58">
        <f>(t_Parts[[#This Row],[ha2016.04]]-t_Parts[[#This Row],[hp2016.04]])*t_Parts[[NetPPH]:[NetPPH]]</f>
        <v>637598</v>
      </c>
      <c r="FO102" s="58">
        <f>(t_Parts[[#This Row],[ha2016.05]]-t_Parts[[#This Row],[hp2016.05]])*t_Parts[[NetPPH]:[NetPPH]]</f>
        <v>637598</v>
      </c>
      <c r="FP102" s="58">
        <f>(t_Parts[[#This Row],[ha2016.06]]-t_Parts[[#This Row],[hp2016.06]])*t_Parts[[NetPPH]:[NetPPH]]</f>
        <v>797575</v>
      </c>
      <c r="FQ102" s="58">
        <f>(t_Parts[[#This Row],[ha2016.07]]-t_Parts[[#This Row],[hp2016.07]])*t_Parts[[NetPPH]:[NetPPH]]</f>
        <v>637598</v>
      </c>
      <c r="FR102" s="58">
        <f>(t_Parts[[#This Row],[ha2016.08]]-t_Parts[[#This Row],[hp2016.08]])*t_Parts[[NetPPH]:[NetPPH]]</f>
        <v>637598</v>
      </c>
      <c r="FS102" s="58">
        <f>(t_Parts[[#This Row],[ha2016.09]]-t_Parts[[#This Row],[hp2016.09]])*t_Parts[[NetPPH]:[NetPPH]]</f>
        <v>797575</v>
      </c>
      <c r="FT102" s="58">
        <f>(t_Parts[[#This Row],[ha2016.10]]-t_Parts[[#This Row],[hp2016.10]])*t_Parts[[NetPPH]:[NetPPH]]</f>
        <v>637598</v>
      </c>
      <c r="FU102" s="58">
        <f>(t_Parts[[#This Row],[ha2016.11]]-t_Parts[[#This Row],[hp2016.11]])*t_Parts[[NetPPH]:[NetPPH]]</f>
        <v>637598</v>
      </c>
      <c r="FV102" s="58">
        <f>(t_Parts[[#This Row],[ha2016.12]]-t_Parts[[#This Row],[hp2016.12]])*t_Parts[[NetPPH]:[NetPPH]]</f>
        <v>797575</v>
      </c>
      <c r="FW102" s="58">
        <f>(t_Parts[[#This Row],[ha2016.FY]]-t_Parts[[#This Row],[hp2016.FY]])*t_Parts[[NetPPH]:[NetPPH]]</f>
        <v>8291084</v>
      </c>
      <c r="FX102" s="58">
        <f>(t_Parts[[#This Row],[ha2017]]-t_Parts[[#This Row],[hp2017]])*t_Parts[[NetPPH]:[NetPPH]]</f>
        <v>8291084</v>
      </c>
      <c r="FY102" s="58">
        <f>(t_Parts[[#This Row],[ha2018]]-t_Parts[[#This Row],[hp2018]])*t_Parts[[NetPPH]:[NetPPH]]</f>
        <v>8291084</v>
      </c>
      <c r="FZ102" s="58">
        <f>(t_Parts[[#This Row],[ha2019]]-t_Parts[[#This Row],[hp2019]])*t_Parts[[NetPPH]:[NetPPH]]</f>
        <v>8291084</v>
      </c>
    </row>
    <row r="103" spans="1:182" s="14" customFormat="1" x14ac:dyDescent="0.25">
      <c r="A103" s="74">
        <v>29201</v>
      </c>
      <c r="B103" s="74"/>
      <c r="C103" s="74">
        <v>21013</v>
      </c>
      <c r="D103" s="75">
        <v>1</v>
      </c>
      <c r="E103" s="73">
        <v>3600</v>
      </c>
      <c r="F103" s="76">
        <v>1</v>
      </c>
      <c r="G103" s="77">
        <v>2</v>
      </c>
      <c r="H103" s="16">
        <v>2015.01</v>
      </c>
      <c r="I103" s="16" t="s">
        <v>83</v>
      </c>
      <c r="J103" s="73">
        <v>18000</v>
      </c>
      <c r="K103" s="73">
        <v>18000</v>
      </c>
      <c r="L103" s="73">
        <v>18000</v>
      </c>
      <c r="M103" s="73">
        <v>18000</v>
      </c>
      <c r="N103" s="73">
        <v>18000</v>
      </c>
      <c r="O103" s="78">
        <v>24</v>
      </c>
      <c r="P103" s="78">
        <v>24</v>
      </c>
      <c r="Q103" s="79">
        <v>20.952000000000002</v>
      </c>
      <c r="R103" s="79"/>
      <c r="S103" s="78">
        <v>113</v>
      </c>
      <c r="T103" s="80">
        <v>13</v>
      </c>
      <c r="U103" s="80" t="s">
        <v>121</v>
      </c>
      <c r="V103" s="81" t="s">
        <v>520</v>
      </c>
      <c r="W103" s="82">
        <v>7.0999999999999994E-2</v>
      </c>
      <c r="X103" s="82" t="s">
        <v>495</v>
      </c>
      <c r="Y103" s="82" t="s">
        <v>519</v>
      </c>
      <c r="Z103" s="82"/>
      <c r="AA103" s="82"/>
      <c r="AB103" s="82"/>
      <c r="AC103" s="83" t="s">
        <v>110</v>
      </c>
      <c r="AD103" s="40" t="str">
        <f>VLOOKUP(t_Parts[[#This Row],[Press]],t_Presses[],Press!B$1,FALSE)</f>
        <v>Plainfield</v>
      </c>
      <c r="AE103" s="40" t="str">
        <f>VLOOKUP(t_Parts[[#This Row],[Press]],t_Presses[],Press!E$1,FALSE)</f>
        <v>0-299</v>
      </c>
      <c r="AF103" s="47">
        <f>VLOOKUP(t_Parts[[#This Row],[Plant]],t_Plants[],Plants!C$1,FALSE)</f>
        <v>0.55000000000000004</v>
      </c>
      <c r="AG103" s="47">
        <f>VLOOKUP(t_Parts[[#This Row],[Press]],t_Presses[],Press!F$1,FALSE)</f>
        <v>0</v>
      </c>
      <c r="AH103" s="84"/>
      <c r="AI103" s="47">
        <f>IF(ISBLANK(t_Parts[[#This Row],[PartOEE]])=FALSE,t_Parts[[#This Row],[PartOEE]], IF(t_Parts[[#This Row],[PressOEE]]&gt;0, t_Parts[[#This Row],[PressOEE]], t_Parts[[#This Row],[PlantOEE]] ))</f>
        <v>0.55000000000000004</v>
      </c>
      <c r="AJ103" s="70">
        <f>t_Parts[[#This Row],[SetupsPerMo]]*t_Parts[[#This Row],[SetupHrs]]</f>
        <v>2</v>
      </c>
      <c r="AK103" s="39">
        <f>(t_Parts[[#This Row],[PartsPerStroke]]*t_Parts[[#This Row],[StrokesPerHr]])*t_Parts[[#This Row],[UseOEE]]</f>
        <v>1980.0000000000002</v>
      </c>
      <c r="AL10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1384.6153846153848</v>
      </c>
      <c r="AM10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1384.6153846153848</v>
      </c>
      <c r="AN10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1730.7692307692309</v>
      </c>
      <c r="AO10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1384.6153846153848</v>
      </c>
      <c r="AP10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1384.6153846153848</v>
      </c>
      <c r="AQ10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1730.7692307692309</v>
      </c>
      <c r="AR10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1384.6153846153848</v>
      </c>
      <c r="AS10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1384.6153846153848</v>
      </c>
      <c r="AT10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1730.7692307692309</v>
      </c>
      <c r="AU10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1384.6153846153848</v>
      </c>
      <c r="AV10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1384.6153846153848</v>
      </c>
      <c r="AW10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1730.7692307692309</v>
      </c>
      <c r="AX103" s="39">
        <f>SUM(t_Parts[[#This Row],[pv2015.01]:[pv2015.12]])</f>
        <v>18000</v>
      </c>
      <c r="AY10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1384.6153846153848</v>
      </c>
      <c r="AZ10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1384.6153846153848</v>
      </c>
      <c r="BA10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1730.7692307692309</v>
      </c>
      <c r="BB10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1384.6153846153848</v>
      </c>
      <c r="BC10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1384.6153846153848</v>
      </c>
      <c r="BD10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1730.7692307692309</v>
      </c>
      <c r="BE10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1384.6153846153848</v>
      </c>
      <c r="BF10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1384.6153846153848</v>
      </c>
      <c r="BG10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1730.7692307692309</v>
      </c>
      <c r="BH10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1384.6153846153848</v>
      </c>
      <c r="BI10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1384.6153846153848</v>
      </c>
      <c r="BJ10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1730.7692307692309</v>
      </c>
      <c r="BK103" s="39">
        <f>SUM(t_Parts[[#This Row],[pv2016.01]:[pv2016.12]])</f>
        <v>18000</v>
      </c>
      <c r="BL103" s="39">
        <f>t_Parts[[#This Row],[2017vol]]</f>
        <v>18000</v>
      </c>
      <c r="BM103" s="39">
        <f>t_Parts[[#This Row],[2018vol]]</f>
        <v>18000</v>
      </c>
      <c r="BN103" s="39">
        <f>t_Parts[[#This Row],[2019vol]]</f>
        <v>18000</v>
      </c>
      <c r="BO103" s="40">
        <f>VLOOKUP(t_Parts[[Plant]:[Plant]],t_Plants[],Plants!CN$1,FALSE)</f>
        <v>280</v>
      </c>
      <c r="BP103" s="14">
        <f>VLOOKUP(t_Parts[[Plant]:[Plant]],t_Plants[],Plants!CO$1,FALSE)</f>
        <v>280</v>
      </c>
      <c r="BQ103" s="14">
        <f>VLOOKUP(t_Parts[[Plant]:[Plant]],t_Plants[],Plants!CP$1,FALSE)</f>
        <v>350</v>
      </c>
      <c r="BR103" s="14">
        <f>VLOOKUP(t_Parts[[Plant]:[Plant]],t_Plants[],Plants!CQ$1,FALSE)</f>
        <v>280</v>
      </c>
      <c r="BS103" s="14">
        <f>VLOOKUP(t_Parts[[Plant]:[Plant]],t_Plants[],Plants!CR$1,FALSE)</f>
        <v>280</v>
      </c>
      <c r="BT103" s="14">
        <f>VLOOKUP(t_Parts[[Plant]:[Plant]],t_Plants[],Plants!CS$1,FALSE)</f>
        <v>350</v>
      </c>
      <c r="BU103" s="14">
        <f>VLOOKUP(t_Parts[[Plant]:[Plant]],t_Plants[],Plants!CT$1,FALSE)</f>
        <v>280</v>
      </c>
      <c r="BV103" s="14">
        <f>VLOOKUP(t_Parts[[Plant]:[Plant]],t_Plants[],Plants!CU$1,FALSE)</f>
        <v>280</v>
      </c>
      <c r="BW103" s="14">
        <f>VLOOKUP(t_Parts[[Plant]:[Plant]],t_Plants[],Plants!CV$1,FALSE)</f>
        <v>350</v>
      </c>
      <c r="BX103" s="14">
        <f>VLOOKUP(t_Parts[[Plant]:[Plant]],t_Plants[],Plants!CW$1,FALSE)</f>
        <v>280</v>
      </c>
      <c r="BY103" s="14">
        <f>VLOOKUP(t_Parts[[Plant]:[Plant]],t_Plants[],Plants!CX$1,FALSE)</f>
        <v>280</v>
      </c>
      <c r="BZ103" s="14">
        <f>VLOOKUP(t_Parts[[Plant]:[Plant]],t_Plants[],Plants!CY$1,FALSE)</f>
        <v>350</v>
      </c>
      <c r="CA103" s="40">
        <f>SUM(t_Parts[[#This Row],[ha2015.01]:[ha2015.12]])</f>
        <v>3640</v>
      </c>
      <c r="CB103" s="14">
        <f>VLOOKUP(t_Parts[[Plant]:[Plant]],t_Plants[],Plants!DA$1,FALSE)</f>
        <v>280</v>
      </c>
      <c r="CC103" s="14">
        <f>VLOOKUP(t_Parts[[Plant]:[Plant]],t_Plants[],Plants!DB$1,FALSE)</f>
        <v>280</v>
      </c>
      <c r="CD103" s="14">
        <f>VLOOKUP(t_Parts[[Plant]:[Plant]],t_Plants[],Plants!DC$1,FALSE)</f>
        <v>350</v>
      </c>
      <c r="CE103" s="14">
        <f>VLOOKUP(t_Parts[[Plant]:[Plant]],t_Plants[],Plants!DD$1,FALSE)</f>
        <v>280</v>
      </c>
      <c r="CF103" s="14">
        <f>VLOOKUP(t_Parts[[Plant]:[Plant]],t_Plants[],Plants!DE$1,FALSE)</f>
        <v>280</v>
      </c>
      <c r="CG103" s="14">
        <f>VLOOKUP(t_Parts[[Plant]:[Plant]],t_Plants[],Plants!DF$1,FALSE)</f>
        <v>350</v>
      </c>
      <c r="CH103" s="14">
        <f>VLOOKUP(t_Parts[[Plant]:[Plant]],t_Plants[],Plants!DG$1,FALSE)</f>
        <v>280</v>
      </c>
      <c r="CI103" s="14">
        <f>VLOOKUP(t_Parts[[Plant]:[Plant]],t_Plants[],Plants!DH$1,FALSE)</f>
        <v>280</v>
      </c>
      <c r="CJ103" s="14">
        <f>VLOOKUP(t_Parts[[Plant]:[Plant]],t_Plants[],Plants!DI$1,FALSE)</f>
        <v>350</v>
      </c>
      <c r="CK103" s="14">
        <f>VLOOKUP(t_Parts[[Plant]:[Plant]],t_Plants[],Plants!DJ$1,FALSE)</f>
        <v>280</v>
      </c>
      <c r="CL103" s="14">
        <f>VLOOKUP(t_Parts[[Plant]:[Plant]],t_Plants[],Plants!DK$1,FALSE)</f>
        <v>280</v>
      </c>
      <c r="CM103" s="14">
        <f>VLOOKUP(t_Parts[[Plant]:[Plant]],t_Plants[],Plants!DL$1,FALSE)</f>
        <v>350</v>
      </c>
      <c r="CN103" s="14">
        <f>VLOOKUP(t_Parts[[Plant]:[Plant]],t_Plants[],Plants!DM$1,FALSE)</f>
        <v>3640</v>
      </c>
      <c r="CO103" s="14">
        <f>VLOOKUP(t_Parts[[Plant]:[Plant]],t_Plants[],Plants!DN$1,FALSE)</f>
        <v>3640</v>
      </c>
      <c r="CP103" s="14">
        <f>VLOOKUP(t_Parts[[Plant]:[Plant]],t_Plants[],Plants!DO$1,FALSE)</f>
        <v>3640</v>
      </c>
      <c r="CQ103" s="14">
        <f>VLOOKUP(t_Parts[[Plant]:[Plant]],t_Plants[],Plants!DP$1,FALSE)</f>
        <v>3640</v>
      </c>
      <c r="CR103" s="39">
        <f>IF(AND(AL$3&gt;=VALUE(t_Parts[[SOP]:[SOP]]),AL$3&lt;=VALUE(t_Parts[[EOP]:[EOP]])), t_Parts[[SetupHrsPerMo]:[SetupHrsPerMo]]+(t_Parts[[#This Row],[pv2015.01]]/t_Parts[[NetPPH]:[NetPPH]]),0)</f>
        <v>2.6993006993006992</v>
      </c>
      <c r="CS103" s="39">
        <f>IF(AND(AM$3&gt;=VALUE(t_Parts[[SOP]:[SOP]]),AM$3&lt;=VALUE(t_Parts[[EOP]:[EOP]])), t_Parts[[SetupHrsPerMo]:[SetupHrsPerMo]]+(t_Parts[[#This Row],[pv2015.02]]/t_Parts[[NetPPH]:[NetPPH]]),0)</f>
        <v>2.6993006993006992</v>
      </c>
      <c r="CT103" s="39">
        <f>IF(AND(AN$3&gt;=VALUE(t_Parts[[SOP]:[SOP]]),AN$3&lt;=VALUE(t_Parts[[EOP]:[EOP]])), t_Parts[[SetupHrsPerMo]:[SetupHrsPerMo]]+(t_Parts[[#This Row],[pv2015.03]]/t_Parts[[NetPPH]:[NetPPH]]),0)</f>
        <v>2.8741258741258742</v>
      </c>
      <c r="CU103" s="39">
        <f>IF(AND(AO$3&gt;=VALUE(t_Parts[[SOP]:[SOP]]),AO$3&lt;=VALUE(t_Parts[[EOP]:[EOP]])), t_Parts[[SetupHrsPerMo]:[SetupHrsPerMo]]+(t_Parts[[#This Row],[pv2015.04]]/t_Parts[[NetPPH]:[NetPPH]]),0)</f>
        <v>2.6993006993006992</v>
      </c>
      <c r="CV103" s="39">
        <f>IF(AND(AP$3&gt;=VALUE(t_Parts[[SOP]:[SOP]]),AP$3&lt;=VALUE(t_Parts[[EOP]:[EOP]])), t_Parts[[SetupHrsPerMo]:[SetupHrsPerMo]]+(t_Parts[[#This Row],[pv2015.05]]/t_Parts[[NetPPH]:[NetPPH]]),0)</f>
        <v>2.6993006993006992</v>
      </c>
      <c r="CW103" s="39">
        <f>IF(AND(AQ$3&gt;=VALUE(t_Parts[[SOP]:[SOP]]),AQ$3&lt;=VALUE(t_Parts[[EOP]:[EOP]])), t_Parts[[SetupHrsPerMo]:[SetupHrsPerMo]]+(t_Parts[[#This Row],[pv2015.06]]/t_Parts[[NetPPH]:[NetPPH]]),0)</f>
        <v>2.8741258741258742</v>
      </c>
      <c r="CX103" s="39">
        <f>IF(AND(AR$3&gt;=VALUE(t_Parts[[SOP]:[SOP]]),AR$3&lt;=VALUE(t_Parts[[EOP]:[EOP]])), t_Parts[[SetupHrsPerMo]:[SetupHrsPerMo]]+(t_Parts[[#This Row],[pv2015.07]]/t_Parts[[NetPPH]:[NetPPH]]),0)</f>
        <v>2.6993006993006992</v>
      </c>
      <c r="CY103" s="39">
        <f>IF(AND(AS$3&gt;=VALUE(t_Parts[[SOP]:[SOP]]),AS$3&lt;=VALUE(t_Parts[[EOP]:[EOP]])), t_Parts[[SetupHrsPerMo]:[SetupHrsPerMo]]+(t_Parts[[#This Row],[pv2015.08]]/t_Parts[[NetPPH]:[NetPPH]]),0)</f>
        <v>2.6993006993006992</v>
      </c>
      <c r="CZ103" s="39">
        <f>IF(AND(AT$3&gt;=VALUE(t_Parts[[SOP]:[SOP]]),AT$3&lt;=VALUE(t_Parts[[EOP]:[EOP]])), t_Parts[[SetupHrsPerMo]:[SetupHrsPerMo]]+(t_Parts[[#This Row],[pv2015.09]]/t_Parts[[NetPPH]:[NetPPH]]),0)</f>
        <v>2.8741258741258742</v>
      </c>
      <c r="DA103" s="39">
        <f>IF(AND(AU$3&gt;=VALUE(t_Parts[[SOP]:[SOP]]),AU$3&lt;=VALUE(t_Parts[[EOP]:[EOP]])), t_Parts[[SetupHrsPerMo]:[SetupHrsPerMo]]+(t_Parts[[#This Row],[pv2015.10]]/t_Parts[[NetPPH]:[NetPPH]]),0)</f>
        <v>2.6993006993006992</v>
      </c>
      <c r="DB103" s="39">
        <f>IF(AND(AV$3&gt;=VALUE(t_Parts[[SOP]:[SOP]]),AV$3&lt;=VALUE(t_Parts[[EOP]:[EOP]])), t_Parts[[SetupHrsPerMo]:[SetupHrsPerMo]]+(t_Parts[[#This Row],[pv2015.11]]/t_Parts[[NetPPH]:[NetPPH]]),0)</f>
        <v>2.6993006993006992</v>
      </c>
      <c r="DC103" s="39">
        <f>IF(AND(AW$3&gt;=VALUE(t_Parts[[SOP]:[SOP]]),AW$3&lt;=VALUE(t_Parts[[EOP]:[EOP]])), t_Parts[[SetupHrsPerMo]:[SetupHrsPerMo]]+(t_Parts[[#This Row],[pv2015.12]]/t_Parts[[NetPPH]:[NetPPH]]),0)</f>
        <v>2.8741258741258742</v>
      </c>
      <c r="DD103" s="39">
        <f>SUM(t_Parts[[#This Row],[hp2015.01]:[hp2015.12]])</f>
        <v>33.090909090909093</v>
      </c>
      <c r="DE103" s="39">
        <f>IF(AND(AY$3&gt;=VALUE(t_Parts[[SOP]:[SOP]]),AY$3&lt;=VALUE(t_Parts[[EOP]:[EOP]])), t_Parts[[SetupHrsPerMo]:[SetupHrsPerMo]]+(t_Parts[[#This Row],[pv2016.01]]/t_Parts[[NetPPH]:[NetPPH]]),0)</f>
        <v>2.6993006993006992</v>
      </c>
      <c r="DF103" s="39">
        <f>IF(AND(AZ$3&gt;=VALUE(t_Parts[[SOP]:[SOP]]),AZ$3&lt;=VALUE(t_Parts[[EOP]:[EOP]])), t_Parts[[SetupHrsPerMo]:[SetupHrsPerMo]]+(t_Parts[[#This Row],[pv2016.02]]/t_Parts[[NetPPH]:[NetPPH]]),0)</f>
        <v>2.6993006993006992</v>
      </c>
      <c r="DG103" s="39">
        <f>IF(AND(BA$3&gt;=VALUE(t_Parts[[SOP]:[SOP]]),BA$3&lt;=VALUE(t_Parts[[EOP]:[EOP]])), t_Parts[[SetupHrsPerMo]:[SetupHrsPerMo]]+(t_Parts[[#This Row],[pv2016.03]]/t_Parts[[NetPPH]:[NetPPH]]),0)</f>
        <v>2.8741258741258742</v>
      </c>
      <c r="DH103" s="39">
        <f>IF(AND(BB$3&gt;=VALUE(t_Parts[[SOP]:[SOP]]),BB$3&lt;=VALUE(t_Parts[[EOP]:[EOP]])), t_Parts[[SetupHrsPerMo]:[SetupHrsPerMo]]+(t_Parts[[#This Row],[pv2016.04]]/t_Parts[[NetPPH]:[NetPPH]]),0)</f>
        <v>2.6993006993006992</v>
      </c>
      <c r="DI103" s="39">
        <f>IF(AND(BC$3&gt;=VALUE(t_Parts[[SOP]:[SOP]]),BC$3&lt;=VALUE(t_Parts[[EOP]:[EOP]])), t_Parts[[SetupHrsPerMo]:[SetupHrsPerMo]]+(t_Parts[[#This Row],[pv2016.05]]/t_Parts[[NetPPH]:[NetPPH]]),0)</f>
        <v>2.6993006993006992</v>
      </c>
      <c r="DJ103" s="39">
        <f>IF(AND(BD$3&gt;=VALUE(t_Parts[[SOP]:[SOP]]),BD$3&lt;=VALUE(t_Parts[[EOP]:[EOP]])), t_Parts[[SetupHrsPerMo]:[SetupHrsPerMo]]+(t_Parts[[#This Row],[pv2016.06]]/t_Parts[[NetPPH]:[NetPPH]]),0)</f>
        <v>2.8741258741258742</v>
      </c>
      <c r="DK103" s="39">
        <f>IF(AND(BE$3&gt;=VALUE(t_Parts[[SOP]:[SOP]]),BE$3&lt;=VALUE(t_Parts[[EOP]:[EOP]])), t_Parts[[SetupHrsPerMo]:[SetupHrsPerMo]]+(t_Parts[[#This Row],[pv2016.07]]/t_Parts[[NetPPH]:[NetPPH]]),0)</f>
        <v>2.6993006993006992</v>
      </c>
      <c r="DL103" s="39">
        <f>IF(AND(BF$3&gt;=VALUE(t_Parts[[SOP]:[SOP]]),BF$3&lt;=VALUE(t_Parts[[EOP]:[EOP]])), t_Parts[[SetupHrsPerMo]:[SetupHrsPerMo]]+(t_Parts[[#This Row],[pv2016.08]]/t_Parts[[NetPPH]:[NetPPH]]),0)</f>
        <v>2.6993006993006992</v>
      </c>
      <c r="DM103" s="39">
        <f>IF(AND(BG$3&gt;=VALUE(t_Parts[[SOP]:[SOP]]),BG$3&lt;=VALUE(t_Parts[[EOP]:[EOP]])), t_Parts[[SetupHrsPerMo]:[SetupHrsPerMo]]+(t_Parts[[#This Row],[pv2016.09]]/t_Parts[[NetPPH]:[NetPPH]]),0)</f>
        <v>2.8741258741258742</v>
      </c>
      <c r="DN103" s="39">
        <f>IF(AND(BH$3&gt;=VALUE(t_Parts[[SOP]:[SOP]]),BH$3&lt;=VALUE(t_Parts[[EOP]:[EOP]])), t_Parts[[SetupHrsPerMo]:[SetupHrsPerMo]]+(t_Parts[[#This Row],[pv2016.10]]/t_Parts[[NetPPH]:[NetPPH]]),0)</f>
        <v>2.6993006993006992</v>
      </c>
      <c r="DO103" s="39">
        <f>IF(AND(BI$3&gt;=VALUE(t_Parts[[SOP]:[SOP]]),BI$3&lt;=VALUE(t_Parts[[EOP]:[EOP]])), t_Parts[[SetupHrsPerMo]:[SetupHrsPerMo]]+(t_Parts[[#This Row],[pv2016.11]]/t_Parts[[NetPPH]:[NetPPH]]),0)</f>
        <v>2.6993006993006992</v>
      </c>
      <c r="DP103" s="39">
        <f>IF(AND(BJ$3&gt;=VALUE(t_Parts[[SOP]:[SOP]]),BJ$3&lt;=VALUE(t_Parts[[EOP]:[EOP]])), t_Parts[[SetupHrsPerMo]:[SetupHrsPerMo]]+(t_Parts[[#This Row],[pv2016.12]]/t_Parts[[NetPPH]:[NetPPH]]),0)</f>
        <v>2.8741258741258742</v>
      </c>
      <c r="DQ103" s="39">
        <f>SUM(t_Parts[[#This Row],[hp2016.01]:[hp2016.12]])</f>
        <v>33.090909090909093</v>
      </c>
      <c r="DR103" s="39">
        <f>IF(AND(BL$3&gt;=VALUE(t_Parts[[SOP]:[SOP]]),BL$3&lt;=VALUE(t_Parts[[EOP]:[EOP]])), 12*t_Parts[[SetupHrsPerMo]:[SetupHrsPerMo]]+(t_Parts[[#This Row],[pv2017]]/t_Parts[[NetPPH]:[NetPPH]]),0)</f>
        <v>33.090909090909093</v>
      </c>
      <c r="DS103" s="39">
        <f>IF(AND(BM$3&gt;=VALUE(t_Parts[[SOP]:[SOP]]),BM$3&lt;=VALUE(t_Parts[[EOP]:[EOP]])), 12*t_Parts[[SetupHrsPerMo]:[SetupHrsPerMo]]+(t_Parts[[#This Row],[pv2018]]/t_Parts[[NetPPH]:[NetPPH]]),0)</f>
        <v>33.090909090909093</v>
      </c>
      <c r="DT103" s="39">
        <f>IF(AND(BN$3&gt;=VALUE(t_Parts[[SOP]:[SOP]]),BN$3&lt;=VALUE(t_Parts[[EOP]:[EOP]])), 12*t_Parts[[SetupHrsPerMo]:[SetupHrsPerMo]]+(t_Parts[[#This Row],[pv2019]]/t_Parts[[NetPPH]:[NetPPH]]),0)</f>
        <v>33.090909090909093</v>
      </c>
      <c r="DU103" s="47">
        <f>t_Parts[[#This Row],[hp2015.01]]/t_Parts[[#This Row],[ha2015.01]]</f>
        <v>9.6403596403596397E-3</v>
      </c>
      <c r="DV103" s="47">
        <f>t_Parts[[#This Row],[hp2015.02]]/t_Parts[[#This Row],[ha2015.02]]</f>
        <v>9.6403596403596397E-3</v>
      </c>
      <c r="DW103" s="47">
        <f>t_Parts[[#This Row],[hp2015.03]]/t_Parts[[#This Row],[ha2015.03]]</f>
        <v>8.2117882117882113E-3</v>
      </c>
      <c r="DX103" s="47">
        <f>t_Parts[[#This Row],[hp2015.04]]/t_Parts[[#This Row],[ha2015.04]]</f>
        <v>9.6403596403596397E-3</v>
      </c>
      <c r="DY103" s="47">
        <f>t_Parts[[#This Row],[hp2015.05]]/t_Parts[[#This Row],[ha2015.05]]</f>
        <v>9.6403596403596397E-3</v>
      </c>
      <c r="DZ103" s="47">
        <f>t_Parts[[#This Row],[hp2015.06]]/t_Parts[[#This Row],[ha2015.06]]</f>
        <v>8.2117882117882113E-3</v>
      </c>
      <c r="EA103" s="47">
        <f>t_Parts[[#This Row],[hp2015.07]]/t_Parts[[#This Row],[ha2015.07]]</f>
        <v>9.6403596403596397E-3</v>
      </c>
      <c r="EB103" s="47">
        <f>t_Parts[[#This Row],[hp2015.08]]/t_Parts[[#This Row],[ha2015.08]]</f>
        <v>9.6403596403596397E-3</v>
      </c>
      <c r="EC103" s="47">
        <f>t_Parts[[#This Row],[hp2015.09]]/t_Parts[[#This Row],[ha2015.09]]</f>
        <v>8.2117882117882113E-3</v>
      </c>
      <c r="ED103" s="47">
        <f>t_Parts[[#This Row],[hp2015.10]]/t_Parts[[#This Row],[ha2015.10]]</f>
        <v>9.6403596403596397E-3</v>
      </c>
      <c r="EE103" s="47">
        <f>t_Parts[[#This Row],[hp2015.11]]/t_Parts[[#This Row],[ha2015.11]]</f>
        <v>9.6403596403596397E-3</v>
      </c>
      <c r="EF103" s="47">
        <f>t_Parts[[#This Row],[hp2015.12]]/t_Parts[[#This Row],[ha2015.12]]</f>
        <v>8.2117882117882113E-3</v>
      </c>
      <c r="EG103" s="47">
        <f>t_Parts[[#This Row],[hp2015.FY]]/t_Parts[[#This Row],[ha2015.FY]]</f>
        <v>9.0909090909090922E-3</v>
      </c>
      <c r="EH103" s="47">
        <f>t_Parts[[#This Row],[hp2016.01]]/t_Parts[[#This Row],[ha2016.01]]</f>
        <v>9.6403596403596397E-3</v>
      </c>
      <c r="EI103" s="47">
        <f>t_Parts[[#This Row],[hp2016.02]]/t_Parts[[#This Row],[ha2016.02]]</f>
        <v>9.6403596403596397E-3</v>
      </c>
      <c r="EJ103" s="47">
        <f>t_Parts[[#This Row],[hp2016.03]]/t_Parts[[#This Row],[ha2016.03]]</f>
        <v>8.2117882117882113E-3</v>
      </c>
      <c r="EK103" s="47">
        <f>t_Parts[[#This Row],[hp2016.04]]/t_Parts[[#This Row],[ha2016.04]]</f>
        <v>9.6403596403596397E-3</v>
      </c>
      <c r="EL103" s="47">
        <f>t_Parts[[#This Row],[hp2016.05]]/t_Parts[[#This Row],[ha2016.05]]</f>
        <v>9.6403596403596397E-3</v>
      </c>
      <c r="EM103" s="47">
        <f>t_Parts[[#This Row],[hp2016.06]]/t_Parts[[#This Row],[ha2016.06]]</f>
        <v>8.2117882117882113E-3</v>
      </c>
      <c r="EN103" s="47">
        <f>t_Parts[[#This Row],[hp2016.07]]/t_Parts[[#This Row],[ha2016.07]]</f>
        <v>9.6403596403596397E-3</v>
      </c>
      <c r="EO103" s="47">
        <f>t_Parts[[#This Row],[hp2016.08]]/t_Parts[[#This Row],[ha2016.08]]</f>
        <v>9.6403596403596397E-3</v>
      </c>
      <c r="EP103" s="47">
        <f>t_Parts[[#This Row],[hp2016.09]]/t_Parts[[#This Row],[ha2016.09]]</f>
        <v>8.2117882117882113E-3</v>
      </c>
      <c r="EQ103" s="47">
        <f>t_Parts[[#This Row],[hp2016.10]]/t_Parts[[#This Row],[ha2016.10]]</f>
        <v>9.6403596403596397E-3</v>
      </c>
      <c r="ER103" s="47">
        <f>t_Parts[[#This Row],[hp2016.11]]/t_Parts[[#This Row],[ha2016.11]]</f>
        <v>9.6403596403596397E-3</v>
      </c>
      <c r="ES103" s="47">
        <f>t_Parts[[#This Row],[hp2016.12]]/t_Parts[[#This Row],[ha2016.12]]</f>
        <v>8.2117882117882113E-3</v>
      </c>
      <c r="ET103" s="47">
        <f>t_Parts[[#This Row],[hp2016.FY]]/t_Parts[[#This Row],[ha2016.FY]]</f>
        <v>9.0909090909090922E-3</v>
      </c>
      <c r="EU103" s="47">
        <f>t_Parts[[#This Row],[hp2017]]/t_Parts[[#This Row],[ha2017]]</f>
        <v>9.0909090909090922E-3</v>
      </c>
      <c r="EV103" s="47">
        <f>t_Parts[[#This Row],[hp2018]]/t_Parts[[#This Row],[ha2018]]</f>
        <v>9.0909090909090922E-3</v>
      </c>
      <c r="EW103" s="47">
        <f>t_Parts[[#This Row],[hp2019]]/t_Parts[[#This Row],[hp2015.01]]</f>
        <v>12.259067357512954</v>
      </c>
      <c r="EX103" s="58">
        <f>(t_Parts[[#This Row],[ha2015.01]]-t_Parts[[#This Row],[hp2015.01]])*t_Parts[[NetPPH]:[NetPPH]]</f>
        <v>549055.38461538474</v>
      </c>
      <c r="EY103" s="58">
        <f>(t_Parts[[#This Row],[ha2015.02]]-t_Parts[[#This Row],[hp2015.02]])*t_Parts[[NetPPH]:[NetPPH]]</f>
        <v>549055.38461538474</v>
      </c>
      <c r="EZ103" s="58">
        <f>(t_Parts[[#This Row],[ha2015.03]]-t_Parts[[#This Row],[hp2015.03]])*t_Parts[[NetPPH]:[NetPPH]]</f>
        <v>687309.23076923087</v>
      </c>
      <c r="FA103" s="58">
        <f>(t_Parts[[#This Row],[ha2015.04]]-t_Parts[[#This Row],[hp2015.04]])*t_Parts[[NetPPH]:[NetPPH]]</f>
        <v>549055.38461538474</v>
      </c>
      <c r="FB103" s="58">
        <f>(t_Parts[[#This Row],[ha2015.05]]-t_Parts[[#This Row],[hp2015.05]])*t_Parts[[NetPPH]:[NetPPH]]</f>
        <v>549055.38461538474</v>
      </c>
      <c r="FC103" s="58">
        <f>(t_Parts[[#This Row],[ha2015.06]]-t_Parts[[#This Row],[hp2015.06]])*t_Parts[[NetPPH]:[NetPPH]]</f>
        <v>687309.23076923087</v>
      </c>
      <c r="FD103" s="58">
        <f>(t_Parts[[#This Row],[ha2015.07]]-t_Parts[[#This Row],[hp2015.07]])*t_Parts[[NetPPH]:[NetPPH]]</f>
        <v>549055.38461538474</v>
      </c>
      <c r="FE103" s="58">
        <f>(t_Parts[[#This Row],[ha2015.08]]-t_Parts[[#This Row],[hp2015.08]])*t_Parts[[NetPPH]:[NetPPH]]</f>
        <v>549055.38461538474</v>
      </c>
      <c r="FF103" s="58">
        <f>(t_Parts[[#This Row],[ha2015.09]]-t_Parts[[#This Row],[hp2015.09]])*t_Parts[[NetPPH]:[NetPPH]]</f>
        <v>687309.23076923087</v>
      </c>
      <c r="FG103" s="58">
        <f>(t_Parts[[#This Row],[ha2015.10]]-t_Parts[[#This Row],[hp2015.10]])*t_Parts[[NetPPH]:[NetPPH]]</f>
        <v>549055.38461538474</v>
      </c>
      <c r="FH103" s="58">
        <f>(t_Parts[[#This Row],[ha2015.11]]-t_Parts[[#This Row],[hp2015.11]])*t_Parts[[NetPPH]:[NetPPH]]</f>
        <v>549055.38461538474</v>
      </c>
      <c r="FI103" s="58">
        <f>(t_Parts[[#This Row],[ha2015.12]]-t_Parts[[#This Row],[hp2015.12]])*t_Parts[[NetPPH]:[NetPPH]]</f>
        <v>687309.23076923087</v>
      </c>
      <c r="FJ103" s="58">
        <f>(t_Parts[[#This Row],[ha2015.FY]]-t_Parts[[#This Row],[hp2015.FY]])*t_Parts[[NetPPH]:[NetPPH]]</f>
        <v>7141680.0000000009</v>
      </c>
      <c r="FK103" s="58">
        <f>(t_Parts[[#This Row],[ha2016.01]]-t_Parts[[#This Row],[hp2016.01]])*t_Parts[[NetPPH]:[NetPPH]]</f>
        <v>549055.38461538474</v>
      </c>
      <c r="FL103" s="58">
        <f>(t_Parts[[#This Row],[ha2016.02]]-t_Parts[[#This Row],[hp2016.02]])*t_Parts[[NetPPH]:[NetPPH]]</f>
        <v>549055.38461538474</v>
      </c>
      <c r="FM103" s="58">
        <f>(t_Parts[[#This Row],[ha2016.03]]-t_Parts[[#This Row],[hp2016.03]])*t_Parts[[NetPPH]:[NetPPH]]</f>
        <v>687309.23076923087</v>
      </c>
      <c r="FN103" s="58">
        <f>(t_Parts[[#This Row],[ha2016.04]]-t_Parts[[#This Row],[hp2016.04]])*t_Parts[[NetPPH]:[NetPPH]]</f>
        <v>549055.38461538474</v>
      </c>
      <c r="FO103" s="58">
        <f>(t_Parts[[#This Row],[ha2016.05]]-t_Parts[[#This Row],[hp2016.05]])*t_Parts[[NetPPH]:[NetPPH]]</f>
        <v>549055.38461538474</v>
      </c>
      <c r="FP103" s="58">
        <f>(t_Parts[[#This Row],[ha2016.06]]-t_Parts[[#This Row],[hp2016.06]])*t_Parts[[NetPPH]:[NetPPH]]</f>
        <v>687309.23076923087</v>
      </c>
      <c r="FQ103" s="58">
        <f>(t_Parts[[#This Row],[ha2016.07]]-t_Parts[[#This Row],[hp2016.07]])*t_Parts[[NetPPH]:[NetPPH]]</f>
        <v>549055.38461538474</v>
      </c>
      <c r="FR103" s="58">
        <f>(t_Parts[[#This Row],[ha2016.08]]-t_Parts[[#This Row],[hp2016.08]])*t_Parts[[NetPPH]:[NetPPH]]</f>
        <v>549055.38461538474</v>
      </c>
      <c r="FS103" s="58">
        <f>(t_Parts[[#This Row],[ha2016.09]]-t_Parts[[#This Row],[hp2016.09]])*t_Parts[[NetPPH]:[NetPPH]]</f>
        <v>687309.23076923087</v>
      </c>
      <c r="FT103" s="58">
        <f>(t_Parts[[#This Row],[ha2016.10]]-t_Parts[[#This Row],[hp2016.10]])*t_Parts[[NetPPH]:[NetPPH]]</f>
        <v>549055.38461538474</v>
      </c>
      <c r="FU103" s="58">
        <f>(t_Parts[[#This Row],[ha2016.11]]-t_Parts[[#This Row],[hp2016.11]])*t_Parts[[NetPPH]:[NetPPH]]</f>
        <v>549055.38461538474</v>
      </c>
      <c r="FV103" s="58">
        <f>(t_Parts[[#This Row],[ha2016.12]]-t_Parts[[#This Row],[hp2016.12]])*t_Parts[[NetPPH]:[NetPPH]]</f>
        <v>687309.23076923087</v>
      </c>
      <c r="FW103" s="58">
        <f>(t_Parts[[#This Row],[ha2016.FY]]-t_Parts[[#This Row],[hp2016.FY]])*t_Parts[[NetPPH]:[NetPPH]]</f>
        <v>7141680.0000000009</v>
      </c>
      <c r="FX103" s="58">
        <f>(t_Parts[[#This Row],[ha2017]]-t_Parts[[#This Row],[hp2017]])*t_Parts[[NetPPH]:[NetPPH]]</f>
        <v>7141680.0000000009</v>
      </c>
      <c r="FY103" s="58">
        <f>(t_Parts[[#This Row],[ha2018]]-t_Parts[[#This Row],[hp2018]])*t_Parts[[NetPPH]:[NetPPH]]</f>
        <v>7141680.0000000009</v>
      </c>
      <c r="FZ103" s="58">
        <f>(t_Parts[[#This Row],[ha2019]]-t_Parts[[#This Row],[hp2019]])*t_Parts[[NetPPH]:[NetPPH]]</f>
        <v>7141680.0000000009</v>
      </c>
    </row>
    <row r="104" spans="1:182" s="14" customFormat="1" x14ac:dyDescent="0.25">
      <c r="A104" s="74">
        <v>29194</v>
      </c>
      <c r="B104" s="74"/>
      <c r="C104" s="74">
        <v>21013</v>
      </c>
      <c r="D104" s="75">
        <v>1</v>
      </c>
      <c r="E104" s="73">
        <v>2700</v>
      </c>
      <c r="F104" s="76">
        <v>1</v>
      </c>
      <c r="G104" s="77">
        <v>2</v>
      </c>
      <c r="H104" s="16">
        <v>2015.01</v>
      </c>
      <c r="I104" s="16" t="s">
        <v>326</v>
      </c>
      <c r="J104" s="73">
        <v>54221</v>
      </c>
      <c r="K104" s="73">
        <v>54221</v>
      </c>
      <c r="L104" s="73">
        <v>54221</v>
      </c>
      <c r="M104" s="73">
        <v>54221</v>
      </c>
      <c r="N104" s="73">
        <v>54221</v>
      </c>
      <c r="O104" s="78">
        <v>27</v>
      </c>
      <c r="P104" s="78">
        <v>55</v>
      </c>
      <c r="Q104" s="79">
        <v>20.76</v>
      </c>
      <c r="R104" s="79"/>
      <c r="S104" s="78">
        <v>64</v>
      </c>
      <c r="T104" s="80">
        <v>13</v>
      </c>
      <c r="U104" s="80" t="s">
        <v>121</v>
      </c>
      <c r="V104" s="81" t="s">
        <v>573</v>
      </c>
      <c r="W104" s="82">
        <v>0.442</v>
      </c>
      <c r="X104" s="82" t="s">
        <v>495</v>
      </c>
      <c r="Y104" s="82"/>
      <c r="Z104" s="82"/>
      <c r="AA104" s="82"/>
      <c r="AB104" s="82"/>
      <c r="AC104" s="83" t="s">
        <v>667</v>
      </c>
      <c r="AD104" s="40" t="str">
        <f>VLOOKUP(t_Parts[[#This Row],[Press]],t_Presses[],Press!B$1,FALSE)</f>
        <v>Plainfield</v>
      </c>
      <c r="AE104" s="40" t="str">
        <f>VLOOKUP(t_Parts[[#This Row],[Press]],t_Presses[],Press!E$1,FALSE)</f>
        <v>0-299</v>
      </c>
      <c r="AF104" s="47">
        <f>VLOOKUP(t_Parts[[#This Row],[Plant]],t_Plants[],Plants!C$1,FALSE)</f>
        <v>0.55000000000000004</v>
      </c>
      <c r="AG104" s="47">
        <f>VLOOKUP(t_Parts[[#This Row],[Press]],t_Presses[],Press!F$1,FALSE)</f>
        <v>0</v>
      </c>
      <c r="AH104" s="84"/>
      <c r="AI104" s="47">
        <f>IF(ISBLANK(t_Parts[[#This Row],[PartOEE]])=FALSE,t_Parts[[#This Row],[PartOEE]], IF(t_Parts[[#This Row],[PressOEE]]&gt;0, t_Parts[[#This Row],[PressOEE]], t_Parts[[#This Row],[PlantOEE]] ))</f>
        <v>0.55000000000000004</v>
      </c>
      <c r="AJ104" s="70">
        <f>t_Parts[[#This Row],[SetupsPerMo]]*t_Parts[[#This Row],[SetupHrs]]</f>
        <v>2</v>
      </c>
      <c r="AK104" s="39">
        <f>(t_Parts[[#This Row],[PartsPerStroke]]*t_Parts[[#This Row],[StrokesPerHr]])*t_Parts[[#This Row],[UseOEE]]</f>
        <v>1485.0000000000002</v>
      </c>
      <c r="AL10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4170.8461538461543</v>
      </c>
      <c r="AM10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4170.8461538461543</v>
      </c>
      <c r="AN10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5213.5576923076924</v>
      </c>
      <c r="AO10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4170.8461538461543</v>
      </c>
      <c r="AP10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4170.8461538461543</v>
      </c>
      <c r="AQ10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5213.5576923076924</v>
      </c>
      <c r="AR10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4170.8461538461543</v>
      </c>
      <c r="AS10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4170.8461538461543</v>
      </c>
      <c r="AT10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5213.5576923076924</v>
      </c>
      <c r="AU10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4170.8461538461543</v>
      </c>
      <c r="AV10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4170.8461538461543</v>
      </c>
      <c r="AW10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5213.5576923076924</v>
      </c>
      <c r="AX104" s="39">
        <f>SUM(t_Parts[[#This Row],[pv2015.01]:[pv2015.12]])</f>
        <v>54221.000000000015</v>
      </c>
      <c r="AY10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4170.8461538461543</v>
      </c>
      <c r="AZ10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4170.8461538461543</v>
      </c>
      <c r="BA10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5213.5576923076924</v>
      </c>
      <c r="BB10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4170.8461538461543</v>
      </c>
      <c r="BC10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4170.8461538461543</v>
      </c>
      <c r="BD10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5213.5576923076924</v>
      </c>
      <c r="BE10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0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0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0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0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0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04" s="39">
        <f>SUM(t_Parts[[#This Row],[pv2016.01]:[pv2016.12]])</f>
        <v>27110.500000000004</v>
      </c>
      <c r="BL104" s="39">
        <f>t_Parts[[#This Row],[2017vol]]</f>
        <v>54221</v>
      </c>
      <c r="BM104" s="39">
        <f>t_Parts[[#This Row],[2018vol]]</f>
        <v>54221</v>
      </c>
      <c r="BN104" s="39">
        <f>t_Parts[[#This Row],[2019vol]]</f>
        <v>54221</v>
      </c>
      <c r="BO104" s="40">
        <f>VLOOKUP(t_Parts[[Plant]:[Plant]],t_Plants[],Plants!CN$1,FALSE)</f>
        <v>280</v>
      </c>
      <c r="BP104" s="14">
        <f>VLOOKUP(t_Parts[[Plant]:[Plant]],t_Plants[],Plants!CO$1,FALSE)</f>
        <v>280</v>
      </c>
      <c r="BQ104" s="14">
        <f>VLOOKUP(t_Parts[[Plant]:[Plant]],t_Plants[],Plants!CP$1,FALSE)</f>
        <v>350</v>
      </c>
      <c r="BR104" s="14">
        <f>VLOOKUP(t_Parts[[Plant]:[Plant]],t_Plants[],Plants!CQ$1,FALSE)</f>
        <v>280</v>
      </c>
      <c r="BS104" s="14">
        <f>VLOOKUP(t_Parts[[Plant]:[Plant]],t_Plants[],Plants!CR$1,FALSE)</f>
        <v>280</v>
      </c>
      <c r="BT104" s="14">
        <f>VLOOKUP(t_Parts[[Plant]:[Plant]],t_Plants[],Plants!CS$1,FALSE)</f>
        <v>350</v>
      </c>
      <c r="BU104" s="14">
        <f>VLOOKUP(t_Parts[[Plant]:[Plant]],t_Plants[],Plants!CT$1,FALSE)</f>
        <v>280</v>
      </c>
      <c r="BV104" s="14">
        <f>VLOOKUP(t_Parts[[Plant]:[Plant]],t_Plants[],Plants!CU$1,FALSE)</f>
        <v>280</v>
      </c>
      <c r="BW104" s="14">
        <f>VLOOKUP(t_Parts[[Plant]:[Plant]],t_Plants[],Plants!CV$1,FALSE)</f>
        <v>350</v>
      </c>
      <c r="BX104" s="14">
        <f>VLOOKUP(t_Parts[[Plant]:[Plant]],t_Plants[],Plants!CW$1,FALSE)</f>
        <v>280</v>
      </c>
      <c r="BY104" s="14">
        <f>VLOOKUP(t_Parts[[Plant]:[Plant]],t_Plants[],Plants!CX$1,FALSE)</f>
        <v>280</v>
      </c>
      <c r="BZ104" s="14">
        <f>VLOOKUP(t_Parts[[Plant]:[Plant]],t_Plants[],Plants!CY$1,FALSE)</f>
        <v>350</v>
      </c>
      <c r="CA104" s="40">
        <f>SUM(t_Parts[[#This Row],[ha2015.01]:[ha2015.12]])</f>
        <v>3640</v>
      </c>
      <c r="CB104" s="14">
        <f>VLOOKUP(t_Parts[[Plant]:[Plant]],t_Plants[],Plants!DA$1,FALSE)</f>
        <v>280</v>
      </c>
      <c r="CC104" s="14">
        <f>VLOOKUP(t_Parts[[Plant]:[Plant]],t_Plants[],Plants!DB$1,FALSE)</f>
        <v>280</v>
      </c>
      <c r="CD104" s="14">
        <f>VLOOKUP(t_Parts[[Plant]:[Plant]],t_Plants[],Plants!DC$1,FALSE)</f>
        <v>350</v>
      </c>
      <c r="CE104" s="14">
        <f>VLOOKUP(t_Parts[[Plant]:[Plant]],t_Plants[],Plants!DD$1,FALSE)</f>
        <v>280</v>
      </c>
      <c r="CF104" s="14">
        <f>VLOOKUP(t_Parts[[Plant]:[Plant]],t_Plants[],Plants!DE$1,FALSE)</f>
        <v>280</v>
      </c>
      <c r="CG104" s="14">
        <f>VLOOKUP(t_Parts[[Plant]:[Plant]],t_Plants[],Plants!DF$1,FALSE)</f>
        <v>350</v>
      </c>
      <c r="CH104" s="14">
        <f>VLOOKUP(t_Parts[[Plant]:[Plant]],t_Plants[],Plants!DG$1,FALSE)</f>
        <v>280</v>
      </c>
      <c r="CI104" s="14">
        <f>VLOOKUP(t_Parts[[Plant]:[Plant]],t_Plants[],Plants!DH$1,FALSE)</f>
        <v>280</v>
      </c>
      <c r="CJ104" s="14">
        <f>VLOOKUP(t_Parts[[Plant]:[Plant]],t_Plants[],Plants!DI$1,FALSE)</f>
        <v>350</v>
      </c>
      <c r="CK104" s="14">
        <f>VLOOKUP(t_Parts[[Plant]:[Plant]],t_Plants[],Plants!DJ$1,FALSE)</f>
        <v>280</v>
      </c>
      <c r="CL104" s="14">
        <f>VLOOKUP(t_Parts[[Plant]:[Plant]],t_Plants[],Plants!DK$1,FALSE)</f>
        <v>280</v>
      </c>
      <c r="CM104" s="14">
        <f>VLOOKUP(t_Parts[[Plant]:[Plant]],t_Plants[],Plants!DL$1,FALSE)</f>
        <v>350</v>
      </c>
      <c r="CN104" s="14">
        <f>VLOOKUP(t_Parts[[Plant]:[Plant]],t_Plants[],Plants!DM$1,FALSE)</f>
        <v>3640</v>
      </c>
      <c r="CO104" s="14">
        <f>VLOOKUP(t_Parts[[Plant]:[Plant]],t_Plants[],Plants!DN$1,FALSE)</f>
        <v>3640</v>
      </c>
      <c r="CP104" s="14">
        <f>VLOOKUP(t_Parts[[Plant]:[Plant]],t_Plants[],Plants!DO$1,FALSE)</f>
        <v>3640</v>
      </c>
      <c r="CQ104" s="14">
        <f>VLOOKUP(t_Parts[[Plant]:[Plant]],t_Plants[],Plants!DP$1,FALSE)</f>
        <v>3640</v>
      </c>
      <c r="CR104" s="39">
        <f>IF(AND(AL$3&gt;=VALUE(t_Parts[[SOP]:[SOP]]),AL$3&lt;=VALUE(t_Parts[[EOP]:[EOP]])), t_Parts[[SetupHrsPerMo]:[SetupHrsPerMo]]+(t_Parts[[#This Row],[pv2015.01]]/t_Parts[[NetPPH]:[NetPPH]]),0)</f>
        <v>4.8086506086506091</v>
      </c>
      <c r="CS104" s="39">
        <f>IF(AND(AM$3&gt;=VALUE(t_Parts[[SOP]:[SOP]]),AM$3&lt;=VALUE(t_Parts[[EOP]:[EOP]])), t_Parts[[SetupHrsPerMo]:[SetupHrsPerMo]]+(t_Parts[[#This Row],[pv2015.02]]/t_Parts[[NetPPH]:[NetPPH]]),0)</f>
        <v>4.8086506086506091</v>
      </c>
      <c r="CT104" s="39">
        <f>IF(AND(AN$3&gt;=VALUE(t_Parts[[SOP]:[SOP]]),AN$3&lt;=VALUE(t_Parts[[EOP]:[EOP]])), t_Parts[[SetupHrsPerMo]:[SetupHrsPerMo]]+(t_Parts[[#This Row],[pv2015.03]]/t_Parts[[NetPPH]:[NetPPH]]),0)</f>
        <v>5.5108132608132605</v>
      </c>
      <c r="CU104" s="39">
        <f>IF(AND(AO$3&gt;=VALUE(t_Parts[[SOP]:[SOP]]),AO$3&lt;=VALUE(t_Parts[[EOP]:[EOP]])), t_Parts[[SetupHrsPerMo]:[SetupHrsPerMo]]+(t_Parts[[#This Row],[pv2015.04]]/t_Parts[[NetPPH]:[NetPPH]]),0)</f>
        <v>4.8086506086506091</v>
      </c>
      <c r="CV104" s="39">
        <f>IF(AND(AP$3&gt;=VALUE(t_Parts[[SOP]:[SOP]]),AP$3&lt;=VALUE(t_Parts[[EOP]:[EOP]])), t_Parts[[SetupHrsPerMo]:[SetupHrsPerMo]]+(t_Parts[[#This Row],[pv2015.05]]/t_Parts[[NetPPH]:[NetPPH]]),0)</f>
        <v>4.8086506086506091</v>
      </c>
      <c r="CW104" s="39">
        <f>IF(AND(AQ$3&gt;=VALUE(t_Parts[[SOP]:[SOP]]),AQ$3&lt;=VALUE(t_Parts[[EOP]:[EOP]])), t_Parts[[SetupHrsPerMo]:[SetupHrsPerMo]]+(t_Parts[[#This Row],[pv2015.06]]/t_Parts[[NetPPH]:[NetPPH]]),0)</f>
        <v>5.5108132608132605</v>
      </c>
      <c r="CX104" s="39">
        <f>IF(AND(AR$3&gt;=VALUE(t_Parts[[SOP]:[SOP]]),AR$3&lt;=VALUE(t_Parts[[EOP]:[EOP]])), t_Parts[[SetupHrsPerMo]:[SetupHrsPerMo]]+(t_Parts[[#This Row],[pv2015.07]]/t_Parts[[NetPPH]:[NetPPH]]),0)</f>
        <v>4.8086506086506091</v>
      </c>
      <c r="CY104" s="39">
        <f>IF(AND(AS$3&gt;=VALUE(t_Parts[[SOP]:[SOP]]),AS$3&lt;=VALUE(t_Parts[[EOP]:[EOP]])), t_Parts[[SetupHrsPerMo]:[SetupHrsPerMo]]+(t_Parts[[#This Row],[pv2015.08]]/t_Parts[[NetPPH]:[NetPPH]]),0)</f>
        <v>4.8086506086506091</v>
      </c>
      <c r="CZ104" s="39">
        <f>IF(AND(AT$3&gt;=VALUE(t_Parts[[SOP]:[SOP]]),AT$3&lt;=VALUE(t_Parts[[EOP]:[EOP]])), t_Parts[[SetupHrsPerMo]:[SetupHrsPerMo]]+(t_Parts[[#This Row],[pv2015.09]]/t_Parts[[NetPPH]:[NetPPH]]),0)</f>
        <v>5.5108132608132605</v>
      </c>
      <c r="DA104" s="39">
        <f>IF(AND(AU$3&gt;=VALUE(t_Parts[[SOP]:[SOP]]),AU$3&lt;=VALUE(t_Parts[[EOP]:[EOP]])), t_Parts[[SetupHrsPerMo]:[SetupHrsPerMo]]+(t_Parts[[#This Row],[pv2015.10]]/t_Parts[[NetPPH]:[NetPPH]]),0)</f>
        <v>4.8086506086506091</v>
      </c>
      <c r="DB104" s="39">
        <f>IF(AND(AV$3&gt;=VALUE(t_Parts[[SOP]:[SOP]]),AV$3&lt;=VALUE(t_Parts[[EOP]:[EOP]])), t_Parts[[SetupHrsPerMo]:[SetupHrsPerMo]]+(t_Parts[[#This Row],[pv2015.11]]/t_Parts[[NetPPH]:[NetPPH]]),0)</f>
        <v>4.8086506086506091</v>
      </c>
      <c r="DC104" s="39">
        <f>IF(AND(AW$3&gt;=VALUE(t_Parts[[SOP]:[SOP]]),AW$3&lt;=VALUE(t_Parts[[EOP]:[EOP]])), t_Parts[[SetupHrsPerMo]:[SetupHrsPerMo]]+(t_Parts[[#This Row],[pv2015.12]]/t_Parts[[NetPPH]:[NetPPH]]),0)</f>
        <v>5.5108132608132605</v>
      </c>
      <c r="DD104" s="39">
        <f>SUM(t_Parts[[#This Row],[hp2015.01]:[hp2015.12]])</f>
        <v>60.512457912457911</v>
      </c>
      <c r="DE104" s="39">
        <f>IF(AND(AY$3&gt;=VALUE(t_Parts[[SOP]:[SOP]]),AY$3&lt;=VALUE(t_Parts[[EOP]:[EOP]])), t_Parts[[SetupHrsPerMo]:[SetupHrsPerMo]]+(t_Parts[[#This Row],[pv2016.01]]/t_Parts[[NetPPH]:[NetPPH]]),0)</f>
        <v>4.8086506086506091</v>
      </c>
      <c r="DF104" s="39">
        <f>IF(AND(AZ$3&gt;=VALUE(t_Parts[[SOP]:[SOP]]),AZ$3&lt;=VALUE(t_Parts[[EOP]:[EOP]])), t_Parts[[SetupHrsPerMo]:[SetupHrsPerMo]]+(t_Parts[[#This Row],[pv2016.02]]/t_Parts[[NetPPH]:[NetPPH]]),0)</f>
        <v>4.8086506086506091</v>
      </c>
      <c r="DG104" s="39">
        <f>IF(AND(BA$3&gt;=VALUE(t_Parts[[SOP]:[SOP]]),BA$3&lt;=VALUE(t_Parts[[EOP]:[EOP]])), t_Parts[[SetupHrsPerMo]:[SetupHrsPerMo]]+(t_Parts[[#This Row],[pv2016.03]]/t_Parts[[NetPPH]:[NetPPH]]),0)</f>
        <v>5.5108132608132605</v>
      </c>
      <c r="DH104" s="39">
        <f>IF(AND(BB$3&gt;=VALUE(t_Parts[[SOP]:[SOP]]),BB$3&lt;=VALUE(t_Parts[[EOP]:[EOP]])), t_Parts[[SetupHrsPerMo]:[SetupHrsPerMo]]+(t_Parts[[#This Row],[pv2016.04]]/t_Parts[[NetPPH]:[NetPPH]]),0)</f>
        <v>4.8086506086506091</v>
      </c>
      <c r="DI104" s="39">
        <f>IF(AND(BC$3&gt;=VALUE(t_Parts[[SOP]:[SOP]]),BC$3&lt;=VALUE(t_Parts[[EOP]:[EOP]])), t_Parts[[SetupHrsPerMo]:[SetupHrsPerMo]]+(t_Parts[[#This Row],[pv2016.05]]/t_Parts[[NetPPH]:[NetPPH]]),0)</f>
        <v>4.8086506086506091</v>
      </c>
      <c r="DJ104" s="39">
        <f>IF(AND(BD$3&gt;=VALUE(t_Parts[[SOP]:[SOP]]),BD$3&lt;=VALUE(t_Parts[[EOP]:[EOP]])), t_Parts[[SetupHrsPerMo]:[SetupHrsPerMo]]+(t_Parts[[#This Row],[pv2016.06]]/t_Parts[[NetPPH]:[NetPPH]]),0)</f>
        <v>5.5108132608132605</v>
      </c>
      <c r="DK104" s="39">
        <f>IF(AND(BE$3&gt;=VALUE(t_Parts[[SOP]:[SOP]]),BE$3&lt;=VALUE(t_Parts[[EOP]:[EOP]])), t_Parts[[SetupHrsPerMo]:[SetupHrsPerMo]]+(t_Parts[[#This Row],[pv2016.07]]/t_Parts[[NetPPH]:[NetPPH]]),0)</f>
        <v>0</v>
      </c>
      <c r="DL104" s="39">
        <f>IF(AND(BF$3&gt;=VALUE(t_Parts[[SOP]:[SOP]]),BF$3&lt;=VALUE(t_Parts[[EOP]:[EOP]])), t_Parts[[SetupHrsPerMo]:[SetupHrsPerMo]]+(t_Parts[[#This Row],[pv2016.08]]/t_Parts[[NetPPH]:[NetPPH]]),0)</f>
        <v>0</v>
      </c>
      <c r="DM104" s="39">
        <f>IF(AND(BG$3&gt;=VALUE(t_Parts[[SOP]:[SOP]]),BG$3&lt;=VALUE(t_Parts[[EOP]:[EOP]])), t_Parts[[SetupHrsPerMo]:[SetupHrsPerMo]]+(t_Parts[[#This Row],[pv2016.09]]/t_Parts[[NetPPH]:[NetPPH]]),0)</f>
        <v>0</v>
      </c>
      <c r="DN104" s="39">
        <f>IF(AND(BH$3&gt;=VALUE(t_Parts[[SOP]:[SOP]]),BH$3&lt;=VALUE(t_Parts[[EOP]:[EOP]])), t_Parts[[SetupHrsPerMo]:[SetupHrsPerMo]]+(t_Parts[[#This Row],[pv2016.10]]/t_Parts[[NetPPH]:[NetPPH]]),0)</f>
        <v>0</v>
      </c>
      <c r="DO104" s="39">
        <f>IF(AND(BI$3&gt;=VALUE(t_Parts[[SOP]:[SOP]]),BI$3&lt;=VALUE(t_Parts[[EOP]:[EOP]])), t_Parts[[SetupHrsPerMo]:[SetupHrsPerMo]]+(t_Parts[[#This Row],[pv2016.11]]/t_Parts[[NetPPH]:[NetPPH]]),0)</f>
        <v>0</v>
      </c>
      <c r="DP104" s="39">
        <f>IF(AND(BJ$3&gt;=VALUE(t_Parts[[SOP]:[SOP]]),BJ$3&lt;=VALUE(t_Parts[[EOP]:[EOP]])), t_Parts[[SetupHrsPerMo]:[SetupHrsPerMo]]+(t_Parts[[#This Row],[pv2016.12]]/t_Parts[[NetPPH]:[NetPPH]]),0)</f>
        <v>0</v>
      </c>
      <c r="DQ104" s="39">
        <f>SUM(t_Parts[[#This Row],[hp2016.01]:[hp2016.12]])</f>
        <v>30.256228956228959</v>
      </c>
      <c r="DR104" s="39">
        <f>IF(AND(BL$3&gt;=VALUE(t_Parts[[SOP]:[SOP]]),BL$3&lt;=VALUE(t_Parts[[EOP]:[EOP]])), 12*t_Parts[[SetupHrsPerMo]:[SetupHrsPerMo]]+(t_Parts[[#This Row],[pv2017]]/t_Parts[[NetPPH]:[NetPPH]]),0)</f>
        <v>0</v>
      </c>
      <c r="DS104" s="39">
        <f>IF(AND(BM$3&gt;=VALUE(t_Parts[[SOP]:[SOP]]),BM$3&lt;=VALUE(t_Parts[[EOP]:[EOP]])), 12*t_Parts[[SetupHrsPerMo]:[SetupHrsPerMo]]+(t_Parts[[#This Row],[pv2018]]/t_Parts[[NetPPH]:[NetPPH]]),0)</f>
        <v>0</v>
      </c>
      <c r="DT104" s="39">
        <f>IF(AND(BN$3&gt;=VALUE(t_Parts[[SOP]:[SOP]]),BN$3&lt;=VALUE(t_Parts[[EOP]:[EOP]])), 12*t_Parts[[SetupHrsPerMo]:[SetupHrsPerMo]]+(t_Parts[[#This Row],[pv2019]]/t_Parts[[NetPPH]:[NetPPH]]),0)</f>
        <v>0</v>
      </c>
      <c r="DU104" s="47">
        <f>t_Parts[[#This Row],[hp2015.01]]/t_Parts[[#This Row],[ha2015.01]]</f>
        <v>1.7173752173752176E-2</v>
      </c>
      <c r="DV104" s="47">
        <f>t_Parts[[#This Row],[hp2015.02]]/t_Parts[[#This Row],[ha2015.02]]</f>
        <v>1.7173752173752176E-2</v>
      </c>
      <c r="DW104" s="47">
        <f>t_Parts[[#This Row],[hp2015.03]]/t_Parts[[#This Row],[ha2015.03]]</f>
        <v>1.5745180745180744E-2</v>
      </c>
      <c r="DX104" s="47">
        <f>t_Parts[[#This Row],[hp2015.04]]/t_Parts[[#This Row],[ha2015.04]]</f>
        <v>1.7173752173752176E-2</v>
      </c>
      <c r="DY104" s="47">
        <f>t_Parts[[#This Row],[hp2015.05]]/t_Parts[[#This Row],[ha2015.05]]</f>
        <v>1.7173752173752176E-2</v>
      </c>
      <c r="DZ104" s="47">
        <f>t_Parts[[#This Row],[hp2015.06]]/t_Parts[[#This Row],[ha2015.06]]</f>
        <v>1.5745180745180744E-2</v>
      </c>
      <c r="EA104" s="47">
        <f>t_Parts[[#This Row],[hp2015.07]]/t_Parts[[#This Row],[ha2015.07]]</f>
        <v>1.7173752173752176E-2</v>
      </c>
      <c r="EB104" s="47">
        <f>t_Parts[[#This Row],[hp2015.08]]/t_Parts[[#This Row],[ha2015.08]]</f>
        <v>1.7173752173752176E-2</v>
      </c>
      <c r="EC104" s="47">
        <f>t_Parts[[#This Row],[hp2015.09]]/t_Parts[[#This Row],[ha2015.09]]</f>
        <v>1.5745180745180744E-2</v>
      </c>
      <c r="ED104" s="47">
        <f>t_Parts[[#This Row],[hp2015.10]]/t_Parts[[#This Row],[ha2015.10]]</f>
        <v>1.7173752173752176E-2</v>
      </c>
      <c r="EE104" s="47">
        <f>t_Parts[[#This Row],[hp2015.11]]/t_Parts[[#This Row],[ha2015.11]]</f>
        <v>1.7173752173752176E-2</v>
      </c>
      <c r="EF104" s="47">
        <f>t_Parts[[#This Row],[hp2015.12]]/t_Parts[[#This Row],[ha2015.12]]</f>
        <v>1.5745180745180744E-2</v>
      </c>
      <c r="EG104" s="47">
        <f>t_Parts[[#This Row],[hp2015.FY]]/t_Parts[[#This Row],[ha2015.FY]]</f>
        <v>1.6624301624301625E-2</v>
      </c>
      <c r="EH104" s="47">
        <f>t_Parts[[#This Row],[hp2016.01]]/t_Parts[[#This Row],[ha2016.01]]</f>
        <v>1.7173752173752176E-2</v>
      </c>
      <c r="EI104" s="47">
        <f>t_Parts[[#This Row],[hp2016.02]]/t_Parts[[#This Row],[ha2016.02]]</f>
        <v>1.7173752173752176E-2</v>
      </c>
      <c r="EJ104" s="47">
        <f>t_Parts[[#This Row],[hp2016.03]]/t_Parts[[#This Row],[ha2016.03]]</f>
        <v>1.5745180745180744E-2</v>
      </c>
      <c r="EK104" s="47">
        <f>t_Parts[[#This Row],[hp2016.04]]/t_Parts[[#This Row],[ha2016.04]]</f>
        <v>1.7173752173752176E-2</v>
      </c>
      <c r="EL104" s="47">
        <f>t_Parts[[#This Row],[hp2016.05]]/t_Parts[[#This Row],[ha2016.05]]</f>
        <v>1.7173752173752176E-2</v>
      </c>
      <c r="EM104" s="47">
        <f>t_Parts[[#This Row],[hp2016.06]]/t_Parts[[#This Row],[ha2016.06]]</f>
        <v>1.5745180745180744E-2</v>
      </c>
      <c r="EN104" s="47">
        <f>t_Parts[[#This Row],[hp2016.07]]/t_Parts[[#This Row],[ha2016.07]]</f>
        <v>0</v>
      </c>
      <c r="EO104" s="47">
        <f>t_Parts[[#This Row],[hp2016.08]]/t_Parts[[#This Row],[ha2016.08]]</f>
        <v>0</v>
      </c>
      <c r="EP104" s="47">
        <f>t_Parts[[#This Row],[hp2016.09]]/t_Parts[[#This Row],[ha2016.09]]</f>
        <v>0</v>
      </c>
      <c r="EQ104" s="47">
        <f>t_Parts[[#This Row],[hp2016.10]]/t_Parts[[#This Row],[ha2016.10]]</f>
        <v>0</v>
      </c>
      <c r="ER104" s="47">
        <f>t_Parts[[#This Row],[hp2016.11]]/t_Parts[[#This Row],[ha2016.11]]</f>
        <v>0</v>
      </c>
      <c r="ES104" s="47">
        <f>t_Parts[[#This Row],[hp2016.12]]/t_Parts[[#This Row],[ha2016.12]]</f>
        <v>0</v>
      </c>
      <c r="ET104" s="47">
        <f>t_Parts[[#This Row],[hp2016.FY]]/t_Parts[[#This Row],[ha2016.FY]]</f>
        <v>8.3121508121508127E-3</v>
      </c>
      <c r="EU104" s="47">
        <f>t_Parts[[#This Row],[hp2017]]/t_Parts[[#This Row],[ha2017]]</f>
        <v>0</v>
      </c>
      <c r="EV104" s="47">
        <f>t_Parts[[#This Row],[hp2018]]/t_Parts[[#This Row],[ha2018]]</f>
        <v>0</v>
      </c>
      <c r="EW104" s="47">
        <f>t_Parts[[#This Row],[hp2019]]/t_Parts[[#This Row],[hp2015.01]]</f>
        <v>0</v>
      </c>
      <c r="EX104" s="58">
        <f>(t_Parts[[#This Row],[ha2015.01]]-t_Parts[[#This Row],[hp2015.01]])*t_Parts[[NetPPH]:[NetPPH]]</f>
        <v>408659.15384615387</v>
      </c>
      <c r="EY104" s="58">
        <f>(t_Parts[[#This Row],[ha2015.02]]-t_Parts[[#This Row],[hp2015.02]])*t_Parts[[NetPPH]:[NetPPH]]</f>
        <v>408659.15384615387</v>
      </c>
      <c r="EZ104" s="58">
        <f>(t_Parts[[#This Row],[ha2015.03]]-t_Parts[[#This Row],[hp2015.03]])*t_Parts[[NetPPH]:[NetPPH]]</f>
        <v>511566.44230769237</v>
      </c>
      <c r="FA104" s="58">
        <f>(t_Parts[[#This Row],[ha2015.04]]-t_Parts[[#This Row],[hp2015.04]])*t_Parts[[NetPPH]:[NetPPH]]</f>
        <v>408659.15384615387</v>
      </c>
      <c r="FB104" s="58">
        <f>(t_Parts[[#This Row],[ha2015.05]]-t_Parts[[#This Row],[hp2015.05]])*t_Parts[[NetPPH]:[NetPPH]]</f>
        <v>408659.15384615387</v>
      </c>
      <c r="FC104" s="58">
        <f>(t_Parts[[#This Row],[ha2015.06]]-t_Parts[[#This Row],[hp2015.06]])*t_Parts[[NetPPH]:[NetPPH]]</f>
        <v>511566.44230769237</v>
      </c>
      <c r="FD104" s="58">
        <f>(t_Parts[[#This Row],[ha2015.07]]-t_Parts[[#This Row],[hp2015.07]])*t_Parts[[NetPPH]:[NetPPH]]</f>
        <v>408659.15384615387</v>
      </c>
      <c r="FE104" s="58">
        <f>(t_Parts[[#This Row],[ha2015.08]]-t_Parts[[#This Row],[hp2015.08]])*t_Parts[[NetPPH]:[NetPPH]]</f>
        <v>408659.15384615387</v>
      </c>
      <c r="FF104" s="58">
        <f>(t_Parts[[#This Row],[ha2015.09]]-t_Parts[[#This Row],[hp2015.09]])*t_Parts[[NetPPH]:[NetPPH]]</f>
        <v>511566.44230769237</v>
      </c>
      <c r="FG104" s="58">
        <f>(t_Parts[[#This Row],[ha2015.10]]-t_Parts[[#This Row],[hp2015.10]])*t_Parts[[NetPPH]:[NetPPH]]</f>
        <v>408659.15384615387</v>
      </c>
      <c r="FH104" s="58">
        <f>(t_Parts[[#This Row],[ha2015.11]]-t_Parts[[#This Row],[hp2015.11]])*t_Parts[[NetPPH]:[NetPPH]]</f>
        <v>408659.15384615387</v>
      </c>
      <c r="FI104" s="58">
        <f>(t_Parts[[#This Row],[ha2015.12]]-t_Parts[[#This Row],[hp2015.12]])*t_Parts[[NetPPH]:[NetPPH]]</f>
        <v>511566.44230769237</v>
      </c>
      <c r="FJ104" s="58">
        <f>(t_Parts[[#This Row],[ha2015.FY]]-t_Parts[[#This Row],[hp2015.FY]])*t_Parts[[NetPPH]:[NetPPH]]</f>
        <v>5315539.0000000009</v>
      </c>
      <c r="FK104" s="58">
        <f>(t_Parts[[#This Row],[ha2016.01]]-t_Parts[[#This Row],[hp2016.01]])*t_Parts[[NetPPH]:[NetPPH]]</f>
        <v>408659.15384615387</v>
      </c>
      <c r="FL104" s="58">
        <f>(t_Parts[[#This Row],[ha2016.02]]-t_Parts[[#This Row],[hp2016.02]])*t_Parts[[NetPPH]:[NetPPH]]</f>
        <v>408659.15384615387</v>
      </c>
      <c r="FM104" s="58">
        <f>(t_Parts[[#This Row],[ha2016.03]]-t_Parts[[#This Row],[hp2016.03]])*t_Parts[[NetPPH]:[NetPPH]]</f>
        <v>511566.44230769237</v>
      </c>
      <c r="FN104" s="58">
        <f>(t_Parts[[#This Row],[ha2016.04]]-t_Parts[[#This Row],[hp2016.04]])*t_Parts[[NetPPH]:[NetPPH]]</f>
        <v>408659.15384615387</v>
      </c>
      <c r="FO104" s="58">
        <f>(t_Parts[[#This Row],[ha2016.05]]-t_Parts[[#This Row],[hp2016.05]])*t_Parts[[NetPPH]:[NetPPH]]</f>
        <v>408659.15384615387</v>
      </c>
      <c r="FP104" s="58">
        <f>(t_Parts[[#This Row],[ha2016.06]]-t_Parts[[#This Row],[hp2016.06]])*t_Parts[[NetPPH]:[NetPPH]]</f>
        <v>511566.44230769237</v>
      </c>
      <c r="FQ104" s="58">
        <f>(t_Parts[[#This Row],[ha2016.07]]-t_Parts[[#This Row],[hp2016.07]])*t_Parts[[NetPPH]:[NetPPH]]</f>
        <v>415800.00000000006</v>
      </c>
      <c r="FR104" s="58">
        <f>(t_Parts[[#This Row],[ha2016.08]]-t_Parts[[#This Row],[hp2016.08]])*t_Parts[[NetPPH]:[NetPPH]]</f>
        <v>415800.00000000006</v>
      </c>
      <c r="FS104" s="58">
        <f>(t_Parts[[#This Row],[ha2016.09]]-t_Parts[[#This Row],[hp2016.09]])*t_Parts[[NetPPH]:[NetPPH]]</f>
        <v>519750.00000000006</v>
      </c>
      <c r="FT104" s="58">
        <f>(t_Parts[[#This Row],[ha2016.10]]-t_Parts[[#This Row],[hp2016.10]])*t_Parts[[NetPPH]:[NetPPH]]</f>
        <v>415800.00000000006</v>
      </c>
      <c r="FU104" s="58">
        <f>(t_Parts[[#This Row],[ha2016.11]]-t_Parts[[#This Row],[hp2016.11]])*t_Parts[[NetPPH]:[NetPPH]]</f>
        <v>415800.00000000006</v>
      </c>
      <c r="FV104" s="58">
        <f>(t_Parts[[#This Row],[ha2016.12]]-t_Parts[[#This Row],[hp2016.12]])*t_Parts[[NetPPH]:[NetPPH]]</f>
        <v>519750.00000000006</v>
      </c>
      <c r="FW104" s="58">
        <f>(t_Parts[[#This Row],[ha2016.FY]]-t_Parts[[#This Row],[hp2016.FY]])*t_Parts[[NetPPH]:[NetPPH]]</f>
        <v>5360469.5000000009</v>
      </c>
      <c r="FX104" s="58">
        <f>(t_Parts[[#This Row],[ha2017]]-t_Parts[[#This Row],[hp2017]])*t_Parts[[NetPPH]:[NetPPH]]</f>
        <v>5405400.0000000009</v>
      </c>
      <c r="FY104" s="58">
        <f>(t_Parts[[#This Row],[ha2018]]-t_Parts[[#This Row],[hp2018]])*t_Parts[[NetPPH]:[NetPPH]]</f>
        <v>5405400.0000000009</v>
      </c>
      <c r="FZ104" s="58">
        <f>(t_Parts[[#This Row],[ha2019]]-t_Parts[[#This Row],[hp2019]])*t_Parts[[NetPPH]:[NetPPH]]</f>
        <v>5405400.0000000009</v>
      </c>
    </row>
    <row r="105" spans="1:182" s="14" customFormat="1" x14ac:dyDescent="0.25">
      <c r="A105" s="74">
        <v>29185</v>
      </c>
      <c r="B105" s="74"/>
      <c r="C105" s="74">
        <v>21014</v>
      </c>
      <c r="D105" s="75">
        <v>2</v>
      </c>
      <c r="E105" s="73">
        <v>2400</v>
      </c>
      <c r="F105" s="76">
        <v>1</v>
      </c>
      <c r="G105" s="77">
        <v>2</v>
      </c>
      <c r="H105" s="16">
        <v>2015.01</v>
      </c>
      <c r="I105" s="16" t="s">
        <v>83</v>
      </c>
      <c r="J105" s="73">
        <v>93219</v>
      </c>
      <c r="K105" s="73">
        <v>93219</v>
      </c>
      <c r="L105" s="73">
        <v>93219</v>
      </c>
      <c r="M105" s="73">
        <v>93219</v>
      </c>
      <c r="N105" s="73">
        <v>93219</v>
      </c>
      <c r="O105" s="78">
        <v>31</v>
      </c>
      <c r="P105" s="78">
        <v>27</v>
      </c>
      <c r="Q105" s="79">
        <v>20.931999999999999</v>
      </c>
      <c r="R105" s="79"/>
      <c r="S105" s="78">
        <v>165</v>
      </c>
      <c r="T105" s="80">
        <v>15</v>
      </c>
      <c r="U105" s="80" t="s">
        <v>121</v>
      </c>
      <c r="V105" s="81" t="s">
        <v>600</v>
      </c>
      <c r="W105" s="82">
        <v>0.2</v>
      </c>
      <c r="X105" s="82" t="s">
        <v>495</v>
      </c>
      <c r="Y105" s="82"/>
      <c r="Z105" s="82"/>
      <c r="AA105" s="82"/>
      <c r="AB105" s="82"/>
      <c r="AC105" s="83" t="s">
        <v>667</v>
      </c>
      <c r="AD105" s="40" t="str">
        <f>VLOOKUP(t_Parts[[#This Row],[Press]],t_Presses[],Press!B$1,FALSE)</f>
        <v>Plainfield</v>
      </c>
      <c r="AE105" s="40" t="str">
        <f>VLOOKUP(t_Parts[[#This Row],[Press]],t_Presses[],Press!E$1,FALSE)</f>
        <v>300-599</v>
      </c>
      <c r="AF105" s="47">
        <f>VLOOKUP(t_Parts[[#This Row],[Plant]],t_Plants[],Plants!C$1,FALSE)</f>
        <v>0.55000000000000004</v>
      </c>
      <c r="AG105" s="47">
        <f>VLOOKUP(t_Parts[[#This Row],[Press]],t_Presses[],Press!F$1,FALSE)</f>
        <v>0</v>
      </c>
      <c r="AH105" s="84"/>
      <c r="AI105" s="47">
        <f>IF(ISBLANK(t_Parts[[#This Row],[PartOEE]])=FALSE,t_Parts[[#This Row],[PartOEE]], IF(t_Parts[[#This Row],[PressOEE]]&gt;0, t_Parts[[#This Row],[PressOEE]], t_Parts[[#This Row],[PlantOEE]] ))</f>
        <v>0.55000000000000004</v>
      </c>
      <c r="AJ105" s="70">
        <f>t_Parts[[#This Row],[SetupsPerMo]]*t_Parts[[#This Row],[SetupHrs]]</f>
        <v>2</v>
      </c>
      <c r="AK105" s="39">
        <f>(t_Parts[[#This Row],[PartsPerStroke]]*t_Parts[[#This Row],[StrokesPerHr]])*t_Parts[[#This Row],[UseOEE]]</f>
        <v>2640</v>
      </c>
      <c r="AL10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7170.6923076923085</v>
      </c>
      <c r="AM10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7170.6923076923085</v>
      </c>
      <c r="AN10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8963.3653846153848</v>
      </c>
      <c r="AO10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7170.6923076923085</v>
      </c>
      <c r="AP10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7170.6923076923085</v>
      </c>
      <c r="AQ10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8963.3653846153848</v>
      </c>
      <c r="AR10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7170.6923076923085</v>
      </c>
      <c r="AS10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7170.6923076923085</v>
      </c>
      <c r="AT10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8963.3653846153848</v>
      </c>
      <c r="AU10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7170.6923076923085</v>
      </c>
      <c r="AV10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7170.6923076923085</v>
      </c>
      <c r="AW10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8963.3653846153848</v>
      </c>
      <c r="AX105" s="39">
        <f>SUM(t_Parts[[#This Row],[pv2015.01]:[pv2015.12]])</f>
        <v>93219.000000000029</v>
      </c>
      <c r="AY10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7170.6923076923085</v>
      </c>
      <c r="AZ10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7170.6923076923085</v>
      </c>
      <c r="BA10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8963.3653846153848</v>
      </c>
      <c r="BB10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7170.6923076923085</v>
      </c>
      <c r="BC10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7170.6923076923085</v>
      </c>
      <c r="BD10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8963.3653846153848</v>
      </c>
      <c r="BE10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7170.6923076923085</v>
      </c>
      <c r="BF10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7170.6923076923085</v>
      </c>
      <c r="BG10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8963.3653846153848</v>
      </c>
      <c r="BH10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7170.6923076923085</v>
      </c>
      <c r="BI10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7170.6923076923085</v>
      </c>
      <c r="BJ10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8963.3653846153848</v>
      </c>
      <c r="BK105" s="39">
        <f>SUM(t_Parts[[#This Row],[pv2016.01]:[pv2016.12]])</f>
        <v>93219.000000000029</v>
      </c>
      <c r="BL105" s="39">
        <f>t_Parts[[#This Row],[2017vol]]</f>
        <v>93219</v>
      </c>
      <c r="BM105" s="39">
        <f>t_Parts[[#This Row],[2018vol]]</f>
        <v>93219</v>
      </c>
      <c r="BN105" s="39">
        <f>t_Parts[[#This Row],[2019vol]]</f>
        <v>93219</v>
      </c>
      <c r="BO105" s="40">
        <f>VLOOKUP(t_Parts[[Plant]:[Plant]],t_Plants[],Plants!CN$1,FALSE)</f>
        <v>280</v>
      </c>
      <c r="BP105" s="14">
        <f>VLOOKUP(t_Parts[[Plant]:[Plant]],t_Plants[],Plants!CO$1,FALSE)</f>
        <v>280</v>
      </c>
      <c r="BQ105" s="14">
        <f>VLOOKUP(t_Parts[[Plant]:[Plant]],t_Plants[],Plants!CP$1,FALSE)</f>
        <v>350</v>
      </c>
      <c r="BR105" s="14">
        <f>VLOOKUP(t_Parts[[Plant]:[Plant]],t_Plants[],Plants!CQ$1,FALSE)</f>
        <v>280</v>
      </c>
      <c r="BS105" s="14">
        <f>VLOOKUP(t_Parts[[Plant]:[Plant]],t_Plants[],Plants!CR$1,FALSE)</f>
        <v>280</v>
      </c>
      <c r="BT105" s="14">
        <f>VLOOKUP(t_Parts[[Plant]:[Plant]],t_Plants[],Plants!CS$1,FALSE)</f>
        <v>350</v>
      </c>
      <c r="BU105" s="14">
        <f>VLOOKUP(t_Parts[[Plant]:[Plant]],t_Plants[],Plants!CT$1,FALSE)</f>
        <v>280</v>
      </c>
      <c r="BV105" s="14">
        <f>VLOOKUP(t_Parts[[Plant]:[Plant]],t_Plants[],Plants!CU$1,FALSE)</f>
        <v>280</v>
      </c>
      <c r="BW105" s="14">
        <f>VLOOKUP(t_Parts[[Plant]:[Plant]],t_Plants[],Plants!CV$1,FALSE)</f>
        <v>350</v>
      </c>
      <c r="BX105" s="14">
        <f>VLOOKUP(t_Parts[[Plant]:[Plant]],t_Plants[],Plants!CW$1,FALSE)</f>
        <v>280</v>
      </c>
      <c r="BY105" s="14">
        <f>VLOOKUP(t_Parts[[Plant]:[Plant]],t_Plants[],Plants!CX$1,FALSE)</f>
        <v>280</v>
      </c>
      <c r="BZ105" s="14">
        <f>VLOOKUP(t_Parts[[Plant]:[Plant]],t_Plants[],Plants!CY$1,FALSE)</f>
        <v>350</v>
      </c>
      <c r="CA105" s="40">
        <f>SUM(t_Parts[[#This Row],[ha2015.01]:[ha2015.12]])</f>
        <v>3640</v>
      </c>
      <c r="CB105" s="14">
        <f>VLOOKUP(t_Parts[[Plant]:[Plant]],t_Plants[],Plants!DA$1,FALSE)</f>
        <v>280</v>
      </c>
      <c r="CC105" s="14">
        <f>VLOOKUP(t_Parts[[Plant]:[Plant]],t_Plants[],Plants!DB$1,FALSE)</f>
        <v>280</v>
      </c>
      <c r="CD105" s="14">
        <f>VLOOKUP(t_Parts[[Plant]:[Plant]],t_Plants[],Plants!DC$1,FALSE)</f>
        <v>350</v>
      </c>
      <c r="CE105" s="14">
        <f>VLOOKUP(t_Parts[[Plant]:[Plant]],t_Plants[],Plants!DD$1,FALSE)</f>
        <v>280</v>
      </c>
      <c r="CF105" s="14">
        <f>VLOOKUP(t_Parts[[Plant]:[Plant]],t_Plants[],Plants!DE$1,FALSE)</f>
        <v>280</v>
      </c>
      <c r="CG105" s="14">
        <f>VLOOKUP(t_Parts[[Plant]:[Plant]],t_Plants[],Plants!DF$1,FALSE)</f>
        <v>350</v>
      </c>
      <c r="CH105" s="14">
        <f>VLOOKUP(t_Parts[[Plant]:[Plant]],t_Plants[],Plants!DG$1,FALSE)</f>
        <v>280</v>
      </c>
      <c r="CI105" s="14">
        <f>VLOOKUP(t_Parts[[Plant]:[Plant]],t_Plants[],Plants!DH$1,FALSE)</f>
        <v>280</v>
      </c>
      <c r="CJ105" s="14">
        <f>VLOOKUP(t_Parts[[Plant]:[Plant]],t_Plants[],Plants!DI$1,FALSE)</f>
        <v>350</v>
      </c>
      <c r="CK105" s="14">
        <f>VLOOKUP(t_Parts[[Plant]:[Plant]],t_Plants[],Plants!DJ$1,FALSE)</f>
        <v>280</v>
      </c>
      <c r="CL105" s="14">
        <f>VLOOKUP(t_Parts[[Plant]:[Plant]],t_Plants[],Plants!DK$1,FALSE)</f>
        <v>280</v>
      </c>
      <c r="CM105" s="14">
        <f>VLOOKUP(t_Parts[[Plant]:[Plant]],t_Plants[],Plants!DL$1,FALSE)</f>
        <v>350</v>
      </c>
      <c r="CN105" s="14">
        <f>VLOOKUP(t_Parts[[Plant]:[Plant]],t_Plants[],Plants!DM$1,FALSE)</f>
        <v>3640</v>
      </c>
      <c r="CO105" s="14">
        <f>VLOOKUP(t_Parts[[Plant]:[Plant]],t_Plants[],Plants!DN$1,FALSE)</f>
        <v>3640</v>
      </c>
      <c r="CP105" s="14">
        <f>VLOOKUP(t_Parts[[Plant]:[Plant]],t_Plants[],Plants!DO$1,FALSE)</f>
        <v>3640</v>
      </c>
      <c r="CQ105" s="14">
        <f>VLOOKUP(t_Parts[[Plant]:[Plant]],t_Plants[],Plants!DP$1,FALSE)</f>
        <v>3640</v>
      </c>
      <c r="CR105" s="39">
        <f>IF(AND(AL$3&gt;=VALUE(t_Parts[[SOP]:[SOP]]),AL$3&lt;=VALUE(t_Parts[[EOP]:[EOP]])), t_Parts[[SetupHrsPerMo]:[SetupHrsPerMo]]+(t_Parts[[#This Row],[pv2015.01]]/t_Parts[[NetPPH]:[NetPPH]]),0)</f>
        <v>4.7161713286713294</v>
      </c>
      <c r="CS105" s="39">
        <f>IF(AND(AM$3&gt;=VALUE(t_Parts[[SOP]:[SOP]]),AM$3&lt;=VALUE(t_Parts[[EOP]:[EOP]])), t_Parts[[SetupHrsPerMo]:[SetupHrsPerMo]]+(t_Parts[[#This Row],[pv2015.02]]/t_Parts[[NetPPH]:[NetPPH]]),0)</f>
        <v>4.7161713286713294</v>
      </c>
      <c r="CT105" s="39">
        <f>IF(AND(AN$3&gt;=VALUE(t_Parts[[SOP]:[SOP]]),AN$3&lt;=VALUE(t_Parts[[EOP]:[EOP]])), t_Parts[[SetupHrsPerMo]:[SetupHrsPerMo]]+(t_Parts[[#This Row],[pv2015.03]]/t_Parts[[NetPPH]:[NetPPH]]),0)</f>
        <v>5.3952141608391608</v>
      </c>
      <c r="CU105" s="39">
        <f>IF(AND(AO$3&gt;=VALUE(t_Parts[[SOP]:[SOP]]),AO$3&lt;=VALUE(t_Parts[[EOP]:[EOP]])), t_Parts[[SetupHrsPerMo]:[SetupHrsPerMo]]+(t_Parts[[#This Row],[pv2015.04]]/t_Parts[[NetPPH]:[NetPPH]]),0)</f>
        <v>4.7161713286713294</v>
      </c>
      <c r="CV105" s="39">
        <f>IF(AND(AP$3&gt;=VALUE(t_Parts[[SOP]:[SOP]]),AP$3&lt;=VALUE(t_Parts[[EOP]:[EOP]])), t_Parts[[SetupHrsPerMo]:[SetupHrsPerMo]]+(t_Parts[[#This Row],[pv2015.05]]/t_Parts[[NetPPH]:[NetPPH]]),0)</f>
        <v>4.7161713286713294</v>
      </c>
      <c r="CW105" s="39">
        <f>IF(AND(AQ$3&gt;=VALUE(t_Parts[[SOP]:[SOP]]),AQ$3&lt;=VALUE(t_Parts[[EOP]:[EOP]])), t_Parts[[SetupHrsPerMo]:[SetupHrsPerMo]]+(t_Parts[[#This Row],[pv2015.06]]/t_Parts[[NetPPH]:[NetPPH]]),0)</f>
        <v>5.3952141608391608</v>
      </c>
      <c r="CX105" s="39">
        <f>IF(AND(AR$3&gt;=VALUE(t_Parts[[SOP]:[SOP]]),AR$3&lt;=VALUE(t_Parts[[EOP]:[EOP]])), t_Parts[[SetupHrsPerMo]:[SetupHrsPerMo]]+(t_Parts[[#This Row],[pv2015.07]]/t_Parts[[NetPPH]:[NetPPH]]),0)</f>
        <v>4.7161713286713294</v>
      </c>
      <c r="CY105" s="39">
        <f>IF(AND(AS$3&gt;=VALUE(t_Parts[[SOP]:[SOP]]),AS$3&lt;=VALUE(t_Parts[[EOP]:[EOP]])), t_Parts[[SetupHrsPerMo]:[SetupHrsPerMo]]+(t_Parts[[#This Row],[pv2015.08]]/t_Parts[[NetPPH]:[NetPPH]]),0)</f>
        <v>4.7161713286713294</v>
      </c>
      <c r="CZ105" s="39">
        <f>IF(AND(AT$3&gt;=VALUE(t_Parts[[SOP]:[SOP]]),AT$3&lt;=VALUE(t_Parts[[EOP]:[EOP]])), t_Parts[[SetupHrsPerMo]:[SetupHrsPerMo]]+(t_Parts[[#This Row],[pv2015.09]]/t_Parts[[NetPPH]:[NetPPH]]),0)</f>
        <v>5.3952141608391608</v>
      </c>
      <c r="DA105" s="39">
        <f>IF(AND(AU$3&gt;=VALUE(t_Parts[[SOP]:[SOP]]),AU$3&lt;=VALUE(t_Parts[[EOP]:[EOP]])), t_Parts[[SetupHrsPerMo]:[SetupHrsPerMo]]+(t_Parts[[#This Row],[pv2015.10]]/t_Parts[[NetPPH]:[NetPPH]]),0)</f>
        <v>4.7161713286713294</v>
      </c>
      <c r="DB105" s="39">
        <f>IF(AND(AV$3&gt;=VALUE(t_Parts[[SOP]:[SOP]]),AV$3&lt;=VALUE(t_Parts[[EOP]:[EOP]])), t_Parts[[SetupHrsPerMo]:[SetupHrsPerMo]]+(t_Parts[[#This Row],[pv2015.11]]/t_Parts[[NetPPH]:[NetPPH]]),0)</f>
        <v>4.7161713286713294</v>
      </c>
      <c r="DC105" s="39">
        <f>IF(AND(AW$3&gt;=VALUE(t_Parts[[SOP]:[SOP]]),AW$3&lt;=VALUE(t_Parts[[EOP]:[EOP]])), t_Parts[[SetupHrsPerMo]:[SetupHrsPerMo]]+(t_Parts[[#This Row],[pv2015.12]]/t_Parts[[NetPPH]:[NetPPH]]),0)</f>
        <v>5.3952141608391608</v>
      </c>
      <c r="DD105" s="39">
        <f>SUM(t_Parts[[#This Row],[hp2015.01]:[hp2015.12]])</f>
        <v>59.310227272727275</v>
      </c>
      <c r="DE105" s="39">
        <f>IF(AND(AY$3&gt;=VALUE(t_Parts[[SOP]:[SOP]]),AY$3&lt;=VALUE(t_Parts[[EOP]:[EOP]])), t_Parts[[SetupHrsPerMo]:[SetupHrsPerMo]]+(t_Parts[[#This Row],[pv2016.01]]/t_Parts[[NetPPH]:[NetPPH]]),0)</f>
        <v>4.7161713286713294</v>
      </c>
      <c r="DF105" s="39">
        <f>IF(AND(AZ$3&gt;=VALUE(t_Parts[[SOP]:[SOP]]),AZ$3&lt;=VALUE(t_Parts[[EOP]:[EOP]])), t_Parts[[SetupHrsPerMo]:[SetupHrsPerMo]]+(t_Parts[[#This Row],[pv2016.02]]/t_Parts[[NetPPH]:[NetPPH]]),0)</f>
        <v>4.7161713286713294</v>
      </c>
      <c r="DG105" s="39">
        <f>IF(AND(BA$3&gt;=VALUE(t_Parts[[SOP]:[SOP]]),BA$3&lt;=VALUE(t_Parts[[EOP]:[EOP]])), t_Parts[[SetupHrsPerMo]:[SetupHrsPerMo]]+(t_Parts[[#This Row],[pv2016.03]]/t_Parts[[NetPPH]:[NetPPH]]),0)</f>
        <v>5.3952141608391608</v>
      </c>
      <c r="DH105" s="39">
        <f>IF(AND(BB$3&gt;=VALUE(t_Parts[[SOP]:[SOP]]),BB$3&lt;=VALUE(t_Parts[[EOP]:[EOP]])), t_Parts[[SetupHrsPerMo]:[SetupHrsPerMo]]+(t_Parts[[#This Row],[pv2016.04]]/t_Parts[[NetPPH]:[NetPPH]]),0)</f>
        <v>4.7161713286713294</v>
      </c>
      <c r="DI105" s="39">
        <f>IF(AND(BC$3&gt;=VALUE(t_Parts[[SOP]:[SOP]]),BC$3&lt;=VALUE(t_Parts[[EOP]:[EOP]])), t_Parts[[SetupHrsPerMo]:[SetupHrsPerMo]]+(t_Parts[[#This Row],[pv2016.05]]/t_Parts[[NetPPH]:[NetPPH]]),0)</f>
        <v>4.7161713286713294</v>
      </c>
      <c r="DJ105" s="39">
        <f>IF(AND(BD$3&gt;=VALUE(t_Parts[[SOP]:[SOP]]),BD$3&lt;=VALUE(t_Parts[[EOP]:[EOP]])), t_Parts[[SetupHrsPerMo]:[SetupHrsPerMo]]+(t_Parts[[#This Row],[pv2016.06]]/t_Parts[[NetPPH]:[NetPPH]]),0)</f>
        <v>5.3952141608391608</v>
      </c>
      <c r="DK105" s="39">
        <f>IF(AND(BE$3&gt;=VALUE(t_Parts[[SOP]:[SOP]]),BE$3&lt;=VALUE(t_Parts[[EOP]:[EOP]])), t_Parts[[SetupHrsPerMo]:[SetupHrsPerMo]]+(t_Parts[[#This Row],[pv2016.07]]/t_Parts[[NetPPH]:[NetPPH]]),0)</f>
        <v>4.7161713286713294</v>
      </c>
      <c r="DL105" s="39">
        <f>IF(AND(BF$3&gt;=VALUE(t_Parts[[SOP]:[SOP]]),BF$3&lt;=VALUE(t_Parts[[EOP]:[EOP]])), t_Parts[[SetupHrsPerMo]:[SetupHrsPerMo]]+(t_Parts[[#This Row],[pv2016.08]]/t_Parts[[NetPPH]:[NetPPH]]),0)</f>
        <v>4.7161713286713294</v>
      </c>
      <c r="DM105" s="39">
        <f>IF(AND(BG$3&gt;=VALUE(t_Parts[[SOP]:[SOP]]),BG$3&lt;=VALUE(t_Parts[[EOP]:[EOP]])), t_Parts[[SetupHrsPerMo]:[SetupHrsPerMo]]+(t_Parts[[#This Row],[pv2016.09]]/t_Parts[[NetPPH]:[NetPPH]]),0)</f>
        <v>5.3952141608391608</v>
      </c>
      <c r="DN105" s="39">
        <f>IF(AND(BH$3&gt;=VALUE(t_Parts[[SOP]:[SOP]]),BH$3&lt;=VALUE(t_Parts[[EOP]:[EOP]])), t_Parts[[SetupHrsPerMo]:[SetupHrsPerMo]]+(t_Parts[[#This Row],[pv2016.10]]/t_Parts[[NetPPH]:[NetPPH]]),0)</f>
        <v>4.7161713286713294</v>
      </c>
      <c r="DO105" s="39">
        <f>IF(AND(BI$3&gt;=VALUE(t_Parts[[SOP]:[SOP]]),BI$3&lt;=VALUE(t_Parts[[EOP]:[EOP]])), t_Parts[[SetupHrsPerMo]:[SetupHrsPerMo]]+(t_Parts[[#This Row],[pv2016.11]]/t_Parts[[NetPPH]:[NetPPH]]),0)</f>
        <v>4.7161713286713294</v>
      </c>
      <c r="DP105" s="39">
        <f>IF(AND(BJ$3&gt;=VALUE(t_Parts[[SOP]:[SOP]]),BJ$3&lt;=VALUE(t_Parts[[EOP]:[EOP]])), t_Parts[[SetupHrsPerMo]:[SetupHrsPerMo]]+(t_Parts[[#This Row],[pv2016.12]]/t_Parts[[NetPPH]:[NetPPH]]),0)</f>
        <v>5.3952141608391608</v>
      </c>
      <c r="DQ105" s="39">
        <f>SUM(t_Parts[[#This Row],[hp2016.01]:[hp2016.12]])</f>
        <v>59.310227272727275</v>
      </c>
      <c r="DR105" s="39">
        <f>IF(AND(BL$3&gt;=VALUE(t_Parts[[SOP]:[SOP]]),BL$3&lt;=VALUE(t_Parts[[EOP]:[EOP]])), 12*t_Parts[[SetupHrsPerMo]:[SetupHrsPerMo]]+(t_Parts[[#This Row],[pv2017]]/t_Parts[[NetPPH]:[NetPPH]]),0)</f>
        <v>59.310227272727275</v>
      </c>
      <c r="DS105" s="39">
        <f>IF(AND(BM$3&gt;=VALUE(t_Parts[[SOP]:[SOP]]),BM$3&lt;=VALUE(t_Parts[[EOP]:[EOP]])), 12*t_Parts[[SetupHrsPerMo]:[SetupHrsPerMo]]+(t_Parts[[#This Row],[pv2018]]/t_Parts[[NetPPH]:[NetPPH]]),0)</f>
        <v>59.310227272727275</v>
      </c>
      <c r="DT105" s="39">
        <f>IF(AND(BN$3&gt;=VALUE(t_Parts[[SOP]:[SOP]]),BN$3&lt;=VALUE(t_Parts[[EOP]:[EOP]])), 12*t_Parts[[SetupHrsPerMo]:[SetupHrsPerMo]]+(t_Parts[[#This Row],[pv2019]]/t_Parts[[NetPPH]:[NetPPH]]),0)</f>
        <v>59.310227272727275</v>
      </c>
      <c r="DU105" s="47">
        <f>t_Parts[[#This Row],[hp2015.01]]/t_Parts[[#This Row],[ha2015.01]]</f>
        <v>1.6843469030969033E-2</v>
      </c>
      <c r="DV105" s="47">
        <f>t_Parts[[#This Row],[hp2015.02]]/t_Parts[[#This Row],[ha2015.02]]</f>
        <v>1.6843469030969033E-2</v>
      </c>
      <c r="DW105" s="47">
        <f>t_Parts[[#This Row],[hp2015.03]]/t_Parts[[#This Row],[ha2015.03]]</f>
        <v>1.5414897602397603E-2</v>
      </c>
      <c r="DX105" s="47">
        <f>t_Parts[[#This Row],[hp2015.04]]/t_Parts[[#This Row],[ha2015.04]]</f>
        <v>1.6843469030969033E-2</v>
      </c>
      <c r="DY105" s="47">
        <f>t_Parts[[#This Row],[hp2015.05]]/t_Parts[[#This Row],[ha2015.05]]</f>
        <v>1.6843469030969033E-2</v>
      </c>
      <c r="DZ105" s="47">
        <f>t_Parts[[#This Row],[hp2015.06]]/t_Parts[[#This Row],[ha2015.06]]</f>
        <v>1.5414897602397603E-2</v>
      </c>
      <c r="EA105" s="47">
        <f>t_Parts[[#This Row],[hp2015.07]]/t_Parts[[#This Row],[ha2015.07]]</f>
        <v>1.6843469030969033E-2</v>
      </c>
      <c r="EB105" s="47">
        <f>t_Parts[[#This Row],[hp2015.08]]/t_Parts[[#This Row],[ha2015.08]]</f>
        <v>1.6843469030969033E-2</v>
      </c>
      <c r="EC105" s="47">
        <f>t_Parts[[#This Row],[hp2015.09]]/t_Parts[[#This Row],[ha2015.09]]</f>
        <v>1.5414897602397603E-2</v>
      </c>
      <c r="ED105" s="47">
        <f>t_Parts[[#This Row],[hp2015.10]]/t_Parts[[#This Row],[ha2015.10]]</f>
        <v>1.6843469030969033E-2</v>
      </c>
      <c r="EE105" s="47">
        <f>t_Parts[[#This Row],[hp2015.11]]/t_Parts[[#This Row],[ha2015.11]]</f>
        <v>1.6843469030969033E-2</v>
      </c>
      <c r="EF105" s="47">
        <f>t_Parts[[#This Row],[hp2015.12]]/t_Parts[[#This Row],[ha2015.12]]</f>
        <v>1.5414897602397603E-2</v>
      </c>
      <c r="EG105" s="47">
        <f>t_Parts[[#This Row],[hp2015.FY]]/t_Parts[[#This Row],[ha2015.FY]]</f>
        <v>1.6294018481518482E-2</v>
      </c>
      <c r="EH105" s="47">
        <f>t_Parts[[#This Row],[hp2016.01]]/t_Parts[[#This Row],[ha2016.01]]</f>
        <v>1.6843469030969033E-2</v>
      </c>
      <c r="EI105" s="47">
        <f>t_Parts[[#This Row],[hp2016.02]]/t_Parts[[#This Row],[ha2016.02]]</f>
        <v>1.6843469030969033E-2</v>
      </c>
      <c r="EJ105" s="47">
        <f>t_Parts[[#This Row],[hp2016.03]]/t_Parts[[#This Row],[ha2016.03]]</f>
        <v>1.5414897602397603E-2</v>
      </c>
      <c r="EK105" s="47">
        <f>t_Parts[[#This Row],[hp2016.04]]/t_Parts[[#This Row],[ha2016.04]]</f>
        <v>1.6843469030969033E-2</v>
      </c>
      <c r="EL105" s="47">
        <f>t_Parts[[#This Row],[hp2016.05]]/t_Parts[[#This Row],[ha2016.05]]</f>
        <v>1.6843469030969033E-2</v>
      </c>
      <c r="EM105" s="47">
        <f>t_Parts[[#This Row],[hp2016.06]]/t_Parts[[#This Row],[ha2016.06]]</f>
        <v>1.5414897602397603E-2</v>
      </c>
      <c r="EN105" s="47">
        <f>t_Parts[[#This Row],[hp2016.07]]/t_Parts[[#This Row],[ha2016.07]]</f>
        <v>1.6843469030969033E-2</v>
      </c>
      <c r="EO105" s="47">
        <f>t_Parts[[#This Row],[hp2016.08]]/t_Parts[[#This Row],[ha2016.08]]</f>
        <v>1.6843469030969033E-2</v>
      </c>
      <c r="EP105" s="47">
        <f>t_Parts[[#This Row],[hp2016.09]]/t_Parts[[#This Row],[ha2016.09]]</f>
        <v>1.5414897602397603E-2</v>
      </c>
      <c r="EQ105" s="47">
        <f>t_Parts[[#This Row],[hp2016.10]]/t_Parts[[#This Row],[ha2016.10]]</f>
        <v>1.6843469030969033E-2</v>
      </c>
      <c r="ER105" s="47">
        <f>t_Parts[[#This Row],[hp2016.11]]/t_Parts[[#This Row],[ha2016.11]]</f>
        <v>1.6843469030969033E-2</v>
      </c>
      <c r="ES105" s="47">
        <f>t_Parts[[#This Row],[hp2016.12]]/t_Parts[[#This Row],[ha2016.12]]</f>
        <v>1.5414897602397603E-2</v>
      </c>
      <c r="ET105" s="47">
        <f>t_Parts[[#This Row],[hp2016.FY]]/t_Parts[[#This Row],[ha2016.FY]]</f>
        <v>1.6294018481518482E-2</v>
      </c>
      <c r="EU105" s="47">
        <f>t_Parts[[#This Row],[hp2017]]/t_Parts[[#This Row],[ha2017]]</f>
        <v>1.6294018481518482E-2</v>
      </c>
      <c r="EV105" s="47">
        <f>t_Parts[[#This Row],[hp2018]]/t_Parts[[#This Row],[ha2018]]</f>
        <v>1.6294018481518482E-2</v>
      </c>
      <c r="EW105" s="47">
        <f>t_Parts[[#This Row],[hp2019]]/t_Parts[[#This Row],[hp2015.01]]</f>
        <v>12.575927195892721</v>
      </c>
      <c r="EX105" s="58">
        <f>(t_Parts[[#This Row],[ha2015.01]]-t_Parts[[#This Row],[hp2015.01]])*t_Parts[[NetPPH]:[NetPPH]]</f>
        <v>726749.30769230763</v>
      </c>
      <c r="EY105" s="58">
        <f>(t_Parts[[#This Row],[ha2015.02]]-t_Parts[[#This Row],[hp2015.02]])*t_Parts[[NetPPH]:[NetPPH]]</f>
        <v>726749.30769230763</v>
      </c>
      <c r="EZ105" s="58">
        <f>(t_Parts[[#This Row],[ha2015.03]]-t_Parts[[#This Row],[hp2015.03]])*t_Parts[[NetPPH]:[NetPPH]]</f>
        <v>909756.63461538462</v>
      </c>
      <c r="FA105" s="58">
        <f>(t_Parts[[#This Row],[ha2015.04]]-t_Parts[[#This Row],[hp2015.04]])*t_Parts[[NetPPH]:[NetPPH]]</f>
        <v>726749.30769230763</v>
      </c>
      <c r="FB105" s="58">
        <f>(t_Parts[[#This Row],[ha2015.05]]-t_Parts[[#This Row],[hp2015.05]])*t_Parts[[NetPPH]:[NetPPH]]</f>
        <v>726749.30769230763</v>
      </c>
      <c r="FC105" s="58">
        <f>(t_Parts[[#This Row],[ha2015.06]]-t_Parts[[#This Row],[hp2015.06]])*t_Parts[[NetPPH]:[NetPPH]]</f>
        <v>909756.63461538462</v>
      </c>
      <c r="FD105" s="58">
        <f>(t_Parts[[#This Row],[ha2015.07]]-t_Parts[[#This Row],[hp2015.07]])*t_Parts[[NetPPH]:[NetPPH]]</f>
        <v>726749.30769230763</v>
      </c>
      <c r="FE105" s="58">
        <f>(t_Parts[[#This Row],[ha2015.08]]-t_Parts[[#This Row],[hp2015.08]])*t_Parts[[NetPPH]:[NetPPH]]</f>
        <v>726749.30769230763</v>
      </c>
      <c r="FF105" s="58">
        <f>(t_Parts[[#This Row],[ha2015.09]]-t_Parts[[#This Row],[hp2015.09]])*t_Parts[[NetPPH]:[NetPPH]]</f>
        <v>909756.63461538462</v>
      </c>
      <c r="FG105" s="58">
        <f>(t_Parts[[#This Row],[ha2015.10]]-t_Parts[[#This Row],[hp2015.10]])*t_Parts[[NetPPH]:[NetPPH]]</f>
        <v>726749.30769230763</v>
      </c>
      <c r="FH105" s="58">
        <f>(t_Parts[[#This Row],[ha2015.11]]-t_Parts[[#This Row],[hp2015.11]])*t_Parts[[NetPPH]:[NetPPH]]</f>
        <v>726749.30769230763</v>
      </c>
      <c r="FI105" s="58">
        <f>(t_Parts[[#This Row],[ha2015.12]]-t_Parts[[#This Row],[hp2015.12]])*t_Parts[[NetPPH]:[NetPPH]]</f>
        <v>909756.63461538462</v>
      </c>
      <c r="FJ105" s="58">
        <f>(t_Parts[[#This Row],[ha2015.FY]]-t_Parts[[#This Row],[hp2015.FY]])*t_Parts[[NetPPH]:[NetPPH]]</f>
        <v>9453021</v>
      </c>
      <c r="FK105" s="58">
        <f>(t_Parts[[#This Row],[ha2016.01]]-t_Parts[[#This Row],[hp2016.01]])*t_Parts[[NetPPH]:[NetPPH]]</f>
        <v>726749.30769230763</v>
      </c>
      <c r="FL105" s="58">
        <f>(t_Parts[[#This Row],[ha2016.02]]-t_Parts[[#This Row],[hp2016.02]])*t_Parts[[NetPPH]:[NetPPH]]</f>
        <v>726749.30769230763</v>
      </c>
      <c r="FM105" s="58">
        <f>(t_Parts[[#This Row],[ha2016.03]]-t_Parts[[#This Row],[hp2016.03]])*t_Parts[[NetPPH]:[NetPPH]]</f>
        <v>909756.63461538462</v>
      </c>
      <c r="FN105" s="58">
        <f>(t_Parts[[#This Row],[ha2016.04]]-t_Parts[[#This Row],[hp2016.04]])*t_Parts[[NetPPH]:[NetPPH]]</f>
        <v>726749.30769230763</v>
      </c>
      <c r="FO105" s="58">
        <f>(t_Parts[[#This Row],[ha2016.05]]-t_Parts[[#This Row],[hp2016.05]])*t_Parts[[NetPPH]:[NetPPH]]</f>
        <v>726749.30769230763</v>
      </c>
      <c r="FP105" s="58">
        <f>(t_Parts[[#This Row],[ha2016.06]]-t_Parts[[#This Row],[hp2016.06]])*t_Parts[[NetPPH]:[NetPPH]]</f>
        <v>909756.63461538462</v>
      </c>
      <c r="FQ105" s="58">
        <f>(t_Parts[[#This Row],[ha2016.07]]-t_Parts[[#This Row],[hp2016.07]])*t_Parts[[NetPPH]:[NetPPH]]</f>
        <v>726749.30769230763</v>
      </c>
      <c r="FR105" s="58">
        <f>(t_Parts[[#This Row],[ha2016.08]]-t_Parts[[#This Row],[hp2016.08]])*t_Parts[[NetPPH]:[NetPPH]]</f>
        <v>726749.30769230763</v>
      </c>
      <c r="FS105" s="58">
        <f>(t_Parts[[#This Row],[ha2016.09]]-t_Parts[[#This Row],[hp2016.09]])*t_Parts[[NetPPH]:[NetPPH]]</f>
        <v>909756.63461538462</v>
      </c>
      <c r="FT105" s="58">
        <f>(t_Parts[[#This Row],[ha2016.10]]-t_Parts[[#This Row],[hp2016.10]])*t_Parts[[NetPPH]:[NetPPH]]</f>
        <v>726749.30769230763</v>
      </c>
      <c r="FU105" s="58">
        <f>(t_Parts[[#This Row],[ha2016.11]]-t_Parts[[#This Row],[hp2016.11]])*t_Parts[[NetPPH]:[NetPPH]]</f>
        <v>726749.30769230763</v>
      </c>
      <c r="FV105" s="58">
        <f>(t_Parts[[#This Row],[ha2016.12]]-t_Parts[[#This Row],[hp2016.12]])*t_Parts[[NetPPH]:[NetPPH]]</f>
        <v>909756.63461538462</v>
      </c>
      <c r="FW105" s="58">
        <f>(t_Parts[[#This Row],[ha2016.FY]]-t_Parts[[#This Row],[hp2016.FY]])*t_Parts[[NetPPH]:[NetPPH]]</f>
        <v>9453021</v>
      </c>
      <c r="FX105" s="58">
        <f>(t_Parts[[#This Row],[ha2017]]-t_Parts[[#This Row],[hp2017]])*t_Parts[[NetPPH]:[NetPPH]]</f>
        <v>9453021</v>
      </c>
      <c r="FY105" s="58">
        <f>(t_Parts[[#This Row],[ha2018]]-t_Parts[[#This Row],[hp2018]])*t_Parts[[NetPPH]:[NetPPH]]</f>
        <v>9453021</v>
      </c>
      <c r="FZ105" s="58">
        <f>(t_Parts[[#This Row],[ha2019]]-t_Parts[[#This Row],[hp2019]])*t_Parts[[NetPPH]:[NetPPH]]</f>
        <v>9453021</v>
      </c>
    </row>
    <row r="106" spans="1:182" s="14" customFormat="1" x14ac:dyDescent="0.25">
      <c r="A106" s="74">
        <v>29184</v>
      </c>
      <c r="B106" s="74"/>
      <c r="C106" s="74">
        <v>21013</v>
      </c>
      <c r="D106" s="75">
        <v>1</v>
      </c>
      <c r="E106" s="73">
        <v>2400</v>
      </c>
      <c r="F106" s="76">
        <v>1</v>
      </c>
      <c r="G106" s="77">
        <v>2</v>
      </c>
      <c r="H106" s="16">
        <v>2015.01</v>
      </c>
      <c r="I106" s="16" t="s">
        <v>83</v>
      </c>
      <c r="J106" s="73">
        <v>93219</v>
      </c>
      <c r="K106" s="73">
        <v>93219</v>
      </c>
      <c r="L106" s="73">
        <v>93219</v>
      </c>
      <c r="M106" s="73">
        <v>93219</v>
      </c>
      <c r="N106" s="73">
        <v>93219</v>
      </c>
      <c r="O106" s="78">
        <v>29</v>
      </c>
      <c r="P106" s="78">
        <v>49</v>
      </c>
      <c r="Q106" s="79">
        <v>20.885000000000002</v>
      </c>
      <c r="R106" s="79"/>
      <c r="S106" s="78">
        <v>119</v>
      </c>
      <c r="T106" s="80">
        <v>14.5</v>
      </c>
      <c r="U106" s="80" t="s">
        <v>121</v>
      </c>
      <c r="V106" s="81" t="s">
        <v>601</v>
      </c>
      <c r="W106" s="82">
        <v>0.6</v>
      </c>
      <c r="X106" s="82" t="s">
        <v>495</v>
      </c>
      <c r="Y106" s="82"/>
      <c r="Z106" s="82"/>
      <c r="AA106" s="82"/>
      <c r="AB106" s="82"/>
      <c r="AC106" s="83" t="s">
        <v>667</v>
      </c>
      <c r="AD106" s="40" t="str">
        <f>VLOOKUP(t_Parts[[#This Row],[Press]],t_Presses[],Press!B$1,FALSE)</f>
        <v>Plainfield</v>
      </c>
      <c r="AE106" s="40" t="str">
        <f>VLOOKUP(t_Parts[[#This Row],[Press]],t_Presses[],Press!E$1,FALSE)</f>
        <v>0-299</v>
      </c>
      <c r="AF106" s="47">
        <f>VLOOKUP(t_Parts[[#This Row],[Plant]],t_Plants[],Plants!C$1,FALSE)</f>
        <v>0.55000000000000004</v>
      </c>
      <c r="AG106" s="47">
        <f>VLOOKUP(t_Parts[[#This Row],[Press]],t_Presses[],Press!F$1,FALSE)</f>
        <v>0</v>
      </c>
      <c r="AH106" s="84"/>
      <c r="AI106" s="47">
        <f>IF(ISBLANK(t_Parts[[#This Row],[PartOEE]])=FALSE,t_Parts[[#This Row],[PartOEE]], IF(t_Parts[[#This Row],[PressOEE]]&gt;0, t_Parts[[#This Row],[PressOEE]], t_Parts[[#This Row],[PlantOEE]] ))</f>
        <v>0.55000000000000004</v>
      </c>
      <c r="AJ106" s="70">
        <f>t_Parts[[#This Row],[SetupsPerMo]]*t_Parts[[#This Row],[SetupHrs]]</f>
        <v>2</v>
      </c>
      <c r="AK106" s="39">
        <f>(t_Parts[[#This Row],[PartsPerStroke]]*t_Parts[[#This Row],[StrokesPerHr]])*t_Parts[[#This Row],[UseOEE]]</f>
        <v>1320</v>
      </c>
      <c r="AL10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7170.6923076923085</v>
      </c>
      <c r="AM10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7170.6923076923085</v>
      </c>
      <c r="AN10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8963.3653846153848</v>
      </c>
      <c r="AO10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7170.6923076923085</v>
      </c>
      <c r="AP10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7170.6923076923085</v>
      </c>
      <c r="AQ10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8963.3653846153848</v>
      </c>
      <c r="AR10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7170.6923076923085</v>
      </c>
      <c r="AS10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7170.6923076923085</v>
      </c>
      <c r="AT10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8963.3653846153848</v>
      </c>
      <c r="AU10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7170.6923076923085</v>
      </c>
      <c r="AV10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7170.6923076923085</v>
      </c>
      <c r="AW10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8963.3653846153848</v>
      </c>
      <c r="AX106" s="39">
        <f>SUM(t_Parts[[#This Row],[pv2015.01]:[pv2015.12]])</f>
        <v>93219.000000000029</v>
      </c>
      <c r="AY10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7170.6923076923085</v>
      </c>
      <c r="AZ10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7170.6923076923085</v>
      </c>
      <c r="BA10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8963.3653846153848</v>
      </c>
      <c r="BB10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7170.6923076923085</v>
      </c>
      <c r="BC10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7170.6923076923085</v>
      </c>
      <c r="BD10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8963.3653846153848</v>
      </c>
      <c r="BE10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7170.6923076923085</v>
      </c>
      <c r="BF10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7170.6923076923085</v>
      </c>
      <c r="BG10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8963.3653846153848</v>
      </c>
      <c r="BH10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7170.6923076923085</v>
      </c>
      <c r="BI10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7170.6923076923085</v>
      </c>
      <c r="BJ10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8963.3653846153848</v>
      </c>
      <c r="BK106" s="39">
        <f>SUM(t_Parts[[#This Row],[pv2016.01]:[pv2016.12]])</f>
        <v>93219.000000000029</v>
      </c>
      <c r="BL106" s="39">
        <f>t_Parts[[#This Row],[2017vol]]</f>
        <v>93219</v>
      </c>
      <c r="BM106" s="39">
        <f>t_Parts[[#This Row],[2018vol]]</f>
        <v>93219</v>
      </c>
      <c r="BN106" s="39">
        <f>t_Parts[[#This Row],[2019vol]]</f>
        <v>93219</v>
      </c>
      <c r="BO106" s="40">
        <f>VLOOKUP(t_Parts[[Plant]:[Plant]],t_Plants[],Plants!CN$1,FALSE)</f>
        <v>280</v>
      </c>
      <c r="BP106" s="14">
        <f>VLOOKUP(t_Parts[[Plant]:[Plant]],t_Plants[],Plants!CO$1,FALSE)</f>
        <v>280</v>
      </c>
      <c r="BQ106" s="14">
        <f>VLOOKUP(t_Parts[[Plant]:[Plant]],t_Plants[],Plants!CP$1,FALSE)</f>
        <v>350</v>
      </c>
      <c r="BR106" s="14">
        <f>VLOOKUP(t_Parts[[Plant]:[Plant]],t_Plants[],Plants!CQ$1,FALSE)</f>
        <v>280</v>
      </c>
      <c r="BS106" s="14">
        <f>VLOOKUP(t_Parts[[Plant]:[Plant]],t_Plants[],Plants!CR$1,FALSE)</f>
        <v>280</v>
      </c>
      <c r="BT106" s="14">
        <f>VLOOKUP(t_Parts[[Plant]:[Plant]],t_Plants[],Plants!CS$1,FALSE)</f>
        <v>350</v>
      </c>
      <c r="BU106" s="14">
        <f>VLOOKUP(t_Parts[[Plant]:[Plant]],t_Plants[],Plants!CT$1,FALSE)</f>
        <v>280</v>
      </c>
      <c r="BV106" s="14">
        <f>VLOOKUP(t_Parts[[Plant]:[Plant]],t_Plants[],Plants!CU$1,FALSE)</f>
        <v>280</v>
      </c>
      <c r="BW106" s="14">
        <f>VLOOKUP(t_Parts[[Plant]:[Plant]],t_Plants[],Plants!CV$1,FALSE)</f>
        <v>350</v>
      </c>
      <c r="BX106" s="14">
        <f>VLOOKUP(t_Parts[[Plant]:[Plant]],t_Plants[],Plants!CW$1,FALSE)</f>
        <v>280</v>
      </c>
      <c r="BY106" s="14">
        <f>VLOOKUP(t_Parts[[Plant]:[Plant]],t_Plants[],Plants!CX$1,FALSE)</f>
        <v>280</v>
      </c>
      <c r="BZ106" s="14">
        <f>VLOOKUP(t_Parts[[Plant]:[Plant]],t_Plants[],Plants!CY$1,FALSE)</f>
        <v>350</v>
      </c>
      <c r="CA106" s="40">
        <f>SUM(t_Parts[[#This Row],[ha2015.01]:[ha2015.12]])</f>
        <v>3640</v>
      </c>
      <c r="CB106" s="14">
        <f>VLOOKUP(t_Parts[[Plant]:[Plant]],t_Plants[],Plants!DA$1,FALSE)</f>
        <v>280</v>
      </c>
      <c r="CC106" s="14">
        <f>VLOOKUP(t_Parts[[Plant]:[Plant]],t_Plants[],Plants!DB$1,FALSE)</f>
        <v>280</v>
      </c>
      <c r="CD106" s="14">
        <f>VLOOKUP(t_Parts[[Plant]:[Plant]],t_Plants[],Plants!DC$1,FALSE)</f>
        <v>350</v>
      </c>
      <c r="CE106" s="14">
        <f>VLOOKUP(t_Parts[[Plant]:[Plant]],t_Plants[],Plants!DD$1,FALSE)</f>
        <v>280</v>
      </c>
      <c r="CF106" s="14">
        <f>VLOOKUP(t_Parts[[Plant]:[Plant]],t_Plants[],Plants!DE$1,FALSE)</f>
        <v>280</v>
      </c>
      <c r="CG106" s="14">
        <f>VLOOKUP(t_Parts[[Plant]:[Plant]],t_Plants[],Plants!DF$1,FALSE)</f>
        <v>350</v>
      </c>
      <c r="CH106" s="14">
        <f>VLOOKUP(t_Parts[[Plant]:[Plant]],t_Plants[],Plants!DG$1,FALSE)</f>
        <v>280</v>
      </c>
      <c r="CI106" s="14">
        <f>VLOOKUP(t_Parts[[Plant]:[Plant]],t_Plants[],Plants!DH$1,FALSE)</f>
        <v>280</v>
      </c>
      <c r="CJ106" s="14">
        <f>VLOOKUP(t_Parts[[Plant]:[Plant]],t_Plants[],Plants!DI$1,FALSE)</f>
        <v>350</v>
      </c>
      <c r="CK106" s="14">
        <f>VLOOKUP(t_Parts[[Plant]:[Plant]],t_Plants[],Plants!DJ$1,FALSE)</f>
        <v>280</v>
      </c>
      <c r="CL106" s="14">
        <f>VLOOKUP(t_Parts[[Plant]:[Plant]],t_Plants[],Plants!DK$1,FALSE)</f>
        <v>280</v>
      </c>
      <c r="CM106" s="14">
        <f>VLOOKUP(t_Parts[[Plant]:[Plant]],t_Plants[],Plants!DL$1,FALSE)</f>
        <v>350</v>
      </c>
      <c r="CN106" s="14">
        <f>VLOOKUP(t_Parts[[Plant]:[Plant]],t_Plants[],Plants!DM$1,FALSE)</f>
        <v>3640</v>
      </c>
      <c r="CO106" s="14">
        <f>VLOOKUP(t_Parts[[Plant]:[Plant]],t_Plants[],Plants!DN$1,FALSE)</f>
        <v>3640</v>
      </c>
      <c r="CP106" s="14">
        <f>VLOOKUP(t_Parts[[Plant]:[Plant]],t_Plants[],Plants!DO$1,FALSE)</f>
        <v>3640</v>
      </c>
      <c r="CQ106" s="14">
        <f>VLOOKUP(t_Parts[[Plant]:[Plant]],t_Plants[],Plants!DP$1,FALSE)</f>
        <v>3640</v>
      </c>
      <c r="CR106" s="39">
        <f>IF(AND(AL$3&gt;=VALUE(t_Parts[[SOP]:[SOP]]),AL$3&lt;=VALUE(t_Parts[[EOP]:[EOP]])), t_Parts[[SetupHrsPerMo]:[SetupHrsPerMo]]+(t_Parts[[#This Row],[pv2015.01]]/t_Parts[[NetPPH]:[NetPPH]]),0)</f>
        <v>7.4323426573426579</v>
      </c>
      <c r="CS106" s="39">
        <f>IF(AND(AM$3&gt;=VALUE(t_Parts[[SOP]:[SOP]]),AM$3&lt;=VALUE(t_Parts[[EOP]:[EOP]])), t_Parts[[SetupHrsPerMo]:[SetupHrsPerMo]]+(t_Parts[[#This Row],[pv2015.02]]/t_Parts[[NetPPH]:[NetPPH]]),0)</f>
        <v>7.4323426573426579</v>
      </c>
      <c r="CT106" s="39">
        <f>IF(AND(AN$3&gt;=VALUE(t_Parts[[SOP]:[SOP]]),AN$3&lt;=VALUE(t_Parts[[EOP]:[EOP]])), t_Parts[[SetupHrsPerMo]:[SetupHrsPerMo]]+(t_Parts[[#This Row],[pv2015.03]]/t_Parts[[NetPPH]:[NetPPH]]),0)</f>
        <v>8.7904283216783217</v>
      </c>
      <c r="CU106" s="39">
        <f>IF(AND(AO$3&gt;=VALUE(t_Parts[[SOP]:[SOP]]),AO$3&lt;=VALUE(t_Parts[[EOP]:[EOP]])), t_Parts[[SetupHrsPerMo]:[SetupHrsPerMo]]+(t_Parts[[#This Row],[pv2015.04]]/t_Parts[[NetPPH]:[NetPPH]]),0)</f>
        <v>7.4323426573426579</v>
      </c>
      <c r="CV106" s="39">
        <f>IF(AND(AP$3&gt;=VALUE(t_Parts[[SOP]:[SOP]]),AP$3&lt;=VALUE(t_Parts[[EOP]:[EOP]])), t_Parts[[SetupHrsPerMo]:[SetupHrsPerMo]]+(t_Parts[[#This Row],[pv2015.05]]/t_Parts[[NetPPH]:[NetPPH]]),0)</f>
        <v>7.4323426573426579</v>
      </c>
      <c r="CW106" s="39">
        <f>IF(AND(AQ$3&gt;=VALUE(t_Parts[[SOP]:[SOP]]),AQ$3&lt;=VALUE(t_Parts[[EOP]:[EOP]])), t_Parts[[SetupHrsPerMo]:[SetupHrsPerMo]]+(t_Parts[[#This Row],[pv2015.06]]/t_Parts[[NetPPH]:[NetPPH]]),0)</f>
        <v>8.7904283216783217</v>
      </c>
      <c r="CX106" s="39">
        <f>IF(AND(AR$3&gt;=VALUE(t_Parts[[SOP]:[SOP]]),AR$3&lt;=VALUE(t_Parts[[EOP]:[EOP]])), t_Parts[[SetupHrsPerMo]:[SetupHrsPerMo]]+(t_Parts[[#This Row],[pv2015.07]]/t_Parts[[NetPPH]:[NetPPH]]),0)</f>
        <v>7.4323426573426579</v>
      </c>
      <c r="CY106" s="39">
        <f>IF(AND(AS$3&gt;=VALUE(t_Parts[[SOP]:[SOP]]),AS$3&lt;=VALUE(t_Parts[[EOP]:[EOP]])), t_Parts[[SetupHrsPerMo]:[SetupHrsPerMo]]+(t_Parts[[#This Row],[pv2015.08]]/t_Parts[[NetPPH]:[NetPPH]]),0)</f>
        <v>7.4323426573426579</v>
      </c>
      <c r="CZ106" s="39">
        <f>IF(AND(AT$3&gt;=VALUE(t_Parts[[SOP]:[SOP]]),AT$3&lt;=VALUE(t_Parts[[EOP]:[EOP]])), t_Parts[[SetupHrsPerMo]:[SetupHrsPerMo]]+(t_Parts[[#This Row],[pv2015.09]]/t_Parts[[NetPPH]:[NetPPH]]),0)</f>
        <v>8.7904283216783217</v>
      </c>
      <c r="DA106" s="39">
        <f>IF(AND(AU$3&gt;=VALUE(t_Parts[[SOP]:[SOP]]),AU$3&lt;=VALUE(t_Parts[[EOP]:[EOP]])), t_Parts[[SetupHrsPerMo]:[SetupHrsPerMo]]+(t_Parts[[#This Row],[pv2015.10]]/t_Parts[[NetPPH]:[NetPPH]]),0)</f>
        <v>7.4323426573426579</v>
      </c>
      <c r="DB106" s="39">
        <f>IF(AND(AV$3&gt;=VALUE(t_Parts[[SOP]:[SOP]]),AV$3&lt;=VALUE(t_Parts[[EOP]:[EOP]])), t_Parts[[SetupHrsPerMo]:[SetupHrsPerMo]]+(t_Parts[[#This Row],[pv2015.11]]/t_Parts[[NetPPH]:[NetPPH]]),0)</f>
        <v>7.4323426573426579</v>
      </c>
      <c r="DC106" s="39">
        <f>IF(AND(AW$3&gt;=VALUE(t_Parts[[SOP]:[SOP]]),AW$3&lt;=VALUE(t_Parts[[EOP]:[EOP]])), t_Parts[[SetupHrsPerMo]:[SetupHrsPerMo]]+(t_Parts[[#This Row],[pv2015.12]]/t_Parts[[NetPPH]:[NetPPH]]),0)</f>
        <v>8.7904283216783217</v>
      </c>
      <c r="DD106" s="39">
        <f>SUM(t_Parts[[#This Row],[hp2015.01]:[hp2015.12]])</f>
        <v>94.62045454545455</v>
      </c>
      <c r="DE106" s="39">
        <f>IF(AND(AY$3&gt;=VALUE(t_Parts[[SOP]:[SOP]]),AY$3&lt;=VALUE(t_Parts[[EOP]:[EOP]])), t_Parts[[SetupHrsPerMo]:[SetupHrsPerMo]]+(t_Parts[[#This Row],[pv2016.01]]/t_Parts[[NetPPH]:[NetPPH]]),0)</f>
        <v>7.4323426573426579</v>
      </c>
      <c r="DF106" s="39">
        <f>IF(AND(AZ$3&gt;=VALUE(t_Parts[[SOP]:[SOP]]),AZ$3&lt;=VALUE(t_Parts[[EOP]:[EOP]])), t_Parts[[SetupHrsPerMo]:[SetupHrsPerMo]]+(t_Parts[[#This Row],[pv2016.02]]/t_Parts[[NetPPH]:[NetPPH]]),0)</f>
        <v>7.4323426573426579</v>
      </c>
      <c r="DG106" s="39">
        <f>IF(AND(BA$3&gt;=VALUE(t_Parts[[SOP]:[SOP]]),BA$3&lt;=VALUE(t_Parts[[EOP]:[EOP]])), t_Parts[[SetupHrsPerMo]:[SetupHrsPerMo]]+(t_Parts[[#This Row],[pv2016.03]]/t_Parts[[NetPPH]:[NetPPH]]),0)</f>
        <v>8.7904283216783217</v>
      </c>
      <c r="DH106" s="39">
        <f>IF(AND(BB$3&gt;=VALUE(t_Parts[[SOP]:[SOP]]),BB$3&lt;=VALUE(t_Parts[[EOP]:[EOP]])), t_Parts[[SetupHrsPerMo]:[SetupHrsPerMo]]+(t_Parts[[#This Row],[pv2016.04]]/t_Parts[[NetPPH]:[NetPPH]]),0)</f>
        <v>7.4323426573426579</v>
      </c>
      <c r="DI106" s="39">
        <f>IF(AND(BC$3&gt;=VALUE(t_Parts[[SOP]:[SOP]]),BC$3&lt;=VALUE(t_Parts[[EOP]:[EOP]])), t_Parts[[SetupHrsPerMo]:[SetupHrsPerMo]]+(t_Parts[[#This Row],[pv2016.05]]/t_Parts[[NetPPH]:[NetPPH]]),0)</f>
        <v>7.4323426573426579</v>
      </c>
      <c r="DJ106" s="39">
        <f>IF(AND(BD$3&gt;=VALUE(t_Parts[[SOP]:[SOP]]),BD$3&lt;=VALUE(t_Parts[[EOP]:[EOP]])), t_Parts[[SetupHrsPerMo]:[SetupHrsPerMo]]+(t_Parts[[#This Row],[pv2016.06]]/t_Parts[[NetPPH]:[NetPPH]]),0)</f>
        <v>8.7904283216783217</v>
      </c>
      <c r="DK106" s="39">
        <f>IF(AND(BE$3&gt;=VALUE(t_Parts[[SOP]:[SOP]]),BE$3&lt;=VALUE(t_Parts[[EOP]:[EOP]])), t_Parts[[SetupHrsPerMo]:[SetupHrsPerMo]]+(t_Parts[[#This Row],[pv2016.07]]/t_Parts[[NetPPH]:[NetPPH]]),0)</f>
        <v>7.4323426573426579</v>
      </c>
      <c r="DL106" s="39">
        <f>IF(AND(BF$3&gt;=VALUE(t_Parts[[SOP]:[SOP]]),BF$3&lt;=VALUE(t_Parts[[EOP]:[EOP]])), t_Parts[[SetupHrsPerMo]:[SetupHrsPerMo]]+(t_Parts[[#This Row],[pv2016.08]]/t_Parts[[NetPPH]:[NetPPH]]),0)</f>
        <v>7.4323426573426579</v>
      </c>
      <c r="DM106" s="39">
        <f>IF(AND(BG$3&gt;=VALUE(t_Parts[[SOP]:[SOP]]),BG$3&lt;=VALUE(t_Parts[[EOP]:[EOP]])), t_Parts[[SetupHrsPerMo]:[SetupHrsPerMo]]+(t_Parts[[#This Row],[pv2016.09]]/t_Parts[[NetPPH]:[NetPPH]]),0)</f>
        <v>8.7904283216783217</v>
      </c>
      <c r="DN106" s="39">
        <f>IF(AND(BH$3&gt;=VALUE(t_Parts[[SOP]:[SOP]]),BH$3&lt;=VALUE(t_Parts[[EOP]:[EOP]])), t_Parts[[SetupHrsPerMo]:[SetupHrsPerMo]]+(t_Parts[[#This Row],[pv2016.10]]/t_Parts[[NetPPH]:[NetPPH]]),0)</f>
        <v>7.4323426573426579</v>
      </c>
      <c r="DO106" s="39">
        <f>IF(AND(BI$3&gt;=VALUE(t_Parts[[SOP]:[SOP]]),BI$3&lt;=VALUE(t_Parts[[EOP]:[EOP]])), t_Parts[[SetupHrsPerMo]:[SetupHrsPerMo]]+(t_Parts[[#This Row],[pv2016.11]]/t_Parts[[NetPPH]:[NetPPH]]),0)</f>
        <v>7.4323426573426579</v>
      </c>
      <c r="DP106" s="39">
        <f>IF(AND(BJ$3&gt;=VALUE(t_Parts[[SOP]:[SOP]]),BJ$3&lt;=VALUE(t_Parts[[EOP]:[EOP]])), t_Parts[[SetupHrsPerMo]:[SetupHrsPerMo]]+(t_Parts[[#This Row],[pv2016.12]]/t_Parts[[NetPPH]:[NetPPH]]),0)</f>
        <v>8.7904283216783217</v>
      </c>
      <c r="DQ106" s="39">
        <f>SUM(t_Parts[[#This Row],[hp2016.01]:[hp2016.12]])</f>
        <v>94.62045454545455</v>
      </c>
      <c r="DR106" s="39">
        <f>IF(AND(BL$3&gt;=VALUE(t_Parts[[SOP]:[SOP]]),BL$3&lt;=VALUE(t_Parts[[EOP]:[EOP]])), 12*t_Parts[[SetupHrsPerMo]:[SetupHrsPerMo]]+(t_Parts[[#This Row],[pv2017]]/t_Parts[[NetPPH]:[NetPPH]]),0)</f>
        <v>94.62045454545455</v>
      </c>
      <c r="DS106" s="39">
        <f>IF(AND(BM$3&gt;=VALUE(t_Parts[[SOP]:[SOP]]),BM$3&lt;=VALUE(t_Parts[[EOP]:[EOP]])), 12*t_Parts[[SetupHrsPerMo]:[SetupHrsPerMo]]+(t_Parts[[#This Row],[pv2018]]/t_Parts[[NetPPH]:[NetPPH]]),0)</f>
        <v>94.62045454545455</v>
      </c>
      <c r="DT106" s="39">
        <f>IF(AND(BN$3&gt;=VALUE(t_Parts[[SOP]:[SOP]]),BN$3&lt;=VALUE(t_Parts[[EOP]:[EOP]])), 12*t_Parts[[SetupHrsPerMo]:[SetupHrsPerMo]]+(t_Parts[[#This Row],[pv2019]]/t_Parts[[NetPPH]:[NetPPH]]),0)</f>
        <v>94.62045454545455</v>
      </c>
      <c r="DU106" s="47">
        <f>t_Parts[[#This Row],[hp2015.01]]/t_Parts[[#This Row],[ha2015.01]]</f>
        <v>2.654408091908092E-2</v>
      </c>
      <c r="DV106" s="47">
        <f>t_Parts[[#This Row],[hp2015.02]]/t_Parts[[#This Row],[ha2015.02]]</f>
        <v>2.654408091908092E-2</v>
      </c>
      <c r="DW106" s="47">
        <f>t_Parts[[#This Row],[hp2015.03]]/t_Parts[[#This Row],[ha2015.03]]</f>
        <v>2.5115509490509492E-2</v>
      </c>
      <c r="DX106" s="47">
        <f>t_Parts[[#This Row],[hp2015.04]]/t_Parts[[#This Row],[ha2015.04]]</f>
        <v>2.654408091908092E-2</v>
      </c>
      <c r="DY106" s="47">
        <f>t_Parts[[#This Row],[hp2015.05]]/t_Parts[[#This Row],[ha2015.05]]</f>
        <v>2.654408091908092E-2</v>
      </c>
      <c r="DZ106" s="47">
        <f>t_Parts[[#This Row],[hp2015.06]]/t_Parts[[#This Row],[ha2015.06]]</f>
        <v>2.5115509490509492E-2</v>
      </c>
      <c r="EA106" s="47">
        <f>t_Parts[[#This Row],[hp2015.07]]/t_Parts[[#This Row],[ha2015.07]]</f>
        <v>2.654408091908092E-2</v>
      </c>
      <c r="EB106" s="47">
        <f>t_Parts[[#This Row],[hp2015.08]]/t_Parts[[#This Row],[ha2015.08]]</f>
        <v>2.654408091908092E-2</v>
      </c>
      <c r="EC106" s="47">
        <f>t_Parts[[#This Row],[hp2015.09]]/t_Parts[[#This Row],[ha2015.09]]</f>
        <v>2.5115509490509492E-2</v>
      </c>
      <c r="ED106" s="47">
        <f>t_Parts[[#This Row],[hp2015.10]]/t_Parts[[#This Row],[ha2015.10]]</f>
        <v>2.654408091908092E-2</v>
      </c>
      <c r="EE106" s="47">
        <f>t_Parts[[#This Row],[hp2015.11]]/t_Parts[[#This Row],[ha2015.11]]</f>
        <v>2.654408091908092E-2</v>
      </c>
      <c r="EF106" s="47">
        <f>t_Parts[[#This Row],[hp2015.12]]/t_Parts[[#This Row],[ha2015.12]]</f>
        <v>2.5115509490509492E-2</v>
      </c>
      <c r="EG106" s="47">
        <f>t_Parts[[#This Row],[hp2015.FY]]/t_Parts[[#This Row],[ha2015.FY]]</f>
        <v>2.5994630369630369E-2</v>
      </c>
      <c r="EH106" s="47">
        <f>t_Parts[[#This Row],[hp2016.01]]/t_Parts[[#This Row],[ha2016.01]]</f>
        <v>2.654408091908092E-2</v>
      </c>
      <c r="EI106" s="47">
        <f>t_Parts[[#This Row],[hp2016.02]]/t_Parts[[#This Row],[ha2016.02]]</f>
        <v>2.654408091908092E-2</v>
      </c>
      <c r="EJ106" s="47">
        <f>t_Parts[[#This Row],[hp2016.03]]/t_Parts[[#This Row],[ha2016.03]]</f>
        <v>2.5115509490509492E-2</v>
      </c>
      <c r="EK106" s="47">
        <f>t_Parts[[#This Row],[hp2016.04]]/t_Parts[[#This Row],[ha2016.04]]</f>
        <v>2.654408091908092E-2</v>
      </c>
      <c r="EL106" s="47">
        <f>t_Parts[[#This Row],[hp2016.05]]/t_Parts[[#This Row],[ha2016.05]]</f>
        <v>2.654408091908092E-2</v>
      </c>
      <c r="EM106" s="47">
        <f>t_Parts[[#This Row],[hp2016.06]]/t_Parts[[#This Row],[ha2016.06]]</f>
        <v>2.5115509490509492E-2</v>
      </c>
      <c r="EN106" s="47">
        <f>t_Parts[[#This Row],[hp2016.07]]/t_Parts[[#This Row],[ha2016.07]]</f>
        <v>2.654408091908092E-2</v>
      </c>
      <c r="EO106" s="47">
        <f>t_Parts[[#This Row],[hp2016.08]]/t_Parts[[#This Row],[ha2016.08]]</f>
        <v>2.654408091908092E-2</v>
      </c>
      <c r="EP106" s="47">
        <f>t_Parts[[#This Row],[hp2016.09]]/t_Parts[[#This Row],[ha2016.09]]</f>
        <v>2.5115509490509492E-2</v>
      </c>
      <c r="EQ106" s="47">
        <f>t_Parts[[#This Row],[hp2016.10]]/t_Parts[[#This Row],[ha2016.10]]</f>
        <v>2.654408091908092E-2</v>
      </c>
      <c r="ER106" s="47">
        <f>t_Parts[[#This Row],[hp2016.11]]/t_Parts[[#This Row],[ha2016.11]]</f>
        <v>2.654408091908092E-2</v>
      </c>
      <c r="ES106" s="47">
        <f>t_Parts[[#This Row],[hp2016.12]]/t_Parts[[#This Row],[ha2016.12]]</f>
        <v>2.5115509490509492E-2</v>
      </c>
      <c r="ET106" s="47">
        <f>t_Parts[[#This Row],[hp2016.FY]]/t_Parts[[#This Row],[ha2016.FY]]</f>
        <v>2.5994630369630369E-2</v>
      </c>
      <c r="EU106" s="47">
        <f>t_Parts[[#This Row],[hp2017]]/t_Parts[[#This Row],[ha2017]]</f>
        <v>2.5994630369630369E-2</v>
      </c>
      <c r="EV106" s="47">
        <f>t_Parts[[#This Row],[hp2018]]/t_Parts[[#This Row],[ha2018]]</f>
        <v>2.5994630369630369E-2</v>
      </c>
      <c r="EW106" s="47">
        <f>t_Parts[[#This Row],[hp2019]]/t_Parts[[#This Row],[hp2015.01]]</f>
        <v>12.730905840566415</v>
      </c>
      <c r="EX106" s="58">
        <f>(t_Parts[[#This Row],[ha2015.01]]-t_Parts[[#This Row],[hp2015.01]])*t_Parts[[NetPPH]:[NetPPH]]</f>
        <v>359789.30769230769</v>
      </c>
      <c r="EY106" s="58">
        <f>(t_Parts[[#This Row],[ha2015.02]]-t_Parts[[#This Row],[hp2015.02]])*t_Parts[[NetPPH]:[NetPPH]]</f>
        <v>359789.30769230769</v>
      </c>
      <c r="EZ106" s="58">
        <f>(t_Parts[[#This Row],[ha2015.03]]-t_Parts[[#This Row],[hp2015.03]])*t_Parts[[NetPPH]:[NetPPH]]</f>
        <v>450396.63461538457</v>
      </c>
      <c r="FA106" s="58">
        <f>(t_Parts[[#This Row],[ha2015.04]]-t_Parts[[#This Row],[hp2015.04]])*t_Parts[[NetPPH]:[NetPPH]]</f>
        <v>359789.30769230769</v>
      </c>
      <c r="FB106" s="58">
        <f>(t_Parts[[#This Row],[ha2015.05]]-t_Parts[[#This Row],[hp2015.05]])*t_Parts[[NetPPH]:[NetPPH]]</f>
        <v>359789.30769230769</v>
      </c>
      <c r="FC106" s="58">
        <f>(t_Parts[[#This Row],[ha2015.06]]-t_Parts[[#This Row],[hp2015.06]])*t_Parts[[NetPPH]:[NetPPH]]</f>
        <v>450396.63461538457</v>
      </c>
      <c r="FD106" s="58">
        <f>(t_Parts[[#This Row],[ha2015.07]]-t_Parts[[#This Row],[hp2015.07]])*t_Parts[[NetPPH]:[NetPPH]]</f>
        <v>359789.30769230769</v>
      </c>
      <c r="FE106" s="58">
        <f>(t_Parts[[#This Row],[ha2015.08]]-t_Parts[[#This Row],[hp2015.08]])*t_Parts[[NetPPH]:[NetPPH]]</f>
        <v>359789.30769230769</v>
      </c>
      <c r="FF106" s="58">
        <f>(t_Parts[[#This Row],[ha2015.09]]-t_Parts[[#This Row],[hp2015.09]])*t_Parts[[NetPPH]:[NetPPH]]</f>
        <v>450396.63461538457</v>
      </c>
      <c r="FG106" s="58">
        <f>(t_Parts[[#This Row],[ha2015.10]]-t_Parts[[#This Row],[hp2015.10]])*t_Parts[[NetPPH]:[NetPPH]]</f>
        <v>359789.30769230769</v>
      </c>
      <c r="FH106" s="58">
        <f>(t_Parts[[#This Row],[ha2015.11]]-t_Parts[[#This Row],[hp2015.11]])*t_Parts[[NetPPH]:[NetPPH]]</f>
        <v>359789.30769230769</v>
      </c>
      <c r="FI106" s="58">
        <f>(t_Parts[[#This Row],[ha2015.12]]-t_Parts[[#This Row],[hp2015.12]])*t_Parts[[NetPPH]:[NetPPH]]</f>
        <v>450396.63461538457</v>
      </c>
      <c r="FJ106" s="58">
        <f>(t_Parts[[#This Row],[ha2015.FY]]-t_Parts[[#This Row],[hp2015.FY]])*t_Parts[[NetPPH]:[NetPPH]]</f>
        <v>4679901</v>
      </c>
      <c r="FK106" s="58">
        <f>(t_Parts[[#This Row],[ha2016.01]]-t_Parts[[#This Row],[hp2016.01]])*t_Parts[[NetPPH]:[NetPPH]]</f>
        <v>359789.30769230769</v>
      </c>
      <c r="FL106" s="58">
        <f>(t_Parts[[#This Row],[ha2016.02]]-t_Parts[[#This Row],[hp2016.02]])*t_Parts[[NetPPH]:[NetPPH]]</f>
        <v>359789.30769230769</v>
      </c>
      <c r="FM106" s="58">
        <f>(t_Parts[[#This Row],[ha2016.03]]-t_Parts[[#This Row],[hp2016.03]])*t_Parts[[NetPPH]:[NetPPH]]</f>
        <v>450396.63461538457</v>
      </c>
      <c r="FN106" s="58">
        <f>(t_Parts[[#This Row],[ha2016.04]]-t_Parts[[#This Row],[hp2016.04]])*t_Parts[[NetPPH]:[NetPPH]]</f>
        <v>359789.30769230769</v>
      </c>
      <c r="FO106" s="58">
        <f>(t_Parts[[#This Row],[ha2016.05]]-t_Parts[[#This Row],[hp2016.05]])*t_Parts[[NetPPH]:[NetPPH]]</f>
        <v>359789.30769230769</v>
      </c>
      <c r="FP106" s="58">
        <f>(t_Parts[[#This Row],[ha2016.06]]-t_Parts[[#This Row],[hp2016.06]])*t_Parts[[NetPPH]:[NetPPH]]</f>
        <v>450396.63461538457</v>
      </c>
      <c r="FQ106" s="58">
        <f>(t_Parts[[#This Row],[ha2016.07]]-t_Parts[[#This Row],[hp2016.07]])*t_Parts[[NetPPH]:[NetPPH]]</f>
        <v>359789.30769230769</v>
      </c>
      <c r="FR106" s="58">
        <f>(t_Parts[[#This Row],[ha2016.08]]-t_Parts[[#This Row],[hp2016.08]])*t_Parts[[NetPPH]:[NetPPH]]</f>
        <v>359789.30769230769</v>
      </c>
      <c r="FS106" s="58">
        <f>(t_Parts[[#This Row],[ha2016.09]]-t_Parts[[#This Row],[hp2016.09]])*t_Parts[[NetPPH]:[NetPPH]]</f>
        <v>450396.63461538457</v>
      </c>
      <c r="FT106" s="58">
        <f>(t_Parts[[#This Row],[ha2016.10]]-t_Parts[[#This Row],[hp2016.10]])*t_Parts[[NetPPH]:[NetPPH]]</f>
        <v>359789.30769230769</v>
      </c>
      <c r="FU106" s="58">
        <f>(t_Parts[[#This Row],[ha2016.11]]-t_Parts[[#This Row],[hp2016.11]])*t_Parts[[NetPPH]:[NetPPH]]</f>
        <v>359789.30769230769</v>
      </c>
      <c r="FV106" s="58">
        <f>(t_Parts[[#This Row],[ha2016.12]]-t_Parts[[#This Row],[hp2016.12]])*t_Parts[[NetPPH]:[NetPPH]]</f>
        <v>450396.63461538457</v>
      </c>
      <c r="FW106" s="58">
        <f>(t_Parts[[#This Row],[ha2016.FY]]-t_Parts[[#This Row],[hp2016.FY]])*t_Parts[[NetPPH]:[NetPPH]]</f>
        <v>4679901</v>
      </c>
      <c r="FX106" s="58">
        <f>(t_Parts[[#This Row],[ha2017]]-t_Parts[[#This Row],[hp2017]])*t_Parts[[NetPPH]:[NetPPH]]</f>
        <v>4679901</v>
      </c>
      <c r="FY106" s="58">
        <f>(t_Parts[[#This Row],[ha2018]]-t_Parts[[#This Row],[hp2018]])*t_Parts[[NetPPH]:[NetPPH]]</f>
        <v>4679901</v>
      </c>
      <c r="FZ106" s="58">
        <f>(t_Parts[[#This Row],[ha2019]]-t_Parts[[#This Row],[hp2019]])*t_Parts[[NetPPH]:[NetPPH]]</f>
        <v>4679901</v>
      </c>
    </row>
    <row r="107" spans="1:182" s="14" customFormat="1" x14ac:dyDescent="0.25">
      <c r="A107" s="74">
        <v>29181</v>
      </c>
      <c r="B107" s="74"/>
      <c r="C107" s="74">
        <v>21014</v>
      </c>
      <c r="D107" s="75">
        <v>1</v>
      </c>
      <c r="E107" s="73">
        <v>2400</v>
      </c>
      <c r="F107" s="76">
        <v>1</v>
      </c>
      <c r="G107" s="77">
        <v>1</v>
      </c>
      <c r="H107" s="16">
        <v>2015.01</v>
      </c>
      <c r="I107" s="16" t="s">
        <v>83</v>
      </c>
      <c r="J107" s="73">
        <v>126719</v>
      </c>
      <c r="K107" s="73">
        <v>126719</v>
      </c>
      <c r="L107" s="73">
        <v>126719</v>
      </c>
      <c r="M107" s="73">
        <v>126719</v>
      </c>
      <c r="N107" s="73">
        <v>126719</v>
      </c>
      <c r="O107" s="78">
        <v>32</v>
      </c>
      <c r="P107" s="78">
        <v>60</v>
      </c>
      <c r="Q107" s="79">
        <v>20.895</v>
      </c>
      <c r="R107" s="79"/>
      <c r="S107" s="78">
        <v>200</v>
      </c>
      <c r="T107" s="80">
        <v>15</v>
      </c>
      <c r="U107" s="80" t="s">
        <v>121</v>
      </c>
      <c r="V107" s="81" t="s">
        <v>609</v>
      </c>
      <c r="W107" s="82">
        <v>0.55000000000000004</v>
      </c>
      <c r="X107" s="82" t="s">
        <v>495</v>
      </c>
      <c r="Y107" s="82" t="s">
        <v>529</v>
      </c>
      <c r="Z107" s="82"/>
      <c r="AA107" s="82"/>
      <c r="AB107" s="82"/>
      <c r="AC107" s="83" t="s">
        <v>111</v>
      </c>
      <c r="AD107" s="40" t="str">
        <f>VLOOKUP(t_Parts[[#This Row],[Press]],t_Presses[],Press!B$1,FALSE)</f>
        <v>Plainfield</v>
      </c>
      <c r="AE107" s="40" t="str">
        <f>VLOOKUP(t_Parts[[#This Row],[Press]],t_Presses[],Press!E$1,FALSE)</f>
        <v>300-599</v>
      </c>
      <c r="AF107" s="47">
        <f>VLOOKUP(t_Parts[[#This Row],[Plant]],t_Plants[],Plants!C$1,FALSE)</f>
        <v>0.55000000000000004</v>
      </c>
      <c r="AG107" s="47">
        <f>VLOOKUP(t_Parts[[#This Row],[Press]],t_Presses[],Press!F$1,FALSE)</f>
        <v>0</v>
      </c>
      <c r="AH107" s="84"/>
      <c r="AI107" s="47">
        <f>IF(ISBLANK(t_Parts[[#This Row],[PartOEE]])=FALSE,t_Parts[[#This Row],[PartOEE]], IF(t_Parts[[#This Row],[PressOEE]]&gt;0, t_Parts[[#This Row],[PressOEE]], t_Parts[[#This Row],[PlantOEE]] ))</f>
        <v>0.55000000000000004</v>
      </c>
      <c r="AJ107" s="70">
        <f>t_Parts[[#This Row],[SetupsPerMo]]*t_Parts[[#This Row],[SetupHrs]]</f>
        <v>1</v>
      </c>
      <c r="AK107" s="39">
        <f>(t_Parts[[#This Row],[PartsPerStroke]]*t_Parts[[#This Row],[StrokesPerHr]])*t_Parts[[#This Row],[UseOEE]]</f>
        <v>1320</v>
      </c>
      <c r="AL10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9747.6153846153848</v>
      </c>
      <c r="AM10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9747.6153846153848</v>
      </c>
      <c r="AN10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12184.51923076923</v>
      </c>
      <c r="AO10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9747.6153846153848</v>
      </c>
      <c r="AP10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9747.6153846153848</v>
      </c>
      <c r="AQ10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12184.51923076923</v>
      </c>
      <c r="AR10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9747.6153846153848</v>
      </c>
      <c r="AS10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9747.6153846153848</v>
      </c>
      <c r="AT10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12184.51923076923</v>
      </c>
      <c r="AU10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9747.6153846153848</v>
      </c>
      <c r="AV10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9747.6153846153848</v>
      </c>
      <c r="AW10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12184.51923076923</v>
      </c>
      <c r="AX107" s="39">
        <f>SUM(t_Parts[[#This Row],[pv2015.01]:[pv2015.12]])</f>
        <v>126719.00000000003</v>
      </c>
      <c r="AY10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9747.6153846153848</v>
      </c>
      <c r="AZ10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9747.6153846153848</v>
      </c>
      <c r="BA10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12184.51923076923</v>
      </c>
      <c r="BB10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9747.6153846153848</v>
      </c>
      <c r="BC10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9747.6153846153848</v>
      </c>
      <c r="BD10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12184.51923076923</v>
      </c>
      <c r="BE10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9747.6153846153848</v>
      </c>
      <c r="BF10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9747.6153846153848</v>
      </c>
      <c r="BG10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12184.51923076923</v>
      </c>
      <c r="BH10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9747.6153846153848</v>
      </c>
      <c r="BI10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9747.6153846153848</v>
      </c>
      <c r="BJ10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12184.51923076923</v>
      </c>
      <c r="BK107" s="39">
        <f>SUM(t_Parts[[#This Row],[pv2016.01]:[pv2016.12]])</f>
        <v>126719.00000000003</v>
      </c>
      <c r="BL107" s="39">
        <f>t_Parts[[#This Row],[2017vol]]</f>
        <v>126719</v>
      </c>
      <c r="BM107" s="39">
        <f>t_Parts[[#This Row],[2018vol]]</f>
        <v>126719</v>
      </c>
      <c r="BN107" s="39">
        <f>t_Parts[[#This Row],[2019vol]]</f>
        <v>126719</v>
      </c>
      <c r="BO107" s="40">
        <f>VLOOKUP(t_Parts[[Plant]:[Plant]],t_Plants[],Plants!CN$1,FALSE)</f>
        <v>280</v>
      </c>
      <c r="BP107" s="14">
        <f>VLOOKUP(t_Parts[[Plant]:[Plant]],t_Plants[],Plants!CO$1,FALSE)</f>
        <v>280</v>
      </c>
      <c r="BQ107" s="14">
        <f>VLOOKUP(t_Parts[[Plant]:[Plant]],t_Plants[],Plants!CP$1,FALSE)</f>
        <v>350</v>
      </c>
      <c r="BR107" s="14">
        <f>VLOOKUP(t_Parts[[Plant]:[Plant]],t_Plants[],Plants!CQ$1,FALSE)</f>
        <v>280</v>
      </c>
      <c r="BS107" s="14">
        <f>VLOOKUP(t_Parts[[Plant]:[Plant]],t_Plants[],Plants!CR$1,FALSE)</f>
        <v>280</v>
      </c>
      <c r="BT107" s="14">
        <f>VLOOKUP(t_Parts[[Plant]:[Plant]],t_Plants[],Plants!CS$1,FALSE)</f>
        <v>350</v>
      </c>
      <c r="BU107" s="14">
        <f>VLOOKUP(t_Parts[[Plant]:[Plant]],t_Plants[],Plants!CT$1,FALSE)</f>
        <v>280</v>
      </c>
      <c r="BV107" s="14">
        <f>VLOOKUP(t_Parts[[Plant]:[Plant]],t_Plants[],Plants!CU$1,FALSE)</f>
        <v>280</v>
      </c>
      <c r="BW107" s="14">
        <f>VLOOKUP(t_Parts[[Plant]:[Plant]],t_Plants[],Plants!CV$1,FALSE)</f>
        <v>350</v>
      </c>
      <c r="BX107" s="14">
        <f>VLOOKUP(t_Parts[[Plant]:[Plant]],t_Plants[],Plants!CW$1,FALSE)</f>
        <v>280</v>
      </c>
      <c r="BY107" s="14">
        <f>VLOOKUP(t_Parts[[Plant]:[Plant]],t_Plants[],Plants!CX$1,FALSE)</f>
        <v>280</v>
      </c>
      <c r="BZ107" s="14">
        <f>VLOOKUP(t_Parts[[Plant]:[Plant]],t_Plants[],Plants!CY$1,FALSE)</f>
        <v>350</v>
      </c>
      <c r="CA107" s="40">
        <f>SUM(t_Parts[[#This Row],[ha2015.01]:[ha2015.12]])</f>
        <v>3640</v>
      </c>
      <c r="CB107" s="14">
        <f>VLOOKUP(t_Parts[[Plant]:[Plant]],t_Plants[],Plants!DA$1,FALSE)</f>
        <v>280</v>
      </c>
      <c r="CC107" s="14">
        <f>VLOOKUP(t_Parts[[Plant]:[Plant]],t_Plants[],Plants!DB$1,FALSE)</f>
        <v>280</v>
      </c>
      <c r="CD107" s="14">
        <f>VLOOKUP(t_Parts[[Plant]:[Plant]],t_Plants[],Plants!DC$1,FALSE)</f>
        <v>350</v>
      </c>
      <c r="CE107" s="14">
        <f>VLOOKUP(t_Parts[[Plant]:[Plant]],t_Plants[],Plants!DD$1,FALSE)</f>
        <v>280</v>
      </c>
      <c r="CF107" s="14">
        <f>VLOOKUP(t_Parts[[Plant]:[Plant]],t_Plants[],Plants!DE$1,FALSE)</f>
        <v>280</v>
      </c>
      <c r="CG107" s="14">
        <f>VLOOKUP(t_Parts[[Plant]:[Plant]],t_Plants[],Plants!DF$1,FALSE)</f>
        <v>350</v>
      </c>
      <c r="CH107" s="14">
        <f>VLOOKUP(t_Parts[[Plant]:[Plant]],t_Plants[],Plants!DG$1,FALSE)</f>
        <v>280</v>
      </c>
      <c r="CI107" s="14">
        <f>VLOOKUP(t_Parts[[Plant]:[Plant]],t_Plants[],Plants!DH$1,FALSE)</f>
        <v>280</v>
      </c>
      <c r="CJ107" s="14">
        <f>VLOOKUP(t_Parts[[Plant]:[Plant]],t_Plants[],Plants!DI$1,FALSE)</f>
        <v>350</v>
      </c>
      <c r="CK107" s="14">
        <f>VLOOKUP(t_Parts[[Plant]:[Plant]],t_Plants[],Plants!DJ$1,FALSE)</f>
        <v>280</v>
      </c>
      <c r="CL107" s="14">
        <f>VLOOKUP(t_Parts[[Plant]:[Plant]],t_Plants[],Plants!DK$1,FALSE)</f>
        <v>280</v>
      </c>
      <c r="CM107" s="14">
        <f>VLOOKUP(t_Parts[[Plant]:[Plant]],t_Plants[],Plants!DL$1,FALSE)</f>
        <v>350</v>
      </c>
      <c r="CN107" s="14">
        <f>VLOOKUP(t_Parts[[Plant]:[Plant]],t_Plants[],Plants!DM$1,FALSE)</f>
        <v>3640</v>
      </c>
      <c r="CO107" s="14">
        <f>VLOOKUP(t_Parts[[Plant]:[Plant]],t_Plants[],Plants!DN$1,FALSE)</f>
        <v>3640</v>
      </c>
      <c r="CP107" s="14">
        <f>VLOOKUP(t_Parts[[Plant]:[Plant]],t_Plants[],Plants!DO$1,FALSE)</f>
        <v>3640</v>
      </c>
      <c r="CQ107" s="14">
        <f>VLOOKUP(t_Parts[[Plant]:[Plant]],t_Plants[],Plants!DP$1,FALSE)</f>
        <v>3640</v>
      </c>
      <c r="CR107" s="39">
        <f>IF(AND(AL$3&gt;=VALUE(t_Parts[[SOP]:[SOP]]),AL$3&lt;=VALUE(t_Parts[[EOP]:[EOP]])), t_Parts[[SetupHrsPerMo]:[SetupHrsPerMo]]+(t_Parts[[#This Row],[pv2015.01]]/t_Parts[[NetPPH]:[NetPPH]]),0)</f>
        <v>8.384557109557111</v>
      </c>
      <c r="CS107" s="39">
        <f>IF(AND(AM$3&gt;=VALUE(t_Parts[[SOP]:[SOP]]),AM$3&lt;=VALUE(t_Parts[[EOP]:[EOP]])), t_Parts[[SetupHrsPerMo]:[SetupHrsPerMo]]+(t_Parts[[#This Row],[pv2015.02]]/t_Parts[[NetPPH]:[NetPPH]]),0)</f>
        <v>8.384557109557111</v>
      </c>
      <c r="CT107" s="39">
        <f>IF(AND(AN$3&gt;=VALUE(t_Parts[[SOP]:[SOP]]),AN$3&lt;=VALUE(t_Parts[[EOP]:[EOP]])), t_Parts[[SetupHrsPerMo]:[SetupHrsPerMo]]+(t_Parts[[#This Row],[pv2015.03]]/t_Parts[[NetPPH]:[NetPPH]]),0)</f>
        <v>10.230696386946386</v>
      </c>
      <c r="CU107" s="39">
        <f>IF(AND(AO$3&gt;=VALUE(t_Parts[[SOP]:[SOP]]),AO$3&lt;=VALUE(t_Parts[[EOP]:[EOP]])), t_Parts[[SetupHrsPerMo]:[SetupHrsPerMo]]+(t_Parts[[#This Row],[pv2015.04]]/t_Parts[[NetPPH]:[NetPPH]]),0)</f>
        <v>8.384557109557111</v>
      </c>
      <c r="CV107" s="39">
        <f>IF(AND(AP$3&gt;=VALUE(t_Parts[[SOP]:[SOP]]),AP$3&lt;=VALUE(t_Parts[[EOP]:[EOP]])), t_Parts[[SetupHrsPerMo]:[SetupHrsPerMo]]+(t_Parts[[#This Row],[pv2015.05]]/t_Parts[[NetPPH]:[NetPPH]]),0)</f>
        <v>8.384557109557111</v>
      </c>
      <c r="CW107" s="39">
        <f>IF(AND(AQ$3&gt;=VALUE(t_Parts[[SOP]:[SOP]]),AQ$3&lt;=VALUE(t_Parts[[EOP]:[EOP]])), t_Parts[[SetupHrsPerMo]:[SetupHrsPerMo]]+(t_Parts[[#This Row],[pv2015.06]]/t_Parts[[NetPPH]:[NetPPH]]),0)</f>
        <v>10.230696386946386</v>
      </c>
      <c r="CX107" s="39">
        <f>IF(AND(AR$3&gt;=VALUE(t_Parts[[SOP]:[SOP]]),AR$3&lt;=VALUE(t_Parts[[EOP]:[EOP]])), t_Parts[[SetupHrsPerMo]:[SetupHrsPerMo]]+(t_Parts[[#This Row],[pv2015.07]]/t_Parts[[NetPPH]:[NetPPH]]),0)</f>
        <v>8.384557109557111</v>
      </c>
      <c r="CY107" s="39">
        <f>IF(AND(AS$3&gt;=VALUE(t_Parts[[SOP]:[SOP]]),AS$3&lt;=VALUE(t_Parts[[EOP]:[EOP]])), t_Parts[[SetupHrsPerMo]:[SetupHrsPerMo]]+(t_Parts[[#This Row],[pv2015.08]]/t_Parts[[NetPPH]:[NetPPH]]),0)</f>
        <v>8.384557109557111</v>
      </c>
      <c r="CZ107" s="39">
        <f>IF(AND(AT$3&gt;=VALUE(t_Parts[[SOP]:[SOP]]),AT$3&lt;=VALUE(t_Parts[[EOP]:[EOP]])), t_Parts[[SetupHrsPerMo]:[SetupHrsPerMo]]+(t_Parts[[#This Row],[pv2015.09]]/t_Parts[[NetPPH]:[NetPPH]]),0)</f>
        <v>10.230696386946386</v>
      </c>
      <c r="DA107" s="39">
        <f>IF(AND(AU$3&gt;=VALUE(t_Parts[[SOP]:[SOP]]),AU$3&lt;=VALUE(t_Parts[[EOP]:[EOP]])), t_Parts[[SetupHrsPerMo]:[SetupHrsPerMo]]+(t_Parts[[#This Row],[pv2015.10]]/t_Parts[[NetPPH]:[NetPPH]]),0)</f>
        <v>8.384557109557111</v>
      </c>
      <c r="DB107" s="39">
        <f>IF(AND(AV$3&gt;=VALUE(t_Parts[[SOP]:[SOP]]),AV$3&lt;=VALUE(t_Parts[[EOP]:[EOP]])), t_Parts[[SetupHrsPerMo]:[SetupHrsPerMo]]+(t_Parts[[#This Row],[pv2015.11]]/t_Parts[[NetPPH]:[NetPPH]]),0)</f>
        <v>8.384557109557111</v>
      </c>
      <c r="DC107" s="39">
        <f>IF(AND(AW$3&gt;=VALUE(t_Parts[[SOP]:[SOP]]),AW$3&lt;=VALUE(t_Parts[[EOP]:[EOP]])), t_Parts[[SetupHrsPerMo]:[SetupHrsPerMo]]+(t_Parts[[#This Row],[pv2015.12]]/t_Parts[[NetPPH]:[NetPPH]]),0)</f>
        <v>10.230696386946386</v>
      </c>
      <c r="DD107" s="39">
        <f>SUM(t_Parts[[#This Row],[hp2015.01]:[hp2015.12]])</f>
        <v>107.99924242424242</v>
      </c>
      <c r="DE107" s="39">
        <f>IF(AND(AY$3&gt;=VALUE(t_Parts[[SOP]:[SOP]]),AY$3&lt;=VALUE(t_Parts[[EOP]:[EOP]])), t_Parts[[SetupHrsPerMo]:[SetupHrsPerMo]]+(t_Parts[[#This Row],[pv2016.01]]/t_Parts[[NetPPH]:[NetPPH]]),0)</f>
        <v>8.384557109557111</v>
      </c>
      <c r="DF107" s="39">
        <f>IF(AND(AZ$3&gt;=VALUE(t_Parts[[SOP]:[SOP]]),AZ$3&lt;=VALUE(t_Parts[[EOP]:[EOP]])), t_Parts[[SetupHrsPerMo]:[SetupHrsPerMo]]+(t_Parts[[#This Row],[pv2016.02]]/t_Parts[[NetPPH]:[NetPPH]]),0)</f>
        <v>8.384557109557111</v>
      </c>
      <c r="DG107" s="39">
        <f>IF(AND(BA$3&gt;=VALUE(t_Parts[[SOP]:[SOP]]),BA$3&lt;=VALUE(t_Parts[[EOP]:[EOP]])), t_Parts[[SetupHrsPerMo]:[SetupHrsPerMo]]+(t_Parts[[#This Row],[pv2016.03]]/t_Parts[[NetPPH]:[NetPPH]]),0)</f>
        <v>10.230696386946386</v>
      </c>
      <c r="DH107" s="39">
        <f>IF(AND(BB$3&gt;=VALUE(t_Parts[[SOP]:[SOP]]),BB$3&lt;=VALUE(t_Parts[[EOP]:[EOP]])), t_Parts[[SetupHrsPerMo]:[SetupHrsPerMo]]+(t_Parts[[#This Row],[pv2016.04]]/t_Parts[[NetPPH]:[NetPPH]]),0)</f>
        <v>8.384557109557111</v>
      </c>
      <c r="DI107" s="39">
        <f>IF(AND(BC$3&gt;=VALUE(t_Parts[[SOP]:[SOP]]),BC$3&lt;=VALUE(t_Parts[[EOP]:[EOP]])), t_Parts[[SetupHrsPerMo]:[SetupHrsPerMo]]+(t_Parts[[#This Row],[pv2016.05]]/t_Parts[[NetPPH]:[NetPPH]]),0)</f>
        <v>8.384557109557111</v>
      </c>
      <c r="DJ107" s="39">
        <f>IF(AND(BD$3&gt;=VALUE(t_Parts[[SOP]:[SOP]]),BD$3&lt;=VALUE(t_Parts[[EOP]:[EOP]])), t_Parts[[SetupHrsPerMo]:[SetupHrsPerMo]]+(t_Parts[[#This Row],[pv2016.06]]/t_Parts[[NetPPH]:[NetPPH]]),0)</f>
        <v>10.230696386946386</v>
      </c>
      <c r="DK107" s="39">
        <f>IF(AND(BE$3&gt;=VALUE(t_Parts[[SOP]:[SOP]]),BE$3&lt;=VALUE(t_Parts[[EOP]:[EOP]])), t_Parts[[SetupHrsPerMo]:[SetupHrsPerMo]]+(t_Parts[[#This Row],[pv2016.07]]/t_Parts[[NetPPH]:[NetPPH]]),0)</f>
        <v>8.384557109557111</v>
      </c>
      <c r="DL107" s="39">
        <f>IF(AND(BF$3&gt;=VALUE(t_Parts[[SOP]:[SOP]]),BF$3&lt;=VALUE(t_Parts[[EOP]:[EOP]])), t_Parts[[SetupHrsPerMo]:[SetupHrsPerMo]]+(t_Parts[[#This Row],[pv2016.08]]/t_Parts[[NetPPH]:[NetPPH]]),0)</f>
        <v>8.384557109557111</v>
      </c>
      <c r="DM107" s="39">
        <f>IF(AND(BG$3&gt;=VALUE(t_Parts[[SOP]:[SOP]]),BG$3&lt;=VALUE(t_Parts[[EOP]:[EOP]])), t_Parts[[SetupHrsPerMo]:[SetupHrsPerMo]]+(t_Parts[[#This Row],[pv2016.09]]/t_Parts[[NetPPH]:[NetPPH]]),0)</f>
        <v>10.230696386946386</v>
      </c>
      <c r="DN107" s="39">
        <f>IF(AND(BH$3&gt;=VALUE(t_Parts[[SOP]:[SOP]]),BH$3&lt;=VALUE(t_Parts[[EOP]:[EOP]])), t_Parts[[SetupHrsPerMo]:[SetupHrsPerMo]]+(t_Parts[[#This Row],[pv2016.10]]/t_Parts[[NetPPH]:[NetPPH]]),0)</f>
        <v>8.384557109557111</v>
      </c>
      <c r="DO107" s="39">
        <f>IF(AND(BI$3&gt;=VALUE(t_Parts[[SOP]:[SOP]]),BI$3&lt;=VALUE(t_Parts[[EOP]:[EOP]])), t_Parts[[SetupHrsPerMo]:[SetupHrsPerMo]]+(t_Parts[[#This Row],[pv2016.11]]/t_Parts[[NetPPH]:[NetPPH]]),0)</f>
        <v>8.384557109557111</v>
      </c>
      <c r="DP107" s="39">
        <f>IF(AND(BJ$3&gt;=VALUE(t_Parts[[SOP]:[SOP]]),BJ$3&lt;=VALUE(t_Parts[[EOP]:[EOP]])), t_Parts[[SetupHrsPerMo]:[SetupHrsPerMo]]+(t_Parts[[#This Row],[pv2016.12]]/t_Parts[[NetPPH]:[NetPPH]]),0)</f>
        <v>10.230696386946386</v>
      </c>
      <c r="DQ107" s="39">
        <f>SUM(t_Parts[[#This Row],[hp2016.01]:[hp2016.12]])</f>
        <v>107.99924242424242</v>
      </c>
      <c r="DR107" s="39">
        <f>IF(AND(BL$3&gt;=VALUE(t_Parts[[SOP]:[SOP]]),BL$3&lt;=VALUE(t_Parts[[EOP]:[EOP]])), 12*t_Parts[[SetupHrsPerMo]:[SetupHrsPerMo]]+(t_Parts[[#This Row],[pv2017]]/t_Parts[[NetPPH]:[NetPPH]]),0)</f>
        <v>107.99924242424242</v>
      </c>
      <c r="DS107" s="39">
        <f>IF(AND(BM$3&gt;=VALUE(t_Parts[[SOP]:[SOP]]),BM$3&lt;=VALUE(t_Parts[[EOP]:[EOP]])), 12*t_Parts[[SetupHrsPerMo]:[SetupHrsPerMo]]+(t_Parts[[#This Row],[pv2018]]/t_Parts[[NetPPH]:[NetPPH]]),0)</f>
        <v>107.99924242424242</v>
      </c>
      <c r="DT107" s="39">
        <f>IF(AND(BN$3&gt;=VALUE(t_Parts[[SOP]:[SOP]]),BN$3&lt;=VALUE(t_Parts[[EOP]:[EOP]])), 12*t_Parts[[SetupHrsPerMo]:[SetupHrsPerMo]]+(t_Parts[[#This Row],[pv2019]]/t_Parts[[NetPPH]:[NetPPH]]),0)</f>
        <v>107.99924242424242</v>
      </c>
      <c r="DU107" s="47">
        <f>t_Parts[[#This Row],[hp2015.01]]/t_Parts[[#This Row],[ha2015.01]]</f>
        <v>2.9944846819846827E-2</v>
      </c>
      <c r="DV107" s="47">
        <f>t_Parts[[#This Row],[hp2015.02]]/t_Parts[[#This Row],[ha2015.02]]</f>
        <v>2.9944846819846827E-2</v>
      </c>
      <c r="DW107" s="47">
        <f>t_Parts[[#This Row],[hp2015.03]]/t_Parts[[#This Row],[ha2015.03]]</f>
        <v>2.9230561105561104E-2</v>
      </c>
      <c r="DX107" s="47">
        <f>t_Parts[[#This Row],[hp2015.04]]/t_Parts[[#This Row],[ha2015.04]]</f>
        <v>2.9944846819846827E-2</v>
      </c>
      <c r="DY107" s="47">
        <f>t_Parts[[#This Row],[hp2015.05]]/t_Parts[[#This Row],[ha2015.05]]</f>
        <v>2.9944846819846827E-2</v>
      </c>
      <c r="DZ107" s="47">
        <f>t_Parts[[#This Row],[hp2015.06]]/t_Parts[[#This Row],[ha2015.06]]</f>
        <v>2.9230561105561104E-2</v>
      </c>
      <c r="EA107" s="47">
        <f>t_Parts[[#This Row],[hp2015.07]]/t_Parts[[#This Row],[ha2015.07]]</f>
        <v>2.9944846819846827E-2</v>
      </c>
      <c r="EB107" s="47">
        <f>t_Parts[[#This Row],[hp2015.08]]/t_Parts[[#This Row],[ha2015.08]]</f>
        <v>2.9944846819846827E-2</v>
      </c>
      <c r="EC107" s="47">
        <f>t_Parts[[#This Row],[hp2015.09]]/t_Parts[[#This Row],[ha2015.09]]</f>
        <v>2.9230561105561104E-2</v>
      </c>
      <c r="ED107" s="47">
        <f>t_Parts[[#This Row],[hp2015.10]]/t_Parts[[#This Row],[ha2015.10]]</f>
        <v>2.9944846819846827E-2</v>
      </c>
      <c r="EE107" s="47">
        <f>t_Parts[[#This Row],[hp2015.11]]/t_Parts[[#This Row],[ha2015.11]]</f>
        <v>2.9944846819846827E-2</v>
      </c>
      <c r="EF107" s="47">
        <f>t_Parts[[#This Row],[hp2015.12]]/t_Parts[[#This Row],[ha2015.12]]</f>
        <v>2.9230561105561104E-2</v>
      </c>
      <c r="EG107" s="47">
        <f>t_Parts[[#This Row],[hp2015.FY]]/t_Parts[[#This Row],[ha2015.FY]]</f>
        <v>2.9670121545121546E-2</v>
      </c>
      <c r="EH107" s="47">
        <f>t_Parts[[#This Row],[hp2016.01]]/t_Parts[[#This Row],[ha2016.01]]</f>
        <v>2.9944846819846827E-2</v>
      </c>
      <c r="EI107" s="47">
        <f>t_Parts[[#This Row],[hp2016.02]]/t_Parts[[#This Row],[ha2016.02]]</f>
        <v>2.9944846819846827E-2</v>
      </c>
      <c r="EJ107" s="47">
        <f>t_Parts[[#This Row],[hp2016.03]]/t_Parts[[#This Row],[ha2016.03]]</f>
        <v>2.9230561105561104E-2</v>
      </c>
      <c r="EK107" s="47">
        <f>t_Parts[[#This Row],[hp2016.04]]/t_Parts[[#This Row],[ha2016.04]]</f>
        <v>2.9944846819846827E-2</v>
      </c>
      <c r="EL107" s="47">
        <f>t_Parts[[#This Row],[hp2016.05]]/t_Parts[[#This Row],[ha2016.05]]</f>
        <v>2.9944846819846827E-2</v>
      </c>
      <c r="EM107" s="47">
        <f>t_Parts[[#This Row],[hp2016.06]]/t_Parts[[#This Row],[ha2016.06]]</f>
        <v>2.9230561105561104E-2</v>
      </c>
      <c r="EN107" s="47">
        <f>t_Parts[[#This Row],[hp2016.07]]/t_Parts[[#This Row],[ha2016.07]]</f>
        <v>2.9944846819846827E-2</v>
      </c>
      <c r="EO107" s="47">
        <f>t_Parts[[#This Row],[hp2016.08]]/t_Parts[[#This Row],[ha2016.08]]</f>
        <v>2.9944846819846827E-2</v>
      </c>
      <c r="EP107" s="47">
        <f>t_Parts[[#This Row],[hp2016.09]]/t_Parts[[#This Row],[ha2016.09]]</f>
        <v>2.9230561105561104E-2</v>
      </c>
      <c r="EQ107" s="47">
        <f>t_Parts[[#This Row],[hp2016.10]]/t_Parts[[#This Row],[ha2016.10]]</f>
        <v>2.9944846819846827E-2</v>
      </c>
      <c r="ER107" s="47">
        <f>t_Parts[[#This Row],[hp2016.11]]/t_Parts[[#This Row],[ha2016.11]]</f>
        <v>2.9944846819846827E-2</v>
      </c>
      <c r="ES107" s="47">
        <f>t_Parts[[#This Row],[hp2016.12]]/t_Parts[[#This Row],[ha2016.12]]</f>
        <v>2.9230561105561104E-2</v>
      </c>
      <c r="ET107" s="47">
        <f>t_Parts[[#This Row],[hp2016.FY]]/t_Parts[[#This Row],[ha2016.FY]]</f>
        <v>2.9670121545121546E-2</v>
      </c>
      <c r="EU107" s="47">
        <f>t_Parts[[#This Row],[hp2017]]/t_Parts[[#This Row],[ha2017]]</f>
        <v>2.9670121545121546E-2</v>
      </c>
      <c r="EV107" s="47">
        <f>t_Parts[[#This Row],[hp2018]]/t_Parts[[#This Row],[ha2018]]</f>
        <v>2.9670121545121546E-2</v>
      </c>
      <c r="EW107" s="47">
        <f>t_Parts[[#This Row],[hp2019]]/t_Parts[[#This Row],[hp2015.01]]</f>
        <v>12.8807331160211</v>
      </c>
      <c r="EX107" s="58">
        <f>(t_Parts[[#This Row],[ha2015.01]]-t_Parts[[#This Row],[hp2015.01]])*t_Parts[[NetPPH]:[NetPPH]]</f>
        <v>358532.38461538457</v>
      </c>
      <c r="EY107" s="58">
        <f>(t_Parts[[#This Row],[ha2015.02]]-t_Parts[[#This Row],[hp2015.02]])*t_Parts[[NetPPH]:[NetPPH]]</f>
        <v>358532.38461538457</v>
      </c>
      <c r="EZ107" s="58">
        <f>(t_Parts[[#This Row],[ha2015.03]]-t_Parts[[#This Row],[hp2015.03]])*t_Parts[[NetPPH]:[NetPPH]]</f>
        <v>448495.48076923081</v>
      </c>
      <c r="FA107" s="58">
        <f>(t_Parts[[#This Row],[ha2015.04]]-t_Parts[[#This Row],[hp2015.04]])*t_Parts[[NetPPH]:[NetPPH]]</f>
        <v>358532.38461538457</v>
      </c>
      <c r="FB107" s="58">
        <f>(t_Parts[[#This Row],[ha2015.05]]-t_Parts[[#This Row],[hp2015.05]])*t_Parts[[NetPPH]:[NetPPH]]</f>
        <v>358532.38461538457</v>
      </c>
      <c r="FC107" s="58">
        <f>(t_Parts[[#This Row],[ha2015.06]]-t_Parts[[#This Row],[hp2015.06]])*t_Parts[[NetPPH]:[NetPPH]]</f>
        <v>448495.48076923081</v>
      </c>
      <c r="FD107" s="58">
        <f>(t_Parts[[#This Row],[ha2015.07]]-t_Parts[[#This Row],[hp2015.07]])*t_Parts[[NetPPH]:[NetPPH]]</f>
        <v>358532.38461538457</v>
      </c>
      <c r="FE107" s="58">
        <f>(t_Parts[[#This Row],[ha2015.08]]-t_Parts[[#This Row],[hp2015.08]])*t_Parts[[NetPPH]:[NetPPH]]</f>
        <v>358532.38461538457</v>
      </c>
      <c r="FF107" s="58">
        <f>(t_Parts[[#This Row],[ha2015.09]]-t_Parts[[#This Row],[hp2015.09]])*t_Parts[[NetPPH]:[NetPPH]]</f>
        <v>448495.48076923081</v>
      </c>
      <c r="FG107" s="58">
        <f>(t_Parts[[#This Row],[ha2015.10]]-t_Parts[[#This Row],[hp2015.10]])*t_Parts[[NetPPH]:[NetPPH]]</f>
        <v>358532.38461538457</v>
      </c>
      <c r="FH107" s="58">
        <f>(t_Parts[[#This Row],[ha2015.11]]-t_Parts[[#This Row],[hp2015.11]])*t_Parts[[NetPPH]:[NetPPH]]</f>
        <v>358532.38461538457</v>
      </c>
      <c r="FI107" s="58">
        <f>(t_Parts[[#This Row],[ha2015.12]]-t_Parts[[#This Row],[hp2015.12]])*t_Parts[[NetPPH]:[NetPPH]]</f>
        <v>448495.48076923081</v>
      </c>
      <c r="FJ107" s="58">
        <f>(t_Parts[[#This Row],[ha2015.FY]]-t_Parts[[#This Row],[hp2015.FY]])*t_Parts[[NetPPH]:[NetPPH]]</f>
        <v>4662241</v>
      </c>
      <c r="FK107" s="58">
        <f>(t_Parts[[#This Row],[ha2016.01]]-t_Parts[[#This Row],[hp2016.01]])*t_Parts[[NetPPH]:[NetPPH]]</f>
        <v>358532.38461538457</v>
      </c>
      <c r="FL107" s="58">
        <f>(t_Parts[[#This Row],[ha2016.02]]-t_Parts[[#This Row],[hp2016.02]])*t_Parts[[NetPPH]:[NetPPH]]</f>
        <v>358532.38461538457</v>
      </c>
      <c r="FM107" s="58">
        <f>(t_Parts[[#This Row],[ha2016.03]]-t_Parts[[#This Row],[hp2016.03]])*t_Parts[[NetPPH]:[NetPPH]]</f>
        <v>448495.48076923081</v>
      </c>
      <c r="FN107" s="58">
        <f>(t_Parts[[#This Row],[ha2016.04]]-t_Parts[[#This Row],[hp2016.04]])*t_Parts[[NetPPH]:[NetPPH]]</f>
        <v>358532.38461538457</v>
      </c>
      <c r="FO107" s="58">
        <f>(t_Parts[[#This Row],[ha2016.05]]-t_Parts[[#This Row],[hp2016.05]])*t_Parts[[NetPPH]:[NetPPH]]</f>
        <v>358532.38461538457</v>
      </c>
      <c r="FP107" s="58">
        <f>(t_Parts[[#This Row],[ha2016.06]]-t_Parts[[#This Row],[hp2016.06]])*t_Parts[[NetPPH]:[NetPPH]]</f>
        <v>448495.48076923081</v>
      </c>
      <c r="FQ107" s="58">
        <f>(t_Parts[[#This Row],[ha2016.07]]-t_Parts[[#This Row],[hp2016.07]])*t_Parts[[NetPPH]:[NetPPH]]</f>
        <v>358532.38461538457</v>
      </c>
      <c r="FR107" s="58">
        <f>(t_Parts[[#This Row],[ha2016.08]]-t_Parts[[#This Row],[hp2016.08]])*t_Parts[[NetPPH]:[NetPPH]]</f>
        <v>358532.38461538457</v>
      </c>
      <c r="FS107" s="58">
        <f>(t_Parts[[#This Row],[ha2016.09]]-t_Parts[[#This Row],[hp2016.09]])*t_Parts[[NetPPH]:[NetPPH]]</f>
        <v>448495.48076923081</v>
      </c>
      <c r="FT107" s="58">
        <f>(t_Parts[[#This Row],[ha2016.10]]-t_Parts[[#This Row],[hp2016.10]])*t_Parts[[NetPPH]:[NetPPH]]</f>
        <v>358532.38461538457</v>
      </c>
      <c r="FU107" s="58">
        <f>(t_Parts[[#This Row],[ha2016.11]]-t_Parts[[#This Row],[hp2016.11]])*t_Parts[[NetPPH]:[NetPPH]]</f>
        <v>358532.38461538457</v>
      </c>
      <c r="FV107" s="58">
        <f>(t_Parts[[#This Row],[ha2016.12]]-t_Parts[[#This Row],[hp2016.12]])*t_Parts[[NetPPH]:[NetPPH]]</f>
        <v>448495.48076923081</v>
      </c>
      <c r="FW107" s="58">
        <f>(t_Parts[[#This Row],[ha2016.FY]]-t_Parts[[#This Row],[hp2016.FY]])*t_Parts[[NetPPH]:[NetPPH]]</f>
        <v>4662241</v>
      </c>
      <c r="FX107" s="58">
        <f>(t_Parts[[#This Row],[ha2017]]-t_Parts[[#This Row],[hp2017]])*t_Parts[[NetPPH]:[NetPPH]]</f>
        <v>4662241</v>
      </c>
      <c r="FY107" s="58">
        <f>(t_Parts[[#This Row],[ha2018]]-t_Parts[[#This Row],[hp2018]])*t_Parts[[NetPPH]:[NetPPH]]</f>
        <v>4662241</v>
      </c>
      <c r="FZ107" s="58">
        <f>(t_Parts[[#This Row],[ha2019]]-t_Parts[[#This Row],[hp2019]])*t_Parts[[NetPPH]:[NetPPH]]</f>
        <v>4662241</v>
      </c>
    </row>
    <row r="108" spans="1:182" s="14" customFormat="1" x14ac:dyDescent="0.25">
      <c r="A108" s="74">
        <v>29180</v>
      </c>
      <c r="B108" s="74"/>
      <c r="C108" s="74">
        <v>21014</v>
      </c>
      <c r="D108" s="75">
        <v>1</v>
      </c>
      <c r="E108" s="73">
        <v>2400</v>
      </c>
      <c r="F108" s="76">
        <v>1</v>
      </c>
      <c r="G108" s="77">
        <v>4</v>
      </c>
      <c r="H108" s="16">
        <v>2015.01</v>
      </c>
      <c r="I108" s="16" t="s">
        <v>83</v>
      </c>
      <c r="J108" s="73">
        <v>176000</v>
      </c>
      <c r="K108" s="73">
        <v>176000</v>
      </c>
      <c r="L108" s="73">
        <v>176000</v>
      </c>
      <c r="M108" s="73">
        <v>176000</v>
      </c>
      <c r="N108" s="73">
        <v>176000</v>
      </c>
      <c r="O108" s="78">
        <v>38</v>
      </c>
      <c r="P108" s="78">
        <v>91</v>
      </c>
      <c r="Q108" s="79">
        <v>22.98</v>
      </c>
      <c r="R108" s="79"/>
      <c r="S108" s="78">
        <v>190</v>
      </c>
      <c r="T108" s="80">
        <v>14</v>
      </c>
      <c r="U108" s="80" t="s">
        <v>121</v>
      </c>
      <c r="V108" s="81" t="s">
        <v>622</v>
      </c>
      <c r="W108" s="82">
        <v>0.84499999999999997</v>
      </c>
      <c r="X108" s="82" t="s">
        <v>495</v>
      </c>
      <c r="Y108" s="82" t="s">
        <v>623</v>
      </c>
      <c r="Z108" s="82"/>
      <c r="AA108" s="82"/>
      <c r="AB108" s="82"/>
      <c r="AC108" s="83" t="s">
        <v>110</v>
      </c>
      <c r="AD108" s="40" t="str">
        <f>VLOOKUP(t_Parts[[#This Row],[Press]],t_Presses[],Press!B$1,FALSE)</f>
        <v>Plainfield</v>
      </c>
      <c r="AE108" s="40" t="str">
        <f>VLOOKUP(t_Parts[[#This Row],[Press]],t_Presses[],Press!E$1,FALSE)</f>
        <v>300-599</v>
      </c>
      <c r="AF108" s="47">
        <f>VLOOKUP(t_Parts[[#This Row],[Plant]],t_Plants[],Plants!C$1,FALSE)</f>
        <v>0.55000000000000004</v>
      </c>
      <c r="AG108" s="47">
        <f>VLOOKUP(t_Parts[[#This Row],[Press]],t_Presses[],Press!F$1,FALSE)</f>
        <v>0</v>
      </c>
      <c r="AH108" s="84"/>
      <c r="AI108" s="47">
        <f>IF(ISBLANK(t_Parts[[#This Row],[PartOEE]])=FALSE,t_Parts[[#This Row],[PartOEE]], IF(t_Parts[[#This Row],[PressOEE]]&gt;0, t_Parts[[#This Row],[PressOEE]], t_Parts[[#This Row],[PlantOEE]] ))</f>
        <v>0.55000000000000004</v>
      </c>
      <c r="AJ108" s="70">
        <f>t_Parts[[#This Row],[SetupsPerMo]]*t_Parts[[#This Row],[SetupHrs]]</f>
        <v>4</v>
      </c>
      <c r="AK108" s="39">
        <f>(t_Parts[[#This Row],[PartsPerStroke]]*t_Parts[[#This Row],[StrokesPerHr]])*t_Parts[[#This Row],[UseOEE]]</f>
        <v>1320</v>
      </c>
      <c r="AL108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13538.461538461539</v>
      </c>
      <c r="AM108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13538.461538461539</v>
      </c>
      <c r="AN108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16923.076923076922</v>
      </c>
      <c r="AO108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13538.461538461539</v>
      </c>
      <c r="AP108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13538.461538461539</v>
      </c>
      <c r="AQ108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16923.076923076922</v>
      </c>
      <c r="AR108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13538.461538461539</v>
      </c>
      <c r="AS108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13538.461538461539</v>
      </c>
      <c r="AT108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16923.076923076922</v>
      </c>
      <c r="AU108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13538.461538461539</v>
      </c>
      <c r="AV108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13538.461538461539</v>
      </c>
      <c r="AW108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16923.076923076922</v>
      </c>
      <c r="AX108" s="39">
        <f>SUM(t_Parts[[#This Row],[pv2015.01]:[pv2015.12]])</f>
        <v>176000</v>
      </c>
      <c r="AY108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13538.461538461539</v>
      </c>
      <c r="AZ108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13538.461538461539</v>
      </c>
      <c r="BA108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16923.076923076922</v>
      </c>
      <c r="BB108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13538.461538461539</v>
      </c>
      <c r="BC108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13538.461538461539</v>
      </c>
      <c r="BD108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16923.076923076922</v>
      </c>
      <c r="BE108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13538.461538461539</v>
      </c>
      <c r="BF108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13538.461538461539</v>
      </c>
      <c r="BG108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16923.076923076922</v>
      </c>
      <c r="BH108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13538.461538461539</v>
      </c>
      <c r="BI108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13538.461538461539</v>
      </c>
      <c r="BJ108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16923.076923076922</v>
      </c>
      <c r="BK108" s="39">
        <f>SUM(t_Parts[[#This Row],[pv2016.01]:[pv2016.12]])</f>
        <v>176000</v>
      </c>
      <c r="BL108" s="39">
        <f>t_Parts[[#This Row],[2017vol]]</f>
        <v>176000</v>
      </c>
      <c r="BM108" s="39">
        <f>t_Parts[[#This Row],[2018vol]]</f>
        <v>176000</v>
      </c>
      <c r="BN108" s="39">
        <f>t_Parts[[#This Row],[2019vol]]</f>
        <v>176000</v>
      </c>
      <c r="BO108" s="40">
        <f>VLOOKUP(t_Parts[[Plant]:[Plant]],t_Plants[],Plants!CN$1,FALSE)</f>
        <v>280</v>
      </c>
      <c r="BP108" s="14">
        <f>VLOOKUP(t_Parts[[Plant]:[Plant]],t_Plants[],Plants!CO$1,FALSE)</f>
        <v>280</v>
      </c>
      <c r="BQ108" s="14">
        <f>VLOOKUP(t_Parts[[Plant]:[Plant]],t_Plants[],Plants!CP$1,FALSE)</f>
        <v>350</v>
      </c>
      <c r="BR108" s="14">
        <f>VLOOKUP(t_Parts[[Plant]:[Plant]],t_Plants[],Plants!CQ$1,FALSE)</f>
        <v>280</v>
      </c>
      <c r="BS108" s="14">
        <f>VLOOKUP(t_Parts[[Plant]:[Plant]],t_Plants[],Plants!CR$1,FALSE)</f>
        <v>280</v>
      </c>
      <c r="BT108" s="14">
        <f>VLOOKUP(t_Parts[[Plant]:[Plant]],t_Plants[],Plants!CS$1,FALSE)</f>
        <v>350</v>
      </c>
      <c r="BU108" s="14">
        <f>VLOOKUP(t_Parts[[Plant]:[Plant]],t_Plants[],Plants!CT$1,FALSE)</f>
        <v>280</v>
      </c>
      <c r="BV108" s="14">
        <f>VLOOKUP(t_Parts[[Plant]:[Plant]],t_Plants[],Plants!CU$1,FALSE)</f>
        <v>280</v>
      </c>
      <c r="BW108" s="14">
        <f>VLOOKUP(t_Parts[[Plant]:[Plant]],t_Plants[],Plants!CV$1,FALSE)</f>
        <v>350</v>
      </c>
      <c r="BX108" s="14">
        <f>VLOOKUP(t_Parts[[Plant]:[Plant]],t_Plants[],Plants!CW$1,FALSE)</f>
        <v>280</v>
      </c>
      <c r="BY108" s="14">
        <f>VLOOKUP(t_Parts[[Plant]:[Plant]],t_Plants[],Plants!CX$1,FALSE)</f>
        <v>280</v>
      </c>
      <c r="BZ108" s="14">
        <f>VLOOKUP(t_Parts[[Plant]:[Plant]],t_Plants[],Plants!CY$1,FALSE)</f>
        <v>350</v>
      </c>
      <c r="CA108" s="40">
        <f>SUM(t_Parts[[#This Row],[ha2015.01]:[ha2015.12]])</f>
        <v>3640</v>
      </c>
      <c r="CB108" s="14">
        <f>VLOOKUP(t_Parts[[Plant]:[Plant]],t_Plants[],Plants!DA$1,FALSE)</f>
        <v>280</v>
      </c>
      <c r="CC108" s="14">
        <f>VLOOKUP(t_Parts[[Plant]:[Plant]],t_Plants[],Plants!DB$1,FALSE)</f>
        <v>280</v>
      </c>
      <c r="CD108" s="14">
        <f>VLOOKUP(t_Parts[[Plant]:[Plant]],t_Plants[],Plants!DC$1,FALSE)</f>
        <v>350</v>
      </c>
      <c r="CE108" s="14">
        <f>VLOOKUP(t_Parts[[Plant]:[Plant]],t_Plants[],Plants!DD$1,FALSE)</f>
        <v>280</v>
      </c>
      <c r="CF108" s="14">
        <f>VLOOKUP(t_Parts[[Plant]:[Plant]],t_Plants[],Plants!DE$1,FALSE)</f>
        <v>280</v>
      </c>
      <c r="CG108" s="14">
        <f>VLOOKUP(t_Parts[[Plant]:[Plant]],t_Plants[],Plants!DF$1,FALSE)</f>
        <v>350</v>
      </c>
      <c r="CH108" s="14">
        <f>VLOOKUP(t_Parts[[Plant]:[Plant]],t_Plants[],Plants!DG$1,FALSE)</f>
        <v>280</v>
      </c>
      <c r="CI108" s="14">
        <f>VLOOKUP(t_Parts[[Plant]:[Plant]],t_Plants[],Plants!DH$1,FALSE)</f>
        <v>280</v>
      </c>
      <c r="CJ108" s="14">
        <f>VLOOKUP(t_Parts[[Plant]:[Plant]],t_Plants[],Plants!DI$1,FALSE)</f>
        <v>350</v>
      </c>
      <c r="CK108" s="14">
        <f>VLOOKUP(t_Parts[[Plant]:[Plant]],t_Plants[],Plants!DJ$1,FALSE)</f>
        <v>280</v>
      </c>
      <c r="CL108" s="14">
        <f>VLOOKUP(t_Parts[[Plant]:[Plant]],t_Plants[],Plants!DK$1,FALSE)</f>
        <v>280</v>
      </c>
      <c r="CM108" s="14">
        <f>VLOOKUP(t_Parts[[Plant]:[Plant]],t_Plants[],Plants!DL$1,FALSE)</f>
        <v>350</v>
      </c>
      <c r="CN108" s="14">
        <f>VLOOKUP(t_Parts[[Plant]:[Plant]],t_Plants[],Plants!DM$1,FALSE)</f>
        <v>3640</v>
      </c>
      <c r="CO108" s="14">
        <f>VLOOKUP(t_Parts[[Plant]:[Plant]],t_Plants[],Plants!DN$1,FALSE)</f>
        <v>3640</v>
      </c>
      <c r="CP108" s="14">
        <f>VLOOKUP(t_Parts[[Plant]:[Plant]],t_Plants[],Plants!DO$1,FALSE)</f>
        <v>3640</v>
      </c>
      <c r="CQ108" s="14">
        <f>VLOOKUP(t_Parts[[Plant]:[Plant]],t_Plants[],Plants!DP$1,FALSE)</f>
        <v>3640</v>
      </c>
      <c r="CR108" s="39">
        <f>IF(AND(AL$3&gt;=VALUE(t_Parts[[SOP]:[SOP]]),AL$3&lt;=VALUE(t_Parts[[EOP]:[EOP]])), t_Parts[[SetupHrsPerMo]:[SetupHrsPerMo]]+(t_Parts[[#This Row],[pv2015.01]]/t_Parts[[NetPPH]:[NetPPH]]),0)</f>
        <v>14.256410256410257</v>
      </c>
      <c r="CS108" s="39">
        <f>IF(AND(AM$3&gt;=VALUE(t_Parts[[SOP]:[SOP]]),AM$3&lt;=VALUE(t_Parts[[EOP]:[EOP]])), t_Parts[[SetupHrsPerMo]:[SetupHrsPerMo]]+(t_Parts[[#This Row],[pv2015.02]]/t_Parts[[NetPPH]:[NetPPH]]),0)</f>
        <v>14.256410256410257</v>
      </c>
      <c r="CT108" s="39">
        <f>IF(AND(AN$3&gt;=VALUE(t_Parts[[SOP]:[SOP]]),AN$3&lt;=VALUE(t_Parts[[EOP]:[EOP]])), t_Parts[[SetupHrsPerMo]:[SetupHrsPerMo]]+(t_Parts[[#This Row],[pv2015.03]]/t_Parts[[NetPPH]:[NetPPH]]),0)</f>
        <v>16.820512820512818</v>
      </c>
      <c r="CU108" s="39">
        <f>IF(AND(AO$3&gt;=VALUE(t_Parts[[SOP]:[SOP]]),AO$3&lt;=VALUE(t_Parts[[EOP]:[EOP]])), t_Parts[[SetupHrsPerMo]:[SetupHrsPerMo]]+(t_Parts[[#This Row],[pv2015.04]]/t_Parts[[NetPPH]:[NetPPH]]),0)</f>
        <v>14.256410256410257</v>
      </c>
      <c r="CV108" s="39">
        <f>IF(AND(AP$3&gt;=VALUE(t_Parts[[SOP]:[SOP]]),AP$3&lt;=VALUE(t_Parts[[EOP]:[EOP]])), t_Parts[[SetupHrsPerMo]:[SetupHrsPerMo]]+(t_Parts[[#This Row],[pv2015.05]]/t_Parts[[NetPPH]:[NetPPH]]),0)</f>
        <v>14.256410256410257</v>
      </c>
      <c r="CW108" s="39">
        <f>IF(AND(AQ$3&gt;=VALUE(t_Parts[[SOP]:[SOP]]),AQ$3&lt;=VALUE(t_Parts[[EOP]:[EOP]])), t_Parts[[SetupHrsPerMo]:[SetupHrsPerMo]]+(t_Parts[[#This Row],[pv2015.06]]/t_Parts[[NetPPH]:[NetPPH]]),0)</f>
        <v>16.820512820512818</v>
      </c>
      <c r="CX108" s="39">
        <f>IF(AND(AR$3&gt;=VALUE(t_Parts[[SOP]:[SOP]]),AR$3&lt;=VALUE(t_Parts[[EOP]:[EOP]])), t_Parts[[SetupHrsPerMo]:[SetupHrsPerMo]]+(t_Parts[[#This Row],[pv2015.07]]/t_Parts[[NetPPH]:[NetPPH]]),0)</f>
        <v>14.256410256410257</v>
      </c>
      <c r="CY108" s="39">
        <f>IF(AND(AS$3&gt;=VALUE(t_Parts[[SOP]:[SOP]]),AS$3&lt;=VALUE(t_Parts[[EOP]:[EOP]])), t_Parts[[SetupHrsPerMo]:[SetupHrsPerMo]]+(t_Parts[[#This Row],[pv2015.08]]/t_Parts[[NetPPH]:[NetPPH]]),0)</f>
        <v>14.256410256410257</v>
      </c>
      <c r="CZ108" s="39">
        <f>IF(AND(AT$3&gt;=VALUE(t_Parts[[SOP]:[SOP]]),AT$3&lt;=VALUE(t_Parts[[EOP]:[EOP]])), t_Parts[[SetupHrsPerMo]:[SetupHrsPerMo]]+(t_Parts[[#This Row],[pv2015.09]]/t_Parts[[NetPPH]:[NetPPH]]),0)</f>
        <v>16.820512820512818</v>
      </c>
      <c r="DA108" s="39">
        <f>IF(AND(AU$3&gt;=VALUE(t_Parts[[SOP]:[SOP]]),AU$3&lt;=VALUE(t_Parts[[EOP]:[EOP]])), t_Parts[[SetupHrsPerMo]:[SetupHrsPerMo]]+(t_Parts[[#This Row],[pv2015.10]]/t_Parts[[NetPPH]:[NetPPH]]),0)</f>
        <v>14.256410256410257</v>
      </c>
      <c r="DB108" s="39">
        <f>IF(AND(AV$3&gt;=VALUE(t_Parts[[SOP]:[SOP]]),AV$3&lt;=VALUE(t_Parts[[EOP]:[EOP]])), t_Parts[[SetupHrsPerMo]:[SetupHrsPerMo]]+(t_Parts[[#This Row],[pv2015.11]]/t_Parts[[NetPPH]:[NetPPH]]),0)</f>
        <v>14.256410256410257</v>
      </c>
      <c r="DC108" s="39">
        <f>IF(AND(AW$3&gt;=VALUE(t_Parts[[SOP]:[SOP]]),AW$3&lt;=VALUE(t_Parts[[EOP]:[EOP]])), t_Parts[[SetupHrsPerMo]:[SetupHrsPerMo]]+(t_Parts[[#This Row],[pv2015.12]]/t_Parts[[NetPPH]:[NetPPH]]),0)</f>
        <v>16.820512820512818</v>
      </c>
      <c r="DD108" s="39">
        <f>SUM(t_Parts[[#This Row],[hp2015.01]:[hp2015.12]])</f>
        <v>181.33333333333331</v>
      </c>
      <c r="DE108" s="39">
        <f>IF(AND(AY$3&gt;=VALUE(t_Parts[[SOP]:[SOP]]),AY$3&lt;=VALUE(t_Parts[[EOP]:[EOP]])), t_Parts[[SetupHrsPerMo]:[SetupHrsPerMo]]+(t_Parts[[#This Row],[pv2016.01]]/t_Parts[[NetPPH]:[NetPPH]]),0)</f>
        <v>14.256410256410257</v>
      </c>
      <c r="DF108" s="39">
        <f>IF(AND(AZ$3&gt;=VALUE(t_Parts[[SOP]:[SOP]]),AZ$3&lt;=VALUE(t_Parts[[EOP]:[EOP]])), t_Parts[[SetupHrsPerMo]:[SetupHrsPerMo]]+(t_Parts[[#This Row],[pv2016.02]]/t_Parts[[NetPPH]:[NetPPH]]),0)</f>
        <v>14.256410256410257</v>
      </c>
      <c r="DG108" s="39">
        <f>IF(AND(BA$3&gt;=VALUE(t_Parts[[SOP]:[SOP]]),BA$3&lt;=VALUE(t_Parts[[EOP]:[EOP]])), t_Parts[[SetupHrsPerMo]:[SetupHrsPerMo]]+(t_Parts[[#This Row],[pv2016.03]]/t_Parts[[NetPPH]:[NetPPH]]),0)</f>
        <v>16.820512820512818</v>
      </c>
      <c r="DH108" s="39">
        <f>IF(AND(BB$3&gt;=VALUE(t_Parts[[SOP]:[SOP]]),BB$3&lt;=VALUE(t_Parts[[EOP]:[EOP]])), t_Parts[[SetupHrsPerMo]:[SetupHrsPerMo]]+(t_Parts[[#This Row],[pv2016.04]]/t_Parts[[NetPPH]:[NetPPH]]),0)</f>
        <v>14.256410256410257</v>
      </c>
      <c r="DI108" s="39">
        <f>IF(AND(BC$3&gt;=VALUE(t_Parts[[SOP]:[SOP]]),BC$3&lt;=VALUE(t_Parts[[EOP]:[EOP]])), t_Parts[[SetupHrsPerMo]:[SetupHrsPerMo]]+(t_Parts[[#This Row],[pv2016.05]]/t_Parts[[NetPPH]:[NetPPH]]),0)</f>
        <v>14.256410256410257</v>
      </c>
      <c r="DJ108" s="39">
        <f>IF(AND(BD$3&gt;=VALUE(t_Parts[[SOP]:[SOP]]),BD$3&lt;=VALUE(t_Parts[[EOP]:[EOP]])), t_Parts[[SetupHrsPerMo]:[SetupHrsPerMo]]+(t_Parts[[#This Row],[pv2016.06]]/t_Parts[[NetPPH]:[NetPPH]]),0)</f>
        <v>16.820512820512818</v>
      </c>
      <c r="DK108" s="39">
        <f>IF(AND(BE$3&gt;=VALUE(t_Parts[[SOP]:[SOP]]),BE$3&lt;=VALUE(t_Parts[[EOP]:[EOP]])), t_Parts[[SetupHrsPerMo]:[SetupHrsPerMo]]+(t_Parts[[#This Row],[pv2016.07]]/t_Parts[[NetPPH]:[NetPPH]]),0)</f>
        <v>14.256410256410257</v>
      </c>
      <c r="DL108" s="39">
        <f>IF(AND(BF$3&gt;=VALUE(t_Parts[[SOP]:[SOP]]),BF$3&lt;=VALUE(t_Parts[[EOP]:[EOP]])), t_Parts[[SetupHrsPerMo]:[SetupHrsPerMo]]+(t_Parts[[#This Row],[pv2016.08]]/t_Parts[[NetPPH]:[NetPPH]]),0)</f>
        <v>14.256410256410257</v>
      </c>
      <c r="DM108" s="39">
        <f>IF(AND(BG$3&gt;=VALUE(t_Parts[[SOP]:[SOP]]),BG$3&lt;=VALUE(t_Parts[[EOP]:[EOP]])), t_Parts[[SetupHrsPerMo]:[SetupHrsPerMo]]+(t_Parts[[#This Row],[pv2016.09]]/t_Parts[[NetPPH]:[NetPPH]]),0)</f>
        <v>16.820512820512818</v>
      </c>
      <c r="DN108" s="39">
        <f>IF(AND(BH$3&gt;=VALUE(t_Parts[[SOP]:[SOP]]),BH$3&lt;=VALUE(t_Parts[[EOP]:[EOP]])), t_Parts[[SetupHrsPerMo]:[SetupHrsPerMo]]+(t_Parts[[#This Row],[pv2016.10]]/t_Parts[[NetPPH]:[NetPPH]]),0)</f>
        <v>14.256410256410257</v>
      </c>
      <c r="DO108" s="39">
        <f>IF(AND(BI$3&gt;=VALUE(t_Parts[[SOP]:[SOP]]),BI$3&lt;=VALUE(t_Parts[[EOP]:[EOP]])), t_Parts[[SetupHrsPerMo]:[SetupHrsPerMo]]+(t_Parts[[#This Row],[pv2016.11]]/t_Parts[[NetPPH]:[NetPPH]]),0)</f>
        <v>14.256410256410257</v>
      </c>
      <c r="DP108" s="39">
        <f>IF(AND(BJ$3&gt;=VALUE(t_Parts[[SOP]:[SOP]]),BJ$3&lt;=VALUE(t_Parts[[EOP]:[EOP]])), t_Parts[[SetupHrsPerMo]:[SetupHrsPerMo]]+(t_Parts[[#This Row],[pv2016.12]]/t_Parts[[NetPPH]:[NetPPH]]),0)</f>
        <v>16.820512820512818</v>
      </c>
      <c r="DQ108" s="39">
        <f>SUM(t_Parts[[#This Row],[hp2016.01]:[hp2016.12]])</f>
        <v>181.33333333333331</v>
      </c>
      <c r="DR108" s="39">
        <f>IF(AND(BL$3&gt;=VALUE(t_Parts[[SOP]:[SOP]]),BL$3&lt;=VALUE(t_Parts[[EOP]:[EOP]])), 12*t_Parts[[SetupHrsPerMo]:[SetupHrsPerMo]]+(t_Parts[[#This Row],[pv2017]]/t_Parts[[NetPPH]:[NetPPH]]),0)</f>
        <v>181.33333333333334</v>
      </c>
      <c r="DS108" s="39">
        <f>IF(AND(BM$3&gt;=VALUE(t_Parts[[SOP]:[SOP]]),BM$3&lt;=VALUE(t_Parts[[EOP]:[EOP]])), 12*t_Parts[[SetupHrsPerMo]:[SetupHrsPerMo]]+(t_Parts[[#This Row],[pv2018]]/t_Parts[[NetPPH]:[NetPPH]]),0)</f>
        <v>181.33333333333334</v>
      </c>
      <c r="DT108" s="39">
        <f>IF(AND(BN$3&gt;=VALUE(t_Parts[[SOP]:[SOP]]),BN$3&lt;=VALUE(t_Parts[[EOP]:[EOP]])), 12*t_Parts[[SetupHrsPerMo]:[SetupHrsPerMo]]+(t_Parts[[#This Row],[pv2019]]/t_Parts[[NetPPH]:[NetPPH]]),0)</f>
        <v>181.33333333333334</v>
      </c>
      <c r="DU108" s="47">
        <f>t_Parts[[#This Row],[hp2015.01]]/t_Parts[[#This Row],[ha2015.01]]</f>
        <v>5.0915750915750922E-2</v>
      </c>
      <c r="DV108" s="47">
        <f>t_Parts[[#This Row],[hp2015.02]]/t_Parts[[#This Row],[ha2015.02]]</f>
        <v>5.0915750915750922E-2</v>
      </c>
      <c r="DW108" s="47">
        <f>t_Parts[[#This Row],[hp2015.03]]/t_Parts[[#This Row],[ha2015.03]]</f>
        <v>4.8058608058608052E-2</v>
      </c>
      <c r="DX108" s="47">
        <f>t_Parts[[#This Row],[hp2015.04]]/t_Parts[[#This Row],[ha2015.04]]</f>
        <v>5.0915750915750922E-2</v>
      </c>
      <c r="DY108" s="47">
        <f>t_Parts[[#This Row],[hp2015.05]]/t_Parts[[#This Row],[ha2015.05]]</f>
        <v>5.0915750915750922E-2</v>
      </c>
      <c r="DZ108" s="47">
        <f>t_Parts[[#This Row],[hp2015.06]]/t_Parts[[#This Row],[ha2015.06]]</f>
        <v>4.8058608058608052E-2</v>
      </c>
      <c r="EA108" s="47">
        <f>t_Parts[[#This Row],[hp2015.07]]/t_Parts[[#This Row],[ha2015.07]]</f>
        <v>5.0915750915750922E-2</v>
      </c>
      <c r="EB108" s="47">
        <f>t_Parts[[#This Row],[hp2015.08]]/t_Parts[[#This Row],[ha2015.08]]</f>
        <v>5.0915750915750922E-2</v>
      </c>
      <c r="EC108" s="47">
        <f>t_Parts[[#This Row],[hp2015.09]]/t_Parts[[#This Row],[ha2015.09]]</f>
        <v>4.8058608058608052E-2</v>
      </c>
      <c r="ED108" s="47">
        <f>t_Parts[[#This Row],[hp2015.10]]/t_Parts[[#This Row],[ha2015.10]]</f>
        <v>5.0915750915750922E-2</v>
      </c>
      <c r="EE108" s="47">
        <f>t_Parts[[#This Row],[hp2015.11]]/t_Parts[[#This Row],[ha2015.11]]</f>
        <v>5.0915750915750922E-2</v>
      </c>
      <c r="EF108" s="47">
        <f>t_Parts[[#This Row],[hp2015.12]]/t_Parts[[#This Row],[ha2015.12]]</f>
        <v>4.8058608058608052E-2</v>
      </c>
      <c r="EG108" s="47">
        <f>t_Parts[[#This Row],[hp2015.FY]]/t_Parts[[#This Row],[ha2015.FY]]</f>
        <v>4.9816849816849813E-2</v>
      </c>
      <c r="EH108" s="47">
        <f>t_Parts[[#This Row],[hp2016.01]]/t_Parts[[#This Row],[ha2016.01]]</f>
        <v>5.0915750915750922E-2</v>
      </c>
      <c r="EI108" s="47">
        <f>t_Parts[[#This Row],[hp2016.02]]/t_Parts[[#This Row],[ha2016.02]]</f>
        <v>5.0915750915750922E-2</v>
      </c>
      <c r="EJ108" s="47">
        <f>t_Parts[[#This Row],[hp2016.03]]/t_Parts[[#This Row],[ha2016.03]]</f>
        <v>4.8058608058608052E-2</v>
      </c>
      <c r="EK108" s="47">
        <f>t_Parts[[#This Row],[hp2016.04]]/t_Parts[[#This Row],[ha2016.04]]</f>
        <v>5.0915750915750922E-2</v>
      </c>
      <c r="EL108" s="47">
        <f>t_Parts[[#This Row],[hp2016.05]]/t_Parts[[#This Row],[ha2016.05]]</f>
        <v>5.0915750915750922E-2</v>
      </c>
      <c r="EM108" s="47">
        <f>t_Parts[[#This Row],[hp2016.06]]/t_Parts[[#This Row],[ha2016.06]]</f>
        <v>4.8058608058608052E-2</v>
      </c>
      <c r="EN108" s="47">
        <f>t_Parts[[#This Row],[hp2016.07]]/t_Parts[[#This Row],[ha2016.07]]</f>
        <v>5.0915750915750922E-2</v>
      </c>
      <c r="EO108" s="47">
        <f>t_Parts[[#This Row],[hp2016.08]]/t_Parts[[#This Row],[ha2016.08]]</f>
        <v>5.0915750915750922E-2</v>
      </c>
      <c r="EP108" s="47">
        <f>t_Parts[[#This Row],[hp2016.09]]/t_Parts[[#This Row],[ha2016.09]]</f>
        <v>4.8058608058608052E-2</v>
      </c>
      <c r="EQ108" s="47">
        <f>t_Parts[[#This Row],[hp2016.10]]/t_Parts[[#This Row],[ha2016.10]]</f>
        <v>5.0915750915750922E-2</v>
      </c>
      <c r="ER108" s="47">
        <f>t_Parts[[#This Row],[hp2016.11]]/t_Parts[[#This Row],[ha2016.11]]</f>
        <v>5.0915750915750922E-2</v>
      </c>
      <c r="ES108" s="47">
        <f>t_Parts[[#This Row],[hp2016.12]]/t_Parts[[#This Row],[ha2016.12]]</f>
        <v>4.8058608058608052E-2</v>
      </c>
      <c r="ET108" s="47">
        <f>t_Parts[[#This Row],[hp2016.FY]]/t_Parts[[#This Row],[ha2016.FY]]</f>
        <v>4.9816849816849813E-2</v>
      </c>
      <c r="EU108" s="47">
        <f>t_Parts[[#This Row],[hp2017]]/t_Parts[[#This Row],[ha2017]]</f>
        <v>4.981684981684982E-2</v>
      </c>
      <c r="EV108" s="47">
        <f>t_Parts[[#This Row],[hp2018]]/t_Parts[[#This Row],[ha2018]]</f>
        <v>4.981684981684982E-2</v>
      </c>
      <c r="EW108" s="47">
        <f>t_Parts[[#This Row],[hp2019]]/t_Parts[[#This Row],[hp2015.01]]</f>
        <v>12.719424460431654</v>
      </c>
      <c r="EX108" s="58">
        <f>(t_Parts[[#This Row],[ha2015.01]]-t_Parts[[#This Row],[hp2015.01]])*t_Parts[[NetPPH]:[NetPPH]]</f>
        <v>350781.53846153844</v>
      </c>
      <c r="EY108" s="58">
        <f>(t_Parts[[#This Row],[ha2015.02]]-t_Parts[[#This Row],[hp2015.02]])*t_Parts[[NetPPH]:[NetPPH]]</f>
        <v>350781.53846153844</v>
      </c>
      <c r="EZ108" s="58">
        <f>(t_Parts[[#This Row],[ha2015.03]]-t_Parts[[#This Row],[hp2015.03]])*t_Parts[[NetPPH]:[NetPPH]]</f>
        <v>439796.92307692306</v>
      </c>
      <c r="FA108" s="58">
        <f>(t_Parts[[#This Row],[ha2015.04]]-t_Parts[[#This Row],[hp2015.04]])*t_Parts[[NetPPH]:[NetPPH]]</f>
        <v>350781.53846153844</v>
      </c>
      <c r="FB108" s="58">
        <f>(t_Parts[[#This Row],[ha2015.05]]-t_Parts[[#This Row],[hp2015.05]])*t_Parts[[NetPPH]:[NetPPH]]</f>
        <v>350781.53846153844</v>
      </c>
      <c r="FC108" s="58">
        <f>(t_Parts[[#This Row],[ha2015.06]]-t_Parts[[#This Row],[hp2015.06]])*t_Parts[[NetPPH]:[NetPPH]]</f>
        <v>439796.92307692306</v>
      </c>
      <c r="FD108" s="58">
        <f>(t_Parts[[#This Row],[ha2015.07]]-t_Parts[[#This Row],[hp2015.07]])*t_Parts[[NetPPH]:[NetPPH]]</f>
        <v>350781.53846153844</v>
      </c>
      <c r="FE108" s="58">
        <f>(t_Parts[[#This Row],[ha2015.08]]-t_Parts[[#This Row],[hp2015.08]])*t_Parts[[NetPPH]:[NetPPH]]</f>
        <v>350781.53846153844</v>
      </c>
      <c r="FF108" s="58">
        <f>(t_Parts[[#This Row],[ha2015.09]]-t_Parts[[#This Row],[hp2015.09]])*t_Parts[[NetPPH]:[NetPPH]]</f>
        <v>439796.92307692306</v>
      </c>
      <c r="FG108" s="58">
        <f>(t_Parts[[#This Row],[ha2015.10]]-t_Parts[[#This Row],[hp2015.10]])*t_Parts[[NetPPH]:[NetPPH]]</f>
        <v>350781.53846153844</v>
      </c>
      <c r="FH108" s="58">
        <f>(t_Parts[[#This Row],[ha2015.11]]-t_Parts[[#This Row],[hp2015.11]])*t_Parts[[NetPPH]:[NetPPH]]</f>
        <v>350781.53846153844</v>
      </c>
      <c r="FI108" s="58">
        <f>(t_Parts[[#This Row],[ha2015.12]]-t_Parts[[#This Row],[hp2015.12]])*t_Parts[[NetPPH]:[NetPPH]]</f>
        <v>439796.92307692306</v>
      </c>
      <c r="FJ108" s="58">
        <f>(t_Parts[[#This Row],[ha2015.FY]]-t_Parts[[#This Row],[hp2015.FY]])*t_Parts[[NetPPH]:[NetPPH]]</f>
        <v>4565440</v>
      </c>
      <c r="FK108" s="58">
        <f>(t_Parts[[#This Row],[ha2016.01]]-t_Parts[[#This Row],[hp2016.01]])*t_Parts[[NetPPH]:[NetPPH]]</f>
        <v>350781.53846153844</v>
      </c>
      <c r="FL108" s="58">
        <f>(t_Parts[[#This Row],[ha2016.02]]-t_Parts[[#This Row],[hp2016.02]])*t_Parts[[NetPPH]:[NetPPH]]</f>
        <v>350781.53846153844</v>
      </c>
      <c r="FM108" s="58">
        <f>(t_Parts[[#This Row],[ha2016.03]]-t_Parts[[#This Row],[hp2016.03]])*t_Parts[[NetPPH]:[NetPPH]]</f>
        <v>439796.92307692306</v>
      </c>
      <c r="FN108" s="58">
        <f>(t_Parts[[#This Row],[ha2016.04]]-t_Parts[[#This Row],[hp2016.04]])*t_Parts[[NetPPH]:[NetPPH]]</f>
        <v>350781.53846153844</v>
      </c>
      <c r="FO108" s="58">
        <f>(t_Parts[[#This Row],[ha2016.05]]-t_Parts[[#This Row],[hp2016.05]])*t_Parts[[NetPPH]:[NetPPH]]</f>
        <v>350781.53846153844</v>
      </c>
      <c r="FP108" s="58">
        <f>(t_Parts[[#This Row],[ha2016.06]]-t_Parts[[#This Row],[hp2016.06]])*t_Parts[[NetPPH]:[NetPPH]]</f>
        <v>439796.92307692306</v>
      </c>
      <c r="FQ108" s="58">
        <f>(t_Parts[[#This Row],[ha2016.07]]-t_Parts[[#This Row],[hp2016.07]])*t_Parts[[NetPPH]:[NetPPH]]</f>
        <v>350781.53846153844</v>
      </c>
      <c r="FR108" s="58">
        <f>(t_Parts[[#This Row],[ha2016.08]]-t_Parts[[#This Row],[hp2016.08]])*t_Parts[[NetPPH]:[NetPPH]]</f>
        <v>350781.53846153844</v>
      </c>
      <c r="FS108" s="58">
        <f>(t_Parts[[#This Row],[ha2016.09]]-t_Parts[[#This Row],[hp2016.09]])*t_Parts[[NetPPH]:[NetPPH]]</f>
        <v>439796.92307692306</v>
      </c>
      <c r="FT108" s="58">
        <f>(t_Parts[[#This Row],[ha2016.10]]-t_Parts[[#This Row],[hp2016.10]])*t_Parts[[NetPPH]:[NetPPH]]</f>
        <v>350781.53846153844</v>
      </c>
      <c r="FU108" s="58">
        <f>(t_Parts[[#This Row],[ha2016.11]]-t_Parts[[#This Row],[hp2016.11]])*t_Parts[[NetPPH]:[NetPPH]]</f>
        <v>350781.53846153844</v>
      </c>
      <c r="FV108" s="58">
        <f>(t_Parts[[#This Row],[ha2016.12]]-t_Parts[[#This Row],[hp2016.12]])*t_Parts[[NetPPH]:[NetPPH]]</f>
        <v>439796.92307692306</v>
      </c>
      <c r="FW108" s="58">
        <f>(t_Parts[[#This Row],[ha2016.FY]]-t_Parts[[#This Row],[hp2016.FY]])*t_Parts[[NetPPH]:[NetPPH]]</f>
        <v>4565440</v>
      </c>
      <c r="FX108" s="58">
        <f>(t_Parts[[#This Row],[ha2017]]-t_Parts[[#This Row],[hp2017]])*t_Parts[[NetPPH]:[NetPPH]]</f>
        <v>4565440</v>
      </c>
      <c r="FY108" s="58">
        <f>(t_Parts[[#This Row],[ha2018]]-t_Parts[[#This Row],[hp2018]])*t_Parts[[NetPPH]:[NetPPH]]</f>
        <v>4565440</v>
      </c>
      <c r="FZ108" s="58">
        <f>(t_Parts[[#This Row],[ha2019]]-t_Parts[[#This Row],[hp2019]])*t_Parts[[NetPPH]:[NetPPH]]</f>
        <v>4565440</v>
      </c>
    </row>
    <row r="109" spans="1:182" s="14" customFormat="1" x14ac:dyDescent="0.25">
      <c r="A109" s="74">
        <v>29176</v>
      </c>
      <c r="B109" s="74"/>
      <c r="C109" s="74">
        <v>21014</v>
      </c>
      <c r="D109" s="75">
        <v>1</v>
      </c>
      <c r="E109" s="73">
        <v>2400</v>
      </c>
      <c r="F109" s="76">
        <v>1</v>
      </c>
      <c r="G109" s="77">
        <v>2</v>
      </c>
      <c r="H109" s="16">
        <v>2015.01</v>
      </c>
      <c r="I109" s="16" t="s">
        <v>83</v>
      </c>
      <c r="J109" s="73">
        <v>86456</v>
      </c>
      <c r="K109" s="73">
        <v>86456</v>
      </c>
      <c r="L109" s="73">
        <v>86456</v>
      </c>
      <c r="M109" s="73">
        <v>86456</v>
      </c>
      <c r="N109" s="73">
        <v>86456</v>
      </c>
      <c r="O109" s="78">
        <v>25</v>
      </c>
      <c r="P109" s="78">
        <v>66</v>
      </c>
      <c r="Q109" s="79">
        <v>20.94</v>
      </c>
      <c r="R109" s="79"/>
      <c r="S109" s="78">
        <v>192</v>
      </c>
      <c r="T109" s="80">
        <v>13.5</v>
      </c>
      <c r="U109" s="80" t="s">
        <v>121</v>
      </c>
      <c r="V109" s="81" t="s">
        <v>596</v>
      </c>
      <c r="W109" s="82">
        <v>0.61</v>
      </c>
      <c r="X109" s="82" t="s">
        <v>495</v>
      </c>
      <c r="Y109" s="82" t="s">
        <v>547</v>
      </c>
      <c r="Z109" s="82"/>
      <c r="AA109" s="82"/>
      <c r="AB109" s="82"/>
      <c r="AC109" s="83" t="s">
        <v>110</v>
      </c>
      <c r="AD109" s="40" t="str">
        <f>VLOOKUP(t_Parts[[#This Row],[Press]],t_Presses[],Press!B$1,FALSE)</f>
        <v>Plainfield</v>
      </c>
      <c r="AE109" s="40" t="str">
        <f>VLOOKUP(t_Parts[[#This Row],[Press]],t_Presses[],Press!E$1,FALSE)</f>
        <v>300-599</v>
      </c>
      <c r="AF109" s="47">
        <f>VLOOKUP(t_Parts[[#This Row],[Plant]],t_Plants[],Plants!C$1,FALSE)</f>
        <v>0.55000000000000004</v>
      </c>
      <c r="AG109" s="47">
        <f>VLOOKUP(t_Parts[[#This Row],[Press]],t_Presses[],Press!F$1,FALSE)</f>
        <v>0</v>
      </c>
      <c r="AH109" s="84"/>
      <c r="AI109" s="47">
        <f>IF(ISBLANK(t_Parts[[#This Row],[PartOEE]])=FALSE,t_Parts[[#This Row],[PartOEE]], IF(t_Parts[[#This Row],[PressOEE]]&gt;0, t_Parts[[#This Row],[PressOEE]], t_Parts[[#This Row],[PlantOEE]] ))</f>
        <v>0.55000000000000004</v>
      </c>
      <c r="AJ109" s="70">
        <f>t_Parts[[#This Row],[SetupsPerMo]]*t_Parts[[#This Row],[SetupHrs]]</f>
        <v>2</v>
      </c>
      <c r="AK109" s="39">
        <f>(t_Parts[[#This Row],[PartsPerStroke]]*t_Parts[[#This Row],[StrokesPerHr]])*t_Parts[[#This Row],[UseOEE]]</f>
        <v>1320</v>
      </c>
      <c r="AL109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6650.4615384615381</v>
      </c>
      <c r="AM109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6650.4615384615381</v>
      </c>
      <c r="AN109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8313.076923076922</v>
      </c>
      <c r="AO109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6650.4615384615381</v>
      </c>
      <c r="AP109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6650.4615384615381</v>
      </c>
      <c r="AQ109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8313.076923076922</v>
      </c>
      <c r="AR109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6650.4615384615381</v>
      </c>
      <c r="AS109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6650.4615384615381</v>
      </c>
      <c r="AT109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8313.076923076922</v>
      </c>
      <c r="AU109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6650.4615384615381</v>
      </c>
      <c r="AV109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6650.4615384615381</v>
      </c>
      <c r="AW109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8313.076923076922</v>
      </c>
      <c r="AX109" s="39">
        <f>SUM(t_Parts[[#This Row],[pv2015.01]:[pv2015.12]])</f>
        <v>86455.999999999985</v>
      </c>
      <c r="AY109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6650.4615384615381</v>
      </c>
      <c r="AZ109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6650.4615384615381</v>
      </c>
      <c r="BA109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8313.076923076922</v>
      </c>
      <c r="BB109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6650.4615384615381</v>
      </c>
      <c r="BC109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6650.4615384615381</v>
      </c>
      <c r="BD109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8313.076923076922</v>
      </c>
      <c r="BE109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6650.4615384615381</v>
      </c>
      <c r="BF109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6650.4615384615381</v>
      </c>
      <c r="BG109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8313.076923076922</v>
      </c>
      <c r="BH109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6650.4615384615381</v>
      </c>
      <c r="BI109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6650.4615384615381</v>
      </c>
      <c r="BJ109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8313.076923076922</v>
      </c>
      <c r="BK109" s="39">
        <f>SUM(t_Parts[[#This Row],[pv2016.01]:[pv2016.12]])</f>
        <v>86455.999999999985</v>
      </c>
      <c r="BL109" s="39">
        <f>t_Parts[[#This Row],[2017vol]]</f>
        <v>86456</v>
      </c>
      <c r="BM109" s="39">
        <f>t_Parts[[#This Row],[2018vol]]</f>
        <v>86456</v>
      </c>
      <c r="BN109" s="39">
        <f>t_Parts[[#This Row],[2019vol]]</f>
        <v>86456</v>
      </c>
      <c r="BO109" s="40">
        <f>VLOOKUP(t_Parts[[Plant]:[Plant]],t_Plants[],Plants!CN$1,FALSE)</f>
        <v>280</v>
      </c>
      <c r="BP109" s="14">
        <f>VLOOKUP(t_Parts[[Plant]:[Plant]],t_Plants[],Plants!CO$1,FALSE)</f>
        <v>280</v>
      </c>
      <c r="BQ109" s="14">
        <f>VLOOKUP(t_Parts[[Plant]:[Plant]],t_Plants[],Plants!CP$1,FALSE)</f>
        <v>350</v>
      </c>
      <c r="BR109" s="14">
        <f>VLOOKUP(t_Parts[[Plant]:[Plant]],t_Plants[],Plants!CQ$1,FALSE)</f>
        <v>280</v>
      </c>
      <c r="BS109" s="14">
        <f>VLOOKUP(t_Parts[[Plant]:[Plant]],t_Plants[],Plants!CR$1,FALSE)</f>
        <v>280</v>
      </c>
      <c r="BT109" s="14">
        <f>VLOOKUP(t_Parts[[Plant]:[Plant]],t_Plants[],Plants!CS$1,FALSE)</f>
        <v>350</v>
      </c>
      <c r="BU109" s="14">
        <f>VLOOKUP(t_Parts[[Plant]:[Plant]],t_Plants[],Plants!CT$1,FALSE)</f>
        <v>280</v>
      </c>
      <c r="BV109" s="14">
        <f>VLOOKUP(t_Parts[[Plant]:[Plant]],t_Plants[],Plants!CU$1,FALSE)</f>
        <v>280</v>
      </c>
      <c r="BW109" s="14">
        <f>VLOOKUP(t_Parts[[Plant]:[Plant]],t_Plants[],Plants!CV$1,FALSE)</f>
        <v>350</v>
      </c>
      <c r="BX109" s="14">
        <f>VLOOKUP(t_Parts[[Plant]:[Plant]],t_Plants[],Plants!CW$1,FALSE)</f>
        <v>280</v>
      </c>
      <c r="BY109" s="14">
        <f>VLOOKUP(t_Parts[[Plant]:[Plant]],t_Plants[],Plants!CX$1,FALSE)</f>
        <v>280</v>
      </c>
      <c r="BZ109" s="14">
        <f>VLOOKUP(t_Parts[[Plant]:[Plant]],t_Plants[],Plants!CY$1,FALSE)</f>
        <v>350</v>
      </c>
      <c r="CA109" s="40">
        <f>SUM(t_Parts[[#This Row],[ha2015.01]:[ha2015.12]])</f>
        <v>3640</v>
      </c>
      <c r="CB109" s="14">
        <f>VLOOKUP(t_Parts[[Plant]:[Plant]],t_Plants[],Plants!DA$1,FALSE)</f>
        <v>280</v>
      </c>
      <c r="CC109" s="14">
        <f>VLOOKUP(t_Parts[[Plant]:[Plant]],t_Plants[],Plants!DB$1,FALSE)</f>
        <v>280</v>
      </c>
      <c r="CD109" s="14">
        <f>VLOOKUP(t_Parts[[Plant]:[Plant]],t_Plants[],Plants!DC$1,FALSE)</f>
        <v>350</v>
      </c>
      <c r="CE109" s="14">
        <f>VLOOKUP(t_Parts[[Plant]:[Plant]],t_Plants[],Plants!DD$1,FALSE)</f>
        <v>280</v>
      </c>
      <c r="CF109" s="14">
        <f>VLOOKUP(t_Parts[[Plant]:[Plant]],t_Plants[],Plants!DE$1,FALSE)</f>
        <v>280</v>
      </c>
      <c r="CG109" s="14">
        <f>VLOOKUP(t_Parts[[Plant]:[Plant]],t_Plants[],Plants!DF$1,FALSE)</f>
        <v>350</v>
      </c>
      <c r="CH109" s="14">
        <f>VLOOKUP(t_Parts[[Plant]:[Plant]],t_Plants[],Plants!DG$1,FALSE)</f>
        <v>280</v>
      </c>
      <c r="CI109" s="14">
        <f>VLOOKUP(t_Parts[[Plant]:[Plant]],t_Plants[],Plants!DH$1,FALSE)</f>
        <v>280</v>
      </c>
      <c r="CJ109" s="14">
        <f>VLOOKUP(t_Parts[[Plant]:[Plant]],t_Plants[],Plants!DI$1,FALSE)</f>
        <v>350</v>
      </c>
      <c r="CK109" s="14">
        <f>VLOOKUP(t_Parts[[Plant]:[Plant]],t_Plants[],Plants!DJ$1,FALSE)</f>
        <v>280</v>
      </c>
      <c r="CL109" s="14">
        <f>VLOOKUP(t_Parts[[Plant]:[Plant]],t_Plants[],Plants!DK$1,FALSE)</f>
        <v>280</v>
      </c>
      <c r="CM109" s="14">
        <f>VLOOKUP(t_Parts[[Plant]:[Plant]],t_Plants[],Plants!DL$1,FALSE)</f>
        <v>350</v>
      </c>
      <c r="CN109" s="14">
        <f>VLOOKUP(t_Parts[[Plant]:[Plant]],t_Plants[],Plants!DM$1,FALSE)</f>
        <v>3640</v>
      </c>
      <c r="CO109" s="14">
        <f>VLOOKUP(t_Parts[[Plant]:[Plant]],t_Plants[],Plants!DN$1,FALSE)</f>
        <v>3640</v>
      </c>
      <c r="CP109" s="14">
        <f>VLOOKUP(t_Parts[[Plant]:[Plant]],t_Plants[],Plants!DO$1,FALSE)</f>
        <v>3640</v>
      </c>
      <c r="CQ109" s="14">
        <f>VLOOKUP(t_Parts[[Plant]:[Plant]],t_Plants[],Plants!DP$1,FALSE)</f>
        <v>3640</v>
      </c>
      <c r="CR109" s="39">
        <f>IF(AND(AL$3&gt;=VALUE(t_Parts[[SOP]:[SOP]]),AL$3&lt;=VALUE(t_Parts[[EOP]:[EOP]])), t_Parts[[SetupHrsPerMo]:[SetupHrsPerMo]]+(t_Parts[[#This Row],[pv2015.01]]/t_Parts[[NetPPH]:[NetPPH]]),0)</f>
        <v>7.0382284382284377</v>
      </c>
      <c r="CS109" s="39">
        <f>IF(AND(AM$3&gt;=VALUE(t_Parts[[SOP]:[SOP]]),AM$3&lt;=VALUE(t_Parts[[EOP]:[EOP]])), t_Parts[[SetupHrsPerMo]:[SetupHrsPerMo]]+(t_Parts[[#This Row],[pv2015.02]]/t_Parts[[NetPPH]:[NetPPH]]),0)</f>
        <v>7.0382284382284377</v>
      </c>
      <c r="CT109" s="39">
        <f>IF(AND(AN$3&gt;=VALUE(t_Parts[[SOP]:[SOP]]),AN$3&lt;=VALUE(t_Parts[[EOP]:[EOP]])), t_Parts[[SetupHrsPerMo]:[SetupHrsPerMo]]+(t_Parts[[#This Row],[pv2015.03]]/t_Parts[[NetPPH]:[NetPPH]]),0)</f>
        <v>8.2977855477855478</v>
      </c>
      <c r="CU109" s="39">
        <f>IF(AND(AO$3&gt;=VALUE(t_Parts[[SOP]:[SOP]]),AO$3&lt;=VALUE(t_Parts[[EOP]:[EOP]])), t_Parts[[SetupHrsPerMo]:[SetupHrsPerMo]]+(t_Parts[[#This Row],[pv2015.04]]/t_Parts[[NetPPH]:[NetPPH]]),0)</f>
        <v>7.0382284382284377</v>
      </c>
      <c r="CV109" s="39">
        <f>IF(AND(AP$3&gt;=VALUE(t_Parts[[SOP]:[SOP]]),AP$3&lt;=VALUE(t_Parts[[EOP]:[EOP]])), t_Parts[[SetupHrsPerMo]:[SetupHrsPerMo]]+(t_Parts[[#This Row],[pv2015.05]]/t_Parts[[NetPPH]:[NetPPH]]),0)</f>
        <v>7.0382284382284377</v>
      </c>
      <c r="CW109" s="39">
        <f>IF(AND(AQ$3&gt;=VALUE(t_Parts[[SOP]:[SOP]]),AQ$3&lt;=VALUE(t_Parts[[EOP]:[EOP]])), t_Parts[[SetupHrsPerMo]:[SetupHrsPerMo]]+(t_Parts[[#This Row],[pv2015.06]]/t_Parts[[NetPPH]:[NetPPH]]),0)</f>
        <v>8.2977855477855478</v>
      </c>
      <c r="CX109" s="39">
        <f>IF(AND(AR$3&gt;=VALUE(t_Parts[[SOP]:[SOP]]),AR$3&lt;=VALUE(t_Parts[[EOP]:[EOP]])), t_Parts[[SetupHrsPerMo]:[SetupHrsPerMo]]+(t_Parts[[#This Row],[pv2015.07]]/t_Parts[[NetPPH]:[NetPPH]]),0)</f>
        <v>7.0382284382284377</v>
      </c>
      <c r="CY109" s="39">
        <f>IF(AND(AS$3&gt;=VALUE(t_Parts[[SOP]:[SOP]]),AS$3&lt;=VALUE(t_Parts[[EOP]:[EOP]])), t_Parts[[SetupHrsPerMo]:[SetupHrsPerMo]]+(t_Parts[[#This Row],[pv2015.08]]/t_Parts[[NetPPH]:[NetPPH]]),0)</f>
        <v>7.0382284382284377</v>
      </c>
      <c r="CZ109" s="39">
        <f>IF(AND(AT$3&gt;=VALUE(t_Parts[[SOP]:[SOP]]),AT$3&lt;=VALUE(t_Parts[[EOP]:[EOP]])), t_Parts[[SetupHrsPerMo]:[SetupHrsPerMo]]+(t_Parts[[#This Row],[pv2015.09]]/t_Parts[[NetPPH]:[NetPPH]]),0)</f>
        <v>8.2977855477855478</v>
      </c>
      <c r="DA109" s="39">
        <f>IF(AND(AU$3&gt;=VALUE(t_Parts[[SOP]:[SOP]]),AU$3&lt;=VALUE(t_Parts[[EOP]:[EOP]])), t_Parts[[SetupHrsPerMo]:[SetupHrsPerMo]]+(t_Parts[[#This Row],[pv2015.10]]/t_Parts[[NetPPH]:[NetPPH]]),0)</f>
        <v>7.0382284382284377</v>
      </c>
      <c r="DB109" s="39">
        <f>IF(AND(AV$3&gt;=VALUE(t_Parts[[SOP]:[SOP]]),AV$3&lt;=VALUE(t_Parts[[EOP]:[EOP]])), t_Parts[[SetupHrsPerMo]:[SetupHrsPerMo]]+(t_Parts[[#This Row],[pv2015.11]]/t_Parts[[NetPPH]:[NetPPH]]),0)</f>
        <v>7.0382284382284377</v>
      </c>
      <c r="DC109" s="39">
        <f>IF(AND(AW$3&gt;=VALUE(t_Parts[[SOP]:[SOP]]),AW$3&lt;=VALUE(t_Parts[[EOP]:[EOP]])), t_Parts[[SetupHrsPerMo]:[SetupHrsPerMo]]+(t_Parts[[#This Row],[pv2015.12]]/t_Parts[[NetPPH]:[NetPPH]]),0)</f>
        <v>8.2977855477855478</v>
      </c>
      <c r="DD109" s="39">
        <f>SUM(t_Parts[[#This Row],[hp2015.01]:[hp2015.12]])</f>
        <v>89.496969696969714</v>
      </c>
      <c r="DE109" s="39">
        <f>IF(AND(AY$3&gt;=VALUE(t_Parts[[SOP]:[SOP]]),AY$3&lt;=VALUE(t_Parts[[EOP]:[EOP]])), t_Parts[[SetupHrsPerMo]:[SetupHrsPerMo]]+(t_Parts[[#This Row],[pv2016.01]]/t_Parts[[NetPPH]:[NetPPH]]),0)</f>
        <v>7.0382284382284377</v>
      </c>
      <c r="DF109" s="39">
        <f>IF(AND(AZ$3&gt;=VALUE(t_Parts[[SOP]:[SOP]]),AZ$3&lt;=VALUE(t_Parts[[EOP]:[EOP]])), t_Parts[[SetupHrsPerMo]:[SetupHrsPerMo]]+(t_Parts[[#This Row],[pv2016.02]]/t_Parts[[NetPPH]:[NetPPH]]),0)</f>
        <v>7.0382284382284377</v>
      </c>
      <c r="DG109" s="39">
        <f>IF(AND(BA$3&gt;=VALUE(t_Parts[[SOP]:[SOP]]),BA$3&lt;=VALUE(t_Parts[[EOP]:[EOP]])), t_Parts[[SetupHrsPerMo]:[SetupHrsPerMo]]+(t_Parts[[#This Row],[pv2016.03]]/t_Parts[[NetPPH]:[NetPPH]]),0)</f>
        <v>8.2977855477855478</v>
      </c>
      <c r="DH109" s="39">
        <f>IF(AND(BB$3&gt;=VALUE(t_Parts[[SOP]:[SOP]]),BB$3&lt;=VALUE(t_Parts[[EOP]:[EOP]])), t_Parts[[SetupHrsPerMo]:[SetupHrsPerMo]]+(t_Parts[[#This Row],[pv2016.04]]/t_Parts[[NetPPH]:[NetPPH]]),0)</f>
        <v>7.0382284382284377</v>
      </c>
      <c r="DI109" s="39">
        <f>IF(AND(BC$3&gt;=VALUE(t_Parts[[SOP]:[SOP]]),BC$3&lt;=VALUE(t_Parts[[EOP]:[EOP]])), t_Parts[[SetupHrsPerMo]:[SetupHrsPerMo]]+(t_Parts[[#This Row],[pv2016.05]]/t_Parts[[NetPPH]:[NetPPH]]),0)</f>
        <v>7.0382284382284377</v>
      </c>
      <c r="DJ109" s="39">
        <f>IF(AND(BD$3&gt;=VALUE(t_Parts[[SOP]:[SOP]]),BD$3&lt;=VALUE(t_Parts[[EOP]:[EOP]])), t_Parts[[SetupHrsPerMo]:[SetupHrsPerMo]]+(t_Parts[[#This Row],[pv2016.06]]/t_Parts[[NetPPH]:[NetPPH]]),0)</f>
        <v>8.2977855477855478</v>
      </c>
      <c r="DK109" s="39">
        <f>IF(AND(BE$3&gt;=VALUE(t_Parts[[SOP]:[SOP]]),BE$3&lt;=VALUE(t_Parts[[EOP]:[EOP]])), t_Parts[[SetupHrsPerMo]:[SetupHrsPerMo]]+(t_Parts[[#This Row],[pv2016.07]]/t_Parts[[NetPPH]:[NetPPH]]),0)</f>
        <v>7.0382284382284377</v>
      </c>
      <c r="DL109" s="39">
        <f>IF(AND(BF$3&gt;=VALUE(t_Parts[[SOP]:[SOP]]),BF$3&lt;=VALUE(t_Parts[[EOP]:[EOP]])), t_Parts[[SetupHrsPerMo]:[SetupHrsPerMo]]+(t_Parts[[#This Row],[pv2016.08]]/t_Parts[[NetPPH]:[NetPPH]]),0)</f>
        <v>7.0382284382284377</v>
      </c>
      <c r="DM109" s="39">
        <f>IF(AND(BG$3&gt;=VALUE(t_Parts[[SOP]:[SOP]]),BG$3&lt;=VALUE(t_Parts[[EOP]:[EOP]])), t_Parts[[SetupHrsPerMo]:[SetupHrsPerMo]]+(t_Parts[[#This Row],[pv2016.09]]/t_Parts[[NetPPH]:[NetPPH]]),0)</f>
        <v>8.2977855477855478</v>
      </c>
      <c r="DN109" s="39">
        <f>IF(AND(BH$3&gt;=VALUE(t_Parts[[SOP]:[SOP]]),BH$3&lt;=VALUE(t_Parts[[EOP]:[EOP]])), t_Parts[[SetupHrsPerMo]:[SetupHrsPerMo]]+(t_Parts[[#This Row],[pv2016.10]]/t_Parts[[NetPPH]:[NetPPH]]),0)</f>
        <v>7.0382284382284377</v>
      </c>
      <c r="DO109" s="39">
        <f>IF(AND(BI$3&gt;=VALUE(t_Parts[[SOP]:[SOP]]),BI$3&lt;=VALUE(t_Parts[[EOP]:[EOP]])), t_Parts[[SetupHrsPerMo]:[SetupHrsPerMo]]+(t_Parts[[#This Row],[pv2016.11]]/t_Parts[[NetPPH]:[NetPPH]]),0)</f>
        <v>7.0382284382284377</v>
      </c>
      <c r="DP109" s="39">
        <f>IF(AND(BJ$3&gt;=VALUE(t_Parts[[SOP]:[SOP]]),BJ$3&lt;=VALUE(t_Parts[[EOP]:[EOP]])), t_Parts[[SetupHrsPerMo]:[SetupHrsPerMo]]+(t_Parts[[#This Row],[pv2016.12]]/t_Parts[[NetPPH]:[NetPPH]]),0)</f>
        <v>8.2977855477855478</v>
      </c>
      <c r="DQ109" s="39">
        <f>SUM(t_Parts[[#This Row],[hp2016.01]:[hp2016.12]])</f>
        <v>89.496969696969714</v>
      </c>
      <c r="DR109" s="39">
        <f>IF(AND(BL$3&gt;=VALUE(t_Parts[[SOP]:[SOP]]),BL$3&lt;=VALUE(t_Parts[[EOP]:[EOP]])), 12*t_Parts[[SetupHrsPerMo]:[SetupHrsPerMo]]+(t_Parts[[#This Row],[pv2017]]/t_Parts[[NetPPH]:[NetPPH]]),0)</f>
        <v>89.4969696969697</v>
      </c>
      <c r="DS109" s="39">
        <f>IF(AND(BM$3&gt;=VALUE(t_Parts[[SOP]:[SOP]]),BM$3&lt;=VALUE(t_Parts[[EOP]:[EOP]])), 12*t_Parts[[SetupHrsPerMo]:[SetupHrsPerMo]]+(t_Parts[[#This Row],[pv2018]]/t_Parts[[NetPPH]:[NetPPH]]),0)</f>
        <v>89.4969696969697</v>
      </c>
      <c r="DT109" s="39">
        <f>IF(AND(BN$3&gt;=VALUE(t_Parts[[SOP]:[SOP]]),BN$3&lt;=VALUE(t_Parts[[EOP]:[EOP]])), 12*t_Parts[[SetupHrsPerMo]:[SetupHrsPerMo]]+(t_Parts[[#This Row],[pv2019]]/t_Parts[[NetPPH]:[NetPPH]]),0)</f>
        <v>89.4969696969697</v>
      </c>
      <c r="DU109" s="47">
        <f>t_Parts[[#This Row],[hp2015.01]]/t_Parts[[#This Row],[ha2015.01]]</f>
        <v>2.5136530136530135E-2</v>
      </c>
      <c r="DV109" s="47">
        <f>t_Parts[[#This Row],[hp2015.02]]/t_Parts[[#This Row],[ha2015.02]]</f>
        <v>2.5136530136530135E-2</v>
      </c>
      <c r="DW109" s="47">
        <f>t_Parts[[#This Row],[hp2015.03]]/t_Parts[[#This Row],[ha2015.03]]</f>
        <v>2.3707958707958707E-2</v>
      </c>
      <c r="DX109" s="47">
        <f>t_Parts[[#This Row],[hp2015.04]]/t_Parts[[#This Row],[ha2015.04]]</f>
        <v>2.5136530136530135E-2</v>
      </c>
      <c r="DY109" s="47">
        <f>t_Parts[[#This Row],[hp2015.05]]/t_Parts[[#This Row],[ha2015.05]]</f>
        <v>2.5136530136530135E-2</v>
      </c>
      <c r="DZ109" s="47">
        <f>t_Parts[[#This Row],[hp2015.06]]/t_Parts[[#This Row],[ha2015.06]]</f>
        <v>2.3707958707958707E-2</v>
      </c>
      <c r="EA109" s="47">
        <f>t_Parts[[#This Row],[hp2015.07]]/t_Parts[[#This Row],[ha2015.07]]</f>
        <v>2.5136530136530135E-2</v>
      </c>
      <c r="EB109" s="47">
        <f>t_Parts[[#This Row],[hp2015.08]]/t_Parts[[#This Row],[ha2015.08]]</f>
        <v>2.5136530136530135E-2</v>
      </c>
      <c r="EC109" s="47">
        <f>t_Parts[[#This Row],[hp2015.09]]/t_Parts[[#This Row],[ha2015.09]]</f>
        <v>2.3707958707958707E-2</v>
      </c>
      <c r="ED109" s="47">
        <f>t_Parts[[#This Row],[hp2015.10]]/t_Parts[[#This Row],[ha2015.10]]</f>
        <v>2.5136530136530135E-2</v>
      </c>
      <c r="EE109" s="47">
        <f>t_Parts[[#This Row],[hp2015.11]]/t_Parts[[#This Row],[ha2015.11]]</f>
        <v>2.5136530136530135E-2</v>
      </c>
      <c r="EF109" s="47">
        <f>t_Parts[[#This Row],[hp2015.12]]/t_Parts[[#This Row],[ha2015.12]]</f>
        <v>2.3707958707958707E-2</v>
      </c>
      <c r="EG109" s="47">
        <f>t_Parts[[#This Row],[hp2015.FY]]/t_Parts[[#This Row],[ha2015.FY]]</f>
        <v>2.4587079587079591E-2</v>
      </c>
      <c r="EH109" s="47">
        <f>t_Parts[[#This Row],[hp2016.01]]/t_Parts[[#This Row],[ha2016.01]]</f>
        <v>2.5136530136530135E-2</v>
      </c>
      <c r="EI109" s="47">
        <f>t_Parts[[#This Row],[hp2016.02]]/t_Parts[[#This Row],[ha2016.02]]</f>
        <v>2.5136530136530135E-2</v>
      </c>
      <c r="EJ109" s="47">
        <f>t_Parts[[#This Row],[hp2016.03]]/t_Parts[[#This Row],[ha2016.03]]</f>
        <v>2.3707958707958707E-2</v>
      </c>
      <c r="EK109" s="47">
        <f>t_Parts[[#This Row],[hp2016.04]]/t_Parts[[#This Row],[ha2016.04]]</f>
        <v>2.5136530136530135E-2</v>
      </c>
      <c r="EL109" s="47">
        <f>t_Parts[[#This Row],[hp2016.05]]/t_Parts[[#This Row],[ha2016.05]]</f>
        <v>2.5136530136530135E-2</v>
      </c>
      <c r="EM109" s="47">
        <f>t_Parts[[#This Row],[hp2016.06]]/t_Parts[[#This Row],[ha2016.06]]</f>
        <v>2.3707958707958707E-2</v>
      </c>
      <c r="EN109" s="47">
        <f>t_Parts[[#This Row],[hp2016.07]]/t_Parts[[#This Row],[ha2016.07]]</f>
        <v>2.5136530136530135E-2</v>
      </c>
      <c r="EO109" s="47">
        <f>t_Parts[[#This Row],[hp2016.08]]/t_Parts[[#This Row],[ha2016.08]]</f>
        <v>2.5136530136530135E-2</v>
      </c>
      <c r="EP109" s="47">
        <f>t_Parts[[#This Row],[hp2016.09]]/t_Parts[[#This Row],[ha2016.09]]</f>
        <v>2.3707958707958707E-2</v>
      </c>
      <c r="EQ109" s="47">
        <f>t_Parts[[#This Row],[hp2016.10]]/t_Parts[[#This Row],[ha2016.10]]</f>
        <v>2.5136530136530135E-2</v>
      </c>
      <c r="ER109" s="47">
        <f>t_Parts[[#This Row],[hp2016.11]]/t_Parts[[#This Row],[ha2016.11]]</f>
        <v>2.5136530136530135E-2</v>
      </c>
      <c r="ES109" s="47">
        <f>t_Parts[[#This Row],[hp2016.12]]/t_Parts[[#This Row],[ha2016.12]]</f>
        <v>2.3707958707958707E-2</v>
      </c>
      <c r="ET109" s="47">
        <f>t_Parts[[#This Row],[hp2016.FY]]/t_Parts[[#This Row],[ha2016.FY]]</f>
        <v>2.4587079587079591E-2</v>
      </c>
      <c r="EU109" s="47">
        <f>t_Parts[[#This Row],[hp2017]]/t_Parts[[#This Row],[ha2017]]</f>
        <v>2.4587079587079588E-2</v>
      </c>
      <c r="EV109" s="47">
        <f>t_Parts[[#This Row],[hp2018]]/t_Parts[[#This Row],[ha2018]]</f>
        <v>2.4587079587079588E-2</v>
      </c>
      <c r="EW109" s="47">
        <f>t_Parts[[#This Row],[hp2019]]/t_Parts[[#This Row],[hp2015.01]]</f>
        <v>12.715837583625888</v>
      </c>
      <c r="EX109" s="58">
        <f>(t_Parts[[#This Row],[ha2015.01]]-t_Parts[[#This Row],[hp2015.01]])*t_Parts[[NetPPH]:[NetPPH]]</f>
        <v>360309.5384615385</v>
      </c>
      <c r="EY109" s="58">
        <f>(t_Parts[[#This Row],[ha2015.02]]-t_Parts[[#This Row],[hp2015.02]])*t_Parts[[NetPPH]:[NetPPH]]</f>
        <v>360309.5384615385</v>
      </c>
      <c r="EZ109" s="58">
        <f>(t_Parts[[#This Row],[ha2015.03]]-t_Parts[[#This Row],[hp2015.03]])*t_Parts[[NetPPH]:[NetPPH]]</f>
        <v>451046.92307692306</v>
      </c>
      <c r="FA109" s="58">
        <f>(t_Parts[[#This Row],[ha2015.04]]-t_Parts[[#This Row],[hp2015.04]])*t_Parts[[NetPPH]:[NetPPH]]</f>
        <v>360309.5384615385</v>
      </c>
      <c r="FB109" s="58">
        <f>(t_Parts[[#This Row],[ha2015.05]]-t_Parts[[#This Row],[hp2015.05]])*t_Parts[[NetPPH]:[NetPPH]]</f>
        <v>360309.5384615385</v>
      </c>
      <c r="FC109" s="58">
        <f>(t_Parts[[#This Row],[ha2015.06]]-t_Parts[[#This Row],[hp2015.06]])*t_Parts[[NetPPH]:[NetPPH]]</f>
        <v>451046.92307692306</v>
      </c>
      <c r="FD109" s="58">
        <f>(t_Parts[[#This Row],[ha2015.07]]-t_Parts[[#This Row],[hp2015.07]])*t_Parts[[NetPPH]:[NetPPH]]</f>
        <v>360309.5384615385</v>
      </c>
      <c r="FE109" s="58">
        <f>(t_Parts[[#This Row],[ha2015.08]]-t_Parts[[#This Row],[hp2015.08]])*t_Parts[[NetPPH]:[NetPPH]]</f>
        <v>360309.5384615385</v>
      </c>
      <c r="FF109" s="58">
        <f>(t_Parts[[#This Row],[ha2015.09]]-t_Parts[[#This Row],[hp2015.09]])*t_Parts[[NetPPH]:[NetPPH]]</f>
        <v>451046.92307692306</v>
      </c>
      <c r="FG109" s="58">
        <f>(t_Parts[[#This Row],[ha2015.10]]-t_Parts[[#This Row],[hp2015.10]])*t_Parts[[NetPPH]:[NetPPH]]</f>
        <v>360309.5384615385</v>
      </c>
      <c r="FH109" s="58">
        <f>(t_Parts[[#This Row],[ha2015.11]]-t_Parts[[#This Row],[hp2015.11]])*t_Parts[[NetPPH]:[NetPPH]]</f>
        <v>360309.5384615385</v>
      </c>
      <c r="FI109" s="58">
        <f>(t_Parts[[#This Row],[ha2015.12]]-t_Parts[[#This Row],[hp2015.12]])*t_Parts[[NetPPH]:[NetPPH]]</f>
        <v>451046.92307692306</v>
      </c>
      <c r="FJ109" s="58">
        <f>(t_Parts[[#This Row],[ha2015.FY]]-t_Parts[[#This Row],[hp2015.FY]])*t_Parts[[NetPPH]:[NetPPH]]</f>
        <v>4686664</v>
      </c>
      <c r="FK109" s="58">
        <f>(t_Parts[[#This Row],[ha2016.01]]-t_Parts[[#This Row],[hp2016.01]])*t_Parts[[NetPPH]:[NetPPH]]</f>
        <v>360309.5384615385</v>
      </c>
      <c r="FL109" s="58">
        <f>(t_Parts[[#This Row],[ha2016.02]]-t_Parts[[#This Row],[hp2016.02]])*t_Parts[[NetPPH]:[NetPPH]]</f>
        <v>360309.5384615385</v>
      </c>
      <c r="FM109" s="58">
        <f>(t_Parts[[#This Row],[ha2016.03]]-t_Parts[[#This Row],[hp2016.03]])*t_Parts[[NetPPH]:[NetPPH]]</f>
        <v>451046.92307692306</v>
      </c>
      <c r="FN109" s="58">
        <f>(t_Parts[[#This Row],[ha2016.04]]-t_Parts[[#This Row],[hp2016.04]])*t_Parts[[NetPPH]:[NetPPH]]</f>
        <v>360309.5384615385</v>
      </c>
      <c r="FO109" s="58">
        <f>(t_Parts[[#This Row],[ha2016.05]]-t_Parts[[#This Row],[hp2016.05]])*t_Parts[[NetPPH]:[NetPPH]]</f>
        <v>360309.5384615385</v>
      </c>
      <c r="FP109" s="58">
        <f>(t_Parts[[#This Row],[ha2016.06]]-t_Parts[[#This Row],[hp2016.06]])*t_Parts[[NetPPH]:[NetPPH]]</f>
        <v>451046.92307692306</v>
      </c>
      <c r="FQ109" s="58">
        <f>(t_Parts[[#This Row],[ha2016.07]]-t_Parts[[#This Row],[hp2016.07]])*t_Parts[[NetPPH]:[NetPPH]]</f>
        <v>360309.5384615385</v>
      </c>
      <c r="FR109" s="58">
        <f>(t_Parts[[#This Row],[ha2016.08]]-t_Parts[[#This Row],[hp2016.08]])*t_Parts[[NetPPH]:[NetPPH]]</f>
        <v>360309.5384615385</v>
      </c>
      <c r="FS109" s="58">
        <f>(t_Parts[[#This Row],[ha2016.09]]-t_Parts[[#This Row],[hp2016.09]])*t_Parts[[NetPPH]:[NetPPH]]</f>
        <v>451046.92307692306</v>
      </c>
      <c r="FT109" s="58">
        <f>(t_Parts[[#This Row],[ha2016.10]]-t_Parts[[#This Row],[hp2016.10]])*t_Parts[[NetPPH]:[NetPPH]]</f>
        <v>360309.5384615385</v>
      </c>
      <c r="FU109" s="58">
        <f>(t_Parts[[#This Row],[ha2016.11]]-t_Parts[[#This Row],[hp2016.11]])*t_Parts[[NetPPH]:[NetPPH]]</f>
        <v>360309.5384615385</v>
      </c>
      <c r="FV109" s="58">
        <f>(t_Parts[[#This Row],[ha2016.12]]-t_Parts[[#This Row],[hp2016.12]])*t_Parts[[NetPPH]:[NetPPH]]</f>
        <v>451046.92307692306</v>
      </c>
      <c r="FW109" s="58">
        <f>(t_Parts[[#This Row],[ha2016.FY]]-t_Parts[[#This Row],[hp2016.FY]])*t_Parts[[NetPPH]:[NetPPH]]</f>
        <v>4686664</v>
      </c>
      <c r="FX109" s="58">
        <f>(t_Parts[[#This Row],[ha2017]]-t_Parts[[#This Row],[hp2017]])*t_Parts[[NetPPH]:[NetPPH]]</f>
        <v>4686664</v>
      </c>
      <c r="FY109" s="58">
        <f>(t_Parts[[#This Row],[ha2018]]-t_Parts[[#This Row],[hp2018]])*t_Parts[[NetPPH]:[NetPPH]]</f>
        <v>4686664</v>
      </c>
      <c r="FZ109" s="58">
        <f>(t_Parts[[#This Row],[ha2019]]-t_Parts[[#This Row],[hp2019]])*t_Parts[[NetPPH]:[NetPPH]]</f>
        <v>4686664</v>
      </c>
    </row>
    <row r="110" spans="1:182" s="14" customFormat="1" x14ac:dyDescent="0.25">
      <c r="A110" s="74">
        <v>29175</v>
      </c>
      <c r="B110" s="74"/>
      <c r="C110" s="74">
        <v>21014</v>
      </c>
      <c r="D110" s="75">
        <v>1</v>
      </c>
      <c r="E110" s="73">
        <v>2400</v>
      </c>
      <c r="F110" s="76">
        <v>1</v>
      </c>
      <c r="G110" s="77">
        <v>2</v>
      </c>
      <c r="H110" s="16">
        <v>2015.01</v>
      </c>
      <c r="I110" s="16" t="s">
        <v>83</v>
      </c>
      <c r="J110" s="73">
        <v>8549</v>
      </c>
      <c r="K110" s="73">
        <v>8549</v>
      </c>
      <c r="L110" s="73">
        <v>8549</v>
      </c>
      <c r="M110" s="73">
        <v>8549</v>
      </c>
      <c r="N110" s="73">
        <v>8549</v>
      </c>
      <c r="O110" s="78">
        <v>28</v>
      </c>
      <c r="P110" s="78">
        <v>50</v>
      </c>
      <c r="Q110" s="79">
        <v>20.9</v>
      </c>
      <c r="R110" s="79"/>
      <c r="S110" s="78">
        <v>139</v>
      </c>
      <c r="T110" s="80">
        <v>12</v>
      </c>
      <c r="U110" s="80" t="s">
        <v>121</v>
      </c>
      <c r="V110" s="81" t="s">
        <v>502</v>
      </c>
      <c r="W110" s="82">
        <v>0.71</v>
      </c>
      <c r="X110" s="82" t="s">
        <v>495</v>
      </c>
      <c r="Y110" s="82" t="s">
        <v>503</v>
      </c>
      <c r="Z110" s="82"/>
      <c r="AA110" s="82"/>
      <c r="AB110" s="82"/>
      <c r="AC110" s="83" t="s">
        <v>110</v>
      </c>
      <c r="AD110" s="40" t="str">
        <f>VLOOKUP(t_Parts[[#This Row],[Press]],t_Presses[],Press!B$1,FALSE)</f>
        <v>Plainfield</v>
      </c>
      <c r="AE110" s="40" t="str">
        <f>VLOOKUP(t_Parts[[#This Row],[Press]],t_Presses[],Press!E$1,FALSE)</f>
        <v>300-599</v>
      </c>
      <c r="AF110" s="47">
        <f>VLOOKUP(t_Parts[[#This Row],[Plant]],t_Plants[],Plants!C$1,FALSE)</f>
        <v>0.55000000000000004</v>
      </c>
      <c r="AG110" s="47">
        <f>VLOOKUP(t_Parts[[#This Row],[Press]],t_Presses[],Press!F$1,FALSE)</f>
        <v>0</v>
      </c>
      <c r="AH110" s="84"/>
      <c r="AI110" s="47">
        <f>IF(ISBLANK(t_Parts[[#This Row],[PartOEE]])=FALSE,t_Parts[[#This Row],[PartOEE]], IF(t_Parts[[#This Row],[PressOEE]]&gt;0, t_Parts[[#This Row],[PressOEE]], t_Parts[[#This Row],[PlantOEE]] ))</f>
        <v>0.55000000000000004</v>
      </c>
      <c r="AJ110" s="70">
        <f>t_Parts[[#This Row],[SetupsPerMo]]*t_Parts[[#This Row],[SetupHrs]]</f>
        <v>2</v>
      </c>
      <c r="AK110" s="39">
        <f>(t_Parts[[#This Row],[PartsPerStroke]]*t_Parts[[#This Row],[StrokesPerHr]])*t_Parts[[#This Row],[UseOEE]]</f>
        <v>1320</v>
      </c>
      <c r="AL110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657.61538461538464</v>
      </c>
      <c r="AM110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657.61538461538464</v>
      </c>
      <c r="AN110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822.01923076923083</v>
      </c>
      <c r="AO110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657.61538461538464</v>
      </c>
      <c r="AP110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657.61538461538464</v>
      </c>
      <c r="AQ110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822.01923076923083</v>
      </c>
      <c r="AR110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657.61538461538464</v>
      </c>
      <c r="AS110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657.61538461538464</v>
      </c>
      <c r="AT110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822.01923076923083</v>
      </c>
      <c r="AU110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657.61538461538464</v>
      </c>
      <c r="AV110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657.61538461538464</v>
      </c>
      <c r="AW110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822.01923076923083</v>
      </c>
      <c r="AX110" s="39">
        <f>SUM(t_Parts[[#This Row],[pv2015.01]:[pv2015.12]])</f>
        <v>8549</v>
      </c>
      <c r="AY110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657.61538461538464</v>
      </c>
      <c r="AZ110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657.61538461538464</v>
      </c>
      <c r="BA110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822.01923076923083</v>
      </c>
      <c r="BB110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657.61538461538464</v>
      </c>
      <c r="BC110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657.61538461538464</v>
      </c>
      <c r="BD110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822.01923076923083</v>
      </c>
      <c r="BE110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657.61538461538464</v>
      </c>
      <c r="BF110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657.61538461538464</v>
      </c>
      <c r="BG110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822.01923076923083</v>
      </c>
      <c r="BH110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657.61538461538464</v>
      </c>
      <c r="BI110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657.61538461538464</v>
      </c>
      <c r="BJ110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822.01923076923083</v>
      </c>
      <c r="BK110" s="39">
        <f>SUM(t_Parts[[#This Row],[pv2016.01]:[pv2016.12]])</f>
        <v>8549</v>
      </c>
      <c r="BL110" s="39">
        <f>t_Parts[[#This Row],[2017vol]]</f>
        <v>8549</v>
      </c>
      <c r="BM110" s="39">
        <f>t_Parts[[#This Row],[2018vol]]</f>
        <v>8549</v>
      </c>
      <c r="BN110" s="39">
        <f>t_Parts[[#This Row],[2019vol]]</f>
        <v>8549</v>
      </c>
      <c r="BO110" s="40">
        <f>VLOOKUP(t_Parts[[Plant]:[Plant]],t_Plants[],Plants!CN$1,FALSE)</f>
        <v>280</v>
      </c>
      <c r="BP110" s="14">
        <f>VLOOKUP(t_Parts[[Plant]:[Plant]],t_Plants[],Plants!CO$1,FALSE)</f>
        <v>280</v>
      </c>
      <c r="BQ110" s="14">
        <f>VLOOKUP(t_Parts[[Plant]:[Plant]],t_Plants[],Plants!CP$1,FALSE)</f>
        <v>350</v>
      </c>
      <c r="BR110" s="14">
        <f>VLOOKUP(t_Parts[[Plant]:[Plant]],t_Plants[],Plants!CQ$1,FALSE)</f>
        <v>280</v>
      </c>
      <c r="BS110" s="14">
        <f>VLOOKUP(t_Parts[[Plant]:[Plant]],t_Plants[],Plants!CR$1,FALSE)</f>
        <v>280</v>
      </c>
      <c r="BT110" s="14">
        <f>VLOOKUP(t_Parts[[Plant]:[Plant]],t_Plants[],Plants!CS$1,FALSE)</f>
        <v>350</v>
      </c>
      <c r="BU110" s="14">
        <f>VLOOKUP(t_Parts[[Plant]:[Plant]],t_Plants[],Plants!CT$1,FALSE)</f>
        <v>280</v>
      </c>
      <c r="BV110" s="14">
        <f>VLOOKUP(t_Parts[[Plant]:[Plant]],t_Plants[],Plants!CU$1,FALSE)</f>
        <v>280</v>
      </c>
      <c r="BW110" s="14">
        <f>VLOOKUP(t_Parts[[Plant]:[Plant]],t_Plants[],Plants!CV$1,FALSE)</f>
        <v>350</v>
      </c>
      <c r="BX110" s="14">
        <f>VLOOKUP(t_Parts[[Plant]:[Plant]],t_Plants[],Plants!CW$1,FALSE)</f>
        <v>280</v>
      </c>
      <c r="BY110" s="14">
        <f>VLOOKUP(t_Parts[[Plant]:[Plant]],t_Plants[],Plants!CX$1,FALSE)</f>
        <v>280</v>
      </c>
      <c r="BZ110" s="14">
        <f>VLOOKUP(t_Parts[[Plant]:[Plant]],t_Plants[],Plants!CY$1,FALSE)</f>
        <v>350</v>
      </c>
      <c r="CA110" s="40">
        <f>SUM(t_Parts[[#This Row],[ha2015.01]:[ha2015.12]])</f>
        <v>3640</v>
      </c>
      <c r="CB110" s="14">
        <f>VLOOKUP(t_Parts[[Plant]:[Plant]],t_Plants[],Plants!DA$1,FALSE)</f>
        <v>280</v>
      </c>
      <c r="CC110" s="14">
        <f>VLOOKUP(t_Parts[[Plant]:[Plant]],t_Plants[],Plants!DB$1,FALSE)</f>
        <v>280</v>
      </c>
      <c r="CD110" s="14">
        <f>VLOOKUP(t_Parts[[Plant]:[Plant]],t_Plants[],Plants!DC$1,FALSE)</f>
        <v>350</v>
      </c>
      <c r="CE110" s="14">
        <f>VLOOKUP(t_Parts[[Plant]:[Plant]],t_Plants[],Plants!DD$1,FALSE)</f>
        <v>280</v>
      </c>
      <c r="CF110" s="14">
        <f>VLOOKUP(t_Parts[[Plant]:[Plant]],t_Plants[],Plants!DE$1,FALSE)</f>
        <v>280</v>
      </c>
      <c r="CG110" s="14">
        <f>VLOOKUP(t_Parts[[Plant]:[Plant]],t_Plants[],Plants!DF$1,FALSE)</f>
        <v>350</v>
      </c>
      <c r="CH110" s="14">
        <f>VLOOKUP(t_Parts[[Plant]:[Plant]],t_Plants[],Plants!DG$1,FALSE)</f>
        <v>280</v>
      </c>
      <c r="CI110" s="14">
        <f>VLOOKUP(t_Parts[[Plant]:[Plant]],t_Plants[],Plants!DH$1,FALSE)</f>
        <v>280</v>
      </c>
      <c r="CJ110" s="14">
        <f>VLOOKUP(t_Parts[[Plant]:[Plant]],t_Plants[],Plants!DI$1,FALSE)</f>
        <v>350</v>
      </c>
      <c r="CK110" s="14">
        <f>VLOOKUP(t_Parts[[Plant]:[Plant]],t_Plants[],Plants!DJ$1,FALSE)</f>
        <v>280</v>
      </c>
      <c r="CL110" s="14">
        <f>VLOOKUP(t_Parts[[Plant]:[Plant]],t_Plants[],Plants!DK$1,FALSE)</f>
        <v>280</v>
      </c>
      <c r="CM110" s="14">
        <f>VLOOKUP(t_Parts[[Plant]:[Plant]],t_Plants[],Plants!DL$1,FALSE)</f>
        <v>350</v>
      </c>
      <c r="CN110" s="14">
        <f>VLOOKUP(t_Parts[[Plant]:[Plant]],t_Plants[],Plants!DM$1,FALSE)</f>
        <v>3640</v>
      </c>
      <c r="CO110" s="14">
        <f>VLOOKUP(t_Parts[[Plant]:[Plant]],t_Plants[],Plants!DN$1,FALSE)</f>
        <v>3640</v>
      </c>
      <c r="CP110" s="14">
        <f>VLOOKUP(t_Parts[[Plant]:[Plant]],t_Plants[],Plants!DO$1,FALSE)</f>
        <v>3640</v>
      </c>
      <c r="CQ110" s="14">
        <f>VLOOKUP(t_Parts[[Plant]:[Plant]],t_Plants[],Plants!DP$1,FALSE)</f>
        <v>3640</v>
      </c>
      <c r="CR110" s="39">
        <f>IF(AND(AL$3&gt;=VALUE(t_Parts[[SOP]:[SOP]]),AL$3&lt;=VALUE(t_Parts[[EOP]:[EOP]])), t_Parts[[SetupHrsPerMo]:[SetupHrsPerMo]]+(t_Parts[[#This Row],[pv2015.01]]/t_Parts[[NetPPH]:[NetPPH]]),0)</f>
        <v>2.4981934731934734</v>
      </c>
      <c r="CS110" s="39">
        <f>IF(AND(AM$3&gt;=VALUE(t_Parts[[SOP]:[SOP]]),AM$3&lt;=VALUE(t_Parts[[EOP]:[EOP]])), t_Parts[[SetupHrsPerMo]:[SetupHrsPerMo]]+(t_Parts[[#This Row],[pv2015.02]]/t_Parts[[NetPPH]:[NetPPH]]),0)</f>
        <v>2.4981934731934734</v>
      </c>
      <c r="CT110" s="39">
        <f>IF(AND(AN$3&gt;=VALUE(t_Parts[[SOP]:[SOP]]),AN$3&lt;=VALUE(t_Parts[[EOP]:[EOP]])), t_Parts[[SetupHrsPerMo]:[SetupHrsPerMo]]+(t_Parts[[#This Row],[pv2015.03]]/t_Parts[[NetPPH]:[NetPPH]]),0)</f>
        <v>2.6227418414918415</v>
      </c>
      <c r="CU110" s="39">
        <f>IF(AND(AO$3&gt;=VALUE(t_Parts[[SOP]:[SOP]]),AO$3&lt;=VALUE(t_Parts[[EOP]:[EOP]])), t_Parts[[SetupHrsPerMo]:[SetupHrsPerMo]]+(t_Parts[[#This Row],[pv2015.04]]/t_Parts[[NetPPH]:[NetPPH]]),0)</f>
        <v>2.4981934731934734</v>
      </c>
      <c r="CV110" s="39">
        <f>IF(AND(AP$3&gt;=VALUE(t_Parts[[SOP]:[SOP]]),AP$3&lt;=VALUE(t_Parts[[EOP]:[EOP]])), t_Parts[[SetupHrsPerMo]:[SetupHrsPerMo]]+(t_Parts[[#This Row],[pv2015.05]]/t_Parts[[NetPPH]:[NetPPH]]),0)</f>
        <v>2.4981934731934734</v>
      </c>
      <c r="CW110" s="39">
        <f>IF(AND(AQ$3&gt;=VALUE(t_Parts[[SOP]:[SOP]]),AQ$3&lt;=VALUE(t_Parts[[EOP]:[EOP]])), t_Parts[[SetupHrsPerMo]:[SetupHrsPerMo]]+(t_Parts[[#This Row],[pv2015.06]]/t_Parts[[NetPPH]:[NetPPH]]),0)</f>
        <v>2.6227418414918415</v>
      </c>
      <c r="CX110" s="39">
        <f>IF(AND(AR$3&gt;=VALUE(t_Parts[[SOP]:[SOP]]),AR$3&lt;=VALUE(t_Parts[[EOP]:[EOP]])), t_Parts[[SetupHrsPerMo]:[SetupHrsPerMo]]+(t_Parts[[#This Row],[pv2015.07]]/t_Parts[[NetPPH]:[NetPPH]]),0)</f>
        <v>2.4981934731934734</v>
      </c>
      <c r="CY110" s="39">
        <f>IF(AND(AS$3&gt;=VALUE(t_Parts[[SOP]:[SOP]]),AS$3&lt;=VALUE(t_Parts[[EOP]:[EOP]])), t_Parts[[SetupHrsPerMo]:[SetupHrsPerMo]]+(t_Parts[[#This Row],[pv2015.08]]/t_Parts[[NetPPH]:[NetPPH]]),0)</f>
        <v>2.4981934731934734</v>
      </c>
      <c r="CZ110" s="39">
        <f>IF(AND(AT$3&gt;=VALUE(t_Parts[[SOP]:[SOP]]),AT$3&lt;=VALUE(t_Parts[[EOP]:[EOP]])), t_Parts[[SetupHrsPerMo]:[SetupHrsPerMo]]+(t_Parts[[#This Row],[pv2015.09]]/t_Parts[[NetPPH]:[NetPPH]]),0)</f>
        <v>2.6227418414918415</v>
      </c>
      <c r="DA110" s="39">
        <f>IF(AND(AU$3&gt;=VALUE(t_Parts[[SOP]:[SOP]]),AU$3&lt;=VALUE(t_Parts[[EOP]:[EOP]])), t_Parts[[SetupHrsPerMo]:[SetupHrsPerMo]]+(t_Parts[[#This Row],[pv2015.10]]/t_Parts[[NetPPH]:[NetPPH]]),0)</f>
        <v>2.4981934731934734</v>
      </c>
      <c r="DB110" s="39">
        <f>IF(AND(AV$3&gt;=VALUE(t_Parts[[SOP]:[SOP]]),AV$3&lt;=VALUE(t_Parts[[EOP]:[EOP]])), t_Parts[[SetupHrsPerMo]:[SetupHrsPerMo]]+(t_Parts[[#This Row],[pv2015.11]]/t_Parts[[NetPPH]:[NetPPH]]),0)</f>
        <v>2.4981934731934734</v>
      </c>
      <c r="DC110" s="39">
        <f>IF(AND(AW$3&gt;=VALUE(t_Parts[[SOP]:[SOP]]),AW$3&lt;=VALUE(t_Parts[[EOP]:[EOP]])), t_Parts[[SetupHrsPerMo]:[SetupHrsPerMo]]+(t_Parts[[#This Row],[pv2015.12]]/t_Parts[[NetPPH]:[NetPPH]]),0)</f>
        <v>2.6227418414918415</v>
      </c>
      <c r="DD110" s="39">
        <f>SUM(t_Parts[[#This Row],[hp2015.01]:[hp2015.12]])</f>
        <v>30.476515151515155</v>
      </c>
      <c r="DE110" s="39">
        <f>IF(AND(AY$3&gt;=VALUE(t_Parts[[SOP]:[SOP]]),AY$3&lt;=VALUE(t_Parts[[EOP]:[EOP]])), t_Parts[[SetupHrsPerMo]:[SetupHrsPerMo]]+(t_Parts[[#This Row],[pv2016.01]]/t_Parts[[NetPPH]:[NetPPH]]),0)</f>
        <v>2.4981934731934734</v>
      </c>
      <c r="DF110" s="39">
        <f>IF(AND(AZ$3&gt;=VALUE(t_Parts[[SOP]:[SOP]]),AZ$3&lt;=VALUE(t_Parts[[EOP]:[EOP]])), t_Parts[[SetupHrsPerMo]:[SetupHrsPerMo]]+(t_Parts[[#This Row],[pv2016.02]]/t_Parts[[NetPPH]:[NetPPH]]),0)</f>
        <v>2.4981934731934734</v>
      </c>
      <c r="DG110" s="39">
        <f>IF(AND(BA$3&gt;=VALUE(t_Parts[[SOP]:[SOP]]),BA$3&lt;=VALUE(t_Parts[[EOP]:[EOP]])), t_Parts[[SetupHrsPerMo]:[SetupHrsPerMo]]+(t_Parts[[#This Row],[pv2016.03]]/t_Parts[[NetPPH]:[NetPPH]]),0)</f>
        <v>2.6227418414918415</v>
      </c>
      <c r="DH110" s="39">
        <f>IF(AND(BB$3&gt;=VALUE(t_Parts[[SOP]:[SOP]]),BB$3&lt;=VALUE(t_Parts[[EOP]:[EOP]])), t_Parts[[SetupHrsPerMo]:[SetupHrsPerMo]]+(t_Parts[[#This Row],[pv2016.04]]/t_Parts[[NetPPH]:[NetPPH]]),0)</f>
        <v>2.4981934731934734</v>
      </c>
      <c r="DI110" s="39">
        <f>IF(AND(BC$3&gt;=VALUE(t_Parts[[SOP]:[SOP]]),BC$3&lt;=VALUE(t_Parts[[EOP]:[EOP]])), t_Parts[[SetupHrsPerMo]:[SetupHrsPerMo]]+(t_Parts[[#This Row],[pv2016.05]]/t_Parts[[NetPPH]:[NetPPH]]),0)</f>
        <v>2.4981934731934734</v>
      </c>
      <c r="DJ110" s="39">
        <f>IF(AND(BD$3&gt;=VALUE(t_Parts[[SOP]:[SOP]]),BD$3&lt;=VALUE(t_Parts[[EOP]:[EOP]])), t_Parts[[SetupHrsPerMo]:[SetupHrsPerMo]]+(t_Parts[[#This Row],[pv2016.06]]/t_Parts[[NetPPH]:[NetPPH]]),0)</f>
        <v>2.6227418414918415</v>
      </c>
      <c r="DK110" s="39">
        <f>IF(AND(BE$3&gt;=VALUE(t_Parts[[SOP]:[SOP]]),BE$3&lt;=VALUE(t_Parts[[EOP]:[EOP]])), t_Parts[[SetupHrsPerMo]:[SetupHrsPerMo]]+(t_Parts[[#This Row],[pv2016.07]]/t_Parts[[NetPPH]:[NetPPH]]),0)</f>
        <v>2.4981934731934734</v>
      </c>
      <c r="DL110" s="39">
        <f>IF(AND(BF$3&gt;=VALUE(t_Parts[[SOP]:[SOP]]),BF$3&lt;=VALUE(t_Parts[[EOP]:[EOP]])), t_Parts[[SetupHrsPerMo]:[SetupHrsPerMo]]+(t_Parts[[#This Row],[pv2016.08]]/t_Parts[[NetPPH]:[NetPPH]]),0)</f>
        <v>2.4981934731934734</v>
      </c>
      <c r="DM110" s="39">
        <f>IF(AND(BG$3&gt;=VALUE(t_Parts[[SOP]:[SOP]]),BG$3&lt;=VALUE(t_Parts[[EOP]:[EOP]])), t_Parts[[SetupHrsPerMo]:[SetupHrsPerMo]]+(t_Parts[[#This Row],[pv2016.09]]/t_Parts[[NetPPH]:[NetPPH]]),0)</f>
        <v>2.6227418414918415</v>
      </c>
      <c r="DN110" s="39">
        <f>IF(AND(BH$3&gt;=VALUE(t_Parts[[SOP]:[SOP]]),BH$3&lt;=VALUE(t_Parts[[EOP]:[EOP]])), t_Parts[[SetupHrsPerMo]:[SetupHrsPerMo]]+(t_Parts[[#This Row],[pv2016.10]]/t_Parts[[NetPPH]:[NetPPH]]),0)</f>
        <v>2.4981934731934734</v>
      </c>
      <c r="DO110" s="39">
        <f>IF(AND(BI$3&gt;=VALUE(t_Parts[[SOP]:[SOP]]),BI$3&lt;=VALUE(t_Parts[[EOP]:[EOP]])), t_Parts[[SetupHrsPerMo]:[SetupHrsPerMo]]+(t_Parts[[#This Row],[pv2016.11]]/t_Parts[[NetPPH]:[NetPPH]]),0)</f>
        <v>2.4981934731934734</v>
      </c>
      <c r="DP110" s="39">
        <f>IF(AND(BJ$3&gt;=VALUE(t_Parts[[SOP]:[SOP]]),BJ$3&lt;=VALUE(t_Parts[[EOP]:[EOP]])), t_Parts[[SetupHrsPerMo]:[SetupHrsPerMo]]+(t_Parts[[#This Row],[pv2016.12]]/t_Parts[[NetPPH]:[NetPPH]]),0)</f>
        <v>2.6227418414918415</v>
      </c>
      <c r="DQ110" s="39">
        <f>SUM(t_Parts[[#This Row],[hp2016.01]:[hp2016.12]])</f>
        <v>30.476515151515155</v>
      </c>
      <c r="DR110" s="39">
        <f>IF(AND(BL$3&gt;=VALUE(t_Parts[[SOP]:[SOP]]),BL$3&lt;=VALUE(t_Parts[[EOP]:[EOP]])), 12*t_Parts[[SetupHrsPerMo]:[SetupHrsPerMo]]+(t_Parts[[#This Row],[pv2017]]/t_Parts[[NetPPH]:[NetPPH]]),0)</f>
        <v>30.476515151515152</v>
      </c>
      <c r="DS110" s="39">
        <f>IF(AND(BM$3&gt;=VALUE(t_Parts[[SOP]:[SOP]]),BM$3&lt;=VALUE(t_Parts[[EOP]:[EOP]])), 12*t_Parts[[SetupHrsPerMo]:[SetupHrsPerMo]]+(t_Parts[[#This Row],[pv2018]]/t_Parts[[NetPPH]:[NetPPH]]),0)</f>
        <v>30.476515151515152</v>
      </c>
      <c r="DT110" s="39">
        <f>IF(AND(BN$3&gt;=VALUE(t_Parts[[SOP]:[SOP]]),BN$3&lt;=VALUE(t_Parts[[EOP]:[EOP]])), 12*t_Parts[[SetupHrsPerMo]:[SetupHrsPerMo]]+(t_Parts[[#This Row],[pv2019]]/t_Parts[[NetPPH]:[NetPPH]]),0)</f>
        <v>30.476515151515152</v>
      </c>
      <c r="DU110" s="47">
        <f>t_Parts[[#This Row],[hp2015.01]]/t_Parts[[#This Row],[ha2015.01]]</f>
        <v>8.9221195471195485E-3</v>
      </c>
      <c r="DV110" s="47">
        <f>t_Parts[[#This Row],[hp2015.02]]/t_Parts[[#This Row],[ha2015.02]]</f>
        <v>8.9221195471195485E-3</v>
      </c>
      <c r="DW110" s="47">
        <f>t_Parts[[#This Row],[hp2015.03]]/t_Parts[[#This Row],[ha2015.03]]</f>
        <v>7.4935481185481184E-3</v>
      </c>
      <c r="DX110" s="47">
        <f>t_Parts[[#This Row],[hp2015.04]]/t_Parts[[#This Row],[ha2015.04]]</f>
        <v>8.9221195471195485E-3</v>
      </c>
      <c r="DY110" s="47">
        <f>t_Parts[[#This Row],[hp2015.05]]/t_Parts[[#This Row],[ha2015.05]]</f>
        <v>8.9221195471195485E-3</v>
      </c>
      <c r="DZ110" s="47">
        <f>t_Parts[[#This Row],[hp2015.06]]/t_Parts[[#This Row],[ha2015.06]]</f>
        <v>7.4935481185481184E-3</v>
      </c>
      <c r="EA110" s="47">
        <f>t_Parts[[#This Row],[hp2015.07]]/t_Parts[[#This Row],[ha2015.07]]</f>
        <v>8.9221195471195485E-3</v>
      </c>
      <c r="EB110" s="47">
        <f>t_Parts[[#This Row],[hp2015.08]]/t_Parts[[#This Row],[ha2015.08]]</f>
        <v>8.9221195471195485E-3</v>
      </c>
      <c r="EC110" s="47">
        <f>t_Parts[[#This Row],[hp2015.09]]/t_Parts[[#This Row],[ha2015.09]]</f>
        <v>7.4935481185481184E-3</v>
      </c>
      <c r="ED110" s="47">
        <f>t_Parts[[#This Row],[hp2015.10]]/t_Parts[[#This Row],[ha2015.10]]</f>
        <v>8.9221195471195485E-3</v>
      </c>
      <c r="EE110" s="47">
        <f>t_Parts[[#This Row],[hp2015.11]]/t_Parts[[#This Row],[ha2015.11]]</f>
        <v>8.9221195471195485E-3</v>
      </c>
      <c r="EF110" s="47">
        <f>t_Parts[[#This Row],[hp2015.12]]/t_Parts[[#This Row],[ha2015.12]]</f>
        <v>7.4935481185481184E-3</v>
      </c>
      <c r="EG110" s="47">
        <f>t_Parts[[#This Row],[hp2015.FY]]/t_Parts[[#This Row],[ha2015.FY]]</f>
        <v>8.3726689976689993E-3</v>
      </c>
      <c r="EH110" s="47">
        <f>t_Parts[[#This Row],[hp2016.01]]/t_Parts[[#This Row],[ha2016.01]]</f>
        <v>8.9221195471195485E-3</v>
      </c>
      <c r="EI110" s="47">
        <f>t_Parts[[#This Row],[hp2016.02]]/t_Parts[[#This Row],[ha2016.02]]</f>
        <v>8.9221195471195485E-3</v>
      </c>
      <c r="EJ110" s="47">
        <f>t_Parts[[#This Row],[hp2016.03]]/t_Parts[[#This Row],[ha2016.03]]</f>
        <v>7.4935481185481184E-3</v>
      </c>
      <c r="EK110" s="47">
        <f>t_Parts[[#This Row],[hp2016.04]]/t_Parts[[#This Row],[ha2016.04]]</f>
        <v>8.9221195471195485E-3</v>
      </c>
      <c r="EL110" s="47">
        <f>t_Parts[[#This Row],[hp2016.05]]/t_Parts[[#This Row],[ha2016.05]]</f>
        <v>8.9221195471195485E-3</v>
      </c>
      <c r="EM110" s="47">
        <f>t_Parts[[#This Row],[hp2016.06]]/t_Parts[[#This Row],[ha2016.06]]</f>
        <v>7.4935481185481184E-3</v>
      </c>
      <c r="EN110" s="47">
        <f>t_Parts[[#This Row],[hp2016.07]]/t_Parts[[#This Row],[ha2016.07]]</f>
        <v>8.9221195471195485E-3</v>
      </c>
      <c r="EO110" s="47">
        <f>t_Parts[[#This Row],[hp2016.08]]/t_Parts[[#This Row],[ha2016.08]]</f>
        <v>8.9221195471195485E-3</v>
      </c>
      <c r="EP110" s="47">
        <f>t_Parts[[#This Row],[hp2016.09]]/t_Parts[[#This Row],[ha2016.09]]</f>
        <v>7.4935481185481184E-3</v>
      </c>
      <c r="EQ110" s="47">
        <f>t_Parts[[#This Row],[hp2016.10]]/t_Parts[[#This Row],[ha2016.10]]</f>
        <v>8.9221195471195485E-3</v>
      </c>
      <c r="ER110" s="47">
        <f>t_Parts[[#This Row],[hp2016.11]]/t_Parts[[#This Row],[ha2016.11]]</f>
        <v>8.9221195471195485E-3</v>
      </c>
      <c r="ES110" s="47">
        <f>t_Parts[[#This Row],[hp2016.12]]/t_Parts[[#This Row],[ha2016.12]]</f>
        <v>7.4935481185481184E-3</v>
      </c>
      <c r="ET110" s="47">
        <f>t_Parts[[#This Row],[hp2016.FY]]/t_Parts[[#This Row],[ha2016.FY]]</f>
        <v>8.3726689976689993E-3</v>
      </c>
      <c r="EU110" s="47">
        <f>t_Parts[[#This Row],[hp2017]]/t_Parts[[#This Row],[ha2017]]</f>
        <v>8.3726689976689975E-3</v>
      </c>
      <c r="EV110" s="47">
        <f>t_Parts[[#This Row],[hp2018]]/t_Parts[[#This Row],[ha2018]]</f>
        <v>8.3726689976689975E-3</v>
      </c>
      <c r="EW110" s="47">
        <f>t_Parts[[#This Row],[hp2019]]/t_Parts[[#This Row],[hp2015.01]]</f>
        <v>12.199421493386829</v>
      </c>
      <c r="EX110" s="58">
        <f>(t_Parts[[#This Row],[ha2015.01]]-t_Parts[[#This Row],[hp2015.01]])*t_Parts[[NetPPH]:[NetPPH]]</f>
        <v>366302.38461538462</v>
      </c>
      <c r="EY110" s="58">
        <f>(t_Parts[[#This Row],[ha2015.02]]-t_Parts[[#This Row],[hp2015.02]])*t_Parts[[NetPPH]:[NetPPH]]</f>
        <v>366302.38461538462</v>
      </c>
      <c r="EZ110" s="58">
        <f>(t_Parts[[#This Row],[ha2015.03]]-t_Parts[[#This Row],[hp2015.03]])*t_Parts[[NetPPH]:[NetPPH]]</f>
        <v>458537.98076923075</v>
      </c>
      <c r="FA110" s="58">
        <f>(t_Parts[[#This Row],[ha2015.04]]-t_Parts[[#This Row],[hp2015.04]])*t_Parts[[NetPPH]:[NetPPH]]</f>
        <v>366302.38461538462</v>
      </c>
      <c r="FB110" s="58">
        <f>(t_Parts[[#This Row],[ha2015.05]]-t_Parts[[#This Row],[hp2015.05]])*t_Parts[[NetPPH]:[NetPPH]]</f>
        <v>366302.38461538462</v>
      </c>
      <c r="FC110" s="58">
        <f>(t_Parts[[#This Row],[ha2015.06]]-t_Parts[[#This Row],[hp2015.06]])*t_Parts[[NetPPH]:[NetPPH]]</f>
        <v>458537.98076923075</v>
      </c>
      <c r="FD110" s="58">
        <f>(t_Parts[[#This Row],[ha2015.07]]-t_Parts[[#This Row],[hp2015.07]])*t_Parts[[NetPPH]:[NetPPH]]</f>
        <v>366302.38461538462</v>
      </c>
      <c r="FE110" s="58">
        <f>(t_Parts[[#This Row],[ha2015.08]]-t_Parts[[#This Row],[hp2015.08]])*t_Parts[[NetPPH]:[NetPPH]]</f>
        <v>366302.38461538462</v>
      </c>
      <c r="FF110" s="58">
        <f>(t_Parts[[#This Row],[ha2015.09]]-t_Parts[[#This Row],[hp2015.09]])*t_Parts[[NetPPH]:[NetPPH]]</f>
        <v>458537.98076923075</v>
      </c>
      <c r="FG110" s="58">
        <f>(t_Parts[[#This Row],[ha2015.10]]-t_Parts[[#This Row],[hp2015.10]])*t_Parts[[NetPPH]:[NetPPH]]</f>
        <v>366302.38461538462</v>
      </c>
      <c r="FH110" s="58">
        <f>(t_Parts[[#This Row],[ha2015.11]]-t_Parts[[#This Row],[hp2015.11]])*t_Parts[[NetPPH]:[NetPPH]]</f>
        <v>366302.38461538462</v>
      </c>
      <c r="FI110" s="58">
        <f>(t_Parts[[#This Row],[ha2015.12]]-t_Parts[[#This Row],[hp2015.12]])*t_Parts[[NetPPH]:[NetPPH]]</f>
        <v>458537.98076923075</v>
      </c>
      <c r="FJ110" s="58">
        <f>(t_Parts[[#This Row],[ha2015.FY]]-t_Parts[[#This Row],[hp2015.FY]])*t_Parts[[NetPPH]:[NetPPH]]</f>
        <v>4764571</v>
      </c>
      <c r="FK110" s="58">
        <f>(t_Parts[[#This Row],[ha2016.01]]-t_Parts[[#This Row],[hp2016.01]])*t_Parts[[NetPPH]:[NetPPH]]</f>
        <v>366302.38461538462</v>
      </c>
      <c r="FL110" s="58">
        <f>(t_Parts[[#This Row],[ha2016.02]]-t_Parts[[#This Row],[hp2016.02]])*t_Parts[[NetPPH]:[NetPPH]]</f>
        <v>366302.38461538462</v>
      </c>
      <c r="FM110" s="58">
        <f>(t_Parts[[#This Row],[ha2016.03]]-t_Parts[[#This Row],[hp2016.03]])*t_Parts[[NetPPH]:[NetPPH]]</f>
        <v>458537.98076923075</v>
      </c>
      <c r="FN110" s="58">
        <f>(t_Parts[[#This Row],[ha2016.04]]-t_Parts[[#This Row],[hp2016.04]])*t_Parts[[NetPPH]:[NetPPH]]</f>
        <v>366302.38461538462</v>
      </c>
      <c r="FO110" s="58">
        <f>(t_Parts[[#This Row],[ha2016.05]]-t_Parts[[#This Row],[hp2016.05]])*t_Parts[[NetPPH]:[NetPPH]]</f>
        <v>366302.38461538462</v>
      </c>
      <c r="FP110" s="58">
        <f>(t_Parts[[#This Row],[ha2016.06]]-t_Parts[[#This Row],[hp2016.06]])*t_Parts[[NetPPH]:[NetPPH]]</f>
        <v>458537.98076923075</v>
      </c>
      <c r="FQ110" s="58">
        <f>(t_Parts[[#This Row],[ha2016.07]]-t_Parts[[#This Row],[hp2016.07]])*t_Parts[[NetPPH]:[NetPPH]]</f>
        <v>366302.38461538462</v>
      </c>
      <c r="FR110" s="58">
        <f>(t_Parts[[#This Row],[ha2016.08]]-t_Parts[[#This Row],[hp2016.08]])*t_Parts[[NetPPH]:[NetPPH]]</f>
        <v>366302.38461538462</v>
      </c>
      <c r="FS110" s="58">
        <f>(t_Parts[[#This Row],[ha2016.09]]-t_Parts[[#This Row],[hp2016.09]])*t_Parts[[NetPPH]:[NetPPH]]</f>
        <v>458537.98076923075</v>
      </c>
      <c r="FT110" s="58">
        <f>(t_Parts[[#This Row],[ha2016.10]]-t_Parts[[#This Row],[hp2016.10]])*t_Parts[[NetPPH]:[NetPPH]]</f>
        <v>366302.38461538462</v>
      </c>
      <c r="FU110" s="58">
        <f>(t_Parts[[#This Row],[ha2016.11]]-t_Parts[[#This Row],[hp2016.11]])*t_Parts[[NetPPH]:[NetPPH]]</f>
        <v>366302.38461538462</v>
      </c>
      <c r="FV110" s="58">
        <f>(t_Parts[[#This Row],[ha2016.12]]-t_Parts[[#This Row],[hp2016.12]])*t_Parts[[NetPPH]:[NetPPH]]</f>
        <v>458537.98076923075</v>
      </c>
      <c r="FW110" s="58">
        <f>(t_Parts[[#This Row],[ha2016.FY]]-t_Parts[[#This Row],[hp2016.FY]])*t_Parts[[NetPPH]:[NetPPH]]</f>
        <v>4764571</v>
      </c>
      <c r="FX110" s="58">
        <f>(t_Parts[[#This Row],[ha2017]]-t_Parts[[#This Row],[hp2017]])*t_Parts[[NetPPH]:[NetPPH]]</f>
        <v>4764571</v>
      </c>
      <c r="FY110" s="58">
        <f>(t_Parts[[#This Row],[ha2018]]-t_Parts[[#This Row],[hp2018]])*t_Parts[[NetPPH]:[NetPPH]]</f>
        <v>4764571</v>
      </c>
      <c r="FZ110" s="58">
        <f>(t_Parts[[#This Row],[ha2019]]-t_Parts[[#This Row],[hp2019]])*t_Parts[[NetPPH]:[NetPPH]]</f>
        <v>4764571</v>
      </c>
    </row>
    <row r="111" spans="1:182" s="14" customFormat="1" x14ac:dyDescent="0.25">
      <c r="A111" s="74">
        <v>29170</v>
      </c>
      <c r="B111" s="74"/>
      <c r="C111" s="74">
        <v>21013</v>
      </c>
      <c r="D111" s="75">
        <v>1</v>
      </c>
      <c r="E111" s="73">
        <v>3900</v>
      </c>
      <c r="F111" s="76">
        <v>1</v>
      </c>
      <c r="G111" s="77">
        <v>1</v>
      </c>
      <c r="H111" s="16">
        <v>2015.01</v>
      </c>
      <c r="I111" s="16" t="s">
        <v>332</v>
      </c>
      <c r="J111" s="73">
        <v>44447</v>
      </c>
      <c r="K111" s="73">
        <v>44447</v>
      </c>
      <c r="L111" s="73">
        <v>44447</v>
      </c>
      <c r="M111" s="73">
        <v>44447</v>
      </c>
      <c r="N111" s="73">
        <v>44447</v>
      </c>
      <c r="O111" s="78"/>
      <c r="P111" s="78"/>
      <c r="Q111" s="79">
        <v>20.99</v>
      </c>
      <c r="R111" s="79"/>
      <c r="S111" s="78">
        <v>114</v>
      </c>
      <c r="T111" s="80"/>
      <c r="U111" s="80" t="s">
        <v>121</v>
      </c>
      <c r="V111" s="81" t="s">
        <v>559</v>
      </c>
      <c r="W111" s="82">
        <v>4.4999999999999998E-2</v>
      </c>
      <c r="X111" s="82" t="s">
        <v>495</v>
      </c>
      <c r="Y111" s="82"/>
      <c r="Z111" s="82"/>
      <c r="AA111" s="82"/>
      <c r="AB111" s="82"/>
      <c r="AC111" s="83" t="s">
        <v>667</v>
      </c>
      <c r="AD111" s="40" t="str">
        <f>VLOOKUP(t_Parts[[#This Row],[Press]],t_Presses[],Press!B$1,FALSE)</f>
        <v>Plainfield</v>
      </c>
      <c r="AE111" s="40" t="str">
        <f>VLOOKUP(t_Parts[[#This Row],[Press]],t_Presses[],Press!E$1,FALSE)</f>
        <v>0-299</v>
      </c>
      <c r="AF111" s="47">
        <f>VLOOKUP(t_Parts[[#This Row],[Plant]],t_Plants[],Plants!C$1,FALSE)</f>
        <v>0.55000000000000004</v>
      </c>
      <c r="AG111" s="47">
        <f>VLOOKUP(t_Parts[[#This Row],[Press]],t_Presses[],Press!F$1,FALSE)</f>
        <v>0</v>
      </c>
      <c r="AH111" s="84"/>
      <c r="AI111" s="47">
        <f>IF(ISBLANK(t_Parts[[#This Row],[PartOEE]])=FALSE,t_Parts[[#This Row],[PartOEE]], IF(t_Parts[[#This Row],[PressOEE]]&gt;0, t_Parts[[#This Row],[PressOEE]], t_Parts[[#This Row],[PlantOEE]] ))</f>
        <v>0.55000000000000004</v>
      </c>
      <c r="AJ111" s="70">
        <f>t_Parts[[#This Row],[SetupsPerMo]]*t_Parts[[#This Row],[SetupHrs]]</f>
        <v>1</v>
      </c>
      <c r="AK111" s="39">
        <f>(t_Parts[[#This Row],[PartsPerStroke]]*t_Parts[[#This Row],[StrokesPerHr]])*t_Parts[[#This Row],[UseOEE]]</f>
        <v>2145</v>
      </c>
      <c r="AL111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3419</v>
      </c>
      <c r="AM111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3419</v>
      </c>
      <c r="AN111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4273.75</v>
      </c>
      <c r="AO111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3419</v>
      </c>
      <c r="AP111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3419</v>
      </c>
      <c r="AQ111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4273.75</v>
      </c>
      <c r="AR111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3419</v>
      </c>
      <c r="AS111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3419</v>
      </c>
      <c r="AT111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4273.75</v>
      </c>
      <c r="AU111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3419</v>
      </c>
      <c r="AV111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3419</v>
      </c>
      <c r="AW111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4273.75</v>
      </c>
      <c r="AX111" s="39">
        <f>SUM(t_Parts[[#This Row],[pv2015.01]:[pv2015.12]])</f>
        <v>44447</v>
      </c>
      <c r="AY111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3419</v>
      </c>
      <c r="AZ111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3419</v>
      </c>
      <c r="BA111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4273.75</v>
      </c>
      <c r="BB111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3419</v>
      </c>
      <c r="BC111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3419</v>
      </c>
      <c r="BD111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4273.75</v>
      </c>
      <c r="BE111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3419</v>
      </c>
      <c r="BF111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3419</v>
      </c>
      <c r="BG111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4273.75</v>
      </c>
      <c r="BH111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3419</v>
      </c>
      <c r="BI111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3419</v>
      </c>
      <c r="BJ111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4273.75</v>
      </c>
      <c r="BK111" s="39">
        <f>SUM(t_Parts[[#This Row],[pv2016.01]:[pv2016.12]])</f>
        <v>44447</v>
      </c>
      <c r="BL111" s="39">
        <f>t_Parts[[#This Row],[2017vol]]</f>
        <v>44447</v>
      </c>
      <c r="BM111" s="39">
        <f>t_Parts[[#This Row],[2018vol]]</f>
        <v>44447</v>
      </c>
      <c r="BN111" s="39">
        <f>t_Parts[[#This Row],[2019vol]]</f>
        <v>44447</v>
      </c>
      <c r="BO111" s="40">
        <f>VLOOKUP(t_Parts[[Plant]:[Plant]],t_Plants[],Plants!CN$1,FALSE)</f>
        <v>280</v>
      </c>
      <c r="BP111" s="14">
        <f>VLOOKUP(t_Parts[[Plant]:[Plant]],t_Plants[],Plants!CO$1,FALSE)</f>
        <v>280</v>
      </c>
      <c r="BQ111" s="14">
        <f>VLOOKUP(t_Parts[[Plant]:[Plant]],t_Plants[],Plants!CP$1,FALSE)</f>
        <v>350</v>
      </c>
      <c r="BR111" s="14">
        <f>VLOOKUP(t_Parts[[Plant]:[Plant]],t_Plants[],Plants!CQ$1,FALSE)</f>
        <v>280</v>
      </c>
      <c r="BS111" s="14">
        <f>VLOOKUP(t_Parts[[Plant]:[Plant]],t_Plants[],Plants!CR$1,FALSE)</f>
        <v>280</v>
      </c>
      <c r="BT111" s="14">
        <f>VLOOKUP(t_Parts[[Plant]:[Plant]],t_Plants[],Plants!CS$1,FALSE)</f>
        <v>350</v>
      </c>
      <c r="BU111" s="14">
        <f>VLOOKUP(t_Parts[[Plant]:[Plant]],t_Plants[],Plants!CT$1,FALSE)</f>
        <v>280</v>
      </c>
      <c r="BV111" s="14">
        <f>VLOOKUP(t_Parts[[Plant]:[Plant]],t_Plants[],Plants!CU$1,FALSE)</f>
        <v>280</v>
      </c>
      <c r="BW111" s="14">
        <f>VLOOKUP(t_Parts[[Plant]:[Plant]],t_Plants[],Plants!CV$1,FALSE)</f>
        <v>350</v>
      </c>
      <c r="BX111" s="14">
        <f>VLOOKUP(t_Parts[[Plant]:[Plant]],t_Plants[],Plants!CW$1,FALSE)</f>
        <v>280</v>
      </c>
      <c r="BY111" s="14">
        <f>VLOOKUP(t_Parts[[Plant]:[Plant]],t_Plants[],Plants!CX$1,FALSE)</f>
        <v>280</v>
      </c>
      <c r="BZ111" s="14">
        <f>VLOOKUP(t_Parts[[Plant]:[Plant]],t_Plants[],Plants!CY$1,FALSE)</f>
        <v>350</v>
      </c>
      <c r="CA111" s="40">
        <f>SUM(t_Parts[[#This Row],[ha2015.01]:[ha2015.12]])</f>
        <v>3640</v>
      </c>
      <c r="CB111" s="14">
        <f>VLOOKUP(t_Parts[[Plant]:[Plant]],t_Plants[],Plants!DA$1,FALSE)</f>
        <v>280</v>
      </c>
      <c r="CC111" s="14">
        <f>VLOOKUP(t_Parts[[Plant]:[Plant]],t_Plants[],Plants!DB$1,FALSE)</f>
        <v>280</v>
      </c>
      <c r="CD111" s="14">
        <f>VLOOKUP(t_Parts[[Plant]:[Plant]],t_Plants[],Plants!DC$1,FALSE)</f>
        <v>350</v>
      </c>
      <c r="CE111" s="14">
        <f>VLOOKUP(t_Parts[[Plant]:[Plant]],t_Plants[],Plants!DD$1,FALSE)</f>
        <v>280</v>
      </c>
      <c r="CF111" s="14">
        <f>VLOOKUP(t_Parts[[Plant]:[Plant]],t_Plants[],Plants!DE$1,FALSE)</f>
        <v>280</v>
      </c>
      <c r="CG111" s="14">
        <f>VLOOKUP(t_Parts[[Plant]:[Plant]],t_Plants[],Plants!DF$1,FALSE)</f>
        <v>350</v>
      </c>
      <c r="CH111" s="14">
        <f>VLOOKUP(t_Parts[[Plant]:[Plant]],t_Plants[],Plants!DG$1,FALSE)</f>
        <v>280</v>
      </c>
      <c r="CI111" s="14">
        <f>VLOOKUP(t_Parts[[Plant]:[Plant]],t_Plants[],Plants!DH$1,FALSE)</f>
        <v>280</v>
      </c>
      <c r="CJ111" s="14">
        <f>VLOOKUP(t_Parts[[Plant]:[Plant]],t_Plants[],Plants!DI$1,FALSE)</f>
        <v>350</v>
      </c>
      <c r="CK111" s="14">
        <f>VLOOKUP(t_Parts[[Plant]:[Plant]],t_Plants[],Plants!DJ$1,FALSE)</f>
        <v>280</v>
      </c>
      <c r="CL111" s="14">
        <f>VLOOKUP(t_Parts[[Plant]:[Plant]],t_Plants[],Plants!DK$1,FALSE)</f>
        <v>280</v>
      </c>
      <c r="CM111" s="14">
        <f>VLOOKUP(t_Parts[[Plant]:[Plant]],t_Plants[],Plants!DL$1,FALSE)</f>
        <v>350</v>
      </c>
      <c r="CN111" s="14">
        <f>VLOOKUP(t_Parts[[Plant]:[Plant]],t_Plants[],Plants!DM$1,FALSE)</f>
        <v>3640</v>
      </c>
      <c r="CO111" s="14">
        <f>VLOOKUP(t_Parts[[Plant]:[Plant]],t_Plants[],Plants!DN$1,FALSE)</f>
        <v>3640</v>
      </c>
      <c r="CP111" s="14">
        <f>VLOOKUP(t_Parts[[Plant]:[Plant]],t_Plants[],Plants!DO$1,FALSE)</f>
        <v>3640</v>
      </c>
      <c r="CQ111" s="14">
        <f>VLOOKUP(t_Parts[[Plant]:[Plant]],t_Plants[],Plants!DP$1,FALSE)</f>
        <v>3640</v>
      </c>
      <c r="CR111" s="39">
        <f>IF(AND(AL$3&gt;=VALUE(t_Parts[[SOP]:[SOP]]),AL$3&lt;=VALUE(t_Parts[[EOP]:[EOP]])), t_Parts[[SetupHrsPerMo]:[SetupHrsPerMo]]+(t_Parts[[#This Row],[pv2015.01]]/t_Parts[[NetPPH]:[NetPPH]]),0)</f>
        <v>2.5939393939393938</v>
      </c>
      <c r="CS111" s="39">
        <f>IF(AND(AM$3&gt;=VALUE(t_Parts[[SOP]:[SOP]]),AM$3&lt;=VALUE(t_Parts[[EOP]:[EOP]])), t_Parts[[SetupHrsPerMo]:[SetupHrsPerMo]]+(t_Parts[[#This Row],[pv2015.02]]/t_Parts[[NetPPH]:[NetPPH]]),0)</f>
        <v>2.5939393939393938</v>
      </c>
      <c r="CT111" s="39">
        <f>IF(AND(AN$3&gt;=VALUE(t_Parts[[SOP]:[SOP]]),AN$3&lt;=VALUE(t_Parts[[EOP]:[EOP]])), t_Parts[[SetupHrsPerMo]:[SetupHrsPerMo]]+(t_Parts[[#This Row],[pv2015.03]]/t_Parts[[NetPPH]:[NetPPH]]),0)</f>
        <v>2.9924242424242422</v>
      </c>
      <c r="CU111" s="39">
        <f>IF(AND(AO$3&gt;=VALUE(t_Parts[[SOP]:[SOP]]),AO$3&lt;=VALUE(t_Parts[[EOP]:[EOP]])), t_Parts[[SetupHrsPerMo]:[SetupHrsPerMo]]+(t_Parts[[#This Row],[pv2015.04]]/t_Parts[[NetPPH]:[NetPPH]]),0)</f>
        <v>2.5939393939393938</v>
      </c>
      <c r="CV111" s="39">
        <f>IF(AND(AP$3&gt;=VALUE(t_Parts[[SOP]:[SOP]]),AP$3&lt;=VALUE(t_Parts[[EOP]:[EOP]])), t_Parts[[SetupHrsPerMo]:[SetupHrsPerMo]]+(t_Parts[[#This Row],[pv2015.05]]/t_Parts[[NetPPH]:[NetPPH]]),0)</f>
        <v>2.5939393939393938</v>
      </c>
      <c r="CW111" s="39">
        <f>IF(AND(AQ$3&gt;=VALUE(t_Parts[[SOP]:[SOP]]),AQ$3&lt;=VALUE(t_Parts[[EOP]:[EOP]])), t_Parts[[SetupHrsPerMo]:[SetupHrsPerMo]]+(t_Parts[[#This Row],[pv2015.06]]/t_Parts[[NetPPH]:[NetPPH]]),0)</f>
        <v>2.9924242424242422</v>
      </c>
      <c r="CX111" s="39">
        <f>IF(AND(AR$3&gt;=VALUE(t_Parts[[SOP]:[SOP]]),AR$3&lt;=VALUE(t_Parts[[EOP]:[EOP]])), t_Parts[[SetupHrsPerMo]:[SetupHrsPerMo]]+(t_Parts[[#This Row],[pv2015.07]]/t_Parts[[NetPPH]:[NetPPH]]),0)</f>
        <v>2.5939393939393938</v>
      </c>
      <c r="CY111" s="39">
        <f>IF(AND(AS$3&gt;=VALUE(t_Parts[[SOP]:[SOP]]),AS$3&lt;=VALUE(t_Parts[[EOP]:[EOP]])), t_Parts[[SetupHrsPerMo]:[SetupHrsPerMo]]+(t_Parts[[#This Row],[pv2015.08]]/t_Parts[[NetPPH]:[NetPPH]]),0)</f>
        <v>2.5939393939393938</v>
      </c>
      <c r="CZ111" s="39">
        <f>IF(AND(AT$3&gt;=VALUE(t_Parts[[SOP]:[SOP]]),AT$3&lt;=VALUE(t_Parts[[EOP]:[EOP]])), t_Parts[[SetupHrsPerMo]:[SetupHrsPerMo]]+(t_Parts[[#This Row],[pv2015.09]]/t_Parts[[NetPPH]:[NetPPH]]),0)</f>
        <v>2.9924242424242422</v>
      </c>
      <c r="DA111" s="39">
        <f>IF(AND(AU$3&gt;=VALUE(t_Parts[[SOP]:[SOP]]),AU$3&lt;=VALUE(t_Parts[[EOP]:[EOP]])), t_Parts[[SetupHrsPerMo]:[SetupHrsPerMo]]+(t_Parts[[#This Row],[pv2015.10]]/t_Parts[[NetPPH]:[NetPPH]]),0)</f>
        <v>2.5939393939393938</v>
      </c>
      <c r="DB111" s="39">
        <f>IF(AND(AV$3&gt;=VALUE(t_Parts[[SOP]:[SOP]]),AV$3&lt;=VALUE(t_Parts[[EOP]:[EOP]])), t_Parts[[SetupHrsPerMo]:[SetupHrsPerMo]]+(t_Parts[[#This Row],[pv2015.11]]/t_Parts[[NetPPH]:[NetPPH]]),0)</f>
        <v>2.5939393939393938</v>
      </c>
      <c r="DC111" s="39">
        <f>IF(AND(AW$3&gt;=VALUE(t_Parts[[SOP]:[SOP]]),AW$3&lt;=VALUE(t_Parts[[EOP]:[EOP]])), t_Parts[[SetupHrsPerMo]:[SetupHrsPerMo]]+(t_Parts[[#This Row],[pv2015.12]]/t_Parts[[NetPPH]:[NetPPH]]),0)</f>
        <v>2.9924242424242422</v>
      </c>
      <c r="DD111" s="39">
        <f>SUM(t_Parts[[#This Row],[hp2015.01]:[hp2015.12]])</f>
        <v>32.721212121212119</v>
      </c>
      <c r="DE111" s="39">
        <f>IF(AND(AY$3&gt;=VALUE(t_Parts[[SOP]:[SOP]]),AY$3&lt;=VALUE(t_Parts[[EOP]:[EOP]])), t_Parts[[SetupHrsPerMo]:[SetupHrsPerMo]]+(t_Parts[[#This Row],[pv2016.01]]/t_Parts[[NetPPH]:[NetPPH]]),0)</f>
        <v>2.5939393939393938</v>
      </c>
      <c r="DF111" s="39">
        <f>IF(AND(AZ$3&gt;=VALUE(t_Parts[[SOP]:[SOP]]),AZ$3&lt;=VALUE(t_Parts[[EOP]:[EOP]])), t_Parts[[SetupHrsPerMo]:[SetupHrsPerMo]]+(t_Parts[[#This Row],[pv2016.02]]/t_Parts[[NetPPH]:[NetPPH]]),0)</f>
        <v>2.5939393939393938</v>
      </c>
      <c r="DG111" s="39">
        <f>IF(AND(BA$3&gt;=VALUE(t_Parts[[SOP]:[SOP]]),BA$3&lt;=VALUE(t_Parts[[EOP]:[EOP]])), t_Parts[[SetupHrsPerMo]:[SetupHrsPerMo]]+(t_Parts[[#This Row],[pv2016.03]]/t_Parts[[NetPPH]:[NetPPH]]),0)</f>
        <v>2.9924242424242422</v>
      </c>
      <c r="DH111" s="39">
        <f>IF(AND(BB$3&gt;=VALUE(t_Parts[[SOP]:[SOP]]),BB$3&lt;=VALUE(t_Parts[[EOP]:[EOP]])), t_Parts[[SetupHrsPerMo]:[SetupHrsPerMo]]+(t_Parts[[#This Row],[pv2016.04]]/t_Parts[[NetPPH]:[NetPPH]]),0)</f>
        <v>2.5939393939393938</v>
      </c>
      <c r="DI111" s="39">
        <f>IF(AND(BC$3&gt;=VALUE(t_Parts[[SOP]:[SOP]]),BC$3&lt;=VALUE(t_Parts[[EOP]:[EOP]])), t_Parts[[SetupHrsPerMo]:[SetupHrsPerMo]]+(t_Parts[[#This Row],[pv2016.05]]/t_Parts[[NetPPH]:[NetPPH]]),0)</f>
        <v>2.5939393939393938</v>
      </c>
      <c r="DJ111" s="39">
        <f>IF(AND(BD$3&gt;=VALUE(t_Parts[[SOP]:[SOP]]),BD$3&lt;=VALUE(t_Parts[[EOP]:[EOP]])), t_Parts[[SetupHrsPerMo]:[SetupHrsPerMo]]+(t_Parts[[#This Row],[pv2016.06]]/t_Parts[[NetPPH]:[NetPPH]]),0)</f>
        <v>2.9924242424242422</v>
      </c>
      <c r="DK111" s="39">
        <f>IF(AND(BE$3&gt;=VALUE(t_Parts[[SOP]:[SOP]]),BE$3&lt;=VALUE(t_Parts[[EOP]:[EOP]])), t_Parts[[SetupHrsPerMo]:[SetupHrsPerMo]]+(t_Parts[[#This Row],[pv2016.07]]/t_Parts[[NetPPH]:[NetPPH]]),0)</f>
        <v>2.5939393939393938</v>
      </c>
      <c r="DL111" s="39">
        <f>IF(AND(BF$3&gt;=VALUE(t_Parts[[SOP]:[SOP]]),BF$3&lt;=VALUE(t_Parts[[EOP]:[EOP]])), t_Parts[[SetupHrsPerMo]:[SetupHrsPerMo]]+(t_Parts[[#This Row],[pv2016.08]]/t_Parts[[NetPPH]:[NetPPH]]),0)</f>
        <v>2.5939393939393938</v>
      </c>
      <c r="DM111" s="39">
        <f>IF(AND(BG$3&gt;=VALUE(t_Parts[[SOP]:[SOP]]),BG$3&lt;=VALUE(t_Parts[[EOP]:[EOP]])), t_Parts[[SetupHrsPerMo]:[SetupHrsPerMo]]+(t_Parts[[#This Row],[pv2016.09]]/t_Parts[[NetPPH]:[NetPPH]]),0)</f>
        <v>2.9924242424242422</v>
      </c>
      <c r="DN111" s="39">
        <f>IF(AND(BH$3&gt;=VALUE(t_Parts[[SOP]:[SOP]]),BH$3&lt;=VALUE(t_Parts[[EOP]:[EOP]])), t_Parts[[SetupHrsPerMo]:[SetupHrsPerMo]]+(t_Parts[[#This Row],[pv2016.10]]/t_Parts[[NetPPH]:[NetPPH]]),0)</f>
        <v>2.5939393939393938</v>
      </c>
      <c r="DO111" s="39">
        <f>IF(AND(BI$3&gt;=VALUE(t_Parts[[SOP]:[SOP]]),BI$3&lt;=VALUE(t_Parts[[EOP]:[EOP]])), t_Parts[[SetupHrsPerMo]:[SetupHrsPerMo]]+(t_Parts[[#This Row],[pv2016.11]]/t_Parts[[NetPPH]:[NetPPH]]),0)</f>
        <v>2.5939393939393938</v>
      </c>
      <c r="DP111" s="39">
        <f>IF(AND(BJ$3&gt;=VALUE(t_Parts[[SOP]:[SOP]]),BJ$3&lt;=VALUE(t_Parts[[EOP]:[EOP]])), t_Parts[[SetupHrsPerMo]:[SetupHrsPerMo]]+(t_Parts[[#This Row],[pv2016.12]]/t_Parts[[NetPPH]:[NetPPH]]),0)</f>
        <v>2.9924242424242422</v>
      </c>
      <c r="DQ111" s="39">
        <f>SUM(t_Parts[[#This Row],[hp2016.01]:[hp2016.12]])</f>
        <v>32.721212121212119</v>
      </c>
      <c r="DR111" s="39">
        <f>IF(AND(BL$3&gt;=VALUE(t_Parts[[SOP]:[SOP]]),BL$3&lt;=VALUE(t_Parts[[EOP]:[EOP]])), 12*t_Parts[[SetupHrsPerMo]:[SetupHrsPerMo]]+(t_Parts[[#This Row],[pv2017]]/t_Parts[[NetPPH]:[NetPPH]]),0)</f>
        <v>0</v>
      </c>
      <c r="DS111" s="39">
        <f>IF(AND(BM$3&gt;=VALUE(t_Parts[[SOP]:[SOP]]),BM$3&lt;=VALUE(t_Parts[[EOP]:[EOP]])), 12*t_Parts[[SetupHrsPerMo]:[SetupHrsPerMo]]+(t_Parts[[#This Row],[pv2018]]/t_Parts[[NetPPH]:[NetPPH]]),0)</f>
        <v>0</v>
      </c>
      <c r="DT111" s="39">
        <f>IF(AND(BN$3&gt;=VALUE(t_Parts[[SOP]:[SOP]]),BN$3&lt;=VALUE(t_Parts[[EOP]:[EOP]])), 12*t_Parts[[SetupHrsPerMo]:[SetupHrsPerMo]]+(t_Parts[[#This Row],[pv2019]]/t_Parts[[NetPPH]:[NetPPH]]),0)</f>
        <v>0</v>
      </c>
      <c r="DU111" s="47">
        <f>t_Parts[[#This Row],[hp2015.01]]/t_Parts[[#This Row],[ha2015.01]]</f>
        <v>9.2640692640692628E-3</v>
      </c>
      <c r="DV111" s="47">
        <f>t_Parts[[#This Row],[hp2015.02]]/t_Parts[[#This Row],[ha2015.02]]</f>
        <v>9.2640692640692628E-3</v>
      </c>
      <c r="DW111" s="47">
        <f>t_Parts[[#This Row],[hp2015.03]]/t_Parts[[#This Row],[ha2015.03]]</f>
        <v>8.5497835497835486E-3</v>
      </c>
      <c r="DX111" s="47">
        <f>t_Parts[[#This Row],[hp2015.04]]/t_Parts[[#This Row],[ha2015.04]]</f>
        <v>9.2640692640692628E-3</v>
      </c>
      <c r="DY111" s="47">
        <f>t_Parts[[#This Row],[hp2015.05]]/t_Parts[[#This Row],[ha2015.05]]</f>
        <v>9.2640692640692628E-3</v>
      </c>
      <c r="DZ111" s="47">
        <f>t_Parts[[#This Row],[hp2015.06]]/t_Parts[[#This Row],[ha2015.06]]</f>
        <v>8.5497835497835486E-3</v>
      </c>
      <c r="EA111" s="47">
        <f>t_Parts[[#This Row],[hp2015.07]]/t_Parts[[#This Row],[ha2015.07]]</f>
        <v>9.2640692640692628E-3</v>
      </c>
      <c r="EB111" s="47">
        <f>t_Parts[[#This Row],[hp2015.08]]/t_Parts[[#This Row],[ha2015.08]]</f>
        <v>9.2640692640692628E-3</v>
      </c>
      <c r="EC111" s="47">
        <f>t_Parts[[#This Row],[hp2015.09]]/t_Parts[[#This Row],[ha2015.09]]</f>
        <v>8.5497835497835486E-3</v>
      </c>
      <c r="ED111" s="47">
        <f>t_Parts[[#This Row],[hp2015.10]]/t_Parts[[#This Row],[ha2015.10]]</f>
        <v>9.2640692640692628E-3</v>
      </c>
      <c r="EE111" s="47">
        <f>t_Parts[[#This Row],[hp2015.11]]/t_Parts[[#This Row],[ha2015.11]]</f>
        <v>9.2640692640692628E-3</v>
      </c>
      <c r="EF111" s="47">
        <f>t_Parts[[#This Row],[hp2015.12]]/t_Parts[[#This Row],[ha2015.12]]</f>
        <v>8.5497835497835486E-3</v>
      </c>
      <c r="EG111" s="47">
        <f>t_Parts[[#This Row],[hp2015.FY]]/t_Parts[[#This Row],[ha2015.FY]]</f>
        <v>8.989343989343989E-3</v>
      </c>
      <c r="EH111" s="47">
        <f>t_Parts[[#This Row],[hp2016.01]]/t_Parts[[#This Row],[ha2016.01]]</f>
        <v>9.2640692640692628E-3</v>
      </c>
      <c r="EI111" s="47">
        <f>t_Parts[[#This Row],[hp2016.02]]/t_Parts[[#This Row],[ha2016.02]]</f>
        <v>9.2640692640692628E-3</v>
      </c>
      <c r="EJ111" s="47">
        <f>t_Parts[[#This Row],[hp2016.03]]/t_Parts[[#This Row],[ha2016.03]]</f>
        <v>8.5497835497835486E-3</v>
      </c>
      <c r="EK111" s="47">
        <f>t_Parts[[#This Row],[hp2016.04]]/t_Parts[[#This Row],[ha2016.04]]</f>
        <v>9.2640692640692628E-3</v>
      </c>
      <c r="EL111" s="47">
        <f>t_Parts[[#This Row],[hp2016.05]]/t_Parts[[#This Row],[ha2016.05]]</f>
        <v>9.2640692640692628E-3</v>
      </c>
      <c r="EM111" s="47">
        <f>t_Parts[[#This Row],[hp2016.06]]/t_Parts[[#This Row],[ha2016.06]]</f>
        <v>8.5497835497835486E-3</v>
      </c>
      <c r="EN111" s="47">
        <f>t_Parts[[#This Row],[hp2016.07]]/t_Parts[[#This Row],[ha2016.07]]</f>
        <v>9.2640692640692628E-3</v>
      </c>
      <c r="EO111" s="47">
        <f>t_Parts[[#This Row],[hp2016.08]]/t_Parts[[#This Row],[ha2016.08]]</f>
        <v>9.2640692640692628E-3</v>
      </c>
      <c r="EP111" s="47">
        <f>t_Parts[[#This Row],[hp2016.09]]/t_Parts[[#This Row],[ha2016.09]]</f>
        <v>8.5497835497835486E-3</v>
      </c>
      <c r="EQ111" s="47">
        <f>t_Parts[[#This Row],[hp2016.10]]/t_Parts[[#This Row],[ha2016.10]]</f>
        <v>9.2640692640692628E-3</v>
      </c>
      <c r="ER111" s="47">
        <f>t_Parts[[#This Row],[hp2016.11]]/t_Parts[[#This Row],[ha2016.11]]</f>
        <v>9.2640692640692628E-3</v>
      </c>
      <c r="ES111" s="47">
        <f>t_Parts[[#This Row],[hp2016.12]]/t_Parts[[#This Row],[ha2016.12]]</f>
        <v>8.5497835497835486E-3</v>
      </c>
      <c r="ET111" s="47">
        <f>t_Parts[[#This Row],[hp2016.FY]]/t_Parts[[#This Row],[ha2016.FY]]</f>
        <v>8.989343989343989E-3</v>
      </c>
      <c r="EU111" s="47">
        <f>t_Parts[[#This Row],[hp2017]]/t_Parts[[#This Row],[ha2017]]</f>
        <v>0</v>
      </c>
      <c r="EV111" s="47">
        <f>t_Parts[[#This Row],[hp2018]]/t_Parts[[#This Row],[ha2018]]</f>
        <v>0</v>
      </c>
      <c r="EW111" s="47">
        <f>t_Parts[[#This Row],[hp2019]]/t_Parts[[#This Row],[hp2015.01]]</f>
        <v>0</v>
      </c>
      <c r="EX111" s="58">
        <f>(t_Parts[[#This Row],[ha2015.01]]-t_Parts[[#This Row],[hp2015.01]])*t_Parts[[NetPPH]:[NetPPH]]</f>
        <v>595035.99999999988</v>
      </c>
      <c r="EY111" s="58">
        <f>(t_Parts[[#This Row],[ha2015.02]]-t_Parts[[#This Row],[hp2015.02]])*t_Parts[[NetPPH]:[NetPPH]]</f>
        <v>595035.99999999988</v>
      </c>
      <c r="EZ111" s="58">
        <f>(t_Parts[[#This Row],[ha2015.03]]-t_Parts[[#This Row],[hp2015.03]])*t_Parts[[NetPPH]:[NetPPH]]</f>
        <v>744331.25</v>
      </c>
      <c r="FA111" s="58">
        <f>(t_Parts[[#This Row],[ha2015.04]]-t_Parts[[#This Row],[hp2015.04]])*t_Parts[[NetPPH]:[NetPPH]]</f>
        <v>595035.99999999988</v>
      </c>
      <c r="FB111" s="58">
        <f>(t_Parts[[#This Row],[ha2015.05]]-t_Parts[[#This Row],[hp2015.05]])*t_Parts[[NetPPH]:[NetPPH]]</f>
        <v>595035.99999999988</v>
      </c>
      <c r="FC111" s="58">
        <f>(t_Parts[[#This Row],[ha2015.06]]-t_Parts[[#This Row],[hp2015.06]])*t_Parts[[NetPPH]:[NetPPH]]</f>
        <v>744331.25</v>
      </c>
      <c r="FD111" s="58">
        <f>(t_Parts[[#This Row],[ha2015.07]]-t_Parts[[#This Row],[hp2015.07]])*t_Parts[[NetPPH]:[NetPPH]]</f>
        <v>595035.99999999988</v>
      </c>
      <c r="FE111" s="58">
        <f>(t_Parts[[#This Row],[ha2015.08]]-t_Parts[[#This Row],[hp2015.08]])*t_Parts[[NetPPH]:[NetPPH]]</f>
        <v>595035.99999999988</v>
      </c>
      <c r="FF111" s="58">
        <f>(t_Parts[[#This Row],[ha2015.09]]-t_Parts[[#This Row],[hp2015.09]])*t_Parts[[NetPPH]:[NetPPH]]</f>
        <v>744331.25</v>
      </c>
      <c r="FG111" s="58">
        <f>(t_Parts[[#This Row],[ha2015.10]]-t_Parts[[#This Row],[hp2015.10]])*t_Parts[[NetPPH]:[NetPPH]]</f>
        <v>595035.99999999988</v>
      </c>
      <c r="FH111" s="58">
        <f>(t_Parts[[#This Row],[ha2015.11]]-t_Parts[[#This Row],[hp2015.11]])*t_Parts[[NetPPH]:[NetPPH]]</f>
        <v>595035.99999999988</v>
      </c>
      <c r="FI111" s="58">
        <f>(t_Parts[[#This Row],[ha2015.12]]-t_Parts[[#This Row],[hp2015.12]])*t_Parts[[NetPPH]:[NetPPH]]</f>
        <v>744331.25</v>
      </c>
      <c r="FJ111" s="58">
        <f>(t_Parts[[#This Row],[ha2015.FY]]-t_Parts[[#This Row],[hp2015.FY]])*t_Parts[[NetPPH]:[NetPPH]]</f>
        <v>7737613</v>
      </c>
      <c r="FK111" s="58">
        <f>(t_Parts[[#This Row],[ha2016.01]]-t_Parts[[#This Row],[hp2016.01]])*t_Parts[[NetPPH]:[NetPPH]]</f>
        <v>595035.99999999988</v>
      </c>
      <c r="FL111" s="58">
        <f>(t_Parts[[#This Row],[ha2016.02]]-t_Parts[[#This Row],[hp2016.02]])*t_Parts[[NetPPH]:[NetPPH]]</f>
        <v>595035.99999999988</v>
      </c>
      <c r="FM111" s="58">
        <f>(t_Parts[[#This Row],[ha2016.03]]-t_Parts[[#This Row],[hp2016.03]])*t_Parts[[NetPPH]:[NetPPH]]</f>
        <v>744331.25</v>
      </c>
      <c r="FN111" s="58">
        <f>(t_Parts[[#This Row],[ha2016.04]]-t_Parts[[#This Row],[hp2016.04]])*t_Parts[[NetPPH]:[NetPPH]]</f>
        <v>595035.99999999988</v>
      </c>
      <c r="FO111" s="58">
        <f>(t_Parts[[#This Row],[ha2016.05]]-t_Parts[[#This Row],[hp2016.05]])*t_Parts[[NetPPH]:[NetPPH]]</f>
        <v>595035.99999999988</v>
      </c>
      <c r="FP111" s="58">
        <f>(t_Parts[[#This Row],[ha2016.06]]-t_Parts[[#This Row],[hp2016.06]])*t_Parts[[NetPPH]:[NetPPH]]</f>
        <v>744331.25</v>
      </c>
      <c r="FQ111" s="58">
        <f>(t_Parts[[#This Row],[ha2016.07]]-t_Parts[[#This Row],[hp2016.07]])*t_Parts[[NetPPH]:[NetPPH]]</f>
        <v>595035.99999999988</v>
      </c>
      <c r="FR111" s="58">
        <f>(t_Parts[[#This Row],[ha2016.08]]-t_Parts[[#This Row],[hp2016.08]])*t_Parts[[NetPPH]:[NetPPH]]</f>
        <v>595035.99999999988</v>
      </c>
      <c r="FS111" s="58">
        <f>(t_Parts[[#This Row],[ha2016.09]]-t_Parts[[#This Row],[hp2016.09]])*t_Parts[[NetPPH]:[NetPPH]]</f>
        <v>744331.25</v>
      </c>
      <c r="FT111" s="58">
        <f>(t_Parts[[#This Row],[ha2016.10]]-t_Parts[[#This Row],[hp2016.10]])*t_Parts[[NetPPH]:[NetPPH]]</f>
        <v>595035.99999999988</v>
      </c>
      <c r="FU111" s="58">
        <f>(t_Parts[[#This Row],[ha2016.11]]-t_Parts[[#This Row],[hp2016.11]])*t_Parts[[NetPPH]:[NetPPH]]</f>
        <v>595035.99999999988</v>
      </c>
      <c r="FV111" s="58">
        <f>(t_Parts[[#This Row],[ha2016.12]]-t_Parts[[#This Row],[hp2016.12]])*t_Parts[[NetPPH]:[NetPPH]]</f>
        <v>744331.25</v>
      </c>
      <c r="FW111" s="58">
        <f>(t_Parts[[#This Row],[ha2016.FY]]-t_Parts[[#This Row],[hp2016.FY]])*t_Parts[[NetPPH]:[NetPPH]]</f>
        <v>7737613</v>
      </c>
      <c r="FX111" s="58">
        <f>(t_Parts[[#This Row],[ha2017]]-t_Parts[[#This Row],[hp2017]])*t_Parts[[NetPPH]:[NetPPH]]</f>
        <v>7807800</v>
      </c>
      <c r="FY111" s="58">
        <f>(t_Parts[[#This Row],[ha2018]]-t_Parts[[#This Row],[hp2018]])*t_Parts[[NetPPH]:[NetPPH]]</f>
        <v>7807800</v>
      </c>
      <c r="FZ111" s="58">
        <f>(t_Parts[[#This Row],[ha2019]]-t_Parts[[#This Row],[hp2019]])*t_Parts[[NetPPH]:[NetPPH]]</f>
        <v>7807800</v>
      </c>
    </row>
    <row r="112" spans="1:182" s="14" customFormat="1" x14ac:dyDescent="0.25">
      <c r="A112" s="74">
        <v>29166</v>
      </c>
      <c r="B112" s="74"/>
      <c r="C112" s="74">
        <v>21013</v>
      </c>
      <c r="D112" s="75">
        <v>1</v>
      </c>
      <c r="E112" s="73">
        <v>3000</v>
      </c>
      <c r="F112" s="76">
        <v>1</v>
      </c>
      <c r="G112" s="77">
        <v>2</v>
      </c>
      <c r="H112" s="16">
        <v>2015.01</v>
      </c>
      <c r="I112" s="16" t="s">
        <v>332</v>
      </c>
      <c r="J112" s="73">
        <v>22000</v>
      </c>
      <c r="K112" s="73">
        <v>22000</v>
      </c>
      <c r="L112" s="73">
        <v>22000</v>
      </c>
      <c r="M112" s="73">
        <v>22000</v>
      </c>
      <c r="N112" s="73">
        <v>22000</v>
      </c>
      <c r="O112" s="78">
        <v>28</v>
      </c>
      <c r="P112" s="78">
        <v>54</v>
      </c>
      <c r="Q112" s="79">
        <v>20.995000000000001</v>
      </c>
      <c r="R112" s="79"/>
      <c r="S112" s="78">
        <v>100</v>
      </c>
      <c r="T112" s="80">
        <v>13</v>
      </c>
      <c r="U112" s="80" t="s">
        <v>121</v>
      </c>
      <c r="V112" s="81" t="s">
        <v>532</v>
      </c>
      <c r="W112" s="82">
        <v>0.42299999999999999</v>
      </c>
      <c r="X112" s="82" t="s">
        <v>495</v>
      </c>
      <c r="Y112" s="82" t="s">
        <v>519</v>
      </c>
      <c r="Z112" s="82"/>
      <c r="AA112" s="82"/>
      <c r="AB112" s="82"/>
      <c r="AC112" s="83" t="s">
        <v>111</v>
      </c>
      <c r="AD112" s="40" t="str">
        <f>VLOOKUP(t_Parts[[#This Row],[Press]],t_Presses[],Press!B$1,FALSE)</f>
        <v>Plainfield</v>
      </c>
      <c r="AE112" s="40" t="str">
        <f>VLOOKUP(t_Parts[[#This Row],[Press]],t_Presses[],Press!E$1,FALSE)</f>
        <v>0-299</v>
      </c>
      <c r="AF112" s="47">
        <f>VLOOKUP(t_Parts[[#This Row],[Plant]],t_Plants[],Plants!C$1,FALSE)</f>
        <v>0.55000000000000004</v>
      </c>
      <c r="AG112" s="47">
        <f>VLOOKUP(t_Parts[[#This Row],[Press]],t_Presses[],Press!F$1,FALSE)</f>
        <v>0</v>
      </c>
      <c r="AH112" s="84"/>
      <c r="AI112" s="47">
        <f>IF(ISBLANK(t_Parts[[#This Row],[PartOEE]])=FALSE,t_Parts[[#This Row],[PartOEE]], IF(t_Parts[[#This Row],[PressOEE]]&gt;0, t_Parts[[#This Row],[PressOEE]], t_Parts[[#This Row],[PlantOEE]] ))</f>
        <v>0.55000000000000004</v>
      </c>
      <c r="AJ112" s="70">
        <f>t_Parts[[#This Row],[SetupsPerMo]]*t_Parts[[#This Row],[SetupHrs]]</f>
        <v>2</v>
      </c>
      <c r="AK112" s="39">
        <f>(t_Parts[[#This Row],[PartsPerStroke]]*t_Parts[[#This Row],[StrokesPerHr]])*t_Parts[[#This Row],[UseOEE]]</f>
        <v>1650.0000000000002</v>
      </c>
      <c r="AL112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1692.3076923076924</v>
      </c>
      <c r="AM112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1692.3076923076924</v>
      </c>
      <c r="AN112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2115.3846153846152</v>
      </c>
      <c r="AO112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1692.3076923076924</v>
      </c>
      <c r="AP112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1692.3076923076924</v>
      </c>
      <c r="AQ112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2115.3846153846152</v>
      </c>
      <c r="AR112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1692.3076923076924</v>
      </c>
      <c r="AS112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1692.3076923076924</v>
      </c>
      <c r="AT112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2115.3846153846152</v>
      </c>
      <c r="AU112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1692.3076923076924</v>
      </c>
      <c r="AV112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1692.3076923076924</v>
      </c>
      <c r="AW112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2115.3846153846152</v>
      </c>
      <c r="AX112" s="39">
        <f>SUM(t_Parts[[#This Row],[pv2015.01]:[pv2015.12]])</f>
        <v>22000</v>
      </c>
      <c r="AY112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1692.3076923076924</v>
      </c>
      <c r="AZ112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1692.3076923076924</v>
      </c>
      <c r="BA112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2115.3846153846152</v>
      </c>
      <c r="BB112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1692.3076923076924</v>
      </c>
      <c r="BC112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1692.3076923076924</v>
      </c>
      <c r="BD112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2115.3846153846152</v>
      </c>
      <c r="BE112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1692.3076923076924</v>
      </c>
      <c r="BF112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1692.3076923076924</v>
      </c>
      <c r="BG112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2115.3846153846152</v>
      </c>
      <c r="BH112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1692.3076923076924</v>
      </c>
      <c r="BI112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1692.3076923076924</v>
      </c>
      <c r="BJ112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2115.3846153846152</v>
      </c>
      <c r="BK112" s="39">
        <f>SUM(t_Parts[[#This Row],[pv2016.01]:[pv2016.12]])</f>
        <v>22000</v>
      </c>
      <c r="BL112" s="39">
        <f>t_Parts[[#This Row],[2017vol]]</f>
        <v>22000</v>
      </c>
      <c r="BM112" s="39">
        <f>t_Parts[[#This Row],[2018vol]]</f>
        <v>22000</v>
      </c>
      <c r="BN112" s="39">
        <f>t_Parts[[#This Row],[2019vol]]</f>
        <v>22000</v>
      </c>
      <c r="BO112" s="40">
        <f>VLOOKUP(t_Parts[[Plant]:[Plant]],t_Plants[],Plants!CN$1,FALSE)</f>
        <v>280</v>
      </c>
      <c r="BP112" s="14">
        <f>VLOOKUP(t_Parts[[Plant]:[Plant]],t_Plants[],Plants!CO$1,FALSE)</f>
        <v>280</v>
      </c>
      <c r="BQ112" s="14">
        <f>VLOOKUP(t_Parts[[Plant]:[Plant]],t_Plants[],Plants!CP$1,FALSE)</f>
        <v>350</v>
      </c>
      <c r="BR112" s="14">
        <f>VLOOKUP(t_Parts[[Plant]:[Plant]],t_Plants[],Plants!CQ$1,FALSE)</f>
        <v>280</v>
      </c>
      <c r="BS112" s="14">
        <f>VLOOKUP(t_Parts[[Plant]:[Plant]],t_Plants[],Plants!CR$1,FALSE)</f>
        <v>280</v>
      </c>
      <c r="BT112" s="14">
        <f>VLOOKUP(t_Parts[[Plant]:[Plant]],t_Plants[],Plants!CS$1,FALSE)</f>
        <v>350</v>
      </c>
      <c r="BU112" s="14">
        <f>VLOOKUP(t_Parts[[Plant]:[Plant]],t_Plants[],Plants!CT$1,FALSE)</f>
        <v>280</v>
      </c>
      <c r="BV112" s="14">
        <f>VLOOKUP(t_Parts[[Plant]:[Plant]],t_Plants[],Plants!CU$1,FALSE)</f>
        <v>280</v>
      </c>
      <c r="BW112" s="14">
        <f>VLOOKUP(t_Parts[[Plant]:[Plant]],t_Plants[],Plants!CV$1,FALSE)</f>
        <v>350</v>
      </c>
      <c r="BX112" s="14">
        <f>VLOOKUP(t_Parts[[Plant]:[Plant]],t_Plants[],Plants!CW$1,FALSE)</f>
        <v>280</v>
      </c>
      <c r="BY112" s="14">
        <f>VLOOKUP(t_Parts[[Plant]:[Plant]],t_Plants[],Plants!CX$1,FALSE)</f>
        <v>280</v>
      </c>
      <c r="BZ112" s="14">
        <f>VLOOKUP(t_Parts[[Plant]:[Plant]],t_Plants[],Plants!CY$1,FALSE)</f>
        <v>350</v>
      </c>
      <c r="CA112" s="40">
        <f>SUM(t_Parts[[#This Row],[ha2015.01]:[ha2015.12]])</f>
        <v>3640</v>
      </c>
      <c r="CB112" s="14">
        <f>VLOOKUP(t_Parts[[Plant]:[Plant]],t_Plants[],Plants!DA$1,FALSE)</f>
        <v>280</v>
      </c>
      <c r="CC112" s="14">
        <f>VLOOKUP(t_Parts[[Plant]:[Plant]],t_Plants[],Plants!DB$1,FALSE)</f>
        <v>280</v>
      </c>
      <c r="CD112" s="14">
        <f>VLOOKUP(t_Parts[[Plant]:[Plant]],t_Plants[],Plants!DC$1,FALSE)</f>
        <v>350</v>
      </c>
      <c r="CE112" s="14">
        <f>VLOOKUP(t_Parts[[Plant]:[Plant]],t_Plants[],Plants!DD$1,FALSE)</f>
        <v>280</v>
      </c>
      <c r="CF112" s="14">
        <f>VLOOKUP(t_Parts[[Plant]:[Plant]],t_Plants[],Plants!DE$1,FALSE)</f>
        <v>280</v>
      </c>
      <c r="CG112" s="14">
        <f>VLOOKUP(t_Parts[[Plant]:[Plant]],t_Plants[],Plants!DF$1,FALSE)</f>
        <v>350</v>
      </c>
      <c r="CH112" s="14">
        <f>VLOOKUP(t_Parts[[Plant]:[Plant]],t_Plants[],Plants!DG$1,FALSE)</f>
        <v>280</v>
      </c>
      <c r="CI112" s="14">
        <f>VLOOKUP(t_Parts[[Plant]:[Plant]],t_Plants[],Plants!DH$1,FALSE)</f>
        <v>280</v>
      </c>
      <c r="CJ112" s="14">
        <f>VLOOKUP(t_Parts[[Plant]:[Plant]],t_Plants[],Plants!DI$1,FALSE)</f>
        <v>350</v>
      </c>
      <c r="CK112" s="14">
        <f>VLOOKUP(t_Parts[[Plant]:[Plant]],t_Plants[],Plants!DJ$1,FALSE)</f>
        <v>280</v>
      </c>
      <c r="CL112" s="14">
        <f>VLOOKUP(t_Parts[[Plant]:[Plant]],t_Plants[],Plants!DK$1,FALSE)</f>
        <v>280</v>
      </c>
      <c r="CM112" s="14">
        <f>VLOOKUP(t_Parts[[Plant]:[Plant]],t_Plants[],Plants!DL$1,FALSE)</f>
        <v>350</v>
      </c>
      <c r="CN112" s="14">
        <f>VLOOKUP(t_Parts[[Plant]:[Plant]],t_Plants[],Plants!DM$1,FALSE)</f>
        <v>3640</v>
      </c>
      <c r="CO112" s="14">
        <f>VLOOKUP(t_Parts[[Plant]:[Plant]],t_Plants[],Plants!DN$1,FALSE)</f>
        <v>3640</v>
      </c>
      <c r="CP112" s="14">
        <f>VLOOKUP(t_Parts[[Plant]:[Plant]],t_Plants[],Plants!DO$1,FALSE)</f>
        <v>3640</v>
      </c>
      <c r="CQ112" s="14">
        <f>VLOOKUP(t_Parts[[Plant]:[Plant]],t_Plants[],Plants!DP$1,FALSE)</f>
        <v>3640</v>
      </c>
      <c r="CR112" s="39">
        <f>IF(AND(AL$3&gt;=VALUE(t_Parts[[SOP]:[SOP]]),AL$3&lt;=VALUE(t_Parts[[EOP]:[EOP]])), t_Parts[[SetupHrsPerMo]:[SetupHrsPerMo]]+(t_Parts[[#This Row],[pv2015.01]]/t_Parts[[NetPPH]:[NetPPH]]),0)</f>
        <v>3.0256410256410255</v>
      </c>
      <c r="CS112" s="39">
        <f>IF(AND(AM$3&gt;=VALUE(t_Parts[[SOP]:[SOP]]),AM$3&lt;=VALUE(t_Parts[[EOP]:[EOP]])), t_Parts[[SetupHrsPerMo]:[SetupHrsPerMo]]+(t_Parts[[#This Row],[pv2015.02]]/t_Parts[[NetPPH]:[NetPPH]]),0)</f>
        <v>3.0256410256410255</v>
      </c>
      <c r="CT112" s="39">
        <f>IF(AND(AN$3&gt;=VALUE(t_Parts[[SOP]:[SOP]]),AN$3&lt;=VALUE(t_Parts[[EOP]:[EOP]])), t_Parts[[SetupHrsPerMo]:[SetupHrsPerMo]]+(t_Parts[[#This Row],[pv2015.03]]/t_Parts[[NetPPH]:[NetPPH]]),0)</f>
        <v>3.2820512820512819</v>
      </c>
      <c r="CU112" s="39">
        <f>IF(AND(AO$3&gt;=VALUE(t_Parts[[SOP]:[SOP]]),AO$3&lt;=VALUE(t_Parts[[EOP]:[EOP]])), t_Parts[[SetupHrsPerMo]:[SetupHrsPerMo]]+(t_Parts[[#This Row],[pv2015.04]]/t_Parts[[NetPPH]:[NetPPH]]),0)</f>
        <v>3.0256410256410255</v>
      </c>
      <c r="CV112" s="39">
        <f>IF(AND(AP$3&gt;=VALUE(t_Parts[[SOP]:[SOP]]),AP$3&lt;=VALUE(t_Parts[[EOP]:[EOP]])), t_Parts[[SetupHrsPerMo]:[SetupHrsPerMo]]+(t_Parts[[#This Row],[pv2015.05]]/t_Parts[[NetPPH]:[NetPPH]]),0)</f>
        <v>3.0256410256410255</v>
      </c>
      <c r="CW112" s="39">
        <f>IF(AND(AQ$3&gt;=VALUE(t_Parts[[SOP]:[SOP]]),AQ$3&lt;=VALUE(t_Parts[[EOP]:[EOP]])), t_Parts[[SetupHrsPerMo]:[SetupHrsPerMo]]+(t_Parts[[#This Row],[pv2015.06]]/t_Parts[[NetPPH]:[NetPPH]]),0)</f>
        <v>3.2820512820512819</v>
      </c>
      <c r="CX112" s="39">
        <f>IF(AND(AR$3&gt;=VALUE(t_Parts[[SOP]:[SOP]]),AR$3&lt;=VALUE(t_Parts[[EOP]:[EOP]])), t_Parts[[SetupHrsPerMo]:[SetupHrsPerMo]]+(t_Parts[[#This Row],[pv2015.07]]/t_Parts[[NetPPH]:[NetPPH]]),0)</f>
        <v>3.0256410256410255</v>
      </c>
      <c r="CY112" s="39">
        <f>IF(AND(AS$3&gt;=VALUE(t_Parts[[SOP]:[SOP]]),AS$3&lt;=VALUE(t_Parts[[EOP]:[EOP]])), t_Parts[[SetupHrsPerMo]:[SetupHrsPerMo]]+(t_Parts[[#This Row],[pv2015.08]]/t_Parts[[NetPPH]:[NetPPH]]),0)</f>
        <v>3.0256410256410255</v>
      </c>
      <c r="CZ112" s="39">
        <f>IF(AND(AT$3&gt;=VALUE(t_Parts[[SOP]:[SOP]]),AT$3&lt;=VALUE(t_Parts[[EOP]:[EOP]])), t_Parts[[SetupHrsPerMo]:[SetupHrsPerMo]]+(t_Parts[[#This Row],[pv2015.09]]/t_Parts[[NetPPH]:[NetPPH]]),0)</f>
        <v>3.2820512820512819</v>
      </c>
      <c r="DA112" s="39">
        <f>IF(AND(AU$3&gt;=VALUE(t_Parts[[SOP]:[SOP]]),AU$3&lt;=VALUE(t_Parts[[EOP]:[EOP]])), t_Parts[[SetupHrsPerMo]:[SetupHrsPerMo]]+(t_Parts[[#This Row],[pv2015.10]]/t_Parts[[NetPPH]:[NetPPH]]),0)</f>
        <v>3.0256410256410255</v>
      </c>
      <c r="DB112" s="39">
        <f>IF(AND(AV$3&gt;=VALUE(t_Parts[[SOP]:[SOP]]),AV$3&lt;=VALUE(t_Parts[[EOP]:[EOP]])), t_Parts[[SetupHrsPerMo]:[SetupHrsPerMo]]+(t_Parts[[#This Row],[pv2015.11]]/t_Parts[[NetPPH]:[NetPPH]]),0)</f>
        <v>3.0256410256410255</v>
      </c>
      <c r="DC112" s="39">
        <f>IF(AND(AW$3&gt;=VALUE(t_Parts[[SOP]:[SOP]]),AW$3&lt;=VALUE(t_Parts[[EOP]:[EOP]])), t_Parts[[SetupHrsPerMo]:[SetupHrsPerMo]]+(t_Parts[[#This Row],[pv2015.12]]/t_Parts[[NetPPH]:[NetPPH]]),0)</f>
        <v>3.2820512820512819</v>
      </c>
      <c r="DD112" s="39">
        <f>SUM(t_Parts[[#This Row],[hp2015.01]:[hp2015.12]])</f>
        <v>37.333333333333329</v>
      </c>
      <c r="DE112" s="39">
        <f>IF(AND(AY$3&gt;=VALUE(t_Parts[[SOP]:[SOP]]),AY$3&lt;=VALUE(t_Parts[[EOP]:[EOP]])), t_Parts[[SetupHrsPerMo]:[SetupHrsPerMo]]+(t_Parts[[#This Row],[pv2016.01]]/t_Parts[[NetPPH]:[NetPPH]]),0)</f>
        <v>3.0256410256410255</v>
      </c>
      <c r="DF112" s="39">
        <f>IF(AND(AZ$3&gt;=VALUE(t_Parts[[SOP]:[SOP]]),AZ$3&lt;=VALUE(t_Parts[[EOP]:[EOP]])), t_Parts[[SetupHrsPerMo]:[SetupHrsPerMo]]+(t_Parts[[#This Row],[pv2016.02]]/t_Parts[[NetPPH]:[NetPPH]]),0)</f>
        <v>3.0256410256410255</v>
      </c>
      <c r="DG112" s="39">
        <f>IF(AND(BA$3&gt;=VALUE(t_Parts[[SOP]:[SOP]]),BA$3&lt;=VALUE(t_Parts[[EOP]:[EOP]])), t_Parts[[SetupHrsPerMo]:[SetupHrsPerMo]]+(t_Parts[[#This Row],[pv2016.03]]/t_Parts[[NetPPH]:[NetPPH]]),0)</f>
        <v>3.2820512820512819</v>
      </c>
      <c r="DH112" s="39">
        <f>IF(AND(BB$3&gt;=VALUE(t_Parts[[SOP]:[SOP]]),BB$3&lt;=VALUE(t_Parts[[EOP]:[EOP]])), t_Parts[[SetupHrsPerMo]:[SetupHrsPerMo]]+(t_Parts[[#This Row],[pv2016.04]]/t_Parts[[NetPPH]:[NetPPH]]),0)</f>
        <v>3.0256410256410255</v>
      </c>
      <c r="DI112" s="39">
        <f>IF(AND(BC$3&gt;=VALUE(t_Parts[[SOP]:[SOP]]),BC$3&lt;=VALUE(t_Parts[[EOP]:[EOP]])), t_Parts[[SetupHrsPerMo]:[SetupHrsPerMo]]+(t_Parts[[#This Row],[pv2016.05]]/t_Parts[[NetPPH]:[NetPPH]]),0)</f>
        <v>3.0256410256410255</v>
      </c>
      <c r="DJ112" s="39">
        <f>IF(AND(BD$3&gt;=VALUE(t_Parts[[SOP]:[SOP]]),BD$3&lt;=VALUE(t_Parts[[EOP]:[EOP]])), t_Parts[[SetupHrsPerMo]:[SetupHrsPerMo]]+(t_Parts[[#This Row],[pv2016.06]]/t_Parts[[NetPPH]:[NetPPH]]),0)</f>
        <v>3.2820512820512819</v>
      </c>
      <c r="DK112" s="39">
        <f>IF(AND(BE$3&gt;=VALUE(t_Parts[[SOP]:[SOP]]),BE$3&lt;=VALUE(t_Parts[[EOP]:[EOP]])), t_Parts[[SetupHrsPerMo]:[SetupHrsPerMo]]+(t_Parts[[#This Row],[pv2016.07]]/t_Parts[[NetPPH]:[NetPPH]]),0)</f>
        <v>3.0256410256410255</v>
      </c>
      <c r="DL112" s="39">
        <f>IF(AND(BF$3&gt;=VALUE(t_Parts[[SOP]:[SOP]]),BF$3&lt;=VALUE(t_Parts[[EOP]:[EOP]])), t_Parts[[SetupHrsPerMo]:[SetupHrsPerMo]]+(t_Parts[[#This Row],[pv2016.08]]/t_Parts[[NetPPH]:[NetPPH]]),0)</f>
        <v>3.0256410256410255</v>
      </c>
      <c r="DM112" s="39">
        <f>IF(AND(BG$3&gt;=VALUE(t_Parts[[SOP]:[SOP]]),BG$3&lt;=VALUE(t_Parts[[EOP]:[EOP]])), t_Parts[[SetupHrsPerMo]:[SetupHrsPerMo]]+(t_Parts[[#This Row],[pv2016.09]]/t_Parts[[NetPPH]:[NetPPH]]),0)</f>
        <v>3.2820512820512819</v>
      </c>
      <c r="DN112" s="39">
        <f>IF(AND(BH$3&gt;=VALUE(t_Parts[[SOP]:[SOP]]),BH$3&lt;=VALUE(t_Parts[[EOP]:[EOP]])), t_Parts[[SetupHrsPerMo]:[SetupHrsPerMo]]+(t_Parts[[#This Row],[pv2016.10]]/t_Parts[[NetPPH]:[NetPPH]]),0)</f>
        <v>3.0256410256410255</v>
      </c>
      <c r="DO112" s="39">
        <f>IF(AND(BI$3&gt;=VALUE(t_Parts[[SOP]:[SOP]]),BI$3&lt;=VALUE(t_Parts[[EOP]:[EOP]])), t_Parts[[SetupHrsPerMo]:[SetupHrsPerMo]]+(t_Parts[[#This Row],[pv2016.11]]/t_Parts[[NetPPH]:[NetPPH]]),0)</f>
        <v>3.0256410256410255</v>
      </c>
      <c r="DP112" s="39">
        <f>IF(AND(BJ$3&gt;=VALUE(t_Parts[[SOP]:[SOP]]),BJ$3&lt;=VALUE(t_Parts[[EOP]:[EOP]])), t_Parts[[SetupHrsPerMo]:[SetupHrsPerMo]]+(t_Parts[[#This Row],[pv2016.12]]/t_Parts[[NetPPH]:[NetPPH]]),0)</f>
        <v>3.2820512820512819</v>
      </c>
      <c r="DQ112" s="39">
        <f>SUM(t_Parts[[#This Row],[hp2016.01]:[hp2016.12]])</f>
        <v>37.333333333333329</v>
      </c>
      <c r="DR112" s="39">
        <f>IF(AND(BL$3&gt;=VALUE(t_Parts[[SOP]:[SOP]]),BL$3&lt;=VALUE(t_Parts[[EOP]:[EOP]])), 12*t_Parts[[SetupHrsPerMo]:[SetupHrsPerMo]]+(t_Parts[[#This Row],[pv2017]]/t_Parts[[NetPPH]:[NetPPH]]),0)</f>
        <v>0</v>
      </c>
      <c r="DS112" s="39">
        <f>IF(AND(BM$3&gt;=VALUE(t_Parts[[SOP]:[SOP]]),BM$3&lt;=VALUE(t_Parts[[EOP]:[EOP]])), 12*t_Parts[[SetupHrsPerMo]:[SetupHrsPerMo]]+(t_Parts[[#This Row],[pv2018]]/t_Parts[[NetPPH]:[NetPPH]]),0)</f>
        <v>0</v>
      </c>
      <c r="DT112" s="39">
        <f>IF(AND(BN$3&gt;=VALUE(t_Parts[[SOP]:[SOP]]),BN$3&lt;=VALUE(t_Parts[[EOP]:[EOP]])), 12*t_Parts[[SetupHrsPerMo]:[SetupHrsPerMo]]+(t_Parts[[#This Row],[pv2019]]/t_Parts[[NetPPH]:[NetPPH]]),0)</f>
        <v>0</v>
      </c>
      <c r="DU112" s="47">
        <f>t_Parts[[#This Row],[hp2015.01]]/t_Parts[[#This Row],[ha2015.01]]</f>
        <v>1.0805860805860806E-2</v>
      </c>
      <c r="DV112" s="47">
        <f>t_Parts[[#This Row],[hp2015.02]]/t_Parts[[#This Row],[ha2015.02]]</f>
        <v>1.0805860805860806E-2</v>
      </c>
      <c r="DW112" s="47">
        <f>t_Parts[[#This Row],[hp2015.03]]/t_Parts[[#This Row],[ha2015.03]]</f>
        <v>9.3772893772893773E-3</v>
      </c>
      <c r="DX112" s="47">
        <f>t_Parts[[#This Row],[hp2015.04]]/t_Parts[[#This Row],[ha2015.04]]</f>
        <v>1.0805860805860806E-2</v>
      </c>
      <c r="DY112" s="47">
        <f>t_Parts[[#This Row],[hp2015.05]]/t_Parts[[#This Row],[ha2015.05]]</f>
        <v>1.0805860805860806E-2</v>
      </c>
      <c r="DZ112" s="47">
        <f>t_Parts[[#This Row],[hp2015.06]]/t_Parts[[#This Row],[ha2015.06]]</f>
        <v>9.3772893772893773E-3</v>
      </c>
      <c r="EA112" s="47">
        <f>t_Parts[[#This Row],[hp2015.07]]/t_Parts[[#This Row],[ha2015.07]]</f>
        <v>1.0805860805860806E-2</v>
      </c>
      <c r="EB112" s="47">
        <f>t_Parts[[#This Row],[hp2015.08]]/t_Parts[[#This Row],[ha2015.08]]</f>
        <v>1.0805860805860806E-2</v>
      </c>
      <c r="EC112" s="47">
        <f>t_Parts[[#This Row],[hp2015.09]]/t_Parts[[#This Row],[ha2015.09]]</f>
        <v>9.3772893772893773E-3</v>
      </c>
      <c r="ED112" s="47">
        <f>t_Parts[[#This Row],[hp2015.10]]/t_Parts[[#This Row],[ha2015.10]]</f>
        <v>1.0805860805860806E-2</v>
      </c>
      <c r="EE112" s="47">
        <f>t_Parts[[#This Row],[hp2015.11]]/t_Parts[[#This Row],[ha2015.11]]</f>
        <v>1.0805860805860806E-2</v>
      </c>
      <c r="EF112" s="47">
        <f>t_Parts[[#This Row],[hp2015.12]]/t_Parts[[#This Row],[ha2015.12]]</f>
        <v>9.3772893772893773E-3</v>
      </c>
      <c r="EG112" s="47">
        <f>t_Parts[[#This Row],[hp2015.FY]]/t_Parts[[#This Row],[ha2015.FY]]</f>
        <v>1.0256410256410255E-2</v>
      </c>
      <c r="EH112" s="47">
        <f>t_Parts[[#This Row],[hp2016.01]]/t_Parts[[#This Row],[ha2016.01]]</f>
        <v>1.0805860805860806E-2</v>
      </c>
      <c r="EI112" s="47">
        <f>t_Parts[[#This Row],[hp2016.02]]/t_Parts[[#This Row],[ha2016.02]]</f>
        <v>1.0805860805860806E-2</v>
      </c>
      <c r="EJ112" s="47">
        <f>t_Parts[[#This Row],[hp2016.03]]/t_Parts[[#This Row],[ha2016.03]]</f>
        <v>9.3772893772893773E-3</v>
      </c>
      <c r="EK112" s="47">
        <f>t_Parts[[#This Row],[hp2016.04]]/t_Parts[[#This Row],[ha2016.04]]</f>
        <v>1.0805860805860806E-2</v>
      </c>
      <c r="EL112" s="47">
        <f>t_Parts[[#This Row],[hp2016.05]]/t_Parts[[#This Row],[ha2016.05]]</f>
        <v>1.0805860805860806E-2</v>
      </c>
      <c r="EM112" s="47">
        <f>t_Parts[[#This Row],[hp2016.06]]/t_Parts[[#This Row],[ha2016.06]]</f>
        <v>9.3772893772893773E-3</v>
      </c>
      <c r="EN112" s="47">
        <f>t_Parts[[#This Row],[hp2016.07]]/t_Parts[[#This Row],[ha2016.07]]</f>
        <v>1.0805860805860806E-2</v>
      </c>
      <c r="EO112" s="47">
        <f>t_Parts[[#This Row],[hp2016.08]]/t_Parts[[#This Row],[ha2016.08]]</f>
        <v>1.0805860805860806E-2</v>
      </c>
      <c r="EP112" s="47">
        <f>t_Parts[[#This Row],[hp2016.09]]/t_Parts[[#This Row],[ha2016.09]]</f>
        <v>9.3772893772893773E-3</v>
      </c>
      <c r="EQ112" s="47">
        <f>t_Parts[[#This Row],[hp2016.10]]/t_Parts[[#This Row],[ha2016.10]]</f>
        <v>1.0805860805860806E-2</v>
      </c>
      <c r="ER112" s="47">
        <f>t_Parts[[#This Row],[hp2016.11]]/t_Parts[[#This Row],[ha2016.11]]</f>
        <v>1.0805860805860806E-2</v>
      </c>
      <c r="ES112" s="47">
        <f>t_Parts[[#This Row],[hp2016.12]]/t_Parts[[#This Row],[ha2016.12]]</f>
        <v>9.3772893772893773E-3</v>
      </c>
      <c r="ET112" s="47">
        <f>t_Parts[[#This Row],[hp2016.FY]]/t_Parts[[#This Row],[ha2016.FY]]</f>
        <v>1.0256410256410255E-2</v>
      </c>
      <c r="EU112" s="47">
        <f>t_Parts[[#This Row],[hp2017]]/t_Parts[[#This Row],[ha2017]]</f>
        <v>0</v>
      </c>
      <c r="EV112" s="47">
        <f>t_Parts[[#This Row],[hp2018]]/t_Parts[[#This Row],[ha2018]]</f>
        <v>0</v>
      </c>
      <c r="EW112" s="47">
        <f>t_Parts[[#This Row],[hp2019]]/t_Parts[[#This Row],[hp2015.01]]</f>
        <v>0</v>
      </c>
      <c r="EX112" s="58">
        <f>(t_Parts[[#This Row],[ha2015.01]]-t_Parts[[#This Row],[hp2015.01]])*t_Parts[[NetPPH]:[NetPPH]]</f>
        <v>457007.69230769231</v>
      </c>
      <c r="EY112" s="58">
        <f>(t_Parts[[#This Row],[ha2015.02]]-t_Parts[[#This Row],[hp2015.02]])*t_Parts[[NetPPH]:[NetPPH]]</f>
        <v>457007.69230769231</v>
      </c>
      <c r="EZ112" s="58">
        <f>(t_Parts[[#This Row],[ha2015.03]]-t_Parts[[#This Row],[hp2015.03]])*t_Parts[[NetPPH]:[NetPPH]]</f>
        <v>572084.61538461549</v>
      </c>
      <c r="FA112" s="58">
        <f>(t_Parts[[#This Row],[ha2015.04]]-t_Parts[[#This Row],[hp2015.04]])*t_Parts[[NetPPH]:[NetPPH]]</f>
        <v>457007.69230769231</v>
      </c>
      <c r="FB112" s="58">
        <f>(t_Parts[[#This Row],[ha2015.05]]-t_Parts[[#This Row],[hp2015.05]])*t_Parts[[NetPPH]:[NetPPH]]</f>
        <v>457007.69230769231</v>
      </c>
      <c r="FC112" s="58">
        <f>(t_Parts[[#This Row],[ha2015.06]]-t_Parts[[#This Row],[hp2015.06]])*t_Parts[[NetPPH]:[NetPPH]]</f>
        <v>572084.61538461549</v>
      </c>
      <c r="FD112" s="58">
        <f>(t_Parts[[#This Row],[ha2015.07]]-t_Parts[[#This Row],[hp2015.07]])*t_Parts[[NetPPH]:[NetPPH]]</f>
        <v>457007.69230769231</v>
      </c>
      <c r="FE112" s="58">
        <f>(t_Parts[[#This Row],[ha2015.08]]-t_Parts[[#This Row],[hp2015.08]])*t_Parts[[NetPPH]:[NetPPH]]</f>
        <v>457007.69230769231</v>
      </c>
      <c r="FF112" s="58">
        <f>(t_Parts[[#This Row],[ha2015.09]]-t_Parts[[#This Row],[hp2015.09]])*t_Parts[[NetPPH]:[NetPPH]]</f>
        <v>572084.61538461549</v>
      </c>
      <c r="FG112" s="58">
        <f>(t_Parts[[#This Row],[ha2015.10]]-t_Parts[[#This Row],[hp2015.10]])*t_Parts[[NetPPH]:[NetPPH]]</f>
        <v>457007.69230769231</v>
      </c>
      <c r="FH112" s="58">
        <f>(t_Parts[[#This Row],[ha2015.11]]-t_Parts[[#This Row],[hp2015.11]])*t_Parts[[NetPPH]:[NetPPH]]</f>
        <v>457007.69230769231</v>
      </c>
      <c r="FI112" s="58">
        <f>(t_Parts[[#This Row],[ha2015.12]]-t_Parts[[#This Row],[hp2015.12]])*t_Parts[[NetPPH]:[NetPPH]]</f>
        <v>572084.61538461549</v>
      </c>
      <c r="FJ112" s="58">
        <f>(t_Parts[[#This Row],[ha2015.FY]]-t_Parts[[#This Row],[hp2015.FY]])*t_Parts[[NetPPH]:[NetPPH]]</f>
        <v>5944400.0000000009</v>
      </c>
      <c r="FK112" s="58">
        <f>(t_Parts[[#This Row],[ha2016.01]]-t_Parts[[#This Row],[hp2016.01]])*t_Parts[[NetPPH]:[NetPPH]]</f>
        <v>457007.69230769231</v>
      </c>
      <c r="FL112" s="58">
        <f>(t_Parts[[#This Row],[ha2016.02]]-t_Parts[[#This Row],[hp2016.02]])*t_Parts[[NetPPH]:[NetPPH]]</f>
        <v>457007.69230769231</v>
      </c>
      <c r="FM112" s="58">
        <f>(t_Parts[[#This Row],[ha2016.03]]-t_Parts[[#This Row],[hp2016.03]])*t_Parts[[NetPPH]:[NetPPH]]</f>
        <v>572084.61538461549</v>
      </c>
      <c r="FN112" s="58">
        <f>(t_Parts[[#This Row],[ha2016.04]]-t_Parts[[#This Row],[hp2016.04]])*t_Parts[[NetPPH]:[NetPPH]]</f>
        <v>457007.69230769231</v>
      </c>
      <c r="FO112" s="58">
        <f>(t_Parts[[#This Row],[ha2016.05]]-t_Parts[[#This Row],[hp2016.05]])*t_Parts[[NetPPH]:[NetPPH]]</f>
        <v>457007.69230769231</v>
      </c>
      <c r="FP112" s="58">
        <f>(t_Parts[[#This Row],[ha2016.06]]-t_Parts[[#This Row],[hp2016.06]])*t_Parts[[NetPPH]:[NetPPH]]</f>
        <v>572084.61538461549</v>
      </c>
      <c r="FQ112" s="58">
        <f>(t_Parts[[#This Row],[ha2016.07]]-t_Parts[[#This Row],[hp2016.07]])*t_Parts[[NetPPH]:[NetPPH]]</f>
        <v>457007.69230769231</v>
      </c>
      <c r="FR112" s="58">
        <f>(t_Parts[[#This Row],[ha2016.08]]-t_Parts[[#This Row],[hp2016.08]])*t_Parts[[NetPPH]:[NetPPH]]</f>
        <v>457007.69230769231</v>
      </c>
      <c r="FS112" s="58">
        <f>(t_Parts[[#This Row],[ha2016.09]]-t_Parts[[#This Row],[hp2016.09]])*t_Parts[[NetPPH]:[NetPPH]]</f>
        <v>572084.61538461549</v>
      </c>
      <c r="FT112" s="58">
        <f>(t_Parts[[#This Row],[ha2016.10]]-t_Parts[[#This Row],[hp2016.10]])*t_Parts[[NetPPH]:[NetPPH]]</f>
        <v>457007.69230769231</v>
      </c>
      <c r="FU112" s="58">
        <f>(t_Parts[[#This Row],[ha2016.11]]-t_Parts[[#This Row],[hp2016.11]])*t_Parts[[NetPPH]:[NetPPH]]</f>
        <v>457007.69230769231</v>
      </c>
      <c r="FV112" s="58">
        <f>(t_Parts[[#This Row],[ha2016.12]]-t_Parts[[#This Row],[hp2016.12]])*t_Parts[[NetPPH]:[NetPPH]]</f>
        <v>572084.61538461549</v>
      </c>
      <c r="FW112" s="58">
        <f>(t_Parts[[#This Row],[ha2016.FY]]-t_Parts[[#This Row],[hp2016.FY]])*t_Parts[[NetPPH]:[NetPPH]]</f>
        <v>5944400.0000000009</v>
      </c>
      <c r="FX112" s="58">
        <f>(t_Parts[[#This Row],[ha2017]]-t_Parts[[#This Row],[hp2017]])*t_Parts[[NetPPH]:[NetPPH]]</f>
        <v>6006000.0000000009</v>
      </c>
      <c r="FY112" s="58">
        <f>(t_Parts[[#This Row],[ha2018]]-t_Parts[[#This Row],[hp2018]])*t_Parts[[NetPPH]:[NetPPH]]</f>
        <v>6006000.0000000009</v>
      </c>
      <c r="FZ112" s="58">
        <f>(t_Parts[[#This Row],[ha2019]]-t_Parts[[#This Row],[hp2019]])*t_Parts[[NetPPH]:[NetPPH]]</f>
        <v>6006000.0000000009</v>
      </c>
    </row>
    <row r="113" spans="1:182" s="14" customFormat="1" x14ac:dyDescent="0.25">
      <c r="A113" s="74">
        <v>29163</v>
      </c>
      <c r="B113" s="74"/>
      <c r="C113" s="74">
        <v>21013</v>
      </c>
      <c r="D113" s="75">
        <v>1</v>
      </c>
      <c r="E113" s="73">
        <v>3600</v>
      </c>
      <c r="F113" s="76">
        <v>1</v>
      </c>
      <c r="G113" s="77">
        <v>4</v>
      </c>
      <c r="H113" s="16">
        <v>2015.01</v>
      </c>
      <c r="I113" s="16" t="s">
        <v>327</v>
      </c>
      <c r="J113" s="73">
        <v>225006</v>
      </c>
      <c r="K113" s="73">
        <v>225006</v>
      </c>
      <c r="L113" s="73">
        <v>225006</v>
      </c>
      <c r="M113" s="73">
        <v>225006</v>
      </c>
      <c r="N113" s="73">
        <v>225006</v>
      </c>
      <c r="O113" s="78">
        <v>26</v>
      </c>
      <c r="P113" s="78">
        <v>52</v>
      </c>
      <c r="Q113" s="79">
        <v>20.92</v>
      </c>
      <c r="R113" s="79"/>
      <c r="S113" s="78">
        <v>181</v>
      </c>
      <c r="T113" s="80">
        <v>12.5</v>
      </c>
      <c r="U113" s="80" t="s">
        <v>121</v>
      </c>
      <c r="V113" s="81" t="s">
        <v>637</v>
      </c>
      <c r="W113" s="82">
        <v>0.26300000000000001</v>
      </c>
      <c r="X113" s="82" t="s">
        <v>495</v>
      </c>
      <c r="Y113" s="82" t="s">
        <v>604</v>
      </c>
      <c r="Z113" s="82"/>
      <c r="AA113" s="82"/>
      <c r="AB113" s="82"/>
      <c r="AC113" s="83" t="s">
        <v>110</v>
      </c>
      <c r="AD113" s="40" t="str">
        <f>VLOOKUP(t_Parts[[#This Row],[Press]],t_Presses[],Press!B$1,FALSE)</f>
        <v>Plainfield</v>
      </c>
      <c r="AE113" s="40" t="str">
        <f>VLOOKUP(t_Parts[[#This Row],[Press]],t_Presses[],Press!E$1,FALSE)</f>
        <v>0-299</v>
      </c>
      <c r="AF113" s="47">
        <f>VLOOKUP(t_Parts[[#This Row],[Plant]],t_Plants[],Plants!C$1,FALSE)</f>
        <v>0.55000000000000004</v>
      </c>
      <c r="AG113" s="47">
        <f>VLOOKUP(t_Parts[[#This Row],[Press]],t_Presses[],Press!F$1,FALSE)</f>
        <v>0</v>
      </c>
      <c r="AH113" s="84"/>
      <c r="AI113" s="47">
        <f>IF(ISBLANK(t_Parts[[#This Row],[PartOEE]])=FALSE,t_Parts[[#This Row],[PartOEE]], IF(t_Parts[[#This Row],[PressOEE]]&gt;0, t_Parts[[#This Row],[PressOEE]], t_Parts[[#This Row],[PlantOEE]] ))</f>
        <v>0.55000000000000004</v>
      </c>
      <c r="AJ113" s="70">
        <f>t_Parts[[#This Row],[SetupsPerMo]]*t_Parts[[#This Row],[SetupHrs]]</f>
        <v>4</v>
      </c>
      <c r="AK113" s="39">
        <f>(t_Parts[[#This Row],[PartsPerStroke]]*t_Parts[[#This Row],[StrokesPerHr]])*t_Parts[[#This Row],[UseOEE]]</f>
        <v>1980.0000000000002</v>
      </c>
      <c r="AL113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17308.153846153848</v>
      </c>
      <c r="AM113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17308.153846153848</v>
      </c>
      <c r="AN113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21635.192307692309</v>
      </c>
      <c r="AO113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17308.153846153848</v>
      </c>
      <c r="AP113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17308.153846153848</v>
      </c>
      <c r="AQ113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21635.192307692309</v>
      </c>
      <c r="AR113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17308.153846153848</v>
      </c>
      <c r="AS113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17308.153846153848</v>
      </c>
      <c r="AT113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21635.192307692309</v>
      </c>
      <c r="AU113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17308.153846153848</v>
      </c>
      <c r="AV113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17308.153846153848</v>
      </c>
      <c r="AW113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21635.192307692309</v>
      </c>
      <c r="AX113" s="39">
        <f>SUM(t_Parts[[#This Row],[pv2015.01]:[pv2015.12]])</f>
        <v>225006</v>
      </c>
      <c r="AY113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17308.153846153848</v>
      </c>
      <c r="AZ113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17308.153846153848</v>
      </c>
      <c r="BA113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21635.192307692309</v>
      </c>
      <c r="BB113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17308.153846153848</v>
      </c>
      <c r="BC113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17308.153846153848</v>
      </c>
      <c r="BD113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21635.192307692309</v>
      </c>
      <c r="BE113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17308.153846153848</v>
      </c>
      <c r="BF113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13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13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13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13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13" s="39">
        <f>SUM(t_Parts[[#This Row],[pv2016.01]:[pv2016.12]])</f>
        <v>129811.15384615384</v>
      </c>
      <c r="BL113" s="39">
        <f>t_Parts[[#This Row],[2017vol]]</f>
        <v>225006</v>
      </c>
      <c r="BM113" s="39">
        <f>t_Parts[[#This Row],[2018vol]]</f>
        <v>225006</v>
      </c>
      <c r="BN113" s="39">
        <f>t_Parts[[#This Row],[2019vol]]</f>
        <v>225006</v>
      </c>
      <c r="BO113" s="40">
        <f>VLOOKUP(t_Parts[[Plant]:[Plant]],t_Plants[],Plants!CN$1,FALSE)</f>
        <v>280</v>
      </c>
      <c r="BP113" s="14">
        <f>VLOOKUP(t_Parts[[Plant]:[Plant]],t_Plants[],Plants!CO$1,FALSE)</f>
        <v>280</v>
      </c>
      <c r="BQ113" s="14">
        <f>VLOOKUP(t_Parts[[Plant]:[Plant]],t_Plants[],Plants!CP$1,FALSE)</f>
        <v>350</v>
      </c>
      <c r="BR113" s="14">
        <f>VLOOKUP(t_Parts[[Plant]:[Plant]],t_Plants[],Plants!CQ$1,FALSE)</f>
        <v>280</v>
      </c>
      <c r="BS113" s="14">
        <f>VLOOKUP(t_Parts[[Plant]:[Plant]],t_Plants[],Plants!CR$1,FALSE)</f>
        <v>280</v>
      </c>
      <c r="BT113" s="14">
        <f>VLOOKUP(t_Parts[[Plant]:[Plant]],t_Plants[],Plants!CS$1,FALSE)</f>
        <v>350</v>
      </c>
      <c r="BU113" s="14">
        <f>VLOOKUP(t_Parts[[Plant]:[Plant]],t_Plants[],Plants!CT$1,FALSE)</f>
        <v>280</v>
      </c>
      <c r="BV113" s="14">
        <f>VLOOKUP(t_Parts[[Plant]:[Plant]],t_Plants[],Plants!CU$1,FALSE)</f>
        <v>280</v>
      </c>
      <c r="BW113" s="14">
        <f>VLOOKUP(t_Parts[[Plant]:[Plant]],t_Plants[],Plants!CV$1,FALSE)</f>
        <v>350</v>
      </c>
      <c r="BX113" s="14">
        <f>VLOOKUP(t_Parts[[Plant]:[Plant]],t_Plants[],Plants!CW$1,FALSE)</f>
        <v>280</v>
      </c>
      <c r="BY113" s="14">
        <f>VLOOKUP(t_Parts[[Plant]:[Plant]],t_Plants[],Plants!CX$1,FALSE)</f>
        <v>280</v>
      </c>
      <c r="BZ113" s="14">
        <f>VLOOKUP(t_Parts[[Plant]:[Plant]],t_Plants[],Plants!CY$1,FALSE)</f>
        <v>350</v>
      </c>
      <c r="CA113" s="40">
        <f>SUM(t_Parts[[#This Row],[ha2015.01]:[ha2015.12]])</f>
        <v>3640</v>
      </c>
      <c r="CB113" s="14">
        <f>VLOOKUP(t_Parts[[Plant]:[Plant]],t_Plants[],Plants!DA$1,FALSE)</f>
        <v>280</v>
      </c>
      <c r="CC113" s="14">
        <f>VLOOKUP(t_Parts[[Plant]:[Plant]],t_Plants[],Plants!DB$1,FALSE)</f>
        <v>280</v>
      </c>
      <c r="CD113" s="14">
        <f>VLOOKUP(t_Parts[[Plant]:[Plant]],t_Plants[],Plants!DC$1,FALSE)</f>
        <v>350</v>
      </c>
      <c r="CE113" s="14">
        <f>VLOOKUP(t_Parts[[Plant]:[Plant]],t_Plants[],Plants!DD$1,FALSE)</f>
        <v>280</v>
      </c>
      <c r="CF113" s="14">
        <f>VLOOKUP(t_Parts[[Plant]:[Plant]],t_Plants[],Plants!DE$1,FALSE)</f>
        <v>280</v>
      </c>
      <c r="CG113" s="14">
        <f>VLOOKUP(t_Parts[[Plant]:[Plant]],t_Plants[],Plants!DF$1,FALSE)</f>
        <v>350</v>
      </c>
      <c r="CH113" s="14">
        <f>VLOOKUP(t_Parts[[Plant]:[Plant]],t_Plants[],Plants!DG$1,FALSE)</f>
        <v>280</v>
      </c>
      <c r="CI113" s="14">
        <f>VLOOKUP(t_Parts[[Plant]:[Plant]],t_Plants[],Plants!DH$1,FALSE)</f>
        <v>280</v>
      </c>
      <c r="CJ113" s="14">
        <f>VLOOKUP(t_Parts[[Plant]:[Plant]],t_Plants[],Plants!DI$1,FALSE)</f>
        <v>350</v>
      </c>
      <c r="CK113" s="14">
        <f>VLOOKUP(t_Parts[[Plant]:[Plant]],t_Plants[],Plants!DJ$1,FALSE)</f>
        <v>280</v>
      </c>
      <c r="CL113" s="14">
        <f>VLOOKUP(t_Parts[[Plant]:[Plant]],t_Plants[],Plants!DK$1,FALSE)</f>
        <v>280</v>
      </c>
      <c r="CM113" s="14">
        <f>VLOOKUP(t_Parts[[Plant]:[Plant]],t_Plants[],Plants!DL$1,FALSE)</f>
        <v>350</v>
      </c>
      <c r="CN113" s="14">
        <f>VLOOKUP(t_Parts[[Plant]:[Plant]],t_Plants[],Plants!DM$1,FALSE)</f>
        <v>3640</v>
      </c>
      <c r="CO113" s="14">
        <f>VLOOKUP(t_Parts[[Plant]:[Plant]],t_Plants[],Plants!DN$1,FALSE)</f>
        <v>3640</v>
      </c>
      <c r="CP113" s="14">
        <f>VLOOKUP(t_Parts[[Plant]:[Plant]],t_Plants[],Plants!DO$1,FALSE)</f>
        <v>3640</v>
      </c>
      <c r="CQ113" s="14">
        <f>VLOOKUP(t_Parts[[Plant]:[Plant]],t_Plants[],Plants!DP$1,FALSE)</f>
        <v>3640</v>
      </c>
      <c r="CR113" s="39">
        <f>IF(AND(AL$3&gt;=VALUE(t_Parts[[SOP]:[SOP]]),AL$3&lt;=VALUE(t_Parts[[EOP]:[EOP]])), t_Parts[[SetupHrsPerMo]:[SetupHrsPerMo]]+(t_Parts[[#This Row],[pv2015.01]]/t_Parts[[NetPPH]:[NetPPH]]),0)</f>
        <v>12.741491841491841</v>
      </c>
      <c r="CS113" s="39">
        <f>IF(AND(AM$3&gt;=VALUE(t_Parts[[SOP]:[SOP]]),AM$3&lt;=VALUE(t_Parts[[EOP]:[EOP]])), t_Parts[[SetupHrsPerMo]:[SetupHrsPerMo]]+(t_Parts[[#This Row],[pv2015.02]]/t_Parts[[NetPPH]:[NetPPH]]),0)</f>
        <v>12.741491841491841</v>
      </c>
      <c r="CT113" s="39">
        <f>IF(AND(AN$3&gt;=VALUE(t_Parts[[SOP]:[SOP]]),AN$3&lt;=VALUE(t_Parts[[EOP]:[EOP]])), t_Parts[[SetupHrsPerMo]:[SetupHrsPerMo]]+(t_Parts[[#This Row],[pv2015.03]]/t_Parts[[NetPPH]:[NetPPH]]),0)</f>
        <v>14.9268648018648</v>
      </c>
      <c r="CU113" s="39">
        <f>IF(AND(AO$3&gt;=VALUE(t_Parts[[SOP]:[SOP]]),AO$3&lt;=VALUE(t_Parts[[EOP]:[EOP]])), t_Parts[[SetupHrsPerMo]:[SetupHrsPerMo]]+(t_Parts[[#This Row],[pv2015.04]]/t_Parts[[NetPPH]:[NetPPH]]),0)</f>
        <v>12.741491841491841</v>
      </c>
      <c r="CV113" s="39">
        <f>IF(AND(AP$3&gt;=VALUE(t_Parts[[SOP]:[SOP]]),AP$3&lt;=VALUE(t_Parts[[EOP]:[EOP]])), t_Parts[[SetupHrsPerMo]:[SetupHrsPerMo]]+(t_Parts[[#This Row],[pv2015.05]]/t_Parts[[NetPPH]:[NetPPH]]),0)</f>
        <v>12.741491841491841</v>
      </c>
      <c r="CW113" s="39">
        <f>IF(AND(AQ$3&gt;=VALUE(t_Parts[[SOP]:[SOP]]),AQ$3&lt;=VALUE(t_Parts[[EOP]:[EOP]])), t_Parts[[SetupHrsPerMo]:[SetupHrsPerMo]]+(t_Parts[[#This Row],[pv2015.06]]/t_Parts[[NetPPH]:[NetPPH]]),0)</f>
        <v>14.9268648018648</v>
      </c>
      <c r="CX113" s="39">
        <f>IF(AND(AR$3&gt;=VALUE(t_Parts[[SOP]:[SOP]]),AR$3&lt;=VALUE(t_Parts[[EOP]:[EOP]])), t_Parts[[SetupHrsPerMo]:[SetupHrsPerMo]]+(t_Parts[[#This Row],[pv2015.07]]/t_Parts[[NetPPH]:[NetPPH]]),0)</f>
        <v>12.741491841491841</v>
      </c>
      <c r="CY113" s="39">
        <f>IF(AND(AS$3&gt;=VALUE(t_Parts[[SOP]:[SOP]]),AS$3&lt;=VALUE(t_Parts[[EOP]:[EOP]])), t_Parts[[SetupHrsPerMo]:[SetupHrsPerMo]]+(t_Parts[[#This Row],[pv2015.08]]/t_Parts[[NetPPH]:[NetPPH]]),0)</f>
        <v>12.741491841491841</v>
      </c>
      <c r="CZ113" s="39">
        <f>IF(AND(AT$3&gt;=VALUE(t_Parts[[SOP]:[SOP]]),AT$3&lt;=VALUE(t_Parts[[EOP]:[EOP]])), t_Parts[[SetupHrsPerMo]:[SetupHrsPerMo]]+(t_Parts[[#This Row],[pv2015.09]]/t_Parts[[NetPPH]:[NetPPH]]),0)</f>
        <v>14.9268648018648</v>
      </c>
      <c r="DA113" s="39">
        <f>IF(AND(AU$3&gt;=VALUE(t_Parts[[SOP]:[SOP]]),AU$3&lt;=VALUE(t_Parts[[EOP]:[EOP]])), t_Parts[[SetupHrsPerMo]:[SetupHrsPerMo]]+(t_Parts[[#This Row],[pv2015.10]]/t_Parts[[NetPPH]:[NetPPH]]),0)</f>
        <v>12.741491841491841</v>
      </c>
      <c r="DB113" s="39">
        <f>IF(AND(AV$3&gt;=VALUE(t_Parts[[SOP]:[SOP]]),AV$3&lt;=VALUE(t_Parts[[EOP]:[EOP]])), t_Parts[[SetupHrsPerMo]:[SetupHrsPerMo]]+(t_Parts[[#This Row],[pv2015.11]]/t_Parts[[NetPPH]:[NetPPH]]),0)</f>
        <v>12.741491841491841</v>
      </c>
      <c r="DC113" s="39">
        <f>IF(AND(AW$3&gt;=VALUE(t_Parts[[SOP]:[SOP]]),AW$3&lt;=VALUE(t_Parts[[EOP]:[EOP]])), t_Parts[[SetupHrsPerMo]:[SetupHrsPerMo]]+(t_Parts[[#This Row],[pv2015.12]]/t_Parts[[NetPPH]:[NetPPH]]),0)</f>
        <v>14.9268648018648</v>
      </c>
      <c r="DD113" s="39">
        <f>SUM(t_Parts[[#This Row],[hp2015.01]:[hp2015.12]])</f>
        <v>161.63939393939393</v>
      </c>
      <c r="DE113" s="39">
        <f>IF(AND(AY$3&gt;=VALUE(t_Parts[[SOP]:[SOP]]),AY$3&lt;=VALUE(t_Parts[[EOP]:[EOP]])), t_Parts[[SetupHrsPerMo]:[SetupHrsPerMo]]+(t_Parts[[#This Row],[pv2016.01]]/t_Parts[[NetPPH]:[NetPPH]]),0)</f>
        <v>12.741491841491841</v>
      </c>
      <c r="DF113" s="39">
        <f>IF(AND(AZ$3&gt;=VALUE(t_Parts[[SOP]:[SOP]]),AZ$3&lt;=VALUE(t_Parts[[EOP]:[EOP]])), t_Parts[[SetupHrsPerMo]:[SetupHrsPerMo]]+(t_Parts[[#This Row],[pv2016.02]]/t_Parts[[NetPPH]:[NetPPH]]),0)</f>
        <v>12.741491841491841</v>
      </c>
      <c r="DG113" s="39">
        <f>IF(AND(BA$3&gt;=VALUE(t_Parts[[SOP]:[SOP]]),BA$3&lt;=VALUE(t_Parts[[EOP]:[EOP]])), t_Parts[[SetupHrsPerMo]:[SetupHrsPerMo]]+(t_Parts[[#This Row],[pv2016.03]]/t_Parts[[NetPPH]:[NetPPH]]),0)</f>
        <v>14.9268648018648</v>
      </c>
      <c r="DH113" s="39">
        <f>IF(AND(BB$3&gt;=VALUE(t_Parts[[SOP]:[SOP]]),BB$3&lt;=VALUE(t_Parts[[EOP]:[EOP]])), t_Parts[[SetupHrsPerMo]:[SetupHrsPerMo]]+(t_Parts[[#This Row],[pv2016.04]]/t_Parts[[NetPPH]:[NetPPH]]),0)</f>
        <v>12.741491841491841</v>
      </c>
      <c r="DI113" s="39">
        <f>IF(AND(BC$3&gt;=VALUE(t_Parts[[SOP]:[SOP]]),BC$3&lt;=VALUE(t_Parts[[EOP]:[EOP]])), t_Parts[[SetupHrsPerMo]:[SetupHrsPerMo]]+(t_Parts[[#This Row],[pv2016.05]]/t_Parts[[NetPPH]:[NetPPH]]),0)</f>
        <v>12.741491841491841</v>
      </c>
      <c r="DJ113" s="39">
        <f>IF(AND(BD$3&gt;=VALUE(t_Parts[[SOP]:[SOP]]),BD$3&lt;=VALUE(t_Parts[[EOP]:[EOP]])), t_Parts[[SetupHrsPerMo]:[SetupHrsPerMo]]+(t_Parts[[#This Row],[pv2016.06]]/t_Parts[[NetPPH]:[NetPPH]]),0)</f>
        <v>14.9268648018648</v>
      </c>
      <c r="DK113" s="39">
        <f>IF(AND(BE$3&gt;=VALUE(t_Parts[[SOP]:[SOP]]),BE$3&lt;=VALUE(t_Parts[[EOP]:[EOP]])), t_Parts[[SetupHrsPerMo]:[SetupHrsPerMo]]+(t_Parts[[#This Row],[pv2016.07]]/t_Parts[[NetPPH]:[NetPPH]]),0)</f>
        <v>12.741491841491841</v>
      </c>
      <c r="DL113" s="39">
        <f>IF(AND(BF$3&gt;=VALUE(t_Parts[[SOP]:[SOP]]),BF$3&lt;=VALUE(t_Parts[[EOP]:[EOP]])), t_Parts[[SetupHrsPerMo]:[SetupHrsPerMo]]+(t_Parts[[#This Row],[pv2016.08]]/t_Parts[[NetPPH]:[NetPPH]]),0)</f>
        <v>0</v>
      </c>
      <c r="DM113" s="39">
        <f>IF(AND(BG$3&gt;=VALUE(t_Parts[[SOP]:[SOP]]),BG$3&lt;=VALUE(t_Parts[[EOP]:[EOP]])), t_Parts[[SetupHrsPerMo]:[SetupHrsPerMo]]+(t_Parts[[#This Row],[pv2016.09]]/t_Parts[[NetPPH]:[NetPPH]]),0)</f>
        <v>0</v>
      </c>
      <c r="DN113" s="39">
        <f>IF(AND(BH$3&gt;=VALUE(t_Parts[[SOP]:[SOP]]),BH$3&lt;=VALUE(t_Parts[[EOP]:[EOP]])), t_Parts[[SetupHrsPerMo]:[SetupHrsPerMo]]+(t_Parts[[#This Row],[pv2016.10]]/t_Parts[[NetPPH]:[NetPPH]]),0)</f>
        <v>0</v>
      </c>
      <c r="DO113" s="39">
        <f>IF(AND(BI$3&gt;=VALUE(t_Parts[[SOP]:[SOP]]),BI$3&lt;=VALUE(t_Parts[[EOP]:[EOP]])), t_Parts[[SetupHrsPerMo]:[SetupHrsPerMo]]+(t_Parts[[#This Row],[pv2016.11]]/t_Parts[[NetPPH]:[NetPPH]]),0)</f>
        <v>0</v>
      </c>
      <c r="DP113" s="39">
        <f>IF(AND(BJ$3&gt;=VALUE(t_Parts[[SOP]:[SOP]]),BJ$3&lt;=VALUE(t_Parts[[EOP]:[EOP]])), t_Parts[[SetupHrsPerMo]:[SetupHrsPerMo]]+(t_Parts[[#This Row],[pv2016.12]]/t_Parts[[NetPPH]:[NetPPH]]),0)</f>
        <v>0</v>
      </c>
      <c r="DQ113" s="39">
        <f>SUM(t_Parts[[#This Row],[hp2016.01]:[hp2016.12]])</f>
        <v>93.561188811188799</v>
      </c>
      <c r="DR113" s="39">
        <f>IF(AND(BL$3&gt;=VALUE(t_Parts[[SOP]:[SOP]]),BL$3&lt;=VALUE(t_Parts[[EOP]:[EOP]])), 12*t_Parts[[SetupHrsPerMo]:[SetupHrsPerMo]]+(t_Parts[[#This Row],[pv2017]]/t_Parts[[NetPPH]:[NetPPH]]),0)</f>
        <v>0</v>
      </c>
      <c r="DS113" s="39">
        <f>IF(AND(BM$3&gt;=VALUE(t_Parts[[SOP]:[SOP]]),BM$3&lt;=VALUE(t_Parts[[EOP]:[EOP]])), 12*t_Parts[[SetupHrsPerMo]:[SetupHrsPerMo]]+(t_Parts[[#This Row],[pv2018]]/t_Parts[[NetPPH]:[NetPPH]]),0)</f>
        <v>0</v>
      </c>
      <c r="DT113" s="39">
        <f>IF(AND(BN$3&gt;=VALUE(t_Parts[[SOP]:[SOP]]),BN$3&lt;=VALUE(t_Parts[[EOP]:[EOP]])), 12*t_Parts[[SetupHrsPerMo]:[SetupHrsPerMo]]+(t_Parts[[#This Row],[pv2019]]/t_Parts[[NetPPH]:[NetPPH]]),0)</f>
        <v>0</v>
      </c>
      <c r="DU113" s="47">
        <f>t_Parts[[#This Row],[hp2015.01]]/t_Parts[[#This Row],[ha2015.01]]</f>
        <v>4.5505328005328007E-2</v>
      </c>
      <c r="DV113" s="47">
        <f>t_Parts[[#This Row],[hp2015.02]]/t_Parts[[#This Row],[ha2015.02]]</f>
        <v>4.5505328005328007E-2</v>
      </c>
      <c r="DW113" s="47">
        <f>t_Parts[[#This Row],[hp2015.03]]/t_Parts[[#This Row],[ha2015.03]]</f>
        <v>4.2648185148185143E-2</v>
      </c>
      <c r="DX113" s="47">
        <f>t_Parts[[#This Row],[hp2015.04]]/t_Parts[[#This Row],[ha2015.04]]</f>
        <v>4.5505328005328007E-2</v>
      </c>
      <c r="DY113" s="47">
        <f>t_Parts[[#This Row],[hp2015.05]]/t_Parts[[#This Row],[ha2015.05]]</f>
        <v>4.5505328005328007E-2</v>
      </c>
      <c r="DZ113" s="47">
        <f>t_Parts[[#This Row],[hp2015.06]]/t_Parts[[#This Row],[ha2015.06]]</f>
        <v>4.2648185148185143E-2</v>
      </c>
      <c r="EA113" s="47">
        <f>t_Parts[[#This Row],[hp2015.07]]/t_Parts[[#This Row],[ha2015.07]]</f>
        <v>4.5505328005328007E-2</v>
      </c>
      <c r="EB113" s="47">
        <f>t_Parts[[#This Row],[hp2015.08]]/t_Parts[[#This Row],[ha2015.08]]</f>
        <v>4.5505328005328007E-2</v>
      </c>
      <c r="EC113" s="47">
        <f>t_Parts[[#This Row],[hp2015.09]]/t_Parts[[#This Row],[ha2015.09]]</f>
        <v>4.2648185148185143E-2</v>
      </c>
      <c r="ED113" s="47">
        <f>t_Parts[[#This Row],[hp2015.10]]/t_Parts[[#This Row],[ha2015.10]]</f>
        <v>4.5505328005328007E-2</v>
      </c>
      <c r="EE113" s="47">
        <f>t_Parts[[#This Row],[hp2015.11]]/t_Parts[[#This Row],[ha2015.11]]</f>
        <v>4.5505328005328007E-2</v>
      </c>
      <c r="EF113" s="47">
        <f>t_Parts[[#This Row],[hp2015.12]]/t_Parts[[#This Row],[ha2015.12]]</f>
        <v>4.2648185148185143E-2</v>
      </c>
      <c r="EG113" s="47">
        <f>t_Parts[[#This Row],[hp2015.FY]]/t_Parts[[#This Row],[ha2015.FY]]</f>
        <v>4.4406426906426905E-2</v>
      </c>
      <c r="EH113" s="47">
        <f>t_Parts[[#This Row],[hp2016.01]]/t_Parts[[#This Row],[ha2016.01]]</f>
        <v>4.5505328005328007E-2</v>
      </c>
      <c r="EI113" s="47">
        <f>t_Parts[[#This Row],[hp2016.02]]/t_Parts[[#This Row],[ha2016.02]]</f>
        <v>4.5505328005328007E-2</v>
      </c>
      <c r="EJ113" s="47">
        <f>t_Parts[[#This Row],[hp2016.03]]/t_Parts[[#This Row],[ha2016.03]]</f>
        <v>4.2648185148185143E-2</v>
      </c>
      <c r="EK113" s="47">
        <f>t_Parts[[#This Row],[hp2016.04]]/t_Parts[[#This Row],[ha2016.04]]</f>
        <v>4.5505328005328007E-2</v>
      </c>
      <c r="EL113" s="47">
        <f>t_Parts[[#This Row],[hp2016.05]]/t_Parts[[#This Row],[ha2016.05]]</f>
        <v>4.5505328005328007E-2</v>
      </c>
      <c r="EM113" s="47">
        <f>t_Parts[[#This Row],[hp2016.06]]/t_Parts[[#This Row],[ha2016.06]]</f>
        <v>4.2648185148185143E-2</v>
      </c>
      <c r="EN113" s="47">
        <f>t_Parts[[#This Row],[hp2016.07]]/t_Parts[[#This Row],[ha2016.07]]</f>
        <v>4.5505328005328007E-2</v>
      </c>
      <c r="EO113" s="47">
        <f>t_Parts[[#This Row],[hp2016.08]]/t_Parts[[#This Row],[ha2016.08]]</f>
        <v>0</v>
      </c>
      <c r="EP113" s="47">
        <f>t_Parts[[#This Row],[hp2016.09]]/t_Parts[[#This Row],[ha2016.09]]</f>
        <v>0</v>
      </c>
      <c r="EQ113" s="47">
        <f>t_Parts[[#This Row],[hp2016.10]]/t_Parts[[#This Row],[ha2016.10]]</f>
        <v>0</v>
      </c>
      <c r="ER113" s="47">
        <f>t_Parts[[#This Row],[hp2016.11]]/t_Parts[[#This Row],[ha2016.11]]</f>
        <v>0</v>
      </c>
      <c r="ES113" s="47">
        <f>t_Parts[[#This Row],[hp2016.12]]/t_Parts[[#This Row],[ha2016.12]]</f>
        <v>0</v>
      </c>
      <c r="ET113" s="47">
        <f>t_Parts[[#This Row],[hp2016.FY]]/t_Parts[[#This Row],[ha2016.FY]]</f>
        <v>2.5703623299777142E-2</v>
      </c>
      <c r="EU113" s="47">
        <f>t_Parts[[#This Row],[hp2017]]/t_Parts[[#This Row],[ha2017]]</f>
        <v>0</v>
      </c>
      <c r="EV113" s="47">
        <f>t_Parts[[#This Row],[hp2018]]/t_Parts[[#This Row],[ha2018]]</f>
        <v>0</v>
      </c>
      <c r="EW113" s="47">
        <f>t_Parts[[#This Row],[hp2019]]/t_Parts[[#This Row],[hp2015.01]]</f>
        <v>0</v>
      </c>
      <c r="EX113" s="58">
        <f>(t_Parts[[#This Row],[ha2015.01]]-t_Parts[[#This Row],[hp2015.01]])*t_Parts[[NetPPH]:[NetPPH]]</f>
        <v>529171.84615384624</v>
      </c>
      <c r="EY113" s="58">
        <f>(t_Parts[[#This Row],[ha2015.02]]-t_Parts[[#This Row],[hp2015.02]])*t_Parts[[NetPPH]:[NetPPH]]</f>
        <v>529171.84615384624</v>
      </c>
      <c r="EZ113" s="58">
        <f>(t_Parts[[#This Row],[ha2015.03]]-t_Parts[[#This Row],[hp2015.03]])*t_Parts[[NetPPH]:[NetPPH]]</f>
        <v>663444.80769230786</v>
      </c>
      <c r="FA113" s="58">
        <f>(t_Parts[[#This Row],[ha2015.04]]-t_Parts[[#This Row],[hp2015.04]])*t_Parts[[NetPPH]:[NetPPH]]</f>
        <v>529171.84615384624</v>
      </c>
      <c r="FB113" s="58">
        <f>(t_Parts[[#This Row],[ha2015.05]]-t_Parts[[#This Row],[hp2015.05]])*t_Parts[[NetPPH]:[NetPPH]]</f>
        <v>529171.84615384624</v>
      </c>
      <c r="FC113" s="58">
        <f>(t_Parts[[#This Row],[ha2015.06]]-t_Parts[[#This Row],[hp2015.06]])*t_Parts[[NetPPH]:[NetPPH]]</f>
        <v>663444.80769230786</v>
      </c>
      <c r="FD113" s="58">
        <f>(t_Parts[[#This Row],[ha2015.07]]-t_Parts[[#This Row],[hp2015.07]])*t_Parts[[NetPPH]:[NetPPH]]</f>
        <v>529171.84615384624</v>
      </c>
      <c r="FE113" s="58">
        <f>(t_Parts[[#This Row],[ha2015.08]]-t_Parts[[#This Row],[hp2015.08]])*t_Parts[[NetPPH]:[NetPPH]]</f>
        <v>529171.84615384624</v>
      </c>
      <c r="FF113" s="58">
        <f>(t_Parts[[#This Row],[ha2015.09]]-t_Parts[[#This Row],[hp2015.09]])*t_Parts[[NetPPH]:[NetPPH]]</f>
        <v>663444.80769230786</v>
      </c>
      <c r="FG113" s="58">
        <f>(t_Parts[[#This Row],[ha2015.10]]-t_Parts[[#This Row],[hp2015.10]])*t_Parts[[NetPPH]:[NetPPH]]</f>
        <v>529171.84615384624</v>
      </c>
      <c r="FH113" s="58">
        <f>(t_Parts[[#This Row],[ha2015.11]]-t_Parts[[#This Row],[hp2015.11]])*t_Parts[[NetPPH]:[NetPPH]]</f>
        <v>529171.84615384624</v>
      </c>
      <c r="FI113" s="58">
        <f>(t_Parts[[#This Row],[ha2015.12]]-t_Parts[[#This Row],[hp2015.12]])*t_Parts[[NetPPH]:[NetPPH]]</f>
        <v>663444.80769230786</v>
      </c>
      <c r="FJ113" s="58">
        <f>(t_Parts[[#This Row],[ha2015.FY]]-t_Parts[[#This Row],[hp2015.FY]])*t_Parts[[NetPPH]:[NetPPH]]</f>
        <v>6887154.0000000009</v>
      </c>
      <c r="FK113" s="58">
        <f>(t_Parts[[#This Row],[ha2016.01]]-t_Parts[[#This Row],[hp2016.01]])*t_Parts[[NetPPH]:[NetPPH]]</f>
        <v>529171.84615384624</v>
      </c>
      <c r="FL113" s="58">
        <f>(t_Parts[[#This Row],[ha2016.02]]-t_Parts[[#This Row],[hp2016.02]])*t_Parts[[NetPPH]:[NetPPH]]</f>
        <v>529171.84615384624</v>
      </c>
      <c r="FM113" s="58">
        <f>(t_Parts[[#This Row],[ha2016.03]]-t_Parts[[#This Row],[hp2016.03]])*t_Parts[[NetPPH]:[NetPPH]]</f>
        <v>663444.80769230786</v>
      </c>
      <c r="FN113" s="58">
        <f>(t_Parts[[#This Row],[ha2016.04]]-t_Parts[[#This Row],[hp2016.04]])*t_Parts[[NetPPH]:[NetPPH]]</f>
        <v>529171.84615384624</v>
      </c>
      <c r="FO113" s="58">
        <f>(t_Parts[[#This Row],[ha2016.05]]-t_Parts[[#This Row],[hp2016.05]])*t_Parts[[NetPPH]:[NetPPH]]</f>
        <v>529171.84615384624</v>
      </c>
      <c r="FP113" s="58">
        <f>(t_Parts[[#This Row],[ha2016.06]]-t_Parts[[#This Row],[hp2016.06]])*t_Parts[[NetPPH]:[NetPPH]]</f>
        <v>663444.80769230786</v>
      </c>
      <c r="FQ113" s="58">
        <f>(t_Parts[[#This Row],[ha2016.07]]-t_Parts[[#This Row],[hp2016.07]])*t_Parts[[NetPPH]:[NetPPH]]</f>
        <v>529171.84615384624</v>
      </c>
      <c r="FR113" s="58">
        <f>(t_Parts[[#This Row],[ha2016.08]]-t_Parts[[#This Row],[hp2016.08]])*t_Parts[[NetPPH]:[NetPPH]]</f>
        <v>554400.00000000012</v>
      </c>
      <c r="FS113" s="58">
        <f>(t_Parts[[#This Row],[ha2016.09]]-t_Parts[[#This Row],[hp2016.09]])*t_Parts[[NetPPH]:[NetPPH]]</f>
        <v>693000.00000000012</v>
      </c>
      <c r="FT113" s="58">
        <f>(t_Parts[[#This Row],[ha2016.10]]-t_Parts[[#This Row],[hp2016.10]])*t_Parts[[NetPPH]:[NetPPH]]</f>
        <v>554400.00000000012</v>
      </c>
      <c r="FU113" s="58">
        <f>(t_Parts[[#This Row],[ha2016.11]]-t_Parts[[#This Row],[hp2016.11]])*t_Parts[[NetPPH]:[NetPPH]]</f>
        <v>554400.00000000012</v>
      </c>
      <c r="FV113" s="58">
        <f>(t_Parts[[#This Row],[ha2016.12]]-t_Parts[[#This Row],[hp2016.12]])*t_Parts[[NetPPH]:[NetPPH]]</f>
        <v>693000.00000000012</v>
      </c>
      <c r="FW113" s="58">
        <f>(t_Parts[[#This Row],[ha2016.FY]]-t_Parts[[#This Row],[hp2016.FY]])*t_Parts[[NetPPH]:[NetPPH]]</f>
        <v>7021948.8461538469</v>
      </c>
      <c r="FX113" s="58">
        <f>(t_Parts[[#This Row],[ha2017]]-t_Parts[[#This Row],[hp2017]])*t_Parts[[NetPPH]:[NetPPH]]</f>
        <v>7207200.0000000009</v>
      </c>
      <c r="FY113" s="58">
        <f>(t_Parts[[#This Row],[ha2018]]-t_Parts[[#This Row],[hp2018]])*t_Parts[[NetPPH]:[NetPPH]]</f>
        <v>7207200.0000000009</v>
      </c>
      <c r="FZ113" s="58">
        <f>(t_Parts[[#This Row],[ha2019]]-t_Parts[[#This Row],[hp2019]])*t_Parts[[NetPPH]:[NetPPH]]</f>
        <v>7207200.0000000009</v>
      </c>
    </row>
    <row r="114" spans="1:182" s="14" customFormat="1" x14ac:dyDescent="0.25">
      <c r="A114" s="74">
        <v>29162</v>
      </c>
      <c r="B114" s="74"/>
      <c r="C114" s="74">
        <v>21014</v>
      </c>
      <c r="D114" s="75">
        <v>1</v>
      </c>
      <c r="E114" s="73">
        <v>2400</v>
      </c>
      <c r="F114" s="76">
        <v>1</v>
      </c>
      <c r="G114" s="77">
        <v>4</v>
      </c>
      <c r="H114" s="16">
        <v>2015.01</v>
      </c>
      <c r="I114" s="16" t="s">
        <v>81</v>
      </c>
      <c r="J114" s="73">
        <v>161929</v>
      </c>
      <c r="K114" s="73">
        <v>161929</v>
      </c>
      <c r="L114" s="73">
        <v>161929</v>
      </c>
      <c r="M114" s="73">
        <v>161929</v>
      </c>
      <c r="N114" s="73">
        <v>161929</v>
      </c>
      <c r="O114" s="78">
        <v>28</v>
      </c>
      <c r="P114" s="78">
        <v>39</v>
      </c>
      <c r="Q114" s="79">
        <v>22.44</v>
      </c>
      <c r="R114" s="79"/>
      <c r="S114" s="78">
        <v>169</v>
      </c>
      <c r="T114" s="80">
        <v>16</v>
      </c>
      <c r="U114" s="80" t="s">
        <v>121</v>
      </c>
      <c r="V114" s="81" t="s">
        <v>574</v>
      </c>
      <c r="W114" s="82">
        <v>0.13</v>
      </c>
      <c r="X114" s="82" t="s">
        <v>495</v>
      </c>
      <c r="Y114" s="82" t="s">
        <v>575</v>
      </c>
      <c r="Z114" s="82"/>
      <c r="AA114" s="82"/>
      <c r="AB114" s="82"/>
      <c r="AC114" s="83" t="s">
        <v>111</v>
      </c>
      <c r="AD114" s="40" t="str">
        <f>VLOOKUP(t_Parts[[#This Row],[Press]],t_Presses[],Press!B$1,FALSE)</f>
        <v>Plainfield</v>
      </c>
      <c r="AE114" s="40" t="str">
        <f>VLOOKUP(t_Parts[[#This Row],[Press]],t_Presses[],Press!E$1,FALSE)</f>
        <v>300-599</v>
      </c>
      <c r="AF114" s="47">
        <f>VLOOKUP(t_Parts[[#This Row],[Plant]],t_Plants[],Plants!C$1,FALSE)</f>
        <v>0.55000000000000004</v>
      </c>
      <c r="AG114" s="47">
        <f>VLOOKUP(t_Parts[[#This Row],[Press]],t_Presses[],Press!F$1,FALSE)</f>
        <v>0</v>
      </c>
      <c r="AH114" s="84"/>
      <c r="AI114" s="47">
        <f>IF(ISBLANK(t_Parts[[#This Row],[PartOEE]])=FALSE,t_Parts[[#This Row],[PartOEE]], IF(t_Parts[[#This Row],[PressOEE]]&gt;0, t_Parts[[#This Row],[PressOEE]], t_Parts[[#This Row],[PlantOEE]] ))</f>
        <v>0.55000000000000004</v>
      </c>
      <c r="AJ114" s="70">
        <f>t_Parts[[#This Row],[SetupsPerMo]]*t_Parts[[#This Row],[SetupHrs]]</f>
        <v>4</v>
      </c>
      <c r="AK114" s="39">
        <f>(t_Parts[[#This Row],[PartsPerStroke]]*t_Parts[[#This Row],[StrokesPerHr]])*t_Parts[[#This Row],[UseOEE]]</f>
        <v>1320</v>
      </c>
      <c r="AL114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12456.076923076922</v>
      </c>
      <c r="AM114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12456.076923076922</v>
      </c>
      <c r="AN114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15570.096153846154</v>
      </c>
      <c r="AO114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12456.076923076922</v>
      </c>
      <c r="AP114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12456.076923076922</v>
      </c>
      <c r="AQ114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15570.096153846154</v>
      </c>
      <c r="AR114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12456.076923076922</v>
      </c>
      <c r="AS114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12456.076923076922</v>
      </c>
      <c r="AT114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15570.096153846154</v>
      </c>
      <c r="AU114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12456.076923076922</v>
      </c>
      <c r="AV114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12456.076923076922</v>
      </c>
      <c r="AW114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15570.096153846154</v>
      </c>
      <c r="AX114" s="39">
        <f>SUM(t_Parts[[#This Row],[pv2015.01]:[pv2015.12]])</f>
        <v>161929.00000000003</v>
      </c>
      <c r="AY114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12456.076923076922</v>
      </c>
      <c r="AZ114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12456.076923076922</v>
      </c>
      <c r="BA114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15570.096153846154</v>
      </c>
      <c r="BB114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12456.076923076922</v>
      </c>
      <c r="BC114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12456.076923076922</v>
      </c>
      <c r="BD114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15570.096153846154</v>
      </c>
      <c r="BE114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12456.076923076922</v>
      </c>
      <c r="BF114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12456.076923076922</v>
      </c>
      <c r="BG114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15570.096153846154</v>
      </c>
      <c r="BH114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12456.076923076922</v>
      </c>
      <c r="BI114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12456.076923076922</v>
      </c>
      <c r="BJ114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15570.096153846154</v>
      </c>
      <c r="BK114" s="39">
        <f>SUM(t_Parts[[#This Row],[pv2016.01]:[pv2016.12]])</f>
        <v>161929.00000000003</v>
      </c>
      <c r="BL114" s="39">
        <f>t_Parts[[#This Row],[2017vol]]</f>
        <v>161929</v>
      </c>
      <c r="BM114" s="39">
        <f>t_Parts[[#This Row],[2018vol]]</f>
        <v>161929</v>
      </c>
      <c r="BN114" s="39">
        <f>t_Parts[[#This Row],[2019vol]]</f>
        <v>161929</v>
      </c>
      <c r="BO114" s="40">
        <f>VLOOKUP(t_Parts[[Plant]:[Plant]],t_Plants[],Plants!CN$1,FALSE)</f>
        <v>280</v>
      </c>
      <c r="BP114" s="14">
        <f>VLOOKUP(t_Parts[[Plant]:[Plant]],t_Plants[],Plants!CO$1,FALSE)</f>
        <v>280</v>
      </c>
      <c r="BQ114" s="14">
        <f>VLOOKUP(t_Parts[[Plant]:[Plant]],t_Plants[],Plants!CP$1,FALSE)</f>
        <v>350</v>
      </c>
      <c r="BR114" s="14">
        <f>VLOOKUP(t_Parts[[Plant]:[Plant]],t_Plants[],Plants!CQ$1,FALSE)</f>
        <v>280</v>
      </c>
      <c r="BS114" s="14">
        <f>VLOOKUP(t_Parts[[Plant]:[Plant]],t_Plants[],Plants!CR$1,FALSE)</f>
        <v>280</v>
      </c>
      <c r="BT114" s="14">
        <f>VLOOKUP(t_Parts[[Plant]:[Plant]],t_Plants[],Plants!CS$1,FALSE)</f>
        <v>350</v>
      </c>
      <c r="BU114" s="14">
        <f>VLOOKUP(t_Parts[[Plant]:[Plant]],t_Plants[],Plants!CT$1,FALSE)</f>
        <v>280</v>
      </c>
      <c r="BV114" s="14">
        <f>VLOOKUP(t_Parts[[Plant]:[Plant]],t_Plants[],Plants!CU$1,FALSE)</f>
        <v>280</v>
      </c>
      <c r="BW114" s="14">
        <f>VLOOKUP(t_Parts[[Plant]:[Plant]],t_Plants[],Plants!CV$1,FALSE)</f>
        <v>350</v>
      </c>
      <c r="BX114" s="14">
        <f>VLOOKUP(t_Parts[[Plant]:[Plant]],t_Plants[],Plants!CW$1,FALSE)</f>
        <v>280</v>
      </c>
      <c r="BY114" s="14">
        <f>VLOOKUP(t_Parts[[Plant]:[Plant]],t_Plants[],Plants!CX$1,FALSE)</f>
        <v>280</v>
      </c>
      <c r="BZ114" s="14">
        <f>VLOOKUP(t_Parts[[Plant]:[Plant]],t_Plants[],Plants!CY$1,FALSE)</f>
        <v>350</v>
      </c>
      <c r="CA114" s="40">
        <f>SUM(t_Parts[[#This Row],[ha2015.01]:[ha2015.12]])</f>
        <v>3640</v>
      </c>
      <c r="CB114" s="14">
        <f>VLOOKUP(t_Parts[[Plant]:[Plant]],t_Plants[],Plants!DA$1,FALSE)</f>
        <v>280</v>
      </c>
      <c r="CC114" s="14">
        <f>VLOOKUP(t_Parts[[Plant]:[Plant]],t_Plants[],Plants!DB$1,FALSE)</f>
        <v>280</v>
      </c>
      <c r="CD114" s="14">
        <f>VLOOKUP(t_Parts[[Plant]:[Plant]],t_Plants[],Plants!DC$1,FALSE)</f>
        <v>350</v>
      </c>
      <c r="CE114" s="14">
        <f>VLOOKUP(t_Parts[[Plant]:[Plant]],t_Plants[],Plants!DD$1,FALSE)</f>
        <v>280</v>
      </c>
      <c r="CF114" s="14">
        <f>VLOOKUP(t_Parts[[Plant]:[Plant]],t_Plants[],Plants!DE$1,FALSE)</f>
        <v>280</v>
      </c>
      <c r="CG114" s="14">
        <f>VLOOKUP(t_Parts[[Plant]:[Plant]],t_Plants[],Plants!DF$1,FALSE)</f>
        <v>350</v>
      </c>
      <c r="CH114" s="14">
        <f>VLOOKUP(t_Parts[[Plant]:[Plant]],t_Plants[],Plants!DG$1,FALSE)</f>
        <v>280</v>
      </c>
      <c r="CI114" s="14">
        <f>VLOOKUP(t_Parts[[Plant]:[Plant]],t_Plants[],Plants!DH$1,FALSE)</f>
        <v>280</v>
      </c>
      <c r="CJ114" s="14">
        <f>VLOOKUP(t_Parts[[Plant]:[Plant]],t_Plants[],Plants!DI$1,FALSE)</f>
        <v>350</v>
      </c>
      <c r="CK114" s="14">
        <f>VLOOKUP(t_Parts[[Plant]:[Plant]],t_Plants[],Plants!DJ$1,FALSE)</f>
        <v>280</v>
      </c>
      <c r="CL114" s="14">
        <f>VLOOKUP(t_Parts[[Plant]:[Plant]],t_Plants[],Plants!DK$1,FALSE)</f>
        <v>280</v>
      </c>
      <c r="CM114" s="14">
        <f>VLOOKUP(t_Parts[[Plant]:[Plant]],t_Plants[],Plants!DL$1,FALSE)</f>
        <v>350</v>
      </c>
      <c r="CN114" s="14">
        <f>VLOOKUP(t_Parts[[Plant]:[Plant]],t_Plants[],Plants!DM$1,FALSE)</f>
        <v>3640</v>
      </c>
      <c r="CO114" s="14">
        <f>VLOOKUP(t_Parts[[Plant]:[Plant]],t_Plants[],Plants!DN$1,FALSE)</f>
        <v>3640</v>
      </c>
      <c r="CP114" s="14">
        <f>VLOOKUP(t_Parts[[Plant]:[Plant]],t_Plants[],Plants!DO$1,FALSE)</f>
        <v>3640</v>
      </c>
      <c r="CQ114" s="14">
        <f>VLOOKUP(t_Parts[[Plant]:[Plant]],t_Plants[],Plants!DP$1,FALSE)</f>
        <v>3640</v>
      </c>
      <c r="CR114" s="39">
        <f>IF(AND(AL$3&gt;=VALUE(t_Parts[[SOP]:[SOP]]),AL$3&lt;=VALUE(t_Parts[[EOP]:[EOP]])), t_Parts[[SetupHrsPerMo]:[SetupHrsPerMo]]+(t_Parts[[#This Row],[pv2015.01]]/t_Parts[[NetPPH]:[NetPPH]]),0)</f>
        <v>13.436421911421911</v>
      </c>
      <c r="CS114" s="39">
        <f>IF(AND(AM$3&gt;=VALUE(t_Parts[[SOP]:[SOP]]),AM$3&lt;=VALUE(t_Parts[[EOP]:[EOP]])), t_Parts[[SetupHrsPerMo]:[SetupHrsPerMo]]+(t_Parts[[#This Row],[pv2015.02]]/t_Parts[[NetPPH]:[NetPPH]]),0)</f>
        <v>13.436421911421911</v>
      </c>
      <c r="CT114" s="39">
        <f>IF(AND(AN$3&gt;=VALUE(t_Parts[[SOP]:[SOP]]),AN$3&lt;=VALUE(t_Parts[[EOP]:[EOP]])), t_Parts[[SetupHrsPerMo]:[SetupHrsPerMo]]+(t_Parts[[#This Row],[pv2015.03]]/t_Parts[[NetPPH]:[NetPPH]]),0)</f>
        <v>15.795527389277389</v>
      </c>
      <c r="CU114" s="39">
        <f>IF(AND(AO$3&gt;=VALUE(t_Parts[[SOP]:[SOP]]),AO$3&lt;=VALUE(t_Parts[[EOP]:[EOP]])), t_Parts[[SetupHrsPerMo]:[SetupHrsPerMo]]+(t_Parts[[#This Row],[pv2015.04]]/t_Parts[[NetPPH]:[NetPPH]]),0)</f>
        <v>13.436421911421911</v>
      </c>
      <c r="CV114" s="39">
        <f>IF(AND(AP$3&gt;=VALUE(t_Parts[[SOP]:[SOP]]),AP$3&lt;=VALUE(t_Parts[[EOP]:[EOP]])), t_Parts[[SetupHrsPerMo]:[SetupHrsPerMo]]+(t_Parts[[#This Row],[pv2015.05]]/t_Parts[[NetPPH]:[NetPPH]]),0)</f>
        <v>13.436421911421911</v>
      </c>
      <c r="CW114" s="39">
        <f>IF(AND(AQ$3&gt;=VALUE(t_Parts[[SOP]:[SOP]]),AQ$3&lt;=VALUE(t_Parts[[EOP]:[EOP]])), t_Parts[[SetupHrsPerMo]:[SetupHrsPerMo]]+(t_Parts[[#This Row],[pv2015.06]]/t_Parts[[NetPPH]:[NetPPH]]),0)</f>
        <v>15.795527389277389</v>
      </c>
      <c r="CX114" s="39">
        <f>IF(AND(AR$3&gt;=VALUE(t_Parts[[SOP]:[SOP]]),AR$3&lt;=VALUE(t_Parts[[EOP]:[EOP]])), t_Parts[[SetupHrsPerMo]:[SetupHrsPerMo]]+(t_Parts[[#This Row],[pv2015.07]]/t_Parts[[NetPPH]:[NetPPH]]),0)</f>
        <v>13.436421911421911</v>
      </c>
      <c r="CY114" s="39">
        <f>IF(AND(AS$3&gt;=VALUE(t_Parts[[SOP]:[SOP]]),AS$3&lt;=VALUE(t_Parts[[EOP]:[EOP]])), t_Parts[[SetupHrsPerMo]:[SetupHrsPerMo]]+(t_Parts[[#This Row],[pv2015.08]]/t_Parts[[NetPPH]:[NetPPH]]),0)</f>
        <v>13.436421911421911</v>
      </c>
      <c r="CZ114" s="39">
        <f>IF(AND(AT$3&gt;=VALUE(t_Parts[[SOP]:[SOP]]),AT$3&lt;=VALUE(t_Parts[[EOP]:[EOP]])), t_Parts[[SetupHrsPerMo]:[SetupHrsPerMo]]+(t_Parts[[#This Row],[pv2015.09]]/t_Parts[[NetPPH]:[NetPPH]]),0)</f>
        <v>15.795527389277389</v>
      </c>
      <c r="DA114" s="39">
        <f>IF(AND(AU$3&gt;=VALUE(t_Parts[[SOP]:[SOP]]),AU$3&lt;=VALUE(t_Parts[[EOP]:[EOP]])), t_Parts[[SetupHrsPerMo]:[SetupHrsPerMo]]+(t_Parts[[#This Row],[pv2015.10]]/t_Parts[[NetPPH]:[NetPPH]]),0)</f>
        <v>13.436421911421911</v>
      </c>
      <c r="DB114" s="39">
        <f>IF(AND(AV$3&gt;=VALUE(t_Parts[[SOP]:[SOP]]),AV$3&lt;=VALUE(t_Parts[[EOP]:[EOP]])), t_Parts[[SetupHrsPerMo]:[SetupHrsPerMo]]+(t_Parts[[#This Row],[pv2015.11]]/t_Parts[[NetPPH]:[NetPPH]]),0)</f>
        <v>13.436421911421911</v>
      </c>
      <c r="DC114" s="39">
        <f>IF(AND(AW$3&gt;=VALUE(t_Parts[[SOP]:[SOP]]),AW$3&lt;=VALUE(t_Parts[[EOP]:[EOP]])), t_Parts[[SetupHrsPerMo]:[SetupHrsPerMo]]+(t_Parts[[#This Row],[pv2015.12]]/t_Parts[[NetPPH]:[NetPPH]]),0)</f>
        <v>15.795527389277389</v>
      </c>
      <c r="DD114" s="39">
        <f>SUM(t_Parts[[#This Row],[hp2015.01]:[hp2015.12]])</f>
        <v>170.67348484848489</v>
      </c>
      <c r="DE114" s="39">
        <f>IF(AND(AY$3&gt;=VALUE(t_Parts[[SOP]:[SOP]]),AY$3&lt;=VALUE(t_Parts[[EOP]:[EOP]])), t_Parts[[SetupHrsPerMo]:[SetupHrsPerMo]]+(t_Parts[[#This Row],[pv2016.01]]/t_Parts[[NetPPH]:[NetPPH]]),0)</f>
        <v>13.436421911421911</v>
      </c>
      <c r="DF114" s="39">
        <f>IF(AND(AZ$3&gt;=VALUE(t_Parts[[SOP]:[SOP]]),AZ$3&lt;=VALUE(t_Parts[[EOP]:[EOP]])), t_Parts[[SetupHrsPerMo]:[SetupHrsPerMo]]+(t_Parts[[#This Row],[pv2016.02]]/t_Parts[[NetPPH]:[NetPPH]]),0)</f>
        <v>13.436421911421911</v>
      </c>
      <c r="DG114" s="39">
        <f>IF(AND(BA$3&gt;=VALUE(t_Parts[[SOP]:[SOP]]),BA$3&lt;=VALUE(t_Parts[[EOP]:[EOP]])), t_Parts[[SetupHrsPerMo]:[SetupHrsPerMo]]+(t_Parts[[#This Row],[pv2016.03]]/t_Parts[[NetPPH]:[NetPPH]]),0)</f>
        <v>15.795527389277389</v>
      </c>
      <c r="DH114" s="39">
        <f>IF(AND(BB$3&gt;=VALUE(t_Parts[[SOP]:[SOP]]),BB$3&lt;=VALUE(t_Parts[[EOP]:[EOP]])), t_Parts[[SetupHrsPerMo]:[SetupHrsPerMo]]+(t_Parts[[#This Row],[pv2016.04]]/t_Parts[[NetPPH]:[NetPPH]]),0)</f>
        <v>13.436421911421911</v>
      </c>
      <c r="DI114" s="39">
        <f>IF(AND(BC$3&gt;=VALUE(t_Parts[[SOP]:[SOP]]),BC$3&lt;=VALUE(t_Parts[[EOP]:[EOP]])), t_Parts[[SetupHrsPerMo]:[SetupHrsPerMo]]+(t_Parts[[#This Row],[pv2016.05]]/t_Parts[[NetPPH]:[NetPPH]]),0)</f>
        <v>13.436421911421911</v>
      </c>
      <c r="DJ114" s="39">
        <f>IF(AND(BD$3&gt;=VALUE(t_Parts[[SOP]:[SOP]]),BD$3&lt;=VALUE(t_Parts[[EOP]:[EOP]])), t_Parts[[SetupHrsPerMo]:[SetupHrsPerMo]]+(t_Parts[[#This Row],[pv2016.06]]/t_Parts[[NetPPH]:[NetPPH]]),0)</f>
        <v>15.795527389277389</v>
      </c>
      <c r="DK114" s="39">
        <f>IF(AND(BE$3&gt;=VALUE(t_Parts[[SOP]:[SOP]]),BE$3&lt;=VALUE(t_Parts[[EOP]:[EOP]])), t_Parts[[SetupHrsPerMo]:[SetupHrsPerMo]]+(t_Parts[[#This Row],[pv2016.07]]/t_Parts[[NetPPH]:[NetPPH]]),0)</f>
        <v>13.436421911421911</v>
      </c>
      <c r="DL114" s="39">
        <f>IF(AND(BF$3&gt;=VALUE(t_Parts[[SOP]:[SOP]]),BF$3&lt;=VALUE(t_Parts[[EOP]:[EOP]])), t_Parts[[SetupHrsPerMo]:[SetupHrsPerMo]]+(t_Parts[[#This Row],[pv2016.08]]/t_Parts[[NetPPH]:[NetPPH]]),0)</f>
        <v>13.436421911421911</v>
      </c>
      <c r="DM114" s="39">
        <f>IF(AND(BG$3&gt;=VALUE(t_Parts[[SOP]:[SOP]]),BG$3&lt;=VALUE(t_Parts[[EOP]:[EOP]])), t_Parts[[SetupHrsPerMo]:[SetupHrsPerMo]]+(t_Parts[[#This Row],[pv2016.09]]/t_Parts[[NetPPH]:[NetPPH]]),0)</f>
        <v>15.795527389277389</v>
      </c>
      <c r="DN114" s="39">
        <f>IF(AND(BH$3&gt;=VALUE(t_Parts[[SOP]:[SOP]]),BH$3&lt;=VALUE(t_Parts[[EOP]:[EOP]])), t_Parts[[SetupHrsPerMo]:[SetupHrsPerMo]]+(t_Parts[[#This Row],[pv2016.10]]/t_Parts[[NetPPH]:[NetPPH]]),0)</f>
        <v>13.436421911421911</v>
      </c>
      <c r="DO114" s="39">
        <f>IF(AND(BI$3&gt;=VALUE(t_Parts[[SOP]:[SOP]]),BI$3&lt;=VALUE(t_Parts[[EOP]:[EOP]])), t_Parts[[SetupHrsPerMo]:[SetupHrsPerMo]]+(t_Parts[[#This Row],[pv2016.11]]/t_Parts[[NetPPH]:[NetPPH]]),0)</f>
        <v>13.436421911421911</v>
      </c>
      <c r="DP114" s="39">
        <f>IF(AND(BJ$3&gt;=VALUE(t_Parts[[SOP]:[SOP]]),BJ$3&lt;=VALUE(t_Parts[[EOP]:[EOP]])), t_Parts[[SetupHrsPerMo]:[SetupHrsPerMo]]+(t_Parts[[#This Row],[pv2016.12]]/t_Parts[[NetPPH]:[NetPPH]]),0)</f>
        <v>15.795527389277389</v>
      </c>
      <c r="DQ114" s="39">
        <f>SUM(t_Parts[[#This Row],[hp2016.01]:[hp2016.12]])</f>
        <v>170.67348484848489</v>
      </c>
      <c r="DR114" s="39">
        <f>IF(AND(BL$3&gt;=VALUE(t_Parts[[SOP]:[SOP]]),BL$3&lt;=VALUE(t_Parts[[EOP]:[EOP]])), 12*t_Parts[[SetupHrsPerMo]:[SetupHrsPerMo]]+(t_Parts[[#This Row],[pv2017]]/t_Parts[[NetPPH]:[NetPPH]]),0)</f>
        <v>170.67348484848486</v>
      </c>
      <c r="DS114" s="39">
        <f>IF(AND(BM$3&gt;=VALUE(t_Parts[[SOP]:[SOP]]),BM$3&lt;=VALUE(t_Parts[[EOP]:[EOP]])), 12*t_Parts[[SetupHrsPerMo]:[SetupHrsPerMo]]+(t_Parts[[#This Row],[pv2018]]/t_Parts[[NetPPH]:[NetPPH]]),0)</f>
        <v>0</v>
      </c>
      <c r="DT114" s="39">
        <f>IF(AND(BN$3&gt;=VALUE(t_Parts[[SOP]:[SOP]]),BN$3&lt;=VALUE(t_Parts[[EOP]:[EOP]])), 12*t_Parts[[SetupHrsPerMo]:[SetupHrsPerMo]]+(t_Parts[[#This Row],[pv2019]]/t_Parts[[NetPPH]:[NetPPH]]),0)</f>
        <v>0</v>
      </c>
      <c r="DU114" s="47">
        <f>t_Parts[[#This Row],[hp2015.01]]/t_Parts[[#This Row],[ha2015.01]]</f>
        <v>4.7987221112221111E-2</v>
      </c>
      <c r="DV114" s="47">
        <f>t_Parts[[#This Row],[hp2015.02]]/t_Parts[[#This Row],[ha2015.02]]</f>
        <v>4.7987221112221111E-2</v>
      </c>
      <c r="DW114" s="47">
        <f>t_Parts[[#This Row],[hp2015.03]]/t_Parts[[#This Row],[ha2015.03]]</f>
        <v>4.5130078255078254E-2</v>
      </c>
      <c r="DX114" s="47">
        <f>t_Parts[[#This Row],[hp2015.04]]/t_Parts[[#This Row],[ha2015.04]]</f>
        <v>4.7987221112221111E-2</v>
      </c>
      <c r="DY114" s="47">
        <f>t_Parts[[#This Row],[hp2015.05]]/t_Parts[[#This Row],[ha2015.05]]</f>
        <v>4.7987221112221111E-2</v>
      </c>
      <c r="DZ114" s="47">
        <f>t_Parts[[#This Row],[hp2015.06]]/t_Parts[[#This Row],[ha2015.06]]</f>
        <v>4.5130078255078254E-2</v>
      </c>
      <c r="EA114" s="47">
        <f>t_Parts[[#This Row],[hp2015.07]]/t_Parts[[#This Row],[ha2015.07]]</f>
        <v>4.7987221112221111E-2</v>
      </c>
      <c r="EB114" s="47">
        <f>t_Parts[[#This Row],[hp2015.08]]/t_Parts[[#This Row],[ha2015.08]]</f>
        <v>4.7987221112221111E-2</v>
      </c>
      <c r="EC114" s="47">
        <f>t_Parts[[#This Row],[hp2015.09]]/t_Parts[[#This Row],[ha2015.09]]</f>
        <v>4.5130078255078254E-2</v>
      </c>
      <c r="ED114" s="47">
        <f>t_Parts[[#This Row],[hp2015.10]]/t_Parts[[#This Row],[ha2015.10]]</f>
        <v>4.7987221112221111E-2</v>
      </c>
      <c r="EE114" s="47">
        <f>t_Parts[[#This Row],[hp2015.11]]/t_Parts[[#This Row],[ha2015.11]]</f>
        <v>4.7987221112221111E-2</v>
      </c>
      <c r="EF114" s="47">
        <f>t_Parts[[#This Row],[hp2015.12]]/t_Parts[[#This Row],[ha2015.12]]</f>
        <v>4.5130078255078254E-2</v>
      </c>
      <c r="EG114" s="47">
        <f>t_Parts[[#This Row],[hp2015.FY]]/t_Parts[[#This Row],[ha2015.FY]]</f>
        <v>4.6888320013320023E-2</v>
      </c>
      <c r="EH114" s="47">
        <f>t_Parts[[#This Row],[hp2016.01]]/t_Parts[[#This Row],[ha2016.01]]</f>
        <v>4.7987221112221111E-2</v>
      </c>
      <c r="EI114" s="47">
        <f>t_Parts[[#This Row],[hp2016.02]]/t_Parts[[#This Row],[ha2016.02]]</f>
        <v>4.7987221112221111E-2</v>
      </c>
      <c r="EJ114" s="47">
        <f>t_Parts[[#This Row],[hp2016.03]]/t_Parts[[#This Row],[ha2016.03]]</f>
        <v>4.5130078255078254E-2</v>
      </c>
      <c r="EK114" s="47">
        <f>t_Parts[[#This Row],[hp2016.04]]/t_Parts[[#This Row],[ha2016.04]]</f>
        <v>4.7987221112221111E-2</v>
      </c>
      <c r="EL114" s="47">
        <f>t_Parts[[#This Row],[hp2016.05]]/t_Parts[[#This Row],[ha2016.05]]</f>
        <v>4.7987221112221111E-2</v>
      </c>
      <c r="EM114" s="47">
        <f>t_Parts[[#This Row],[hp2016.06]]/t_Parts[[#This Row],[ha2016.06]]</f>
        <v>4.5130078255078254E-2</v>
      </c>
      <c r="EN114" s="47">
        <f>t_Parts[[#This Row],[hp2016.07]]/t_Parts[[#This Row],[ha2016.07]]</f>
        <v>4.7987221112221111E-2</v>
      </c>
      <c r="EO114" s="47">
        <f>t_Parts[[#This Row],[hp2016.08]]/t_Parts[[#This Row],[ha2016.08]]</f>
        <v>4.7987221112221111E-2</v>
      </c>
      <c r="EP114" s="47">
        <f>t_Parts[[#This Row],[hp2016.09]]/t_Parts[[#This Row],[ha2016.09]]</f>
        <v>4.5130078255078254E-2</v>
      </c>
      <c r="EQ114" s="47">
        <f>t_Parts[[#This Row],[hp2016.10]]/t_Parts[[#This Row],[ha2016.10]]</f>
        <v>4.7987221112221111E-2</v>
      </c>
      <c r="ER114" s="47">
        <f>t_Parts[[#This Row],[hp2016.11]]/t_Parts[[#This Row],[ha2016.11]]</f>
        <v>4.7987221112221111E-2</v>
      </c>
      <c r="ES114" s="47">
        <f>t_Parts[[#This Row],[hp2016.12]]/t_Parts[[#This Row],[ha2016.12]]</f>
        <v>4.5130078255078254E-2</v>
      </c>
      <c r="ET114" s="47">
        <f>t_Parts[[#This Row],[hp2016.FY]]/t_Parts[[#This Row],[ha2016.FY]]</f>
        <v>4.6888320013320023E-2</v>
      </c>
      <c r="EU114" s="47">
        <f>t_Parts[[#This Row],[hp2017]]/t_Parts[[#This Row],[ha2017]]</f>
        <v>4.6888320013320016E-2</v>
      </c>
      <c r="EV114" s="47">
        <f>t_Parts[[#This Row],[hp2018]]/t_Parts[[#This Row],[ha2018]]</f>
        <v>0</v>
      </c>
      <c r="EW114" s="47">
        <f>t_Parts[[#This Row],[hp2019]]/t_Parts[[#This Row],[hp2015.01]]</f>
        <v>0</v>
      </c>
      <c r="EX114" s="58">
        <f>(t_Parts[[#This Row],[ha2015.01]]-t_Parts[[#This Row],[hp2015.01]])*t_Parts[[NetPPH]:[NetPPH]]</f>
        <v>351863.92307692306</v>
      </c>
      <c r="EY114" s="58">
        <f>(t_Parts[[#This Row],[ha2015.02]]-t_Parts[[#This Row],[hp2015.02]])*t_Parts[[NetPPH]:[NetPPH]]</f>
        <v>351863.92307692306</v>
      </c>
      <c r="EZ114" s="58">
        <f>(t_Parts[[#This Row],[ha2015.03]]-t_Parts[[#This Row],[hp2015.03]])*t_Parts[[NetPPH]:[NetPPH]]</f>
        <v>441149.90384615387</v>
      </c>
      <c r="FA114" s="58">
        <f>(t_Parts[[#This Row],[ha2015.04]]-t_Parts[[#This Row],[hp2015.04]])*t_Parts[[NetPPH]:[NetPPH]]</f>
        <v>351863.92307692306</v>
      </c>
      <c r="FB114" s="58">
        <f>(t_Parts[[#This Row],[ha2015.05]]-t_Parts[[#This Row],[hp2015.05]])*t_Parts[[NetPPH]:[NetPPH]]</f>
        <v>351863.92307692306</v>
      </c>
      <c r="FC114" s="58">
        <f>(t_Parts[[#This Row],[ha2015.06]]-t_Parts[[#This Row],[hp2015.06]])*t_Parts[[NetPPH]:[NetPPH]]</f>
        <v>441149.90384615387</v>
      </c>
      <c r="FD114" s="58">
        <f>(t_Parts[[#This Row],[ha2015.07]]-t_Parts[[#This Row],[hp2015.07]])*t_Parts[[NetPPH]:[NetPPH]]</f>
        <v>351863.92307692306</v>
      </c>
      <c r="FE114" s="58">
        <f>(t_Parts[[#This Row],[ha2015.08]]-t_Parts[[#This Row],[hp2015.08]])*t_Parts[[NetPPH]:[NetPPH]]</f>
        <v>351863.92307692306</v>
      </c>
      <c r="FF114" s="58">
        <f>(t_Parts[[#This Row],[ha2015.09]]-t_Parts[[#This Row],[hp2015.09]])*t_Parts[[NetPPH]:[NetPPH]]</f>
        <v>441149.90384615387</v>
      </c>
      <c r="FG114" s="58">
        <f>(t_Parts[[#This Row],[ha2015.10]]-t_Parts[[#This Row],[hp2015.10]])*t_Parts[[NetPPH]:[NetPPH]]</f>
        <v>351863.92307692306</v>
      </c>
      <c r="FH114" s="58">
        <f>(t_Parts[[#This Row],[ha2015.11]]-t_Parts[[#This Row],[hp2015.11]])*t_Parts[[NetPPH]:[NetPPH]]</f>
        <v>351863.92307692306</v>
      </c>
      <c r="FI114" s="58">
        <f>(t_Parts[[#This Row],[ha2015.12]]-t_Parts[[#This Row],[hp2015.12]])*t_Parts[[NetPPH]:[NetPPH]]</f>
        <v>441149.90384615387</v>
      </c>
      <c r="FJ114" s="58">
        <f>(t_Parts[[#This Row],[ha2015.FY]]-t_Parts[[#This Row],[hp2015.FY]])*t_Parts[[NetPPH]:[NetPPH]]</f>
        <v>4579511</v>
      </c>
      <c r="FK114" s="58">
        <f>(t_Parts[[#This Row],[ha2016.01]]-t_Parts[[#This Row],[hp2016.01]])*t_Parts[[NetPPH]:[NetPPH]]</f>
        <v>351863.92307692306</v>
      </c>
      <c r="FL114" s="58">
        <f>(t_Parts[[#This Row],[ha2016.02]]-t_Parts[[#This Row],[hp2016.02]])*t_Parts[[NetPPH]:[NetPPH]]</f>
        <v>351863.92307692306</v>
      </c>
      <c r="FM114" s="58">
        <f>(t_Parts[[#This Row],[ha2016.03]]-t_Parts[[#This Row],[hp2016.03]])*t_Parts[[NetPPH]:[NetPPH]]</f>
        <v>441149.90384615387</v>
      </c>
      <c r="FN114" s="58">
        <f>(t_Parts[[#This Row],[ha2016.04]]-t_Parts[[#This Row],[hp2016.04]])*t_Parts[[NetPPH]:[NetPPH]]</f>
        <v>351863.92307692306</v>
      </c>
      <c r="FO114" s="58">
        <f>(t_Parts[[#This Row],[ha2016.05]]-t_Parts[[#This Row],[hp2016.05]])*t_Parts[[NetPPH]:[NetPPH]]</f>
        <v>351863.92307692306</v>
      </c>
      <c r="FP114" s="58">
        <f>(t_Parts[[#This Row],[ha2016.06]]-t_Parts[[#This Row],[hp2016.06]])*t_Parts[[NetPPH]:[NetPPH]]</f>
        <v>441149.90384615387</v>
      </c>
      <c r="FQ114" s="58">
        <f>(t_Parts[[#This Row],[ha2016.07]]-t_Parts[[#This Row],[hp2016.07]])*t_Parts[[NetPPH]:[NetPPH]]</f>
        <v>351863.92307692306</v>
      </c>
      <c r="FR114" s="58">
        <f>(t_Parts[[#This Row],[ha2016.08]]-t_Parts[[#This Row],[hp2016.08]])*t_Parts[[NetPPH]:[NetPPH]]</f>
        <v>351863.92307692306</v>
      </c>
      <c r="FS114" s="58">
        <f>(t_Parts[[#This Row],[ha2016.09]]-t_Parts[[#This Row],[hp2016.09]])*t_Parts[[NetPPH]:[NetPPH]]</f>
        <v>441149.90384615387</v>
      </c>
      <c r="FT114" s="58">
        <f>(t_Parts[[#This Row],[ha2016.10]]-t_Parts[[#This Row],[hp2016.10]])*t_Parts[[NetPPH]:[NetPPH]]</f>
        <v>351863.92307692306</v>
      </c>
      <c r="FU114" s="58">
        <f>(t_Parts[[#This Row],[ha2016.11]]-t_Parts[[#This Row],[hp2016.11]])*t_Parts[[NetPPH]:[NetPPH]]</f>
        <v>351863.92307692306</v>
      </c>
      <c r="FV114" s="58">
        <f>(t_Parts[[#This Row],[ha2016.12]]-t_Parts[[#This Row],[hp2016.12]])*t_Parts[[NetPPH]:[NetPPH]]</f>
        <v>441149.90384615387</v>
      </c>
      <c r="FW114" s="58">
        <f>(t_Parts[[#This Row],[ha2016.FY]]-t_Parts[[#This Row],[hp2016.FY]])*t_Parts[[NetPPH]:[NetPPH]]</f>
        <v>4579511</v>
      </c>
      <c r="FX114" s="58">
        <f>(t_Parts[[#This Row],[ha2017]]-t_Parts[[#This Row],[hp2017]])*t_Parts[[NetPPH]:[NetPPH]]</f>
        <v>4579511</v>
      </c>
      <c r="FY114" s="58">
        <f>(t_Parts[[#This Row],[ha2018]]-t_Parts[[#This Row],[hp2018]])*t_Parts[[NetPPH]:[NetPPH]]</f>
        <v>4804800</v>
      </c>
      <c r="FZ114" s="58">
        <f>(t_Parts[[#This Row],[ha2019]]-t_Parts[[#This Row],[hp2019]])*t_Parts[[NetPPH]:[NetPPH]]</f>
        <v>4804800</v>
      </c>
    </row>
    <row r="115" spans="1:182" s="14" customFormat="1" x14ac:dyDescent="0.25">
      <c r="A115" s="74">
        <v>29161</v>
      </c>
      <c r="B115" s="74"/>
      <c r="C115" s="74">
        <v>21014</v>
      </c>
      <c r="D115" s="75">
        <v>1</v>
      </c>
      <c r="E115" s="73">
        <v>2400</v>
      </c>
      <c r="F115" s="76">
        <v>1</v>
      </c>
      <c r="G115" s="77">
        <v>4</v>
      </c>
      <c r="H115" s="16">
        <v>2015.01</v>
      </c>
      <c r="I115" s="16" t="s">
        <v>83</v>
      </c>
      <c r="J115" s="73">
        <v>70848</v>
      </c>
      <c r="K115" s="73">
        <v>70848</v>
      </c>
      <c r="L115" s="73">
        <v>70848</v>
      </c>
      <c r="M115" s="73">
        <v>70848</v>
      </c>
      <c r="N115" s="73">
        <v>70848</v>
      </c>
      <c r="O115" s="78">
        <v>28</v>
      </c>
      <c r="P115" s="78">
        <v>39</v>
      </c>
      <c r="Q115" s="79">
        <v>22.44</v>
      </c>
      <c r="R115" s="79"/>
      <c r="S115" s="78">
        <v>148</v>
      </c>
      <c r="T115" s="80">
        <v>16</v>
      </c>
      <c r="U115" s="80" t="s">
        <v>121</v>
      </c>
      <c r="V115" s="81" t="s">
        <v>574</v>
      </c>
      <c r="W115" s="82">
        <v>0.13</v>
      </c>
      <c r="X115" s="82" t="s">
        <v>495</v>
      </c>
      <c r="Y115" s="82" t="s">
        <v>575</v>
      </c>
      <c r="Z115" s="82"/>
      <c r="AA115" s="82"/>
      <c r="AB115" s="82"/>
      <c r="AC115" s="83" t="s">
        <v>111</v>
      </c>
      <c r="AD115" s="40" t="str">
        <f>VLOOKUP(t_Parts[[#This Row],[Press]],t_Presses[],Press!B$1,FALSE)</f>
        <v>Plainfield</v>
      </c>
      <c r="AE115" s="40" t="str">
        <f>VLOOKUP(t_Parts[[#This Row],[Press]],t_Presses[],Press!E$1,FALSE)</f>
        <v>300-599</v>
      </c>
      <c r="AF115" s="47">
        <f>VLOOKUP(t_Parts[[#This Row],[Plant]],t_Plants[],Plants!C$1,FALSE)</f>
        <v>0.55000000000000004</v>
      </c>
      <c r="AG115" s="47">
        <f>VLOOKUP(t_Parts[[#This Row],[Press]],t_Presses[],Press!F$1,FALSE)</f>
        <v>0</v>
      </c>
      <c r="AH115" s="84"/>
      <c r="AI115" s="47">
        <f>IF(ISBLANK(t_Parts[[#This Row],[PartOEE]])=FALSE,t_Parts[[#This Row],[PartOEE]], IF(t_Parts[[#This Row],[PressOEE]]&gt;0, t_Parts[[#This Row],[PressOEE]], t_Parts[[#This Row],[PlantOEE]] ))</f>
        <v>0.55000000000000004</v>
      </c>
      <c r="AJ115" s="70">
        <f>t_Parts[[#This Row],[SetupsPerMo]]*t_Parts[[#This Row],[SetupHrs]]</f>
        <v>4</v>
      </c>
      <c r="AK115" s="39">
        <f>(t_Parts[[#This Row],[PartsPerStroke]]*t_Parts[[#This Row],[StrokesPerHr]])*t_Parts[[#This Row],[UseOEE]]</f>
        <v>1320</v>
      </c>
      <c r="AL115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5449.8461538461534</v>
      </c>
      <c r="AM115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5449.8461538461534</v>
      </c>
      <c r="AN115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6812.3076923076924</v>
      </c>
      <c r="AO115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5449.8461538461534</v>
      </c>
      <c r="AP115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5449.8461538461534</v>
      </c>
      <c r="AQ115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6812.3076923076924</v>
      </c>
      <c r="AR115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5449.8461538461534</v>
      </c>
      <c r="AS115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5449.8461538461534</v>
      </c>
      <c r="AT115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6812.3076923076924</v>
      </c>
      <c r="AU115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5449.8461538461534</v>
      </c>
      <c r="AV115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5449.8461538461534</v>
      </c>
      <c r="AW115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6812.3076923076924</v>
      </c>
      <c r="AX115" s="39">
        <f>SUM(t_Parts[[#This Row],[pv2015.01]:[pv2015.12]])</f>
        <v>70848.000000000015</v>
      </c>
      <c r="AY115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5449.8461538461534</v>
      </c>
      <c r="AZ115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5449.8461538461534</v>
      </c>
      <c r="BA115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6812.3076923076924</v>
      </c>
      <c r="BB115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5449.8461538461534</v>
      </c>
      <c r="BC115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5449.8461538461534</v>
      </c>
      <c r="BD115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6812.3076923076924</v>
      </c>
      <c r="BE115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5449.8461538461534</v>
      </c>
      <c r="BF115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5449.8461538461534</v>
      </c>
      <c r="BG115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6812.3076923076924</v>
      </c>
      <c r="BH115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5449.8461538461534</v>
      </c>
      <c r="BI115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5449.8461538461534</v>
      </c>
      <c r="BJ115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6812.3076923076924</v>
      </c>
      <c r="BK115" s="39">
        <f>SUM(t_Parts[[#This Row],[pv2016.01]:[pv2016.12]])</f>
        <v>70848.000000000015</v>
      </c>
      <c r="BL115" s="39">
        <f>t_Parts[[#This Row],[2017vol]]</f>
        <v>70848</v>
      </c>
      <c r="BM115" s="39">
        <f>t_Parts[[#This Row],[2018vol]]</f>
        <v>70848</v>
      </c>
      <c r="BN115" s="39">
        <f>t_Parts[[#This Row],[2019vol]]</f>
        <v>70848</v>
      </c>
      <c r="BO115" s="40">
        <f>VLOOKUP(t_Parts[[Plant]:[Plant]],t_Plants[],Plants!CN$1,FALSE)</f>
        <v>280</v>
      </c>
      <c r="BP115" s="14">
        <f>VLOOKUP(t_Parts[[Plant]:[Plant]],t_Plants[],Plants!CO$1,FALSE)</f>
        <v>280</v>
      </c>
      <c r="BQ115" s="14">
        <f>VLOOKUP(t_Parts[[Plant]:[Plant]],t_Plants[],Plants!CP$1,FALSE)</f>
        <v>350</v>
      </c>
      <c r="BR115" s="14">
        <f>VLOOKUP(t_Parts[[Plant]:[Plant]],t_Plants[],Plants!CQ$1,FALSE)</f>
        <v>280</v>
      </c>
      <c r="BS115" s="14">
        <f>VLOOKUP(t_Parts[[Plant]:[Plant]],t_Plants[],Plants!CR$1,FALSE)</f>
        <v>280</v>
      </c>
      <c r="BT115" s="14">
        <f>VLOOKUP(t_Parts[[Plant]:[Plant]],t_Plants[],Plants!CS$1,FALSE)</f>
        <v>350</v>
      </c>
      <c r="BU115" s="14">
        <f>VLOOKUP(t_Parts[[Plant]:[Plant]],t_Plants[],Plants!CT$1,FALSE)</f>
        <v>280</v>
      </c>
      <c r="BV115" s="14">
        <f>VLOOKUP(t_Parts[[Plant]:[Plant]],t_Plants[],Plants!CU$1,FALSE)</f>
        <v>280</v>
      </c>
      <c r="BW115" s="14">
        <f>VLOOKUP(t_Parts[[Plant]:[Plant]],t_Plants[],Plants!CV$1,FALSE)</f>
        <v>350</v>
      </c>
      <c r="BX115" s="14">
        <f>VLOOKUP(t_Parts[[Plant]:[Plant]],t_Plants[],Plants!CW$1,FALSE)</f>
        <v>280</v>
      </c>
      <c r="BY115" s="14">
        <f>VLOOKUP(t_Parts[[Plant]:[Plant]],t_Plants[],Plants!CX$1,FALSE)</f>
        <v>280</v>
      </c>
      <c r="BZ115" s="14">
        <f>VLOOKUP(t_Parts[[Plant]:[Plant]],t_Plants[],Plants!CY$1,FALSE)</f>
        <v>350</v>
      </c>
      <c r="CA115" s="40">
        <f>SUM(t_Parts[[#This Row],[ha2015.01]:[ha2015.12]])</f>
        <v>3640</v>
      </c>
      <c r="CB115" s="14">
        <f>VLOOKUP(t_Parts[[Plant]:[Plant]],t_Plants[],Plants!DA$1,FALSE)</f>
        <v>280</v>
      </c>
      <c r="CC115" s="14">
        <f>VLOOKUP(t_Parts[[Plant]:[Plant]],t_Plants[],Plants!DB$1,FALSE)</f>
        <v>280</v>
      </c>
      <c r="CD115" s="14">
        <f>VLOOKUP(t_Parts[[Plant]:[Plant]],t_Plants[],Plants!DC$1,FALSE)</f>
        <v>350</v>
      </c>
      <c r="CE115" s="14">
        <f>VLOOKUP(t_Parts[[Plant]:[Plant]],t_Plants[],Plants!DD$1,FALSE)</f>
        <v>280</v>
      </c>
      <c r="CF115" s="14">
        <f>VLOOKUP(t_Parts[[Plant]:[Plant]],t_Plants[],Plants!DE$1,FALSE)</f>
        <v>280</v>
      </c>
      <c r="CG115" s="14">
        <f>VLOOKUP(t_Parts[[Plant]:[Plant]],t_Plants[],Plants!DF$1,FALSE)</f>
        <v>350</v>
      </c>
      <c r="CH115" s="14">
        <f>VLOOKUP(t_Parts[[Plant]:[Plant]],t_Plants[],Plants!DG$1,FALSE)</f>
        <v>280</v>
      </c>
      <c r="CI115" s="14">
        <f>VLOOKUP(t_Parts[[Plant]:[Plant]],t_Plants[],Plants!DH$1,FALSE)</f>
        <v>280</v>
      </c>
      <c r="CJ115" s="14">
        <f>VLOOKUP(t_Parts[[Plant]:[Plant]],t_Plants[],Plants!DI$1,FALSE)</f>
        <v>350</v>
      </c>
      <c r="CK115" s="14">
        <f>VLOOKUP(t_Parts[[Plant]:[Plant]],t_Plants[],Plants!DJ$1,FALSE)</f>
        <v>280</v>
      </c>
      <c r="CL115" s="14">
        <f>VLOOKUP(t_Parts[[Plant]:[Plant]],t_Plants[],Plants!DK$1,FALSE)</f>
        <v>280</v>
      </c>
      <c r="CM115" s="14">
        <f>VLOOKUP(t_Parts[[Plant]:[Plant]],t_Plants[],Plants!DL$1,FALSE)</f>
        <v>350</v>
      </c>
      <c r="CN115" s="14">
        <f>VLOOKUP(t_Parts[[Plant]:[Plant]],t_Plants[],Plants!DM$1,FALSE)</f>
        <v>3640</v>
      </c>
      <c r="CO115" s="14">
        <f>VLOOKUP(t_Parts[[Plant]:[Plant]],t_Plants[],Plants!DN$1,FALSE)</f>
        <v>3640</v>
      </c>
      <c r="CP115" s="14">
        <f>VLOOKUP(t_Parts[[Plant]:[Plant]],t_Plants[],Plants!DO$1,FALSE)</f>
        <v>3640</v>
      </c>
      <c r="CQ115" s="14">
        <f>VLOOKUP(t_Parts[[Plant]:[Plant]],t_Plants[],Plants!DP$1,FALSE)</f>
        <v>3640</v>
      </c>
      <c r="CR115" s="39">
        <f>IF(AND(AL$3&gt;=VALUE(t_Parts[[SOP]:[SOP]]),AL$3&lt;=VALUE(t_Parts[[EOP]:[EOP]])), t_Parts[[SetupHrsPerMo]:[SetupHrsPerMo]]+(t_Parts[[#This Row],[pv2015.01]]/t_Parts[[NetPPH]:[NetPPH]]),0)</f>
        <v>8.1286713286713272</v>
      </c>
      <c r="CS115" s="39">
        <f>IF(AND(AM$3&gt;=VALUE(t_Parts[[SOP]:[SOP]]),AM$3&lt;=VALUE(t_Parts[[EOP]:[EOP]])), t_Parts[[SetupHrsPerMo]:[SetupHrsPerMo]]+(t_Parts[[#This Row],[pv2015.02]]/t_Parts[[NetPPH]:[NetPPH]]),0)</f>
        <v>8.1286713286713272</v>
      </c>
      <c r="CT115" s="39">
        <f>IF(AND(AN$3&gt;=VALUE(t_Parts[[SOP]:[SOP]]),AN$3&lt;=VALUE(t_Parts[[EOP]:[EOP]])), t_Parts[[SetupHrsPerMo]:[SetupHrsPerMo]]+(t_Parts[[#This Row],[pv2015.03]]/t_Parts[[NetPPH]:[NetPPH]]),0)</f>
        <v>9.1608391608391599</v>
      </c>
      <c r="CU115" s="39">
        <f>IF(AND(AO$3&gt;=VALUE(t_Parts[[SOP]:[SOP]]),AO$3&lt;=VALUE(t_Parts[[EOP]:[EOP]])), t_Parts[[SetupHrsPerMo]:[SetupHrsPerMo]]+(t_Parts[[#This Row],[pv2015.04]]/t_Parts[[NetPPH]:[NetPPH]]),0)</f>
        <v>8.1286713286713272</v>
      </c>
      <c r="CV115" s="39">
        <f>IF(AND(AP$3&gt;=VALUE(t_Parts[[SOP]:[SOP]]),AP$3&lt;=VALUE(t_Parts[[EOP]:[EOP]])), t_Parts[[SetupHrsPerMo]:[SetupHrsPerMo]]+(t_Parts[[#This Row],[pv2015.05]]/t_Parts[[NetPPH]:[NetPPH]]),0)</f>
        <v>8.1286713286713272</v>
      </c>
      <c r="CW115" s="39">
        <f>IF(AND(AQ$3&gt;=VALUE(t_Parts[[SOP]:[SOP]]),AQ$3&lt;=VALUE(t_Parts[[EOP]:[EOP]])), t_Parts[[SetupHrsPerMo]:[SetupHrsPerMo]]+(t_Parts[[#This Row],[pv2015.06]]/t_Parts[[NetPPH]:[NetPPH]]),0)</f>
        <v>9.1608391608391599</v>
      </c>
      <c r="CX115" s="39">
        <f>IF(AND(AR$3&gt;=VALUE(t_Parts[[SOP]:[SOP]]),AR$3&lt;=VALUE(t_Parts[[EOP]:[EOP]])), t_Parts[[SetupHrsPerMo]:[SetupHrsPerMo]]+(t_Parts[[#This Row],[pv2015.07]]/t_Parts[[NetPPH]:[NetPPH]]),0)</f>
        <v>8.1286713286713272</v>
      </c>
      <c r="CY115" s="39">
        <f>IF(AND(AS$3&gt;=VALUE(t_Parts[[SOP]:[SOP]]),AS$3&lt;=VALUE(t_Parts[[EOP]:[EOP]])), t_Parts[[SetupHrsPerMo]:[SetupHrsPerMo]]+(t_Parts[[#This Row],[pv2015.08]]/t_Parts[[NetPPH]:[NetPPH]]),0)</f>
        <v>8.1286713286713272</v>
      </c>
      <c r="CZ115" s="39">
        <f>IF(AND(AT$3&gt;=VALUE(t_Parts[[SOP]:[SOP]]),AT$3&lt;=VALUE(t_Parts[[EOP]:[EOP]])), t_Parts[[SetupHrsPerMo]:[SetupHrsPerMo]]+(t_Parts[[#This Row],[pv2015.09]]/t_Parts[[NetPPH]:[NetPPH]]),0)</f>
        <v>9.1608391608391599</v>
      </c>
      <c r="DA115" s="39">
        <f>IF(AND(AU$3&gt;=VALUE(t_Parts[[SOP]:[SOP]]),AU$3&lt;=VALUE(t_Parts[[EOP]:[EOP]])), t_Parts[[SetupHrsPerMo]:[SetupHrsPerMo]]+(t_Parts[[#This Row],[pv2015.10]]/t_Parts[[NetPPH]:[NetPPH]]),0)</f>
        <v>8.1286713286713272</v>
      </c>
      <c r="DB115" s="39">
        <f>IF(AND(AV$3&gt;=VALUE(t_Parts[[SOP]:[SOP]]),AV$3&lt;=VALUE(t_Parts[[EOP]:[EOP]])), t_Parts[[SetupHrsPerMo]:[SetupHrsPerMo]]+(t_Parts[[#This Row],[pv2015.11]]/t_Parts[[NetPPH]:[NetPPH]]),0)</f>
        <v>8.1286713286713272</v>
      </c>
      <c r="DC115" s="39">
        <f>IF(AND(AW$3&gt;=VALUE(t_Parts[[SOP]:[SOP]]),AW$3&lt;=VALUE(t_Parts[[EOP]:[EOP]])), t_Parts[[SetupHrsPerMo]:[SetupHrsPerMo]]+(t_Parts[[#This Row],[pv2015.12]]/t_Parts[[NetPPH]:[NetPPH]]),0)</f>
        <v>9.1608391608391599</v>
      </c>
      <c r="DD115" s="39">
        <f>SUM(t_Parts[[#This Row],[hp2015.01]:[hp2015.12]])</f>
        <v>101.67272727272727</v>
      </c>
      <c r="DE115" s="39">
        <f>IF(AND(AY$3&gt;=VALUE(t_Parts[[SOP]:[SOP]]),AY$3&lt;=VALUE(t_Parts[[EOP]:[EOP]])), t_Parts[[SetupHrsPerMo]:[SetupHrsPerMo]]+(t_Parts[[#This Row],[pv2016.01]]/t_Parts[[NetPPH]:[NetPPH]]),0)</f>
        <v>8.1286713286713272</v>
      </c>
      <c r="DF115" s="39">
        <f>IF(AND(AZ$3&gt;=VALUE(t_Parts[[SOP]:[SOP]]),AZ$3&lt;=VALUE(t_Parts[[EOP]:[EOP]])), t_Parts[[SetupHrsPerMo]:[SetupHrsPerMo]]+(t_Parts[[#This Row],[pv2016.02]]/t_Parts[[NetPPH]:[NetPPH]]),0)</f>
        <v>8.1286713286713272</v>
      </c>
      <c r="DG115" s="39">
        <f>IF(AND(BA$3&gt;=VALUE(t_Parts[[SOP]:[SOP]]),BA$3&lt;=VALUE(t_Parts[[EOP]:[EOP]])), t_Parts[[SetupHrsPerMo]:[SetupHrsPerMo]]+(t_Parts[[#This Row],[pv2016.03]]/t_Parts[[NetPPH]:[NetPPH]]),0)</f>
        <v>9.1608391608391599</v>
      </c>
      <c r="DH115" s="39">
        <f>IF(AND(BB$3&gt;=VALUE(t_Parts[[SOP]:[SOP]]),BB$3&lt;=VALUE(t_Parts[[EOP]:[EOP]])), t_Parts[[SetupHrsPerMo]:[SetupHrsPerMo]]+(t_Parts[[#This Row],[pv2016.04]]/t_Parts[[NetPPH]:[NetPPH]]),0)</f>
        <v>8.1286713286713272</v>
      </c>
      <c r="DI115" s="39">
        <f>IF(AND(BC$3&gt;=VALUE(t_Parts[[SOP]:[SOP]]),BC$3&lt;=VALUE(t_Parts[[EOP]:[EOP]])), t_Parts[[SetupHrsPerMo]:[SetupHrsPerMo]]+(t_Parts[[#This Row],[pv2016.05]]/t_Parts[[NetPPH]:[NetPPH]]),0)</f>
        <v>8.1286713286713272</v>
      </c>
      <c r="DJ115" s="39">
        <f>IF(AND(BD$3&gt;=VALUE(t_Parts[[SOP]:[SOP]]),BD$3&lt;=VALUE(t_Parts[[EOP]:[EOP]])), t_Parts[[SetupHrsPerMo]:[SetupHrsPerMo]]+(t_Parts[[#This Row],[pv2016.06]]/t_Parts[[NetPPH]:[NetPPH]]),0)</f>
        <v>9.1608391608391599</v>
      </c>
      <c r="DK115" s="39">
        <f>IF(AND(BE$3&gt;=VALUE(t_Parts[[SOP]:[SOP]]),BE$3&lt;=VALUE(t_Parts[[EOP]:[EOP]])), t_Parts[[SetupHrsPerMo]:[SetupHrsPerMo]]+(t_Parts[[#This Row],[pv2016.07]]/t_Parts[[NetPPH]:[NetPPH]]),0)</f>
        <v>8.1286713286713272</v>
      </c>
      <c r="DL115" s="39">
        <f>IF(AND(BF$3&gt;=VALUE(t_Parts[[SOP]:[SOP]]),BF$3&lt;=VALUE(t_Parts[[EOP]:[EOP]])), t_Parts[[SetupHrsPerMo]:[SetupHrsPerMo]]+(t_Parts[[#This Row],[pv2016.08]]/t_Parts[[NetPPH]:[NetPPH]]),0)</f>
        <v>8.1286713286713272</v>
      </c>
      <c r="DM115" s="39">
        <f>IF(AND(BG$3&gt;=VALUE(t_Parts[[SOP]:[SOP]]),BG$3&lt;=VALUE(t_Parts[[EOP]:[EOP]])), t_Parts[[SetupHrsPerMo]:[SetupHrsPerMo]]+(t_Parts[[#This Row],[pv2016.09]]/t_Parts[[NetPPH]:[NetPPH]]),0)</f>
        <v>9.1608391608391599</v>
      </c>
      <c r="DN115" s="39">
        <f>IF(AND(BH$3&gt;=VALUE(t_Parts[[SOP]:[SOP]]),BH$3&lt;=VALUE(t_Parts[[EOP]:[EOP]])), t_Parts[[SetupHrsPerMo]:[SetupHrsPerMo]]+(t_Parts[[#This Row],[pv2016.10]]/t_Parts[[NetPPH]:[NetPPH]]),0)</f>
        <v>8.1286713286713272</v>
      </c>
      <c r="DO115" s="39">
        <f>IF(AND(BI$3&gt;=VALUE(t_Parts[[SOP]:[SOP]]),BI$3&lt;=VALUE(t_Parts[[EOP]:[EOP]])), t_Parts[[SetupHrsPerMo]:[SetupHrsPerMo]]+(t_Parts[[#This Row],[pv2016.11]]/t_Parts[[NetPPH]:[NetPPH]]),0)</f>
        <v>8.1286713286713272</v>
      </c>
      <c r="DP115" s="39">
        <f>IF(AND(BJ$3&gt;=VALUE(t_Parts[[SOP]:[SOP]]),BJ$3&lt;=VALUE(t_Parts[[EOP]:[EOP]])), t_Parts[[SetupHrsPerMo]:[SetupHrsPerMo]]+(t_Parts[[#This Row],[pv2016.12]]/t_Parts[[NetPPH]:[NetPPH]]),0)</f>
        <v>9.1608391608391599</v>
      </c>
      <c r="DQ115" s="39">
        <f>SUM(t_Parts[[#This Row],[hp2016.01]:[hp2016.12]])</f>
        <v>101.67272727272727</v>
      </c>
      <c r="DR115" s="39">
        <f>IF(AND(BL$3&gt;=VALUE(t_Parts[[SOP]:[SOP]]),BL$3&lt;=VALUE(t_Parts[[EOP]:[EOP]])), 12*t_Parts[[SetupHrsPerMo]:[SetupHrsPerMo]]+(t_Parts[[#This Row],[pv2017]]/t_Parts[[NetPPH]:[NetPPH]]),0)</f>
        <v>101.67272727272727</v>
      </c>
      <c r="DS115" s="39">
        <f>IF(AND(BM$3&gt;=VALUE(t_Parts[[SOP]:[SOP]]),BM$3&lt;=VALUE(t_Parts[[EOP]:[EOP]])), 12*t_Parts[[SetupHrsPerMo]:[SetupHrsPerMo]]+(t_Parts[[#This Row],[pv2018]]/t_Parts[[NetPPH]:[NetPPH]]),0)</f>
        <v>101.67272727272727</v>
      </c>
      <c r="DT115" s="39">
        <f>IF(AND(BN$3&gt;=VALUE(t_Parts[[SOP]:[SOP]]),BN$3&lt;=VALUE(t_Parts[[EOP]:[EOP]])), 12*t_Parts[[SetupHrsPerMo]:[SetupHrsPerMo]]+(t_Parts[[#This Row],[pv2019]]/t_Parts[[NetPPH]:[NetPPH]]),0)</f>
        <v>101.67272727272727</v>
      </c>
      <c r="DU115" s="47">
        <f>t_Parts[[#This Row],[hp2015.01]]/t_Parts[[#This Row],[ha2015.01]]</f>
        <v>2.9030969030969026E-2</v>
      </c>
      <c r="DV115" s="47">
        <f>t_Parts[[#This Row],[hp2015.02]]/t_Parts[[#This Row],[ha2015.02]]</f>
        <v>2.9030969030969026E-2</v>
      </c>
      <c r="DW115" s="47">
        <f>t_Parts[[#This Row],[hp2015.03]]/t_Parts[[#This Row],[ha2015.03]]</f>
        <v>2.6173826173826173E-2</v>
      </c>
      <c r="DX115" s="47">
        <f>t_Parts[[#This Row],[hp2015.04]]/t_Parts[[#This Row],[ha2015.04]]</f>
        <v>2.9030969030969026E-2</v>
      </c>
      <c r="DY115" s="47">
        <f>t_Parts[[#This Row],[hp2015.05]]/t_Parts[[#This Row],[ha2015.05]]</f>
        <v>2.9030969030969026E-2</v>
      </c>
      <c r="DZ115" s="47">
        <f>t_Parts[[#This Row],[hp2015.06]]/t_Parts[[#This Row],[ha2015.06]]</f>
        <v>2.6173826173826173E-2</v>
      </c>
      <c r="EA115" s="47">
        <f>t_Parts[[#This Row],[hp2015.07]]/t_Parts[[#This Row],[ha2015.07]]</f>
        <v>2.9030969030969026E-2</v>
      </c>
      <c r="EB115" s="47">
        <f>t_Parts[[#This Row],[hp2015.08]]/t_Parts[[#This Row],[ha2015.08]]</f>
        <v>2.9030969030969026E-2</v>
      </c>
      <c r="EC115" s="47">
        <f>t_Parts[[#This Row],[hp2015.09]]/t_Parts[[#This Row],[ha2015.09]]</f>
        <v>2.6173826173826173E-2</v>
      </c>
      <c r="ED115" s="47">
        <f>t_Parts[[#This Row],[hp2015.10]]/t_Parts[[#This Row],[ha2015.10]]</f>
        <v>2.9030969030969026E-2</v>
      </c>
      <c r="EE115" s="47">
        <f>t_Parts[[#This Row],[hp2015.11]]/t_Parts[[#This Row],[ha2015.11]]</f>
        <v>2.9030969030969026E-2</v>
      </c>
      <c r="EF115" s="47">
        <f>t_Parts[[#This Row],[hp2015.12]]/t_Parts[[#This Row],[ha2015.12]]</f>
        <v>2.6173826173826173E-2</v>
      </c>
      <c r="EG115" s="47">
        <f>t_Parts[[#This Row],[hp2015.FY]]/t_Parts[[#This Row],[ha2015.FY]]</f>
        <v>2.7932067932067931E-2</v>
      </c>
      <c r="EH115" s="47">
        <f>t_Parts[[#This Row],[hp2016.01]]/t_Parts[[#This Row],[ha2016.01]]</f>
        <v>2.9030969030969026E-2</v>
      </c>
      <c r="EI115" s="47">
        <f>t_Parts[[#This Row],[hp2016.02]]/t_Parts[[#This Row],[ha2016.02]]</f>
        <v>2.9030969030969026E-2</v>
      </c>
      <c r="EJ115" s="47">
        <f>t_Parts[[#This Row],[hp2016.03]]/t_Parts[[#This Row],[ha2016.03]]</f>
        <v>2.6173826173826173E-2</v>
      </c>
      <c r="EK115" s="47">
        <f>t_Parts[[#This Row],[hp2016.04]]/t_Parts[[#This Row],[ha2016.04]]</f>
        <v>2.9030969030969026E-2</v>
      </c>
      <c r="EL115" s="47">
        <f>t_Parts[[#This Row],[hp2016.05]]/t_Parts[[#This Row],[ha2016.05]]</f>
        <v>2.9030969030969026E-2</v>
      </c>
      <c r="EM115" s="47">
        <f>t_Parts[[#This Row],[hp2016.06]]/t_Parts[[#This Row],[ha2016.06]]</f>
        <v>2.6173826173826173E-2</v>
      </c>
      <c r="EN115" s="47">
        <f>t_Parts[[#This Row],[hp2016.07]]/t_Parts[[#This Row],[ha2016.07]]</f>
        <v>2.9030969030969026E-2</v>
      </c>
      <c r="EO115" s="47">
        <f>t_Parts[[#This Row],[hp2016.08]]/t_Parts[[#This Row],[ha2016.08]]</f>
        <v>2.9030969030969026E-2</v>
      </c>
      <c r="EP115" s="47">
        <f>t_Parts[[#This Row],[hp2016.09]]/t_Parts[[#This Row],[ha2016.09]]</f>
        <v>2.6173826173826173E-2</v>
      </c>
      <c r="EQ115" s="47">
        <f>t_Parts[[#This Row],[hp2016.10]]/t_Parts[[#This Row],[ha2016.10]]</f>
        <v>2.9030969030969026E-2</v>
      </c>
      <c r="ER115" s="47">
        <f>t_Parts[[#This Row],[hp2016.11]]/t_Parts[[#This Row],[ha2016.11]]</f>
        <v>2.9030969030969026E-2</v>
      </c>
      <c r="ES115" s="47">
        <f>t_Parts[[#This Row],[hp2016.12]]/t_Parts[[#This Row],[ha2016.12]]</f>
        <v>2.6173826173826173E-2</v>
      </c>
      <c r="ET115" s="47">
        <f>t_Parts[[#This Row],[hp2016.FY]]/t_Parts[[#This Row],[ha2016.FY]]</f>
        <v>2.7932067932067931E-2</v>
      </c>
      <c r="EU115" s="47">
        <f>t_Parts[[#This Row],[hp2017]]/t_Parts[[#This Row],[ha2017]]</f>
        <v>2.7932067932067931E-2</v>
      </c>
      <c r="EV115" s="47">
        <f>t_Parts[[#This Row],[hp2018]]/t_Parts[[#This Row],[ha2018]]</f>
        <v>2.7932067932067931E-2</v>
      </c>
      <c r="EW115" s="47">
        <f>t_Parts[[#This Row],[hp2019]]/t_Parts[[#This Row],[hp2015.01]]</f>
        <v>12.507914659325536</v>
      </c>
      <c r="EX115" s="58">
        <f>(t_Parts[[#This Row],[ha2015.01]]-t_Parts[[#This Row],[hp2015.01]])*t_Parts[[NetPPH]:[NetPPH]]</f>
        <v>358870.15384615387</v>
      </c>
      <c r="EY115" s="58">
        <f>(t_Parts[[#This Row],[ha2015.02]]-t_Parts[[#This Row],[hp2015.02]])*t_Parts[[NetPPH]:[NetPPH]]</f>
        <v>358870.15384615387</v>
      </c>
      <c r="EZ115" s="58">
        <f>(t_Parts[[#This Row],[ha2015.03]]-t_Parts[[#This Row],[hp2015.03]])*t_Parts[[NetPPH]:[NetPPH]]</f>
        <v>449907.69230769231</v>
      </c>
      <c r="FA115" s="58">
        <f>(t_Parts[[#This Row],[ha2015.04]]-t_Parts[[#This Row],[hp2015.04]])*t_Parts[[NetPPH]:[NetPPH]]</f>
        <v>358870.15384615387</v>
      </c>
      <c r="FB115" s="58">
        <f>(t_Parts[[#This Row],[ha2015.05]]-t_Parts[[#This Row],[hp2015.05]])*t_Parts[[NetPPH]:[NetPPH]]</f>
        <v>358870.15384615387</v>
      </c>
      <c r="FC115" s="58">
        <f>(t_Parts[[#This Row],[ha2015.06]]-t_Parts[[#This Row],[hp2015.06]])*t_Parts[[NetPPH]:[NetPPH]]</f>
        <v>449907.69230769231</v>
      </c>
      <c r="FD115" s="58">
        <f>(t_Parts[[#This Row],[ha2015.07]]-t_Parts[[#This Row],[hp2015.07]])*t_Parts[[NetPPH]:[NetPPH]]</f>
        <v>358870.15384615387</v>
      </c>
      <c r="FE115" s="58">
        <f>(t_Parts[[#This Row],[ha2015.08]]-t_Parts[[#This Row],[hp2015.08]])*t_Parts[[NetPPH]:[NetPPH]]</f>
        <v>358870.15384615387</v>
      </c>
      <c r="FF115" s="58">
        <f>(t_Parts[[#This Row],[ha2015.09]]-t_Parts[[#This Row],[hp2015.09]])*t_Parts[[NetPPH]:[NetPPH]]</f>
        <v>449907.69230769231</v>
      </c>
      <c r="FG115" s="58">
        <f>(t_Parts[[#This Row],[ha2015.10]]-t_Parts[[#This Row],[hp2015.10]])*t_Parts[[NetPPH]:[NetPPH]]</f>
        <v>358870.15384615387</v>
      </c>
      <c r="FH115" s="58">
        <f>(t_Parts[[#This Row],[ha2015.11]]-t_Parts[[#This Row],[hp2015.11]])*t_Parts[[NetPPH]:[NetPPH]]</f>
        <v>358870.15384615387</v>
      </c>
      <c r="FI115" s="58">
        <f>(t_Parts[[#This Row],[ha2015.12]]-t_Parts[[#This Row],[hp2015.12]])*t_Parts[[NetPPH]:[NetPPH]]</f>
        <v>449907.69230769231</v>
      </c>
      <c r="FJ115" s="58">
        <f>(t_Parts[[#This Row],[ha2015.FY]]-t_Parts[[#This Row],[hp2015.FY]])*t_Parts[[NetPPH]:[NetPPH]]</f>
        <v>4670592</v>
      </c>
      <c r="FK115" s="58">
        <f>(t_Parts[[#This Row],[ha2016.01]]-t_Parts[[#This Row],[hp2016.01]])*t_Parts[[NetPPH]:[NetPPH]]</f>
        <v>358870.15384615387</v>
      </c>
      <c r="FL115" s="58">
        <f>(t_Parts[[#This Row],[ha2016.02]]-t_Parts[[#This Row],[hp2016.02]])*t_Parts[[NetPPH]:[NetPPH]]</f>
        <v>358870.15384615387</v>
      </c>
      <c r="FM115" s="58">
        <f>(t_Parts[[#This Row],[ha2016.03]]-t_Parts[[#This Row],[hp2016.03]])*t_Parts[[NetPPH]:[NetPPH]]</f>
        <v>449907.69230769231</v>
      </c>
      <c r="FN115" s="58">
        <f>(t_Parts[[#This Row],[ha2016.04]]-t_Parts[[#This Row],[hp2016.04]])*t_Parts[[NetPPH]:[NetPPH]]</f>
        <v>358870.15384615387</v>
      </c>
      <c r="FO115" s="58">
        <f>(t_Parts[[#This Row],[ha2016.05]]-t_Parts[[#This Row],[hp2016.05]])*t_Parts[[NetPPH]:[NetPPH]]</f>
        <v>358870.15384615387</v>
      </c>
      <c r="FP115" s="58">
        <f>(t_Parts[[#This Row],[ha2016.06]]-t_Parts[[#This Row],[hp2016.06]])*t_Parts[[NetPPH]:[NetPPH]]</f>
        <v>449907.69230769231</v>
      </c>
      <c r="FQ115" s="58">
        <f>(t_Parts[[#This Row],[ha2016.07]]-t_Parts[[#This Row],[hp2016.07]])*t_Parts[[NetPPH]:[NetPPH]]</f>
        <v>358870.15384615387</v>
      </c>
      <c r="FR115" s="58">
        <f>(t_Parts[[#This Row],[ha2016.08]]-t_Parts[[#This Row],[hp2016.08]])*t_Parts[[NetPPH]:[NetPPH]]</f>
        <v>358870.15384615387</v>
      </c>
      <c r="FS115" s="58">
        <f>(t_Parts[[#This Row],[ha2016.09]]-t_Parts[[#This Row],[hp2016.09]])*t_Parts[[NetPPH]:[NetPPH]]</f>
        <v>449907.69230769231</v>
      </c>
      <c r="FT115" s="58">
        <f>(t_Parts[[#This Row],[ha2016.10]]-t_Parts[[#This Row],[hp2016.10]])*t_Parts[[NetPPH]:[NetPPH]]</f>
        <v>358870.15384615387</v>
      </c>
      <c r="FU115" s="58">
        <f>(t_Parts[[#This Row],[ha2016.11]]-t_Parts[[#This Row],[hp2016.11]])*t_Parts[[NetPPH]:[NetPPH]]</f>
        <v>358870.15384615387</v>
      </c>
      <c r="FV115" s="58">
        <f>(t_Parts[[#This Row],[ha2016.12]]-t_Parts[[#This Row],[hp2016.12]])*t_Parts[[NetPPH]:[NetPPH]]</f>
        <v>449907.69230769231</v>
      </c>
      <c r="FW115" s="58">
        <f>(t_Parts[[#This Row],[ha2016.FY]]-t_Parts[[#This Row],[hp2016.FY]])*t_Parts[[NetPPH]:[NetPPH]]</f>
        <v>4670592</v>
      </c>
      <c r="FX115" s="58">
        <f>(t_Parts[[#This Row],[ha2017]]-t_Parts[[#This Row],[hp2017]])*t_Parts[[NetPPH]:[NetPPH]]</f>
        <v>4670592</v>
      </c>
      <c r="FY115" s="58">
        <f>(t_Parts[[#This Row],[ha2018]]-t_Parts[[#This Row],[hp2018]])*t_Parts[[NetPPH]:[NetPPH]]</f>
        <v>4670592</v>
      </c>
      <c r="FZ115" s="58">
        <f>(t_Parts[[#This Row],[ha2019]]-t_Parts[[#This Row],[hp2019]])*t_Parts[[NetPPH]:[NetPPH]]</f>
        <v>4670592</v>
      </c>
    </row>
    <row r="116" spans="1:182" s="14" customFormat="1" x14ac:dyDescent="0.25">
      <c r="A116" s="74">
        <v>29160</v>
      </c>
      <c r="B116" s="74"/>
      <c r="C116" s="74">
        <v>21013</v>
      </c>
      <c r="D116" s="75">
        <v>2</v>
      </c>
      <c r="E116" s="73">
        <v>4200</v>
      </c>
      <c r="F116" s="76">
        <v>1</v>
      </c>
      <c r="G116" s="77">
        <v>4</v>
      </c>
      <c r="H116" s="16">
        <v>2015.01</v>
      </c>
      <c r="I116" s="16" t="s">
        <v>81</v>
      </c>
      <c r="J116" s="73">
        <v>272199</v>
      </c>
      <c r="K116" s="73">
        <v>272199</v>
      </c>
      <c r="L116" s="73">
        <v>272199</v>
      </c>
      <c r="M116" s="73">
        <v>272199</v>
      </c>
      <c r="N116" s="73">
        <v>272199</v>
      </c>
      <c r="O116" s="78">
        <v>22</v>
      </c>
      <c r="P116" s="78">
        <v>23</v>
      </c>
      <c r="Q116" s="79">
        <v>20.92</v>
      </c>
      <c r="R116" s="79"/>
      <c r="S116" s="78">
        <v>91</v>
      </c>
      <c r="T116" s="80">
        <v>14</v>
      </c>
      <c r="U116" s="80" t="s">
        <v>121</v>
      </c>
      <c r="V116" s="81" t="s">
        <v>646</v>
      </c>
      <c r="W116" s="82">
        <v>6.6000000000000003E-2</v>
      </c>
      <c r="X116" s="82" t="s">
        <v>495</v>
      </c>
      <c r="Y116" s="82"/>
      <c r="Z116" s="82"/>
      <c r="AA116" s="82"/>
      <c r="AB116" s="82"/>
      <c r="AC116" s="83" t="s">
        <v>667</v>
      </c>
      <c r="AD116" s="40" t="str">
        <f>VLOOKUP(t_Parts[[#This Row],[Press]],t_Presses[],Press!B$1,FALSE)</f>
        <v>Plainfield</v>
      </c>
      <c r="AE116" s="40" t="str">
        <f>VLOOKUP(t_Parts[[#This Row],[Press]],t_Presses[],Press!E$1,FALSE)</f>
        <v>0-299</v>
      </c>
      <c r="AF116" s="47">
        <f>VLOOKUP(t_Parts[[#This Row],[Plant]],t_Plants[],Plants!C$1,FALSE)</f>
        <v>0.55000000000000004</v>
      </c>
      <c r="AG116" s="47">
        <f>VLOOKUP(t_Parts[[#This Row],[Press]],t_Presses[],Press!F$1,FALSE)</f>
        <v>0</v>
      </c>
      <c r="AH116" s="84"/>
      <c r="AI116" s="47">
        <f>IF(ISBLANK(t_Parts[[#This Row],[PartOEE]])=FALSE,t_Parts[[#This Row],[PartOEE]], IF(t_Parts[[#This Row],[PressOEE]]&gt;0, t_Parts[[#This Row],[PressOEE]], t_Parts[[#This Row],[PlantOEE]] ))</f>
        <v>0.55000000000000004</v>
      </c>
      <c r="AJ116" s="70">
        <f>t_Parts[[#This Row],[SetupsPerMo]]*t_Parts[[#This Row],[SetupHrs]]</f>
        <v>4</v>
      </c>
      <c r="AK116" s="39">
        <f>(t_Parts[[#This Row],[PartsPerStroke]]*t_Parts[[#This Row],[StrokesPerHr]])*t_Parts[[#This Row],[UseOEE]]</f>
        <v>4620</v>
      </c>
      <c r="AL116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20938.384615384613</v>
      </c>
      <c r="AM116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20938.384615384613</v>
      </c>
      <c r="AN116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26172.98076923077</v>
      </c>
      <c r="AO116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20938.384615384613</v>
      </c>
      <c r="AP116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20938.384615384613</v>
      </c>
      <c r="AQ116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26172.98076923077</v>
      </c>
      <c r="AR116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20938.384615384613</v>
      </c>
      <c r="AS116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20938.384615384613</v>
      </c>
      <c r="AT116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26172.98076923077</v>
      </c>
      <c r="AU116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20938.384615384613</v>
      </c>
      <c r="AV116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20938.384615384613</v>
      </c>
      <c r="AW116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26172.98076923077</v>
      </c>
      <c r="AX116" s="39">
        <f>SUM(t_Parts[[#This Row],[pv2015.01]:[pv2015.12]])</f>
        <v>272199.00000000006</v>
      </c>
      <c r="AY116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20938.384615384613</v>
      </c>
      <c r="AZ116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20938.384615384613</v>
      </c>
      <c r="BA116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26172.98076923077</v>
      </c>
      <c r="BB116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20938.384615384613</v>
      </c>
      <c r="BC116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20938.384615384613</v>
      </c>
      <c r="BD116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26172.98076923077</v>
      </c>
      <c r="BE116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20938.384615384613</v>
      </c>
      <c r="BF116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20938.384615384613</v>
      </c>
      <c r="BG116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26172.98076923077</v>
      </c>
      <c r="BH116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20938.384615384613</v>
      </c>
      <c r="BI116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20938.384615384613</v>
      </c>
      <c r="BJ116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26172.98076923077</v>
      </c>
      <c r="BK116" s="39">
        <f>SUM(t_Parts[[#This Row],[pv2016.01]:[pv2016.12]])</f>
        <v>272199.00000000006</v>
      </c>
      <c r="BL116" s="39">
        <f>t_Parts[[#This Row],[2017vol]]</f>
        <v>272199</v>
      </c>
      <c r="BM116" s="39">
        <f>t_Parts[[#This Row],[2018vol]]</f>
        <v>272199</v>
      </c>
      <c r="BN116" s="39">
        <f>t_Parts[[#This Row],[2019vol]]</f>
        <v>272199</v>
      </c>
      <c r="BO116" s="40">
        <f>VLOOKUP(t_Parts[[Plant]:[Plant]],t_Plants[],Plants!CN$1,FALSE)</f>
        <v>280</v>
      </c>
      <c r="BP116" s="14">
        <f>VLOOKUP(t_Parts[[Plant]:[Plant]],t_Plants[],Plants!CO$1,FALSE)</f>
        <v>280</v>
      </c>
      <c r="BQ116" s="14">
        <f>VLOOKUP(t_Parts[[Plant]:[Plant]],t_Plants[],Plants!CP$1,FALSE)</f>
        <v>350</v>
      </c>
      <c r="BR116" s="14">
        <f>VLOOKUP(t_Parts[[Plant]:[Plant]],t_Plants[],Plants!CQ$1,FALSE)</f>
        <v>280</v>
      </c>
      <c r="BS116" s="14">
        <f>VLOOKUP(t_Parts[[Plant]:[Plant]],t_Plants[],Plants!CR$1,FALSE)</f>
        <v>280</v>
      </c>
      <c r="BT116" s="14">
        <f>VLOOKUP(t_Parts[[Plant]:[Plant]],t_Plants[],Plants!CS$1,FALSE)</f>
        <v>350</v>
      </c>
      <c r="BU116" s="14">
        <f>VLOOKUP(t_Parts[[Plant]:[Plant]],t_Plants[],Plants!CT$1,FALSE)</f>
        <v>280</v>
      </c>
      <c r="BV116" s="14">
        <f>VLOOKUP(t_Parts[[Plant]:[Plant]],t_Plants[],Plants!CU$1,FALSE)</f>
        <v>280</v>
      </c>
      <c r="BW116" s="14">
        <f>VLOOKUP(t_Parts[[Plant]:[Plant]],t_Plants[],Plants!CV$1,FALSE)</f>
        <v>350</v>
      </c>
      <c r="BX116" s="14">
        <f>VLOOKUP(t_Parts[[Plant]:[Plant]],t_Plants[],Plants!CW$1,FALSE)</f>
        <v>280</v>
      </c>
      <c r="BY116" s="14">
        <f>VLOOKUP(t_Parts[[Plant]:[Plant]],t_Plants[],Plants!CX$1,FALSE)</f>
        <v>280</v>
      </c>
      <c r="BZ116" s="14">
        <f>VLOOKUP(t_Parts[[Plant]:[Plant]],t_Plants[],Plants!CY$1,FALSE)</f>
        <v>350</v>
      </c>
      <c r="CA116" s="40">
        <f>SUM(t_Parts[[#This Row],[ha2015.01]:[ha2015.12]])</f>
        <v>3640</v>
      </c>
      <c r="CB116" s="14">
        <f>VLOOKUP(t_Parts[[Plant]:[Plant]],t_Plants[],Plants!DA$1,FALSE)</f>
        <v>280</v>
      </c>
      <c r="CC116" s="14">
        <f>VLOOKUP(t_Parts[[Plant]:[Plant]],t_Plants[],Plants!DB$1,FALSE)</f>
        <v>280</v>
      </c>
      <c r="CD116" s="14">
        <f>VLOOKUP(t_Parts[[Plant]:[Plant]],t_Plants[],Plants!DC$1,FALSE)</f>
        <v>350</v>
      </c>
      <c r="CE116" s="14">
        <f>VLOOKUP(t_Parts[[Plant]:[Plant]],t_Plants[],Plants!DD$1,FALSE)</f>
        <v>280</v>
      </c>
      <c r="CF116" s="14">
        <f>VLOOKUP(t_Parts[[Plant]:[Plant]],t_Plants[],Plants!DE$1,FALSE)</f>
        <v>280</v>
      </c>
      <c r="CG116" s="14">
        <f>VLOOKUP(t_Parts[[Plant]:[Plant]],t_Plants[],Plants!DF$1,FALSE)</f>
        <v>350</v>
      </c>
      <c r="CH116" s="14">
        <f>VLOOKUP(t_Parts[[Plant]:[Plant]],t_Plants[],Plants!DG$1,FALSE)</f>
        <v>280</v>
      </c>
      <c r="CI116" s="14">
        <f>VLOOKUP(t_Parts[[Plant]:[Plant]],t_Plants[],Plants!DH$1,FALSE)</f>
        <v>280</v>
      </c>
      <c r="CJ116" s="14">
        <f>VLOOKUP(t_Parts[[Plant]:[Plant]],t_Plants[],Plants!DI$1,FALSE)</f>
        <v>350</v>
      </c>
      <c r="CK116" s="14">
        <f>VLOOKUP(t_Parts[[Plant]:[Plant]],t_Plants[],Plants!DJ$1,FALSE)</f>
        <v>280</v>
      </c>
      <c r="CL116" s="14">
        <f>VLOOKUP(t_Parts[[Plant]:[Plant]],t_Plants[],Plants!DK$1,FALSE)</f>
        <v>280</v>
      </c>
      <c r="CM116" s="14">
        <f>VLOOKUP(t_Parts[[Plant]:[Plant]],t_Plants[],Plants!DL$1,FALSE)</f>
        <v>350</v>
      </c>
      <c r="CN116" s="14">
        <f>VLOOKUP(t_Parts[[Plant]:[Plant]],t_Plants[],Plants!DM$1,FALSE)</f>
        <v>3640</v>
      </c>
      <c r="CO116" s="14">
        <f>VLOOKUP(t_Parts[[Plant]:[Plant]],t_Plants[],Plants!DN$1,FALSE)</f>
        <v>3640</v>
      </c>
      <c r="CP116" s="14">
        <f>VLOOKUP(t_Parts[[Plant]:[Plant]],t_Plants[],Plants!DO$1,FALSE)</f>
        <v>3640</v>
      </c>
      <c r="CQ116" s="14">
        <f>VLOOKUP(t_Parts[[Plant]:[Plant]],t_Plants[],Plants!DP$1,FALSE)</f>
        <v>3640</v>
      </c>
      <c r="CR116" s="39">
        <f>IF(AND(AL$3&gt;=VALUE(t_Parts[[SOP]:[SOP]]),AL$3&lt;=VALUE(t_Parts[[EOP]:[EOP]])), t_Parts[[SetupHrsPerMo]:[SetupHrsPerMo]]+(t_Parts[[#This Row],[pv2015.01]]/t_Parts[[NetPPH]:[NetPPH]]),0)</f>
        <v>8.5321178821178805</v>
      </c>
      <c r="CS116" s="39">
        <f>IF(AND(AM$3&gt;=VALUE(t_Parts[[SOP]:[SOP]]),AM$3&lt;=VALUE(t_Parts[[EOP]:[EOP]])), t_Parts[[SetupHrsPerMo]:[SetupHrsPerMo]]+(t_Parts[[#This Row],[pv2015.02]]/t_Parts[[NetPPH]:[NetPPH]]),0)</f>
        <v>8.5321178821178805</v>
      </c>
      <c r="CT116" s="39">
        <f>IF(AND(AN$3&gt;=VALUE(t_Parts[[SOP]:[SOP]]),AN$3&lt;=VALUE(t_Parts[[EOP]:[EOP]])), t_Parts[[SetupHrsPerMo]:[SetupHrsPerMo]]+(t_Parts[[#This Row],[pv2015.03]]/t_Parts[[NetPPH]:[NetPPH]]),0)</f>
        <v>9.6651473526473524</v>
      </c>
      <c r="CU116" s="39">
        <f>IF(AND(AO$3&gt;=VALUE(t_Parts[[SOP]:[SOP]]),AO$3&lt;=VALUE(t_Parts[[EOP]:[EOP]])), t_Parts[[SetupHrsPerMo]:[SetupHrsPerMo]]+(t_Parts[[#This Row],[pv2015.04]]/t_Parts[[NetPPH]:[NetPPH]]),0)</f>
        <v>8.5321178821178805</v>
      </c>
      <c r="CV116" s="39">
        <f>IF(AND(AP$3&gt;=VALUE(t_Parts[[SOP]:[SOP]]),AP$3&lt;=VALUE(t_Parts[[EOP]:[EOP]])), t_Parts[[SetupHrsPerMo]:[SetupHrsPerMo]]+(t_Parts[[#This Row],[pv2015.05]]/t_Parts[[NetPPH]:[NetPPH]]),0)</f>
        <v>8.5321178821178805</v>
      </c>
      <c r="CW116" s="39">
        <f>IF(AND(AQ$3&gt;=VALUE(t_Parts[[SOP]:[SOP]]),AQ$3&lt;=VALUE(t_Parts[[EOP]:[EOP]])), t_Parts[[SetupHrsPerMo]:[SetupHrsPerMo]]+(t_Parts[[#This Row],[pv2015.06]]/t_Parts[[NetPPH]:[NetPPH]]),0)</f>
        <v>9.6651473526473524</v>
      </c>
      <c r="CX116" s="39">
        <f>IF(AND(AR$3&gt;=VALUE(t_Parts[[SOP]:[SOP]]),AR$3&lt;=VALUE(t_Parts[[EOP]:[EOP]])), t_Parts[[SetupHrsPerMo]:[SetupHrsPerMo]]+(t_Parts[[#This Row],[pv2015.07]]/t_Parts[[NetPPH]:[NetPPH]]),0)</f>
        <v>8.5321178821178805</v>
      </c>
      <c r="CY116" s="39">
        <f>IF(AND(AS$3&gt;=VALUE(t_Parts[[SOP]:[SOP]]),AS$3&lt;=VALUE(t_Parts[[EOP]:[EOP]])), t_Parts[[SetupHrsPerMo]:[SetupHrsPerMo]]+(t_Parts[[#This Row],[pv2015.08]]/t_Parts[[NetPPH]:[NetPPH]]),0)</f>
        <v>8.5321178821178805</v>
      </c>
      <c r="CZ116" s="39">
        <f>IF(AND(AT$3&gt;=VALUE(t_Parts[[SOP]:[SOP]]),AT$3&lt;=VALUE(t_Parts[[EOP]:[EOP]])), t_Parts[[SetupHrsPerMo]:[SetupHrsPerMo]]+(t_Parts[[#This Row],[pv2015.09]]/t_Parts[[NetPPH]:[NetPPH]]),0)</f>
        <v>9.6651473526473524</v>
      </c>
      <c r="DA116" s="39">
        <f>IF(AND(AU$3&gt;=VALUE(t_Parts[[SOP]:[SOP]]),AU$3&lt;=VALUE(t_Parts[[EOP]:[EOP]])), t_Parts[[SetupHrsPerMo]:[SetupHrsPerMo]]+(t_Parts[[#This Row],[pv2015.10]]/t_Parts[[NetPPH]:[NetPPH]]),0)</f>
        <v>8.5321178821178805</v>
      </c>
      <c r="DB116" s="39">
        <f>IF(AND(AV$3&gt;=VALUE(t_Parts[[SOP]:[SOP]]),AV$3&lt;=VALUE(t_Parts[[EOP]:[EOP]])), t_Parts[[SetupHrsPerMo]:[SetupHrsPerMo]]+(t_Parts[[#This Row],[pv2015.11]]/t_Parts[[NetPPH]:[NetPPH]]),0)</f>
        <v>8.5321178821178805</v>
      </c>
      <c r="DC116" s="39">
        <f>IF(AND(AW$3&gt;=VALUE(t_Parts[[SOP]:[SOP]]),AW$3&lt;=VALUE(t_Parts[[EOP]:[EOP]])), t_Parts[[SetupHrsPerMo]:[SetupHrsPerMo]]+(t_Parts[[#This Row],[pv2015.12]]/t_Parts[[NetPPH]:[NetPPH]]),0)</f>
        <v>9.6651473526473524</v>
      </c>
      <c r="DD116" s="39">
        <f>SUM(t_Parts[[#This Row],[hp2015.01]:[hp2015.12]])</f>
        <v>106.91753246753245</v>
      </c>
      <c r="DE116" s="39">
        <f>IF(AND(AY$3&gt;=VALUE(t_Parts[[SOP]:[SOP]]),AY$3&lt;=VALUE(t_Parts[[EOP]:[EOP]])), t_Parts[[SetupHrsPerMo]:[SetupHrsPerMo]]+(t_Parts[[#This Row],[pv2016.01]]/t_Parts[[NetPPH]:[NetPPH]]),0)</f>
        <v>8.5321178821178805</v>
      </c>
      <c r="DF116" s="39">
        <f>IF(AND(AZ$3&gt;=VALUE(t_Parts[[SOP]:[SOP]]),AZ$3&lt;=VALUE(t_Parts[[EOP]:[EOP]])), t_Parts[[SetupHrsPerMo]:[SetupHrsPerMo]]+(t_Parts[[#This Row],[pv2016.02]]/t_Parts[[NetPPH]:[NetPPH]]),0)</f>
        <v>8.5321178821178805</v>
      </c>
      <c r="DG116" s="39">
        <f>IF(AND(BA$3&gt;=VALUE(t_Parts[[SOP]:[SOP]]),BA$3&lt;=VALUE(t_Parts[[EOP]:[EOP]])), t_Parts[[SetupHrsPerMo]:[SetupHrsPerMo]]+(t_Parts[[#This Row],[pv2016.03]]/t_Parts[[NetPPH]:[NetPPH]]),0)</f>
        <v>9.6651473526473524</v>
      </c>
      <c r="DH116" s="39">
        <f>IF(AND(BB$3&gt;=VALUE(t_Parts[[SOP]:[SOP]]),BB$3&lt;=VALUE(t_Parts[[EOP]:[EOP]])), t_Parts[[SetupHrsPerMo]:[SetupHrsPerMo]]+(t_Parts[[#This Row],[pv2016.04]]/t_Parts[[NetPPH]:[NetPPH]]),0)</f>
        <v>8.5321178821178805</v>
      </c>
      <c r="DI116" s="39">
        <f>IF(AND(BC$3&gt;=VALUE(t_Parts[[SOP]:[SOP]]),BC$3&lt;=VALUE(t_Parts[[EOP]:[EOP]])), t_Parts[[SetupHrsPerMo]:[SetupHrsPerMo]]+(t_Parts[[#This Row],[pv2016.05]]/t_Parts[[NetPPH]:[NetPPH]]),0)</f>
        <v>8.5321178821178805</v>
      </c>
      <c r="DJ116" s="39">
        <f>IF(AND(BD$3&gt;=VALUE(t_Parts[[SOP]:[SOP]]),BD$3&lt;=VALUE(t_Parts[[EOP]:[EOP]])), t_Parts[[SetupHrsPerMo]:[SetupHrsPerMo]]+(t_Parts[[#This Row],[pv2016.06]]/t_Parts[[NetPPH]:[NetPPH]]),0)</f>
        <v>9.6651473526473524</v>
      </c>
      <c r="DK116" s="39">
        <f>IF(AND(BE$3&gt;=VALUE(t_Parts[[SOP]:[SOP]]),BE$3&lt;=VALUE(t_Parts[[EOP]:[EOP]])), t_Parts[[SetupHrsPerMo]:[SetupHrsPerMo]]+(t_Parts[[#This Row],[pv2016.07]]/t_Parts[[NetPPH]:[NetPPH]]),0)</f>
        <v>8.5321178821178805</v>
      </c>
      <c r="DL116" s="39">
        <f>IF(AND(BF$3&gt;=VALUE(t_Parts[[SOP]:[SOP]]),BF$3&lt;=VALUE(t_Parts[[EOP]:[EOP]])), t_Parts[[SetupHrsPerMo]:[SetupHrsPerMo]]+(t_Parts[[#This Row],[pv2016.08]]/t_Parts[[NetPPH]:[NetPPH]]),0)</f>
        <v>8.5321178821178805</v>
      </c>
      <c r="DM116" s="39">
        <f>IF(AND(BG$3&gt;=VALUE(t_Parts[[SOP]:[SOP]]),BG$3&lt;=VALUE(t_Parts[[EOP]:[EOP]])), t_Parts[[SetupHrsPerMo]:[SetupHrsPerMo]]+(t_Parts[[#This Row],[pv2016.09]]/t_Parts[[NetPPH]:[NetPPH]]),0)</f>
        <v>9.6651473526473524</v>
      </c>
      <c r="DN116" s="39">
        <f>IF(AND(BH$3&gt;=VALUE(t_Parts[[SOP]:[SOP]]),BH$3&lt;=VALUE(t_Parts[[EOP]:[EOP]])), t_Parts[[SetupHrsPerMo]:[SetupHrsPerMo]]+(t_Parts[[#This Row],[pv2016.10]]/t_Parts[[NetPPH]:[NetPPH]]),0)</f>
        <v>8.5321178821178805</v>
      </c>
      <c r="DO116" s="39">
        <f>IF(AND(BI$3&gt;=VALUE(t_Parts[[SOP]:[SOP]]),BI$3&lt;=VALUE(t_Parts[[EOP]:[EOP]])), t_Parts[[SetupHrsPerMo]:[SetupHrsPerMo]]+(t_Parts[[#This Row],[pv2016.11]]/t_Parts[[NetPPH]:[NetPPH]]),0)</f>
        <v>8.5321178821178805</v>
      </c>
      <c r="DP116" s="39">
        <f>IF(AND(BJ$3&gt;=VALUE(t_Parts[[SOP]:[SOP]]),BJ$3&lt;=VALUE(t_Parts[[EOP]:[EOP]])), t_Parts[[SetupHrsPerMo]:[SetupHrsPerMo]]+(t_Parts[[#This Row],[pv2016.12]]/t_Parts[[NetPPH]:[NetPPH]]),0)</f>
        <v>9.6651473526473524</v>
      </c>
      <c r="DQ116" s="39">
        <f>SUM(t_Parts[[#This Row],[hp2016.01]:[hp2016.12]])</f>
        <v>106.91753246753245</v>
      </c>
      <c r="DR116" s="39">
        <f>IF(AND(BL$3&gt;=VALUE(t_Parts[[SOP]:[SOP]]),BL$3&lt;=VALUE(t_Parts[[EOP]:[EOP]])), 12*t_Parts[[SetupHrsPerMo]:[SetupHrsPerMo]]+(t_Parts[[#This Row],[pv2017]]/t_Parts[[NetPPH]:[NetPPH]]),0)</f>
        <v>106.91753246753247</v>
      </c>
      <c r="DS116" s="39">
        <f>IF(AND(BM$3&gt;=VALUE(t_Parts[[SOP]:[SOP]]),BM$3&lt;=VALUE(t_Parts[[EOP]:[EOP]])), 12*t_Parts[[SetupHrsPerMo]:[SetupHrsPerMo]]+(t_Parts[[#This Row],[pv2018]]/t_Parts[[NetPPH]:[NetPPH]]),0)</f>
        <v>0</v>
      </c>
      <c r="DT116" s="39">
        <f>IF(AND(BN$3&gt;=VALUE(t_Parts[[SOP]:[SOP]]),BN$3&lt;=VALUE(t_Parts[[EOP]:[EOP]])), 12*t_Parts[[SetupHrsPerMo]:[SetupHrsPerMo]]+(t_Parts[[#This Row],[pv2019]]/t_Parts[[NetPPH]:[NetPPH]]),0)</f>
        <v>0</v>
      </c>
      <c r="DU116" s="47">
        <f>t_Parts[[#This Row],[hp2015.01]]/t_Parts[[#This Row],[ha2015.01]]</f>
        <v>3.0471849578992429E-2</v>
      </c>
      <c r="DV116" s="47">
        <f>t_Parts[[#This Row],[hp2015.02]]/t_Parts[[#This Row],[ha2015.02]]</f>
        <v>3.0471849578992429E-2</v>
      </c>
      <c r="DW116" s="47">
        <f>t_Parts[[#This Row],[hp2015.03]]/t_Parts[[#This Row],[ha2015.03]]</f>
        <v>2.7614706721849579E-2</v>
      </c>
      <c r="DX116" s="47">
        <f>t_Parts[[#This Row],[hp2015.04]]/t_Parts[[#This Row],[ha2015.04]]</f>
        <v>3.0471849578992429E-2</v>
      </c>
      <c r="DY116" s="47">
        <f>t_Parts[[#This Row],[hp2015.05]]/t_Parts[[#This Row],[ha2015.05]]</f>
        <v>3.0471849578992429E-2</v>
      </c>
      <c r="DZ116" s="47">
        <f>t_Parts[[#This Row],[hp2015.06]]/t_Parts[[#This Row],[ha2015.06]]</f>
        <v>2.7614706721849579E-2</v>
      </c>
      <c r="EA116" s="47">
        <f>t_Parts[[#This Row],[hp2015.07]]/t_Parts[[#This Row],[ha2015.07]]</f>
        <v>3.0471849578992429E-2</v>
      </c>
      <c r="EB116" s="47">
        <f>t_Parts[[#This Row],[hp2015.08]]/t_Parts[[#This Row],[ha2015.08]]</f>
        <v>3.0471849578992429E-2</v>
      </c>
      <c r="EC116" s="47">
        <f>t_Parts[[#This Row],[hp2015.09]]/t_Parts[[#This Row],[ha2015.09]]</f>
        <v>2.7614706721849579E-2</v>
      </c>
      <c r="ED116" s="47">
        <f>t_Parts[[#This Row],[hp2015.10]]/t_Parts[[#This Row],[ha2015.10]]</f>
        <v>3.0471849578992429E-2</v>
      </c>
      <c r="EE116" s="47">
        <f>t_Parts[[#This Row],[hp2015.11]]/t_Parts[[#This Row],[ha2015.11]]</f>
        <v>3.0471849578992429E-2</v>
      </c>
      <c r="EF116" s="47">
        <f>t_Parts[[#This Row],[hp2015.12]]/t_Parts[[#This Row],[ha2015.12]]</f>
        <v>2.7614706721849579E-2</v>
      </c>
      <c r="EG116" s="47">
        <f>t_Parts[[#This Row],[hp2015.FY]]/t_Parts[[#This Row],[ha2015.FY]]</f>
        <v>2.9372948480091334E-2</v>
      </c>
      <c r="EH116" s="47">
        <f>t_Parts[[#This Row],[hp2016.01]]/t_Parts[[#This Row],[ha2016.01]]</f>
        <v>3.0471849578992429E-2</v>
      </c>
      <c r="EI116" s="47">
        <f>t_Parts[[#This Row],[hp2016.02]]/t_Parts[[#This Row],[ha2016.02]]</f>
        <v>3.0471849578992429E-2</v>
      </c>
      <c r="EJ116" s="47">
        <f>t_Parts[[#This Row],[hp2016.03]]/t_Parts[[#This Row],[ha2016.03]]</f>
        <v>2.7614706721849579E-2</v>
      </c>
      <c r="EK116" s="47">
        <f>t_Parts[[#This Row],[hp2016.04]]/t_Parts[[#This Row],[ha2016.04]]</f>
        <v>3.0471849578992429E-2</v>
      </c>
      <c r="EL116" s="47">
        <f>t_Parts[[#This Row],[hp2016.05]]/t_Parts[[#This Row],[ha2016.05]]</f>
        <v>3.0471849578992429E-2</v>
      </c>
      <c r="EM116" s="47">
        <f>t_Parts[[#This Row],[hp2016.06]]/t_Parts[[#This Row],[ha2016.06]]</f>
        <v>2.7614706721849579E-2</v>
      </c>
      <c r="EN116" s="47">
        <f>t_Parts[[#This Row],[hp2016.07]]/t_Parts[[#This Row],[ha2016.07]]</f>
        <v>3.0471849578992429E-2</v>
      </c>
      <c r="EO116" s="47">
        <f>t_Parts[[#This Row],[hp2016.08]]/t_Parts[[#This Row],[ha2016.08]]</f>
        <v>3.0471849578992429E-2</v>
      </c>
      <c r="EP116" s="47">
        <f>t_Parts[[#This Row],[hp2016.09]]/t_Parts[[#This Row],[ha2016.09]]</f>
        <v>2.7614706721849579E-2</v>
      </c>
      <c r="EQ116" s="47">
        <f>t_Parts[[#This Row],[hp2016.10]]/t_Parts[[#This Row],[ha2016.10]]</f>
        <v>3.0471849578992429E-2</v>
      </c>
      <c r="ER116" s="47">
        <f>t_Parts[[#This Row],[hp2016.11]]/t_Parts[[#This Row],[ha2016.11]]</f>
        <v>3.0471849578992429E-2</v>
      </c>
      <c r="ES116" s="47">
        <f>t_Parts[[#This Row],[hp2016.12]]/t_Parts[[#This Row],[ha2016.12]]</f>
        <v>2.7614706721849579E-2</v>
      </c>
      <c r="ET116" s="47">
        <f>t_Parts[[#This Row],[hp2016.FY]]/t_Parts[[#This Row],[ha2016.FY]]</f>
        <v>2.9372948480091334E-2</v>
      </c>
      <c r="EU116" s="47">
        <f>t_Parts[[#This Row],[hp2017]]/t_Parts[[#This Row],[ha2017]]</f>
        <v>2.9372948480091338E-2</v>
      </c>
      <c r="EV116" s="47">
        <f>t_Parts[[#This Row],[hp2018]]/t_Parts[[#This Row],[ha2018]]</f>
        <v>0</v>
      </c>
      <c r="EW116" s="47">
        <f>t_Parts[[#This Row],[hp2019]]/t_Parts[[#This Row],[hp2015.01]]</f>
        <v>0</v>
      </c>
      <c r="EX116" s="58">
        <f>(t_Parts[[#This Row],[ha2015.01]]-t_Parts[[#This Row],[hp2015.01]])*t_Parts[[NetPPH]:[NetPPH]]</f>
        <v>1254181.6153846155</v>
      </c>
      <c r="EY116" s="58">
        <f>(t_Parts[[#This Row],[ha2015.02]]-t_Parts[[#This Row],[hp2015.02]])*t_Parts[[NetPPH]:[NetPPH]]</f>
        <v>1254181.6153846155</v>
      </c>
      <c r="EZ116" s="58">
        <f>(t_Parts[[#This Row],[ha2015.03]]-t_Parts[[#This Row],[hp2015.03]])*t_Parts[[NetPPH]:[NetPPH]]</f>
        <v>1572347.0192307692</v>
      </c>
      <c r="FA116" s="58">
        <f>(t_Parts[[#This Row],[ha2015.04]]-t_Parts[[#This Row],[hp2015.04]])*t_Parts[[NetPPH]:[NetPPH]]</f>
        <v>1254181.6153846155</v>
      </c>
      <c r="FB116" s="58">
        <f>(t_Parts[[#This Row],[ha2015.05]]-t_Parts[[#This Row],[hp2015.05]])*t_Parts[[NetPPH]:[NetPPH]]</f>
        <v>1254181.6153846155</v>
      </c>
      <c r="FC116" s="58">
        <f>(t_Parts[[#This Row],[ha2015.06]]-t_Parts[[#This Row],[hp2015.06]])*t_Parts[[NetPPH]:[NetPPH]]</f>
        <v>1572347.0192307692</v>
      </c>
      <c r="FD116" s="58">
        <f>(t_Parts[[#This Row],[ha2015.07]]-t_Parts[[#This Row],[hp2015.07]])*t_Parts[[NetPPH]:[NetPPH]]</f>
        <v>1254181.6153846155</v>
      </c>
      <c r="FE116" s="58">
        <f>(t_Parts[[#This Row],[ha2015.08]]-t_Parts[[#This Row],[hp2015.08]])*t_Parts[[NetPPH]:[NetPPH]]</f>
        <v>1254181.6153846155</v>
      </c>
      <c r="FF116" s="58">
        <f>(t_Parts[[#This Row],[ha2015.09]]-t_Parts[[#This Row],[hp2015.09]])*t_Parts[[NetPPH]:[NetPPH]]</f>
        <v>1572347.0192307692</v>
      </c>
      <c r="FG116" s="58">
        <f>(t_Parts[[#This Row],[ha2015.10]]-t_Parts[[#This Row],[hp2015.10]])*t_Parts[[NetPPH]:[NetPPH]]</f>
        <v>1254181.6153846155</v>
      </c>
      <c r="FH116" s="58">
        <f>(t_Parts[[#This Row],[ha2015.11]]-t_Parts[[#This Row],[hp2015.11]])*t_Parts[[NetPPH]:[NetPPH]]</f>
        <v>1254181.6153846155</v>
      </c>
      <c r="FI116" s="58">
        <f>(t_Parts[[#This Row],[ha2015.12]]-t_Parts[[#This Row],[hp2015.12]])*t_Parts[[NetPPH]:[NetPPH]]</f>
        <v>1572347.0192307692</v>
      </c>
      <c r="FJ116" s="58">
        <f>(t_Parts[[#This Row],[ha2015.FY]]-t_Parts[[#This Row],[hp2015.FY]])*t_Parts[[NetPPH]:[NetPPH]]</f>
        <v>16322841</v>
      </c>
      <c r="FK116" s="58">
        <f>(t_Parts[[#This Row],[ha2016.01]]-t_Parts[[#This Row],[hp2016.01]])*t_Parts[[NetPPH]:[NetPPH]]</f>
        <v>1254181.6153846155</v>
      </c>
      <c r="FL116" s="58">
        <f>(t_Parts[[#This Row],[ha2016.02]]-t_Parts[[#This Row],[hp2016.02]])*t_Parts[[NetPPH]:[NetPPH]]</f>
        <v>1254181.6153846155</v>
      </c>
      <c r="FM116" s="58">
        <f>(t_Parts[[#This Row],[ha2016.03]]-t_Parts[[#This Row],[hp2016.03]])*t_Parts[[NetPPH]:[NetPPH]]</f>
        <v>1572347.0192307692</v>
      </c>
      <c r="FN116" s="58">
        <f>(t_Parts[[#This Row],[ha2016.04]]-t_Parts[[#This Row],[hp2016.04]])*t_Parts[[NetPPH]:[NetPPH]]</f>
        <v>1254181.6153846155</v>
      </c>
      <c r="FO116" s="58">
        <f>(t_Parts[[#This Row],[ha2016.05]]-t_Parts[[#This Row],[hp2016.05]])*t_Parts[[NetPPH]:[NetPPH]]</f>
        <v>1254181.6153846155</v>
      </c>
      <c r="FP116" s="58">
        <f>(t_Parts[[#This Row],[ha2016.06]]-t_Parts[[#This Row],[hp2016.06]])*t_Parts[[NetPPH]:[NetPPH]]</f>
        <v>1572347.0192307692</v>
      </c>
      <c r="FQ116" s="58">
        <f>(t_Parts[[#This Row],[ha2016.07]]-t_Parts[[#This Row],[hp2016.07]])*t_Parts[[NetPPH]:[NetPPH]]</f>
        <v>1254181.6153846155</v>
      </c>
      <c r="FR116" s="58">
        <f>(t_Parts[[#This Row],[ha2016.08]]-t_Parts[[#This Row],[hp2016.08]])*t_Parts[[NetPPH]:[NetPPH]]</f>
        <v>1254181.6153846155</v>
      </c>
      <c r="FS116" s="58">
        <f>(t_Parts[[#This Row],[ha2016.09]]-t_Parts[[#This Row],[hp2016.09]])*t_Parts[[NetPPH]:[NetPPH]]</f>
        <v>1572347.0192307692</v>
      </c>
      <c r="FT116" s="58">
        <f>(t_Parts[[#This Row],[ha2016.10]]-t_Parts[[#This Row],[hp2016.10]])*t_Parts[[NetPPH]:[NetPPH]]</f>
        <v>1254181.6153846155</v>
      </c>
      <c r="FU116" s="58">
        <f>(t_Parts[[#This Row],[ha2016.11]]-t_Parts[[#This Row],[hp2016.11]])*t_Parts[[NetPPH]:[NetPPH]]</f>
        <v>1254181.6153846155</v>
      </c>
      <c r="FV116" s="58">
        <f>(t_Parts[[#This Row],[ha2016.12]]-t_Parts[[#This Row],[hp2016.12]])*t_Parts[[NetPPH]:[NetPPH]]</f>
        <v>1572347.0192307692</v>
      </c>
      <c r="FW116" s="58">
        <f>(t_Parts[[#This Row],[ha2016.FY]]-t_Parts[[#This Row],[hp2016.FY]])*t_Parts[[NetPPH]:[NetPPH]]</f>
        <v>16322841</v>
      </c>
      <c r="FX116" s="58">
        <f>(t_Parts[[#This Row],[ha2017]]-t_Parts[[#This Row],[hp2017]])*t_Parts[[NetPPH]:[NetPPH]]</f>
        <v>16322841</v>
      </c>
      <c r="FY116" s="58">
        <f>(t_Parts[[#This Row],[ha2018]]-t_Parts[[#This Row],[hp2018]])*t_Parts[[NetPPH]:[NetPPH]]</f>
        <v>16816800</v>
      </c>
      <c r="FZ116" s="58">
        <f>(t_Parts[[#This Row],[ha2019]]-t_Parts[[#This Row],[hp2019]])*t_Parts[[NetPPH]:[NetPPH]]</f>
        <v>16816800</v>
      </c>
    </row>
    <row r="117" spans="1:182" s="14" customFormat="1" x14ac:dyDescent="0.25">
      <c r="A117" s="74">
        <v>29089</v>
      </c>
      <c r="B117" s="74"/>
      <c r="C117" s="74">
        <v>21012</v>
      </c>
      <c r="D117" s="75">
        <v>1</v>
      </c>
      <c r="E117" s="73">
        <v>720</v>
      </c>
      <c r="F117" s="76">
        <v>1.5</v>
      </c>
      <c r="G117" s="77">
        <v>2</v>
      </c>
      <c r="H117" s="16">
        <v>2015.01</v>
      </c>
      <c r="I117" s="16">
        <v>2015.06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8">
        <v>38</v>
      </c>
      <c r="P117" s="78">
        <v>130</v>
      </c>
      <c r="Q117" s="79">
        <v>29</v>
      </c>
      <c r="R117" s="79"/>
      <c r="S117" s="78">
        <v>491</v>
      </c>
      <c r="T117" s="80">
        <v>21</v>
      </c>
      <c r="U117" s="80" t="s">
        <v>122</v>
      </c>
      <c r="V117" s="81" t="s">
        <v>494</v>
      </c>
      <c r="W117" s="82">
        <v>1.94</v>
      </c>
      <c r="X117" s="82" t="s">
        <v>495</v>
      </c>
      <c r="Y117" s="82"/>
      <c r="Z117" s="82"/>
      <c r="AA117" s="82"/>
      <c r="AB117" s="82"/>
      <c r="AC117" s="83" t="s">
        <v>111</v>
      </c>
      <c r="AD117" s="40" t="str">
        <f>VLOOKUP(t_Parts[[#This Row],[Press]],t_Presses[],Press!B$1,FALSE)</f>
        <v>Plainfield</v>
      </c>
      <c r="AE117" s="40" t="str">
        <f>VLOOKUP(t_Parts[[#This Row],[Press]],t_Presses[],Press!E$1,FALSE)</f>
        <v>600-899</v>
      </c>
      <c r="AF117" s="47">
        <f>VLOOKUP(t_Parts[[#This Row],[Plant]],t_Plants[],Plants!C$1,FALSE)</f>
        <v>0.55000000000000004</v>
      </c>
      <c r="AG117" s="47">
        <f>VLOOKUP(t_Parts[[#This Row],[Press]],t_Presses[],Press!F$1,FALSE)</f>
        <v>0</v>
      </c>
      <c r="AH117" s="84"/>
      <c r="AI117" s="47">
        <f>IF(ISBLANK(t_Parts[[#This Row],[PartOEE]])=FALSE,t_Parts[[#This Row],[PartOEE]], IF(t_Parts[[#This Row],[PressOEE]]&gt;0, t_Parts[[#This Row],[PressOEE]], t_Parts[[#This Row],[PlantOEE]] ))</f>
        <v>0.55000000000000004</v>
      </c>
      <c r="AJ117" s="70">
        <f>t_Parts[[#This Row],[SetupsPerMo]]*t_Parts[[#This Row],[SetupHrs]]</f>
        <v>3</v>
      </c>
      <c r="AK117" s="39">
        <f>(t_Parts[[#This Row],[PartsPerStroke]]*t_Parts[[#This Row],[StrokesPerHr]])*t_Parts[[#This Row],[UseOEE]]</f>
        <v>396.00000000000006</v>
      </c>
      <c r="AL117" s="73">
        <f>IF(AND(AL$3&gt;=VALUE(t_Parts[[SOP]:[SOP]]),AL$3&lt;=VALUE(t_Parts[[EOP]:[EOP]])),  (t_Parts[[2015vol]:[2015vol]]/VLOOKUP(t_Parts[[Plant]:[Plant]],t_Plants[],Plants!$BW$1, FALSE))*VLOOKUP(t_Parts[[Plant]:[Plant]],t_Plants[],Plants!BK$1,FALSE),0)</f>
        <v>0</v>
      </c>
      <c r="AM117" s="73">
        <f>IF(AND(AM$3&gt;=VALUE(t_Parts[[SOP]:[SOP]]),AM$3&lt;=VALUE(t_Parts[[EOP]:[EOP]])),  (t_Parts[[2015vol]:[2015vol]]/VLOOKUP(t_Parts[[Plant]:[Plant]],t_Plants[],Plants!$BW$1, FALSE))*VLOOKUP(t_Parts[[Plant]:[Plant]],t_Plants[],Plants!BL$1,FALSE),0)</f>
        <v>0</v>
      </c>
      <c r="AN117" s="73">
        <f>IF(AND(AN$3&gt;=VALUE(t_Parts[[SOP]:[SOP]]),AN$3&lt;=VALUE(t_Parts[[EOP]:[EOP]])),  (t_Parts[[2015vol]:[2015vol]]/VLOOKUP(t_Parts[[Plant]:[Plant]],t_Plants[],Plants!$BW$1, FALSE))*VLOOKUP(t_Parts[[Plant]:[Plant]],t_Plants[],Plants!BM$1,FALSE),0)</f>
        <v>0</v>
      </c>
      <c r="AO117" s="73">
        <f>IF(AND(AO$3&gt;=VALUE(t_Parts[[SOP]:[SOP]]),AO$3&lt;=VALUE(t_Parts[[EOP]:[EOP]])),  (t_Parts[[2015vol]:[2015vol]]/VLOOKUP(t_Parts[[Plant]:[Plant]],t_Plants[],Plants!$BW$1, FALSE))*VLOOKUP(t_Parts[[Plant]:[Plant]],t_Plants[],Plants!BN$1,FALSE),0)</f>
        <v>0</v>
      </c>
      <c r="AP117" s="73">
        <f>IF(AND(AP$3&gt;=VALUE(t_Parts[[SOP]:[SOP]]),AP$3&lt;=VALUE(t_Parts[[EOP]:[EOP]])),  (t_Parts[[2015vol]:[2015vol]]/VLOOKUP(t_Parts[[Plant]:[Plant]],t_Plants[],Plants!$BW$1, FALSE))*VLOOKUP(t_Parts[[Plant]:[Plant]],t_Plants[],Plants!BO$1,FALSE),0)</f>
        <v>0</v>
      </c>
      <c r="AQ117" s="73">
        <f>IF(AND(AQ$3&gt;=VALUE(t_Parts[[SOP]:[SOP]]),AQ$3&lt;=VALUE(t_Parts[[EOP]:[EOP]])),  (t_Parts[[2015vol]:[2015vol]]/VLOOKUP(t_Parts[[Plant]:[Plant]],t_Plants[],Plants!$BW$1, FALSE))*VLOOKUP(t_Parts[[Plant]:[Plant]],t_Plants[],Plants!BP$1,FALSE),0)</f>
        <v>0</v>
      </c>
      <c r="AR117" s="73">
        <f>IF(AND(AR$3&gt;=VALUE(t_Parts[[SOP]:[SOP]]),AR$3&lt;=VALUE(t_Parts[[EOP]:[EOP]])),  (t_Parts[[2015vol]:[2015vol]]/VLOOKUP(t_Parts[[Plant]:[Plant]],t_Plants[],Plants!$BW$1, FALSE))*VLOOKUP(t_Parts[[Plant]:[Plant]],t_Plants[],Plants!BQ$1,FALSE),0)</f>
        <v>0</v>
      </c>
      <c r="AS117" s="73">
        <f>IF(AND(AS$3&gt;=VALUE(t_Parts[[SOP]:[SOP]]),AS$3&lt;=VALUE(t_Parts[[EOP]:[EOP]])),  (t_Parts[[2015vol]:[2015vol]]/VLOOKUP(t_Parts[[Plant]:[Plant]],t_Plants[],Plants!$BW$1, FALSE))*VLOOKUP(t_Parts[[Plant]:[Plant]],t_Plants[],Plants!BR$1,FALSE),0)</f>
        <v>0</v>
      </c>
      <c r="AT117" s="73">
        <f>IF(AND(AT$3&gt;=VALUE(t_Parts[[SOP]:[SOP]]),AT$3&lt;=VALUE(t_Parts[[EOP]:[EOP]])),  (t_Parts[[2015vol]:[2015vol]]/VLOOKUP(t_Parts[[Plant]:[Plant]],t_Plants[],Plants!$BW$1, FALSE))*VLOOKUP(t_Parts[[Plant]:[Plant]],t_Plants[],Plants!BS$1,FALSE),0)</f>
        <v>0</v>
      </c>
      <c r="AU117" s="73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117" s="73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117" s="73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117" s="39">
        <f>SUM(t_Parts[[#This Row],[pv2015.01]:[pv2015.12]])</f>
        <v>0</v>
      </c>
      <c r="AY117" s="73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17" s="73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17" s="73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17" s="73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17" s="73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17" s="73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17" s="73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17" s="73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17" s="73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17" s="73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17" s="73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17" s="73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17" s="39">
        <f>SUM(t_Parts[[#This Row],[pv2016.01]:[pv2016.12]])</f>
        <v>0</v>
      </c>
      <c r="BL117" s="39">
        <f>t_Parts[[#This Row],[2017vol]]</f>
        <v>0</v>
      </c>
      <c r="BM117" s="39">
        <f>t_Parts[[#This Row],[2018vol]]</f>
        <v>0</v>
      </c>
      <c r="BN117" s="39">
        <f>t_Parts[[#This Row],[2019vol]]</f>
        <v>0</v>
      </c>
      <c r="BO117" s="40">
        <f>VLOOKUP(t_Parts[[Plant]:[Plant]],t_Plants[],Plants!CN$1,FALSE)</f>
        <v>280</v>
      </c>
      <c r="BP117" s="14">
        <f>VLOOKUP(t_Parts[[Plant]:[Plant]],t_Plants[],Plants!CO$1,FALSE)</f>
        <v>280</v>
      </c>
      <c r="BQ117" s="14">
        <f>VLOOKUP(t_Parts[[Plant]:[Plant]],t_Plants[],Plants!CP$1,FALSE)</f>
        <v>350</v>
      </c>
      <c r="BR117" s="14">
        <f>VLOOKUP(t_Parts[[Plant]:[Plant]],t_Plants[],Plants!CQ$1,FALSE)</f>
        <v>280</v>
      </c>
      <c r="BS117" s="14">
        <f>VLOOKUP(t_Parts[[Plant]:[Plant]],t_Plants[],Plants!CR$1,FALSE)</f>
        <v>280</v>
      </c>
      <c r="BT117" s="14">
        <f>VLOOKUP(t_Parts[[Plant]:[Plant]],t_Plants[],Plants!CS$1,FALSE)</f>
        <v>350</v>
      </c>
      <c r="BU117" s="14">
        <f>VLOOKUP(t_Parts[[Plant]:[Plant]],t_Plants[],Plants!CT$1,FALSE)</f>
        <v>280</v>
      </c>
      <c r="BV117" s="14">
        <f>VLOOKUP(t_Parts[[Plant]:[Plant]],t_Plants[],Plants!CU$1,FALSE)</f>
        <v>280</v>
      </c>
      <c r="BW117" s="14">
        <f>VLOOKUP(t_Parts[[Plant]:[Plant]],t_Plants[],Plants!CV$1,FALSE)</f>
        <v>350</v>
      </c>
      <c r="BX117" s="14">
        <f>VLOOKUP(t_Parts[[Plant]:[Plant]],t_Plants[],Plants!CW$1,FALSE)</f>
        <v>280</v>
      </c>
      <c r="BY117" s="14">
        <f>VLOOKUP(t_Parts[[Plant]:[Plant]],t_Plants[],Plants!CX$1,FALSE)</f>
        <v>280</v>
      </c>
      <c r="BZ117" s="14">
        <f>VLOOKUP(t_Parts[[Plant]:[Plant]],t_Plants[],Plants!CY$1,FALSE)</f>
        <v>350</v>
      </c>
      <c r="CA117" s="40">
        <f>SUM(t_Parts[[#This Row],[ha2015.01]:[ha2015.12]])</f>
        <v>3640</v>
      </c>
      <c r="CB117" s="14">
        <f>VLOOKUP(t_Parts[[Plant]:[Plant]],t_Plants[],Plants!DA$1,FALSE)</f>
        <v>280</v>
      </c>
      <c r="CC117" s="14">
        <f>VLOOKUP(t_Parts[[Plant]:[Plant]],t_Plants[],Plants!DB$1,FALSE)</f>
        <v>280</v>
      </c>
      <c r="CD117" s="14">
        <f>VLOOKUP(t_Parts[[Plant]:[Plant]],t_Plants[],Plants!DC$1,FALSE)</f>
        <v>350</v>
      </c>
      <c r="CE117" s="14">
        <f>VLOOKUP(t_Parts[[Plant]:[Plant]],t_Plants[],Plants!DD$1,FALSE)</f>
        <v>280</v>
      </c>
      <c r="CF117" s="14">
        <f>VLOOKUP(t_Parts[[Plant]:[Plant]],t_Plants[],Plants!DE$1,FALSE)</f>
        <v>280</v>
      </c>
      <c r="CG117" s="14">
        <f>VLOOKUP(t_Parts[[Plant]:[Plant]],t_Plants[],Plants!DF$1,FALSE)</f>
        <v>350</v>
      </c>
      <c r="CH117" s="14">
        <f>VLOOKUP(t_Parts[[Plant]:[Plant]],t_Plants[],Plants!DG$1,FALSE)</f>
        <v>280</v>
      </c>
      <c r="CI117" s="14">
        <f>VLOOKUP(t_Parts[[Plant]:[Plant]],t_Plants[],Plants!DH$1,FALSE)</f>
        <v>280</v>
      </c>
      <c r="CJ117" s="14">
        <f>VLOOKUP(t_Parts[[Plant]:[Plant]],t_Plants[],Plants!DI$1,FALSE)</f>
        <v>350</v>
      </c>
      <c r="CK117" s="14">
        <f>VLOOKUP(t_Parts[[Plant]:[Plant]],t_Plants[],Plants!DJ$1,FALSE)</f>
        <v>280</v>
      </c>
      <c r="CL117" s="14">
        <f>VLOOKUP(t_Parts[[Plant]:[Plant]],t_Plants[],Plants!DK$1,FALSE)</f>
        <v>280</v>
      </c>
      <c r="CM117" s="14">
        <f>VLOOKUP(t_Parts[[Plant]:[Plant]],t_Plants[],Plants!DL$1,FALSE)</f>
        <v>350</v>
      </c>
      <c r="CN117" s="14">
        <f>VLOOKUP(t_Parts[[Plant]:[Plant]],t_Plants[],Plants!DM$1,FALSE)</f>
        <v>3640</v>
      </c>
      <c r="CO117" s="14">
        <f>VLOOKUP(t_Parts[[Plant]:[Plant]],t_Plants[],Plants!DN$1,FALSE)</f>
        <v>3640</v>
      </c>
      <c r="CP117" s="14">
        <f>VLOOKUP(t_Parts[[Plant]:[Plant]],t_Plants[],Plants!DO$1,FALSE)</f>
        <v>3640</v>
      </c>
      <c r="CQ117" s="14">
        <f>VLOOKUP(t_Parts[[Plant]:[Plant]],t_Plants[],Plants!DP$1,FALSE)</f>
        <v>3640</v>
      </c>
      <c r="CR117" s="39">
        <f>IF(AND(AL$3&gt;=VALUE(t_Parts[[SOP]:[SOP]]),AL$3&lt;=VALUE(t_Parts[[EOP]:[EOP]])), t_Parts[[SetupHrsPerMo]:[SetupHrsPerMo]]+(t_Parts[[#This Row],[pv2015.01]]/t_Parts[[NetPPH]:[NetPPH]]),0)</f>
        <v>3</v>
      </c>
      <c r="CS117" s="39">
        <f>IF(AND(AM$3&gt;=VALUE(t_Parts[[SOP]:[SOP]]),AM$3&lt;=VALUE(t_Parts[[EOP]:[EOP]])), t_Parts[[SetupHrsPerMo]:[SetupHrsPerMo]]+(t_Parts[[#This Row],[pv2015.02]]/t_Parts[[NetPPH]:[NetPPH]]),0)</f>
        <v>3</v>
      </c>
      <c r="CT117" s="39">
        <f>IF(AND(AN$3&gt;=VALUE(t_Parts[[SOP]:[SOP]]),AN$3&lt;=VALUE(t_Parts[[EOP]:[EOP]])), t_Parts[[SetupHrsPerMo]:[SetupHrsPerMo]]+(t_Parts[[#This Row],[pv2015.03]]/t_Parts[[NetPPH]:[NetPPH]]),0)</f>
        <v>3</v>
      </c>
      <c r="CU117" s="39">
        <f>IF(AND(AO$3&gt;=VALUE(t_Parts[[SOP]:[SOP]]),AO$3&lt;=VALUE(t_Parts[[EOP]:[EOP]])), t_Parts[[SetupHrsPerMo]:[SetupHrsPerMo]]+(t_Parts[[#This Row],[pv2015.04]]/t_Parts[[NetPPH]:[NetPPH]]),0)</f>
        <v>3</v>
      </c>
      <c r="CV117" s="39">
        <f>IF(AND(AP$3&gt;=VALUE(t_Parts[[SOP]:[SOP]]),AP$3&lt;=VALUE(t_Parts[[EOP]:[EOP]])), t_Parts[[SetupHrsPerMo]:[SetupHrsPerMo]]+(t_Parts[[#This Row],[pv2015.05]]/t_Parts[[NetPPH]:[NetPPH]]),0)</f>
        <v>3</v>
      </c>
      <c r="CW117" s="39">
        <f>IF(AND(AQ$3&gt;=VALUE(t_Parts[[SOP]:[SOP]]),AQ$3&lt;=VALUE(t_Parts[[EOP]:[EOP]])), t_Parts[[SetupHrsPerMo]:[SetupHrsPerMo]]+(t_Parts[[#This Row],[pv2015.06]]/t_Parts[[NetPPH]:[NetPPH]]),0)</f>
        <v>3</v>
      </c>
      <c r="CX117" s="39">
        <f>IF(AND(AR$3&gt;=VALUE(t_Parts[[SOP]:[SOP]]),AR$3&lt;=VALUE(t_Parts[[EOP]:[EOP]])), t_Parts[[SetupHrsPerMo]:[SetupHrsPerMo]]+(t_Parts[[#This Row],[pv2015.07]]/t_Parts[[NetPPH]:[NetPPH]]),0)</f>
        <v>0</v>
      </c>
      <c r="CY117" s="39">
        <f>IF(AND(AS$3&gt;=VALUE(t_Parts[[SOP]:[SOP]]),AS$3&lt;=VALUE(t_Parts[[EOP]:[EOP]])), t_Parts[[SetupHrsPerMo]:[SetupHrsPerMo]]+(t_Parts[[#This Row],[pv2015.08]]/t_Parts[[NetPPH]:[NetPPH]]),0)</f>
        <v>0</v>
      </c>
      <c r="CZ117" s="39">
        <f>IF(AND(AT$3&gt;=VALUE(t_Parts[[SOP]:[SOP]]),AT$3&lt;=VALUE(t_Parts[[EOP]:[EOP]])), t_Parts[[SetupHrsPerMo]:[SetupHrsPerMo]]+(t_Parts[[#This Row],[pv2015.09]]/t_Parts[[NetPPH]:[NetPPH]]),0)</f>
        <v>0</v>
      </c>
      <c r="DA117" s="39">
        <f>IF(AND(AU$3&gt;=VALUE(t_Parts[[SOP]:[SOP]]),AU$3&lt;=VALUE(t_Parts[[EOP]:[EOP]])), t_Parts[[SetupHrsPerMo]:[SetupHrsPerMo]]+(t_Parts[[#This Row],[pv2015.10]]/t_Parts[[NetPPH]:[NetPPH]]),0)</f>
        <v>0</v>
      </c>
      <c r="DB117" s="39">
        <f>IF(AND(AV$3&gt;=VALUE(t_Parts[[SOP]:[SOP]]),AV$3&lt;=VALUE(t_Parts[[EOP]:[EOP]])), t_Parts[[SetupHrsPerMo]:[SetupHrsPerMo]]+(t_Parts[[#This Row],[pv2015.11]]/t_Parts[[NetPPH]:[NetPPH]]),0)</f>
        <v>0</v>
      </c>
      <c r="DC117" s="39">
        <f>IF(AND(AW$3&gt;=VALUE(t_Parts[[SOP]:[SOP]]),AW$3&lt;=VALUE(t_Parts[[EOP]:[EOP]])), t_Parts[[SetupHrsPerMo]:[SetupHrsPerMo]]+(t_Parts[[#This Row],[pv2015.12]]/t_Parts[[NetPPH]:[NetPPH]]),0)</f>
        <v>0</v>
      </c>
      <c r="DD117" s="39">
        <f>SUM(t_Parts[[#This Row],[hp2015.01]:[hp2015.12]])</f>
        <v>18</v>
      </c>
      <c r="DE117" s="39">
        <f>IF(AND(AY$3&gt;=VALUE(t_Parts[[SOP]:[SOP]]),AY$3&lt;=VALUE(t_Parts[[EOP]:[EOP]])), t_Parts[[SetupHrsPerMo]:[SetupHrsPerMo]]+(t_Parts[[#This Row],[pv2016.01]]/t_Parts[[NetPPH]:[NetPPH]]),0)</f>
        <v>0</v>
      </c>
      <c r="DF117" s="39">
        <f>IF(AND(AZ$3&gt;=VALUE(t_Parts[[SOP]:[SOP]]),AZ$3&lt;=VALUE(t_Parts[[EOP]:[EOP]])), t_Parts[[SetupHrsPerMo]:[SetupHrsPerMo]]+(t_Parts[[#This Row],[pv2016.02]]/t_Parts[[NetPPH]:[NetPPH]]),0)</f>
        <v>0</v>
      </c>
      <c r="DG117" s="39">
        <f>IF(AND(BA$3&gt;=VALUE(t_Parts[[SOP]:[SOP]]),BA$3&lt;=VALUE(t_Parts[[EOP]:[EOP]])), t_Parts[[SetupHrsPerMo]:[SetupHrsPerMo]]+(t_Parts[[#This Row],[pv2016.03]]/t_Parts[[NetPPH]:[NetPPH]]),0)</f>
        <v>0</v>
      </c>
      <c r="DH117" s="39">
        <f>IF(AND(BB$3&gt;=VALUE(t_Parts[[SOP]:[SOP]]),BB$3&lt;=VALUE(t_Parts[[EOP]:[EOP]])), t_Parts[[SetupHrsPerMo]:[SetupHrsPerMo]]+(t_Parts[[#This Row],[pv2016.04]]/t_Parts[[NetPPH]:[NetPPH]]),0)</f>
        <v>0</v>
      </c>
      <c r="DI117" s="39">
        <f>IF(AND(BC$3&gt;=VALUE(t_Parts[[SOP]:[SOP]]),BC$3&lt;=VALUE(t_Parts[[EOP]:[EOP]])), t_Parts[[SetupHrsPerMo]:[SetupHrsPerMo]]+(t_Parts[[#This Row],[pv2016.05]]/t_Parts[[NetPPH]:[NetPPH]]),0)</f>
        <v>0</v>
      </c>
      <c r="DJ117" s="39">
        <f>IF(AND(BD$3&gt;=VALUE(t_Parts[[SOP]:[SOP]]),BD$3&lt;=VALUE(t_Parts[[EOP]:[EOP]])), t_Parts[[SetupHrsPerMo]:[SetupHrsPerMo]]+(t_Parts[[#This Row],[pv2016.06]]/t_Parts[[NetPPH]:[NetPPH]]),0)</f>
        <v>0</v>
      </c>
      <c r="DK117" s="39">
        <f>IF(AND(BE$3&gt;=VALUE(t_Parts[[SOP]:[SOP]]),BE$3&lt;=VALUE(t_Parts[[EOP]:[EOP]])), t_Parts[[SetupHrsPerMo]:[SetupHrsPerMo]]+(t_Parts[[#This Row],[pv2016.07]]/t_Parts[[NetPPH]:[NetPPH]]),0)</f>
        <v>0</v>
      </c>
      <c r="DL117" s="39">
        <f>IF(AND(BF$3&gt;=VALUE(t_Parts[[SOP]:[SOP]]),BF$3&lt;=VALUE(t_Parts[[EOP]:[EOP]])), t_Parts[[SetupHrsPerMo]:[SetupHrsPerMo]]+(t_Parts[[#This Row],[pv2016.08]]/t_Parts[[NetPPH]:[NetPPH]]),0)</f>
        <v>0</v>
      </c>
      <c r="DM117" s="39">
        <f>IF(AND(BG$3&gt;=VALUE(t_Parts[[SOP]:[SOP]]),BG$3&lt;=VALUE(t_Parts[[EOP]:[EOP]])), t_Parts[[SetupHrsPerMo]:[SetupHrsPerMo]]+(t_Parts[[#This Row],[pv2016.09]]/t_Parts[[NetPPH]:[NetPPH]]),0)</f>
        <v>0</v>
      </c>
      <c r="DN117" s="39">
        <f>IF(AND(BH$3&gt;=VALUE(t_Parts[[SOP]:[SOP]]),BH$3&lt;=VALUE(t_Parts[[EOP]:[EOP]])), t_Parts[[SetupHrsPerMo]:[SetupHrsPerMo]]+(t_Parts[[#This Row],[pv2016.10]]/t_Parts[[NetPPH]:[NetPPH]]),0)</f>
        <v>0</v>
      </c>
      <c r="DO117" s="39">
        <f>IF(AND(BI$3&gt;=VALUE(t_Parts[[SOP]:[SOP]]),BI$3&lt;=VALUE(t_Parts[[EOP]:[EOP]])), t_Parts[[SetupHrsPerMo]:[SetupHrsPerMo]]+(t_Parts[[#This Row],[pv2016.11]]/t_Parts[[NetPPH]:[NetPPH]]),0)</f>
        <v>0</v>
      </c>
      <c r="DP117" s="39">
        <f>IF(AND(BJ$3&gt;=VALUE(t_Parts[[SOP]:[SOP]]),BJ$3&lt;=VALUE(t_Parts[[EOP]:[EOP]])), t_Parts[[SetupHrsPerMo]:[SetupHrsPerMo]]+(t_Parts[[#This Row],[pv2016.12]]/t_Parts[[NetPPH]:[NetPPH]]),0)</f>
        <v>0</v>
      </c>
      <c r="DQ117" s="39">
        <f>SUM(t_Parts[[#This Row],[hp2016.01]:[hp2016.12]])</f>
        <v>0</v>
      </c>
      <c r="DR117" s="39">
        <f>IF(AND(BL$3&gt;=VALUE(t_Parts[[SOP]:[SOP]]),BL$3&lt;=VALUE(t_Parts[[EOP]:[EOP]])), 12*t_Parts[[SetupHrsPerMo]:[SetupHrsPerMo]]+(t_Parts[[#This Row],[pv2017]]/t_Parts[[NetPPH]:[NetPPH]]),0)</f>
        <v>0</v>
      </c>
      <c r="DS117" s="39">
        <f>IF(AND(BM$3&gt;=VALUE(t_Parts[[SOP]:[SOP]]),BM$3&lt;=VALUE(t_Parts[[EOP]:[EOP]])), 12*t_Parts[[SetupHrsPerMo]:[SetupHrsPerMo]]+(t_Parts[[#This Row],[pv2018]]/t_Parts[[NetPPH]:[NetPPH]]),0)</f>
        <v>0</v>
      </c>
      <c r="DT117" s="39">
        <f>IF(AND(BN$3&gt;=VALUE(t_Parts[[SOP]:[SOP]]),BN$3&lt;=VALUE(t_Parts[[EOP]:[EOP]])), 12*t_Parts[[SetupHrsPerMo]:[SetupHrsPerMo]]+(t_Parts[[#This Row],[pv2019]]/t_Parts[[NetPPH]:[NetPPH]]),0)</f>
        <v>0</v>
      </c>
      <c r="DU117" s="47">
        <f>t_Parts[[#This Row],[hp2015.01]]/t_Parts[[#This Row],[ha2015.01]]</f>
        <v>1.0714285714285714E-2</v>
      </c>
      <c r="DV117" s="47">
        <f>t_Parts[[#This Row],[hp2015.02]]/t_Parts[[#This Row],[ha2015.02]]</f>
        <v>1.0714285714285714E-2</v>
      </c>
      <c r="DW117" s="47">
        <f>t_Parts[[#This Row],[hp2015.03]]/t_Parts[[#This Row],[ha2015.03]]</f>
        <v>8.5714285714285719E-3</v>
      </c>
      <c r="DX117" s="47">
        <f>t_Parts[[#This Row],[hp2015.04]]/t_Parts[[#This Row],[ha2015.04]]</f>
        <v>1.0714285714285714E-2</v>
      </c>
      <c r="DY117" s="47">
        <f>t_Parts[[#This Row],[hp2015.05]]/t_Parts[[#This Row],[ha2015.05]]</f>
        <v>1.0714285714285714E-2</v>
      </c>
      <c r="DZ117" s="47">
        <f>t_Parts[[#This Row],[hp2015.06]]/t_Parts[[#This Row],[ha2015.06]]</f>
        <v>8.5714285714285719E-3</v>
      </c>
      <c r="EA117" s="47">
        <f>t_Parts[[#This Row],[hp2015.07]]/t_Parts[[#This Row],[ha2015.07]]</f>
        <v>0</v>
      </c>
      <c r="EB117" s="47">
        <f>t_Parts[[#This Row],[hp2015.08]]/t_Parts[[#This Row],[ha2015.08]]</f>
        <v>0</v>
      </c>
      <c r="EC117" s="47">
        <f>t_Parts[[#This Row],[hp2015.09]]/t_Parts[[#This Row],[ha2015.09]]</f>
        <v>0</v>
      </c>
      <c r="ED117" s="47">
        <f>t_Parts[[#This Row],[hp2015.10]]/t_Parts[[#This Row],[ha2015.10]]</f>
        <v>0</v>
      </c>
      <c r="EE117" s="47">
        <f>t_Parts[[#This Row],[hp2015.11]]/t_Parts[[#This Row],[ha2015.11]]</f>
        <v>0</v>
      </c>
      <c r="EF117" s="47">
        <f>t_Parts[[#This Row],[hp2015.12]]/t_Parts[[#This Row],[ha2015.12]]</f>
        <v>0</v>
      </c>
      <c r="EG117" s="47">
        <f>t_Parts[[#This Row],[hp2015.FY]]/t_Parts[[#This Row],[ha2015.FY]]</f>
        <v>4.9450549450549448E-3</v>
      </c>
      <c r="EH117" s="47">
        <f>t_Parts[[#This Row],[hp2016.01]]/t_Parts[[#This Row],[ha2016.01]]</f>
        <v>0</v>
      </c>
      <c r="EI117" s="47">
        <f>t_Parts[[#This Row],[hp2016.02]]/t_Parts[[#This Row],[ha2016.02]]</f>
        <v>0</v>
      </c>
      <c r="EJ117" s="47">
        <f>t_Parts[[#This Row],[hp2016.03]]/t_Parts[[#This Row],[ha2016.03]]</f>
        <v>0</v>
      </c>
      <c r="EK117" s="47">
        <f>t_Parts[[#This Row],[hp2016.04]]/t_Parts[[#This Row],[ha2016.04]]</f>
        <v>0</v>
      </c>
      <c r="EL117" s="47">
        <f>t_Parts[[#This Row],[hp2016.05]]/t_Parts[[#This Row],[ha2016.05]]</f>
        <v>0</v>
      </c>
      <c r="EM117" s="47">
        <f>t_Parts[[#This Row],[hp2016.06]]/t_Parts[[#This Row],[ha2016.06]]</f>
        <v>0</v>
      </c>
      <c r="EN117" s="47">
        <f>t_Parts[[#This Row],[hp2016.07]]/t_Parts[[#This Row],[ha2016.07]]</f>
        <v>0</v>
      </c>
      <c r="EO117" s="47">
        <f>t_Parts[[#This Row],[hp2016.08]]/t_Parts[[#This Row],[ha2016.08]]</f>
        <v>0</v>
      </c>
      <c r="EP117" s="47">
        <f>t_Parts[[#This Row],[hp2016.09]]/t_Parts[[#This Row],[ha2016.09]]</f>
        <v>0</v>
      </c>
      <c r="EQ117" s="47">
        <f>t_Parts[[#This Row],[hp2016.10]]/t_Parts[[#This Row],[ha2016.10]]</f>
        <v>0</v>
      </c>
      <c r="ER117" s="47">
        <f>t_Parts[[#This Row],[hp2016.11]]/t_Parts[[#This Row],[ha2016.11]]</f>
        <v>0</v>
      </c>
      <c r="ES117" s="47">
        <f>t_Parts[[#This Row],[hp2016.12]]/t_Parts[[#This Row],[ha2016.12]]</f>
        <v>0</v>
      </c>
      <c r="ET117" s="47">
        <f>t_Parts[[#This Row],[hp2016.FY]]/t_Parts[[#This Row],[ha2016.FY]]</f>
        <v>0</v>
      </c>
      <c r="EU117" s="47">
        <f>t_Parts[[#This Row],[hp2017]]/t_Parts[[#This Row],[ha2017]]</f>
        <v>0</v>
      </c>
      <c r="EV117" s="47">
        <f>t_Parts[[#This Row],[hp2018]]/t_Parts[[#This Row],[ha2018]]</f>
        <v>0</v>
      </c>
      <c r="EW117" s="47">
        <f>t_Parts[[#This Row],[hp2019]]/t_Parts[[#This Row],[hp2015.01]]</f>
        <v>0</v>
      </c>
      <c r="EX117" s="58">
        <f>(t_Parts[[#This Row],[ha2015.01]]-t_Parts[[#This Row],[hp2015.01]])*t_Parts[[NetPPH]:[NetPPH]]</f>
        <v>109692.00000000001</v>
      </c>
      <c r="EY117" s="58">
        <f>(t_Parts[[#This Row],[ha2015.02]]-t_Parts[[#This Row],[hp2015.02]])*t_Parts[[NetPPH]:[NetPPH]]</f>
        <v>109692.00000000001</v>
      </c>
      <c r="EZ117" s="58">
        <f>(t_Parts[[#This Row],[ha2015.03]]-t_Parts[[#This Row],[hp2015.03]])*t_Parts[[NetPPH]:[NetPPH]]</f>
        <v>137412.00000000003</v>
      </c>
      <c r="FA117" s="58">
        <f>(t_Parts[[#This Row],[ha2015.04]]-t_Parts[[#This Row],[hp2015.04]])*t_Parts[[NetPPH]:[NetPPH]]</f>
        <v>109692.00000000001</v>
      </c>
      <c r="FB117" s="58">
        <f>(t_Parts[[#This Row],[ha2015.05]]-t_Parts[[#This Row],[hp2015.05]])*t_Parts[[NetPPH]:[NetPPH]]</f>
        <v>109692.00000000001</v>
      </c>
      <c r="FC117" s="58">
        <f>(t_Parts[[#This Row],[ha2015.06]]-t_Parts[[#This Row],[hp2015.06]])*t_Parts[[NetPPH]:[NetPPH]]</f>
        <v>137412.00000000003</v>
      </c>
      <c r="FD117" s="58">
        <f>(t_Parts[[#This Row],[ha2015.07]]-t_Parts[[#This Row],[hp2015.07]])*t_Parts[[NetPPH]:[NetPPH]]</f>
        <v>110880.00000000001</v>
      </c>
      <c r="FE117" s="58">
        <f>(t_Parts[[#This Row],[ha2015.08]]-t_Parts[[#This Row],[hp2015.08]])*t_Parts[[NetPPH]:[NetPPH]]</f>
        <v>110880.00000000001</v>
      </c>
      <c r="FF117" s="58">
        <f>(t_Parts[[#This Row],[ha2015.09]]-t_Parts[[#This Row],[hp2015.09]])*t_Parts[[NetPPH]:[NetPPH]]</f>
        <v>138600.00000000003</v>
      </c>
      <c r="FG117" s="58">
        <f>(t_Parts[[#This Row],[ha2015.10]]-t_Parts[[#This Row],[hp2015.10]])*t_Parts[[NetPPH]:[NetPPH]]</f>
        <v>110880.00000000001</v>
      </c>
      <c r="FH117" s="58">
        <f>(t_Parts[[#This Row],[ha2015.11]]-t_Parts[[#This Row],[hp2015.11]])*t_Parts[[NetPPH]:[NetPPH]]</f>
        <v>110880.00000000001</v>
      </c>
      <c r="FI117" s="58">
        <f>(t_Parts[[#This Row],[ha2015.12]]-t_Parts[[#This Row],[hp2015.12]])*t_Parts[[NetPPH]:[NetPPH]]</f>
        <v>138600.00000000003</v>
      </c>
      <c r="FJ117" s="58">
        <f>(t_Parts[[#This Row],[ha2015.FY]]-t_Parts[[#This Row],[hp2015.FY]])*t_Parts[[NetPPH]:[NetPPH]]</f>
        <v>1434312.0000000002</v>
      </c>
      <c r="FK117" s="58">
        <f>(t_Parts[[#This Row],[ha2016.01]]-t_Parts[[#This Row],[hp2016.01]])*t_Parts[[NetPPH]:[NetPPH]]</f>
        <v>110880.00000000001</v>
      </c>
      <c r="FL117" s="58">
        <f>(t_Parts[[#This Row],[ha2016.02]]-t_Parts[[#This Row],[hp2016.02]])*t_Parts[[NetPPH]:[NetPPH]]</f>
        <v>110880.00000000001</v>
      </c>
      <c r="FM117" s="58">
        <f>(t_Parts[[#This Row],[ha2016.03]]-t_Parts[[#This Row],[hp2016.03]])*t_Parts[[NetPPH]:[NetPPH]]</f>
        <v>138600.00000000003</v>
      </c>
      <c r="FN117" s="58">
        <f>(t_Parts[[#This Row],[ha2016.04]]-t_Parts[[#This Row],[hp2016.04]])*t_Parts[[NetPPH]:[NetPPH]]</f>
        <v>110880.00000000001</v>
      </c>
      <c r="FO117" s="58">
        <f>(t_Parts[[#This Row],[ha2016.05]]-t_Parts[[#This Row],[hp2016.05]])*t_Parts[[NetPPH]:[NetPPH]]</f>
        <v>110880.00000000001</v>
      </c>
      <c r="FP117" s="58">
        <f>(t_Parts[[#This Row],[ha2016.06]]-t_Parts[[#This Row],[hp2016.06]])*t_Parts[[NetPPH]:[NetPPH]]</f>
        <v>138600.00000000003</v>
      </c>
      <c r="FQ117" s="58">
        <f>(t_Parts[[#This Row],[ha2016.07]]-t_Parts[[#This Row],[hp2016.07]])*t_Parts[[NetPPH]:[NetPPH]]</f>
        <v>110880.00000000001</v>
      </c>
      <c r="FR117" s="58">
        <f>(t_Parts[[#This Row],[ha2016.08]]-t_Parts[[#This Row],[hp2016.08]])*t_Parts[[NetPPH]:[NetPPH]]</f>
        <v>110880.00000000001</v>
      </c>
      <c r="FS117" s="58">
        <f>(t_Parts[[#This Row],[ha2016.09]]-t_Parts[[#This Row],[hp2016.09]])*t_Parts[[NetPPH]:[NetPPH]]</f>
        <v>138600.00000000003</v>
      </c>
      <c r="FT117" s="58">
        <f>(t_Parts[[#This Row],[ha2016.10]]-t_Parts[[#This Row],[hp2016.10]])*t_Parts[[NetPPH]:[NetPPH]]</f>
        <v>110880.00000000001</v>
      </c>
      <c r="FU117" s="58">
        <f>(t_Parts[[#This Row],[ha2016.11]]-t_Parts[[#This Row],[hp2016.11]])*t_Parts[[NetPPH]:[NetPPH]]</f>
        <v>110880.00000000001</v>
      </c>
      <c r="FV117" s="58">
        <f>(t_Parts[[#This Row],[ha2016.12]]-t_Parts[[#This Row],[hp2016.12]])*t_Parts[[NetPPH]:[NetPPH]]</f>
        <v>138600.00000000003</v>
      </c>
      <c r="FW117" s="58">
        <f>(t_Parts[[#This Row],[ha2016.FY]]-t_Parts[[#This Row],[hp2016.FY]])*t_Parts[[NetPPH]:[NetPPH]]</f>
        <v>1441440.0000000002</v>
      </c>
      <c r="FX117" s="58">
        <f>(t_Parts[[#This Row],[ha2017]]-t_Parts[[#This Row],[hp2017]])*t_Parts[[NetPPH]:[NetPPH]]</f>
        <v>1441440.0000000002</v>
      </c>
      <c r="FY117" s="58">
        <f>(t_Parts[[#This Row],[ha2018]]-t_Parts[[#This Row],[hp2018]])*t_Parts[[NetPPH]:[NetPPH]]</f>
        <v>1441440.0000000002</v>
      </c>
      <c r="FZ117" s="58">
        <f>(t_Parts[[#This Row],[ha2019]]-t_Parts[[#This Row],[hp2019]])*t_Parts[[NetPPH]:[NetPPH]]</f>
        <v>1441440.0000000002</v>
      </c>
    </row>
    <row r="118" spans="1:182" s="14" customFormat="1" x14ac:dyDescent="0.25">
      <c r="A118" s="74"/>
      <c r="B118" s="74"/>
      <c r="C118" s="74"/>
      <c r="D118" s="75"/>
      <c r="E118" s="73"/>
      <c r="F118" s="76"/>
      <c r="G118" s="77"/>
      <c r="H118" s="16"/>
      <c r="I118" s="16"/>
      <c r="J118" s="73"/>
      <c r="K118" s="73"/>
      <c r="L118" s="73"/>
      <c r="M118" s="73"/>
      <c r="N118" s="73"/>
      <c r="O118" s="78"/>
      <c r="P118" s="78"/>
      <c r="Q118" s="79"/>
      <c r="R118" s="79"/>
      <c r="S118" s="78"/>
      <c r="T118" s="80"/>
      <c r="U118" s="80"/>
      <c r="V118" s="81"/>
      <c r="W118" s="82"/>
      <c r="X118" s="82"/>
      <c r="Y118" s="82"/>
      <c r="Z118" s="82"/>
      <c r="AA118" s="82"/>
      <c r="AB118" s="82"/>
      <c r="AC118" s="83"/>
      <c r="AD118" s="40"/>
      <c r="AE118" s="40"/>
      <c r="AF118" s="47"/>
      <c r="AG118" s="47"/>
      <c r="AH118" s="84"/>
      <c r="AI118" s="47"/>
      <c r="AJ118" s="70"/>
      <c r="AK118" s="39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39"/>
      <c r="AY118" s="73"/>
      <c r="AZ118" s="73"/>
      <c r="BA118" s="73"/>
      <c r="BB118" s="73"/>
      <c r="BC118" s="73"/>
      <c r="BD118" s="73"/>
      <c r="BE118" s="73"/>
      <c r="BF118" s="73"/>
      <c r="BG118" s="73"/>
      <c r="BH118" s="73"/>
      <c r="BI118" s="73"/>
      <c r="BJ118" s="73"/>
      <c r="BK118" s="39"/>
      <c r="BL118" s="39"/>
      <c r="BM118" s="39"/>
      <c r="BN118" s="39"/>
      <c r="BO118" s="40"/>
      <c r="CA118" s="40"/>
      <c r="CR118" s="39"/>
      <c r="CS118" s="39"/>
      <c r="CT118" s="39"/>
      <c r="CU118" s="39"/>
      <c r="CV118" s="39"/>
      <c r="CW118" s="39"/>
      <c r="CX118" s="39"/>
      <c r="CY118" s="39"/>
      <c r="CZ118" s="39"/>
      <c r="DA118" s="39"/>
      <c r="DB118" s="39"/>
      <c r="DC118" s="39"/>
      <c r="DD118" s="39"/>
      <c r="DE118" s="39"/>
      <c r="DF118" s="39"/>
      <c r="DG118" s="39"/>
      <c r="DH118" s="39"/>
      <c r="DI118" s="39"/>
      <c r="DJ118" s="39"/>
      <c r="DK118" s="39"/>
      <c r="DL118" s="39"/>
      <c r="DM118" s="39"/>
      <c r="DN118" s="39"/>
      <c r="DO118" s="39"/>
      <c r="DP118" s="39"/>
      <c r="DQ118" s="39"/>
      <c r="DR118" s="39"/>
      <c r="DS118" s="39"/>
      <c r="DT118" s="39"/>
      <c r="DU118" s="47"/>
      <c r="DV118" s="47"/>
      <c r="DW118" s="47"/>
      <c r="DX118" s="47"/>
      <c r="DY118" s="47"/>
      <c r="DZ118" s="47"/>
      <c r="EA118" s="47"/>
      <c r="EB118" s="47"/>
      <c r="EC118" s="47"/>
      <c r="ED118" s="47"/>
      <c r="EE118" s="47"/>
      <c r="EF118" s="47"/>
      <c r="EG118" s="47"/>
      <c r="EH118" s="47"/>
      <c r="EI118" s="47"/>
      <c r="EJ118" s="47"/>
      <c r="EK118" s="47"/>
      <c r="EL118" s="47"/>
      <c r="EM118" s="47"/>
      <c r="EN118" s="47"/>
      <c r="EO118" s="47"/>
      <c r="EP118" s="47"/>
      <c r="EQ118" s="47"/>
      <c r="ER118" s="47"/>
      <c r="ES118" s="47"/>
      <c r="ET118" s="47"/>
      <c r="EU118" s="47"/>
      <c r="EV118" s="47"/>
      <c r="EW118" s="47"/>
      <c r="EX118" s="58"/>
      <c r="EY118" s="58"/>
      <c r="EZ118" s="58"/>
      <c r="FA118" s="58"/>
      <c r="FB118" s="58"/>
      <c r="FC118" s="58"/>
      <c r="FD118" s="58"/>
      <c r="FE118" s="58"/>
      <c r="FF118" s="58"/>
      <c r="FG118" s="58"/>
      <c r="FH118" s="58"/>
      <c r="FI118" s="58"/>
      <c r="FJ118" s="58"/>
      <c r="FK118" s="58"/>
      <c r="FL118" s="58"/>
      <c r="FM118" s="58"/>
      <c r="FN118" s="58"/>
      <c r="FO118" s="58"/>
      <c r="FP118" s="58"/>
      <c r="FQ118" s="58"/>
      <c r="FR118" s="58"/>
      <c r="FS118" s="58"/>
      <c r="FT118" s="58"/>
      <c r="FU118" s="58"/>
      <c r="FV118" s="58"/>
      <c r="FW118" s="58"/>
      <c r="FX118" s="58"/>
      <c r="FY118" s="58"/>
      <c r="FZ118" s="58"/>
    </row>
  </sheetData>
  <sheetProtection autoFilter="0"/>
  <dataValidations disablePrompts="1" count="2">
    <dataValidation type="list" showInputMessage="1" showErrorMessage="1" sqref="C6:C117">
      <formula1>list_Presses</formula1>
    </dataValidation>
    <dataValidation type="list" allowBlank="1" showInputMessage="1" showErrorMessage="1" sqref="H6:I117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DropDownPartViews">
              <controlPr defaultSize="0" print="0" autoLine="0" autoPict="0" macro="[0]!DropDownPartViews_Change">
                <anchor moveWithCells="1">
                  <from>
                    <xdr:col>0</xdr:col>
                    <xdr:colOff>28575</xdr:colOff>
                    <xdr:row>0</xdr:row>
                    <xdr:rowOff>0</xdr:rowOff>
                  </from>
                  <to>
                    <xdr:col>1</xdr:col>
                    <xdr:colOff>542925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5" name="Button 17">
              <controlPr defaultSize="0" print="0" autoFill="0" autoPict="0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ToggleMenu">
                <anchor moveWithCells="1">
                  <from>
                    <xdr:col>2</xdr:col>
                    <xdr:colOff>266700</xdr:colOff>
                    <xdr:row>2</xdr:row>
                    <xdr:rowOff>19050</xdr:rowOff>
                  </from>
                  <to>
                    <xdr:col>2</xdr:col>
                    <xdr:colOff>590550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8" name="Button 20">
              <controlPr defaultSize="0" print="0" autoFill="0" autoPict="0" macro="[0]!ToggleDieInfo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571500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9" name="Button 21">
              <controlPr defaultSize="0" print="0" autoFill="0" autoPict="0" macro="[0]!ToggleMfgInfo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571500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10" name="Button 48">
              <controlPr defaultSize="0" print="0" autoFill="0" autoPict="0" macro="[0]!ToggleCustInfo">
                <anchor moveWithCells="1" sizeWithCells="1"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1</xdr:col>
                    <xdr:colOff>581025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L53"/>
  <sheetViews>
    <sheetView topLeftCell="A2" workbookViewId="0">
      <pane xSplit="3" ySplit="3" topLeftCell="D5" activePane="bottomRight" state="frozen"/>
      <selection activeCell="A2" sqref="A2"/>
      <selection pane="topRight" activeCell="D2" sqref="D2"/>
      <selection pane="bottomLeft" activeCell="A5" sqref="A5"/>
      <selection pane="bottomRight" activeCell="B17" sqref="B17"/>
    </sheetView>
  </sheetViews>
  <sheetFormatPr defaultRowHeight="15" x14ac:dyDescent="0.25"/>
  <cols>
    <col min="1" max="1" width="8.5703125" customWidth="1"/>
    <col min="2" max="2" width="16.85546875" bestFit="1" customWidth="1"/>
    <col min="3" max="3" width="13.7109375" bestFit="1" customWidth="1"/>
    <col min="4" max="32" width="11.85546875" hidden="1" customWidth="1"/>
    <col min="33" max="61" width="12" hidden="1" customWidth="1"/>
    <col min="62" max="74" width="11.7109375" customWidth="1"/>
    <col min="75" max="87" width="11.7109375" hidden="1" customWidth="1"/>
    <col min="88" max="89" width="9.140625" hidden="1" customWidth="1"/>
    <col min="90" max="90" width="10.42578125" hidden="1" customWidth="1"/>
  </cols>
  <sheetData>
    <row r="1" spans="1:90" hidden="1" x14ac:dyDescent="0.25"/>
    <row r="2" spans="1:90" ht="41.25" customHeight="1" x14ac:dyDescent="0.25">
      <c r="A2" s="72" t="s">
        <v>448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</row>
    <row r="3" spans="1:90" ht="18" customHeight="1" x14ac:dyDescent="0.25">
      <c r="A3" s="12" t="s">
        <v>169</v>
      </c>
      <c r="B3" s="12"/>
      <c r="C3" s="12"/>
      <c r="D3" s="10" t="s">
        <v>170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44" t="s">
        <v>52</v>
      </c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 t="s">
        <v>52</v>
      </c>
      <c r="AG3" s="1" t="s">
        <v>171</v>
      </c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45" t="s">
        <v>97</v>
      </c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 t="s">
        <v>97</v>
      </c>
      <c r="BJ3" s="2" t="s">
        <v>172</v>
      </c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46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46" t="s">
        <v>173</v>
      </c>
    </row>
    <row r="4" spans="1:90" x14ac:dyDescent="0.25">
      <c r="A4" s="50" t="s">
        <v>167</v>
      </c>
      <c r="B4" s="50" t="s">
        <v>168</v>
      </c>
      <c r="C4" s="50" t="s">
        <v>447</v>
      </c>
      <c r="D4" s="10" t="s">
        <v>14</v>
      </c>
      <c r="E4" s="10" t="s">
        <v>13</v>
      </c>
      <c r="F4" s="10" t="s">
        <v>15</v>
      </c>
      <c r="G4" s="10" t="s">
        <v>41</v>
      </c>
      <c r="H4" s="10" t="s">
        <v>42</v>
      </c>
      <c r="I4" s="10" t="s">
        <v>43</v>
      </c>
      <c r="J4" s="10" t="s">
        <v>44</v>
      </c>
      <c r="K4" s="10" t="s">
        <v>45</v>
      </c>
      <c r="L4" s="10" t="s">
        <v>46</v>
      </c>
      <c r="M4" s="10" t="s">
        <v>47</v>
      </c>
      <c r="N4" s="10" t="s">
        <v>48</v>
      </c>
      <c r="O4" s="10" t="s">
        <v>49</v>
      </c>
      <c r="P4" s="10" t="s">
        <v>50</v>
      </c>
      <c r="Q4" s="10" t="s">
        <v>356</v>
      </c>
      <c r="R4" s="10" t="s">
        <v>357</v>
      </c>
      <c r="S4" s="10" t="s">
        <v>358</v>
      </c>
      <c r="T4" s="10" t="s">
        <v>359</v>
      </c>
      <c r="U4" s="10" t="s">
        <v>360</v>
      </c>
      <c r="V4" s="10" t="s">
        <v>361</v>
      </c>
      <c r="W4" s="10" t="s">
        <v>362</v>
      </c>
      <c r="X4" s="10" t="s">
        <v>363</v>
      </c>
      <c r="Y4" s="10" t="s">
        <v>364</v>
      </c>
      <c r="Z4" s="10" t="s">
        <v>365</v>
      </c>
      <c r="AA4" s="10" t="s">
        <v>366</v>
      </c>
      <c r="AB4" s="10" t="s">
        <v>367</v>
      </c>
      <c r="AC4" s="10" t="s">
        <v>368</v>
      </c>
      <c r="AD4" s="10" t="s">
        <v>369</v>
      </c>
      <c r="AE4" s="10" t="s">
        <v>370</v>
      </c>
      <c r="AF4" s="10" t="s">
        <v>387</v>
      </c>
      <c r="AG4" s="1" t="s">
        <v>67</v>
      </c>
      <c r="AH4" s="1" t="s">
        <v>68</v>
      </c>
      <c r="AI4" s="1" t="s">
        <v>69</v>
      </c>
      <c r="AJ4" s="1" t="s">
        <v>70</v>
      </c>
      <c r="AK4" s="1" t="s">
        <v>71</v>
      </c>
      <c r="AL4" s="1" t="s">
        <v>72</v>
      </c>
      <c r="AM4" s="1" t="s">
        <v>73</v>
      </c>
      <c r="AN4" s="1" t="s">
        <v>74</v>
      </c>
      <c r="AO4" s="1" t="s">
        <v>75</v>
      </c>
      <c r="AP4" s="1" t="s">
        <v>76</v>
      </c>
      <c r="AQ4" s="1" t="s">
        <v>77</v>
      </c>
      <c r="AR4" s="1" t="s">
        <v>78</v>
      </c>
      <c r="AS4" s="1" t="s">
        <v>79</v>
      </c>
      <c r="AT4" s="1" t="s">
        <v>371</v>
      </c>
      <c r="AU4" s="1" t="s">
        <v>372</v>
      </c>
      <c r="AV4" s="1" t="s">
        <v>373</v>
      </c>
      <c r="AW4" s="1" t="s">
        <v>374</v>
      </c>
      <c r="AX4" s="1" t="s">
        <v>375</v>
      </c>
      <c r="AY4" s="1" t="s">
        <v>376</v>
      </c>
      <c r="AZ4" s="1" t="s">
        <v>377</v>
      </c>
      <c r="BA4" s="1" t="s">
        <v>378</v>
      </c>
      <c r="BB4" s="1" t="s">
        <v>379</v>
      </c>
      <c r="BC4" s="1" t="s">
        <v>380</v>
      </c>
      <c r="BD4" s="1" t="s">
        <v>381</v>
      </c>
      <c r="BE4" s="1" t="s">
        <v>382</v>
      </c>
      <c r="BF4" s="1" t="s">
        <v>383</v>
      </c>
      <c r="BG4" s="1" t="s">
        <v>384</v>
      </c>
      <c r="BH4" s="1" t="s">
        <v>385</v>
      </c>
      <c r="BI4" s="1" t="s">
        <v>386</v>
      </c>
      <c r="BJ4" s="2" t="s">
        <v>16</v>
      </c>
      <c r="BK4" s="2" t="s">
        <v>17</v>
      </c>
      <c r="BL4" s="2" t="s">
        <v>18</v>
      </c>
      <c r="BM4" s="2" t="s">
        <v>84</v>
      </c>
      <c r="BN4" s="2" t="s">
        <v>85</v>
      </c>
      <c r="BO4" s="2" t="s">
        <v>86</v>
      </c>
      <c r="BP4" s="2" t="s">
        <v>87</v>
      </c>
      <c r="BQ4" s="2" t="s">
        <v>88</v>
      </c>
      <c r="BR4" s="2" t="s">
        <v>89</v>
      </c>
      <c r="BS4" s="2" t="s">
        <v>96</v>
      </c>
      <c r="BT4" s="2" t="s">
        <v>91</v>
      </c>
      <c r="BU4" s="2" t="s">
        <v>92</v>
      </c>
      <c r="BV4" s="2" t="s">
        <v>80</v>
      </c>
      <c r="BW4" s="2" t="s">
        <v>321</v>
      </c>
      <c r="BX4" s="2" t="s">
        <v>322</v>
      </c>
      <c r="BY4" s="2" t="s">
        <v>323</v>
      </c>
      <c r="BZ4" s="2" t="s">
        <v>324</v>
      </c>
      <c r="CA4" s="2" t="s">
        <v>325</v>
      </c>
      <c r="CB4" s="2" t="s">
        <v>326</v>
      </c>
      <c r="CC4" s="2" t="s">
        <v>327</v>
      </c>
      <c r="CD4" s="2" t="s">
        <v>328</v>
      </c>
      <c r="CE4" s="2" t="s">
        <v>329</v>
      </c>
      <c r="CF4" s="2" t="s">
        <v>330</v>
      </c>
      <c r="CG4" s="2" t="s">
        <v>331</v>
      </c>
      <c r="CH4" s="2" t="s">
        <v>332</v>
      </c>
      <c r="CI4" s="2" t="s">
        <v>333</v>
      </c>
      <c r="CJ4" s="2" t="s">
        <v>81</v>
      </c>
      <c r="CK4" s="2" t="s">
        <v>82</v>
      </c>
      <c r="CL4" s="2" t="s">
        <v>83</v>
      </c>
    </row>
    <row r="5" spans="1:90" x14ac:dyDescent="0.25">
      <c r="A5" s="37">
        <v>1</v>
      </c>
      <c r="B5" s="37" t="str">
        <f>CONCATENATE(FLOOR(v_TRBS*(A5-1),v_TRBS),"-",FLOOR(v_TRBS*(A5-1),v_TRBS)+v_TRBS-1)</f>
        <v>0-299</v>
      </c>
      <c r="C5" s="37">
        <f>COUNTIF(r_Press_Tonnage,Table4[[Tonnage Range]:[Tonnage Range]])</f>
        <v>17</v>
      </c>
      <c r="D5" s="43">
        <f>SUMIF(r_Press_Tonnage,Table4[[Tonnage Range]:[Tonnage Range]],t_Presses[ha2015.01])</f>
        <v>4052</v>
      </c>
      <c r="E5" s="43">
        <f>SUMIF(r_Press_Tonnage,Table4[[Tonnage Range]:[Tonnage Range]],t_Presses[ha2015.02])</f>
        <v>4072</v>
      </c>
      <c r="F5" s="43">
        <f>SUMIF(r_Press_Tonnage,Table4[[Tonnage Range]:[Tonnage Range]],t_Presses[ha2015.03])</f>
        <v>5228</v>
      </c>
      <c r="G5" s="43">
        <f>SUMIF(r_Press_Tonnage,Table4[[Tonnage Range]:[Tonnage Range]],t_Presses[ha2015.04])</f>
        <v>4052</v>
      </c>
      <c r="H5" s="43">
        <f>SUMIF(r_Press_Tonnage,Table4[[Tonnage Range]:[Tonnage Range]],t_Presses[ha2015.05])</f>
        <v>4072</v>
      </c>
      <c r="I5" s="43">
        <f>SUMIF(r_Press_Tonnage,Table4[[Tonnage Range]:[Tonnage Range]],t_Presses[ha2015.06])</f>
        <v>5228</v>
      </c>
      <c r="J5" s="43">
        <f>SUMIF(r_Press_Tonnage,Table4[[Tonnage Range]:[Tonnage Range]],t_Presses[ha2015.07])</f>
        <v>4052</v>
      </c>
      <c r="K5" s="43">
        <f>SUMIF(r_Press_Tonnage,Table4[[Tonnage Range]:[Tonnage Range]],t_Presses[ha2015.08])</f>
        <v>4072</v>
      </c>
      <c r="L5" s="43">
        <f>SUMIF(r_Press_Tonnage,Table4[[Tonnage Range]:[Tonnage Range]],t_Presses[ha2015.09])</f>
        <v>5228</v>
      </c>
      <c r="M5" s="43">
        <f>SUMIF(r_Press_Tonnage,Table4[[Tonnage Range]:[Tonnage Range]],t_Presses[ha2015.10])</f>
        <v>4052</v>
      </c>
      <c r="N5" s="43">
        <f>SUMIF(r_Press_Tonnage,Table4[[Tonnage Range]:[Tonnage Range]],t_Presses[ha2015.11])</f>
        <v>4072</v>
      </c>
      <c r="O5" s="43">
        <f>SUMIF(r_Press_Tonnage,Table4[[Tonnage Range]:[Tonnage Range]],t_Presses[ha2015.12])</f>
        <v>5228</v>
      </c>
      <c r="P5" s="43">
        <f>SUMIF(r_Press_Tonnage,Table4[[Tonnage Range]:[Tonnage Range]],t_Presses[ha2015.FY])</f>
        <v>53408</v>
      </c>
      <c r="Q5" s="43">
        <f>SUMIF(r_Press_Tonnage,Table4[[Tonnage Range]:[Tonnage Range]],t_Presses[ha2016.01])</f>
        <v>3552</v>
      </c>
      <c r="R5" s="43">
        <f>SUMIF(r_Press_Tonnage,Table4[[Tonnage Range]:[Tonnage Range]],t_Presses[ha2016.02])</f>
        <v>3552</v>
      </c>
      <c r="S5" s="43">
        <f>SUMIF(r_Press_Tonnage,Table4[[Tonnage Range]:[Tonnage Range]],t_Presses[ha2016.03])</f>
        <v>4548</v>
      </c>
      <c r="T5" s="43">
        <f>SUMIF(r_Press_Tonnage,Table4[[Tonnage Range]:[Tonnage Range]],t_Presses[ha2016.04])</f>
        <v>3552</v>
      </c>
      <c r="U5" s="43">
        <f>SUMIF(r_Press_Tonnage,Table4[[Tonnage Range]:[Tonnage Range]],t_Presses[ha2016.05])</f>
        <v>3552</v>
      </c>
      <c r="V5" s="43">
        <f>SUMIF(r_Press_Tonnage,Table4[[Tonnage Range]:[Tonnage Range]],t_Presses[ha2016.06])</f>
        <v>4548</v>
      </c>
      <c r="W5" s="43">
        <f>SUMIF(r_Press_Tonnage,Table4[[Tonnage Range]:[Tonnage Range]],t_Presses[ha2016.07])</f>
        <v>3552</v>
      </c>
      <c r="X5" s="43">
        <f>SUMIF(r_Press_Tonnage,Table4[[Tonnage Range]:[Tonnage Range]],t_Presses[ha2016.08])</f>
        <v>3552</v>
      </c>
      <c r="Y5" s="43">
        <f>SUMIF(r_Press_Tonnage,Table4[[Tonnage Range]:[Tonnage Range]],t_Presses[ha2016.09])</f>
        <v>4548</v>
      </c>
      <c r="Z5" s="43">
        <f>SUMIF(r_Press_Tonnage,Table4[[Tonnage Range]:[Tonnage Range]],t_Presses[ha2016.10])</f>
        <v>3552</v>
      </c>
      <c r="AA5" s="43">
        <f>SUMIF(r_Press_Tonnage,Table4[[Tonnage Range]:[Tonnage Range]],t_Presses[ha2016.11])</f>
        <v>3552</v>
      </c>
      <c r="AB5" s="43">
        <f>SUMIF(r_Press_Tonnage,Table4[[Tonnage Range]:[Tonnage Range]],t_Presses[ha2016.12])</f>
        <v>4548</v>
      </c>
      <c r="AC5" s="43">
        <f>SUMIF(r_Press_Tonnage,Table4[[Tonnage Range]:[Tonnage Range]],t_Presses[ha2016.FY])</f>
        <v>46608</v>
      </c>
      <c r="AD5" s="43">
        <f>SUMIF(r_Press_Tonnage,Table4[[Tonnage Range]:[Tonnage Range]],t_Presses[ha2017])</f>
        <v>46608</v>
      </c>
      <c r="AE5" s="43">
        <f>SUMIF(r_Press_Tonnage,Table4[[Tonnage Range]:[Tonnage Range]],t_Presses[ha2018])</f>
        <v>46608</v>
      </c>
      <c r="AF5" s="43">
        <f>SUMIF(r_Press_Tonnage,Table4[[Tonnage Range]:[Tonnage Range]],t_Presses[ha2019])</f>
        <v>46608</v>
      </c>
      <c r="AG5" s="43">
        <f>SUMIF(r_Press_Tonnage,Table4[[Tonnage Range]:[Tonnage Range]],t_Presses[hp2015.01])</f>
        <v>1054.5633113905058</v>
      </c>
      <c r="AH5" s="43">
        <f>SUMIF(r_Press_Tonnage,Table4[[Tonnage Range]:[Tonnage Range]],t_Presses[hp2015.02])</f>
        <v>1054.5633113905058</v>
      </c>
      <c r="AI5" s="43">
        <f>SUMIF(r_Press_Tonnage,Table4[[Tonnage Range]:[Tonnage Range]],t_Presses[hp2015.03])</f>
        <v>1253.829139238132</v>
      </c>
      <c r="AJ5" s="43">
        <f>SUMIF(r_Press_Tonnage,Table4[[Tonnage Range]:[Tonnage Range]],t_Presses[hp2015.04])</f>
        <v>1054.5633113905058</v>
      </c>
      <c r="AK5" s="43">
        <f>SUMIF(r_Press_Tonnage,Table4[[Tonnage Range]:[Tonnage Range]],t_Presses[hp2015.05])</f>
        <v>1054.5633113905058</v>
      </c>
      <c r="AL5" s="43">
        <f>SUMIF(r_Press_Tonnage,Table4[[Tonnage Range]:[Tonnage Range]],t_Presses[hp2015.06])</f>
        <v>1253.829139238132</v>
      </c>
      <c r="AM5" s="43">
        <f>SUMIF(r_Press_Tonnage,Table4[[Tonnage Range]:[Tonnage Range]],t_Presses[hp2015.07])</f>
        <v>1051.5633113905058</v>
      </c>
      <c r="AN5" s="43">
        <f>SUMIF(r_Press_Tonnage,Table4[[Tonnage Range]:[Tonnage Range]],t_Presses[hp2015.08])</f>
        <v>1051.5633113905058</v>
      </c>
      <c r="AO5" s="43">
        <f>SUMIF(r_Press_Tonnage,Table4[[Tonnage Range]:[Tonnage Range]],t_Presses[hp2015.09])</f>
        <v>1250.829139238132</v>
      </c>
      <c r="AP5" s="43">
        <f>SUMIF(r_Press_Tonnage,Table4[[Tonnage Range]:[Tonnage Range]],t_Presses[hp2015.10])</f>
        <v>1038.483299735494</v>
      </c>
      <c r="AQ5" s="43">
        <f>SUMIF(r_Press_Tonnage,Table4[[Tonnage Range]:[Tonnage Range]],t_Presses[hp2015.11])</f>
        <v>929.78152234621666</v>
      </c>
      <c r="AR5" s="43">
        <f>SUMIF(r_Press_Tonnage,Table4[[Tonnage Range]:[Tonnage Range]],t_Presses[hp2015.12])</f>
        <v>1100.6019029327708</v>
      </c>
      <c r="AS5" s="43">
        <f>SUM(Table4[[#This Row],[hp2015.01]:[hp2015.12]])</f>
        <v>13148.734011071912</v>
      </c>
      <c r="AT5" s="43">
        <f>SUMIF(r_Press_Tonnage,Table4[[Tonnage Range]:[Tonnage Range]],t_Presses[hp2016.01])</f>
        <v>838.18794388763831</v>
      </c>
      <c r="AU5" s="43">
        <f>SUMIF(r_Press_Tonnage,Table4[[Tonnage Range]:[Tonnage Range]],t_Presses[hp2016.02])</f>
        <v>838.18794388763831</v>
      </c>
      <c r="AV5" s="43">
        <f>SUMIF(r_Press_Tonnage,Table4[[Tonnage Range]:[Tonnage Range]],t_Presses[hp2016.03])</f>
        <v>938.07438207399991</v>
      </c>
      <c r="AW5" s="43">
        <f>SUMIF(r_Press_Tonnage,Table4[[Tonnage Range]:[Tonnage Range]],t_Presses[hp2016.04])</f>
        <v>791.55950565920011</v>
      </c>
      <c r="AX5" s="43">
        <f>SUMIF(r_Press_Tonnage,Table4[[Tonnage Range]:[Tonnage Range]],t_Presses[hp2016.05])</f>
        <v>791.55950565920011</v>
      </c>
      <c r="AY5" s="43">
        <f>SUMIF(r_Press_Tonnage,Table4[[Tonnage Range]:[Tonnage Range]],t_Presses[hp2016.06])</f>
        <v>938.07438207399991</v>
      </c>
      <c r="AZ5" s="43">
        <f>SUMIF(r_Press_Tonnage,Table4[[Tonnage Range]:[Tonnage Range]],t_Presses[hp2016.07])</f>
        <v>781.59112311581748</v>
      </c>
      <c r="BA5" s="43">
        <f>SUMIF(r_Press_Tonnage,Table4[[Tonnage Range]:[Tonnage Range]],t_Presses[hp2016.08])</f>
        <v>759.25538108007549</v>
      </c>
      <c r="BB5" s="43">
        <f>SUMIF(r_Press_Tonnage,Table4[[Tonnage Range]:[Tonnage Range]],t_Presses[hp2016.09])</f>
        <v>900.69422635009414</v>
      </c>
      <c r="BC5" s="43">
        <f>SUMIF(r_Press_Tonnage,Table4[[Tonnage Range]:[Tonnage Range]],t_Presses[hp2016.10])</f>
        <v>759.25538108007549</v>
      </c>
      <c r="BD5" s="43">
        <f>SUMIF(r_Press_Tonnage,Table4[[Tonnage Range]:[Tonnage Range]],t_Presses[hp2016.11])</f>
        <v>759.25538108007549</v>
      </c>
      <c r="BE5" s="43">
        <f>SUMIF(r_Press_Tonnage,Table4[[Tonnage Range]:[Tonnage Range]],t_Presses[hp2016.12])</f>
        <v>900.69422635009414</v>
      </c>
      <c r="BF5" s="43">
        <f>SUMIF(r_Press_Tonnage,Table4[[Tonnage Range]:[Tonnage Range]],t_Presses[hp2016.FY])</f>
        <v>9996.3893822979098</v>
      </c>
      <c r="BG5" s="43">
        <f>SUMIF(r_Press_Tonnage,Table4[[Tonnage Range]:[Tonnage Range]],t_Presses[hp2017])</f>
        <v>8289.3511672721943</v>
      </c>
      <c r="BH5" s="43">
        <f>SUMIF(r_Press_Tonnage,Table4[[Tonnage Range]:[Tonnage Range]],t_Presses[hp2018])</f>
        <v>5403.0089378349649</v>
      </c>
      <c r="BI5" s="43">
        <f>SUMIF(r_Press_Tonnage,Table4[[Tonnage Range]:[Tonnage Range]],t_Presses[hp2019])</f>
        <v>4448.0797711682981</v>
      </c>
      <c r="BJ5" s="15">
        <f>IF(Table4[[#This Row],[ha2015.01]]&gt;0,Table4[[#This Row],[hp2015.01]]/Table4[[#This Row],[ha2015.01]],0)</f>
        <v>0.26025748059982867</v>
      </c>
      <c r="BK5" s="17">
        <f>IF(Table4[[#This Row],[ha2015.02]]&gt;0,Table4[[#This Row],[hp2015.02]]/Table4[[#This Row],[ha2015.02]],0)</f>
        <v>0.25897920220788451</v>
      </c>
      <c r="BL5" s="17">
        <f>IF(Table4[[#This Row],[ha2015.03]]&gt;0,Table4[[#This Row],[hp2015.03]]/Table4[[#This Row],[ha2015.03]],0)</f>
        <v>0.23982959817102756</v>
      </c>
      <c r="BM5" s="17">
        <f>IF(Table4[[#This Row],[ha2015.04]]&gt;0,Table4[[#This Row],[hp2015.04]]/Table4[[#This Row],[ha2015.04]],0)</f>
        <v>0.26025748059982867</v>
      </c>
      <c r="BN5" s="17">
        <f>IF(Table4[[#This Row],[ha2015.05]]&gt;0,Table4[[#This Row],[hp2015.05]]/Table4[[#This Row],[ha2015.05]],0)</f>
        <v>0.25897920220788451</v>
      </c>
      <c r="BO5" s="17">
        <f>IF(Table4[[#This Row],[ha2015.06]]&gt;0,Table4[[#This Row],[hp2015.06]]/Table4[[#This Row],[ha2015.06]],0)</f>
        <v>0.23982959817102756</v>
      </c>
      <c r="BP5" s="17">
        <f>IF(Table4[[#This Row],[ha2015.07]]&gt;0,Table4[[#This Row],[hp2015.07]]/Table4[[#This Row],[ha2015.07]],0)</f>
        <v>0.25951710547643281</v>
      </c>
      <c r="BQ5" s="17">
        <f>IF(Table4[[#This Row],[ha2015.08]]&gt;0,Table4[[#This Row],[hp2015.08]]/Table4[[#This Row],[ha2015.08]],0)</f>
        <v>0.25824246350454466</v>
      </c>
      <c r="BR5" s="17">
        <f>IF(Table4[[#This Row],[ha2015.09]]&gt;0,Table4[[#This Row],[hp2015.09]]/Table4[[#This Row],[ha2015.09]],0)</f>
        <v>0.2392557649652127</v>
      </c>
      <c r="BS5" s="17">
        <f>IF(Table4[[#This Row],[ha2015.10]]&gt;0,Table4[[#This Row],[hp2015.10]]/Table4[[#This Row],[ha2015.10]],0)</f>
        <v>0.25628906706206667</v>
      </c>
      <c r="BT5" s="17">
        <f>IF(Table4[[#This Row],[ha2015.11]]&gt;0,Table4[[#This Row],[hp2015.11]]/Table4[[#This Row],[ha2015.11]],0)</f>
        <v>0.22833534438757777</v>
      </c>
      <c r="BU5" s="17">
        <f>IF(Table4[[#This Row],[ha2015.12]]&gt;0,Table4[[#This Row],[hp2015.12]]/Table4[[#This Row],[ha2015.12]],0)</f>
        <v>0.21052063942860957</v>
      </c>
      <c r="BV5" s="17">
        <f>IF(Table4[[#This Row],[ha2015.FY]]&gt;0,Table4[[#This Row],[hp2015.FY]]/Table4[[#This Row],[ha2015.FY]],0)</f>
        <v>0.24619409098022604</v>
      </c>
      <c r="BW5" s="17">
        <f>IF(Table4[[#This Row],[ha2016.01]]&gt;0,Table4[[#This Row],[hp2016.01]]/Table4[[#This Row],[ha2016.01]],0)</f>
        <v>0.23597633555395223</v>
      </c>
      <c r="BX5" s="17">
        <f>IF(Table4[[#This Row],[ha2016.02]]&gt;0,Table4[[#This Row],[hp2016.02]]/Table4[[#This Row],[ha2016.02]],0)</f>
        <v>0.23597633555395223</v>
      </c>
      <c r="BY5" s="17">
        <f>IF(Table4[[#This Row],[ha2016.03]]&gt;0,Table4[[#This Row],[hp2016.03]]/Table4[[#This Row],[ha2016.03]],0)</f>
        <v>0.20626085797581353</v>
      </c>
      <c r="BZ5" s="17">
        <f>IF(Table4[[#This Row],[ha2016.04]]&gt;0,Table4[[#This Row],[hp2016.04]]/Table4[[#This Row],[ha2016.04]],0)</f>
        <v>0.22284895992657661</v>
      </c>
      <c r="CA5" s="17">
        <f>IF(Table4[[#This Row],[ha2016.05]]&gt;0,Table4[[#This Row],[hp2016.05]]/Table4[[#This Row],[ha2016.05]],0)</f>
        <v>0.22284895992657661</v>
      </c>
      <c r="CB5" s="17">
        <f>IF(Table4[[#This Row],[ha2016.06]]&gt;0,Table4[[#This Row],[hp2016.06]]/Table4[[#This Row],[ha2016.06]],0)</f>
        <v>0.20626085797581353</v>
      </c>
      <c r="CC5" s="17">
        <f>IF(Table4[[#This Row],[ha2016.07]]&gt;0,Table4[[#This Row],[hp2016.07]]/Table4[[#This Row],[ha2016.07]],0)</f>
        <v>0.22004254592224592</v>
      </c>
      <c r="CD5" s="17">
        <f>IF(Table4[[#This Row],[ha2016.08]]&gt;0,Table4[[#This Row],[hp2016.08]]/Table4[[#This Row],[ha2016.08]],0)</f>
        <v>0.21375433025903026</v>
      </c>
      <c r="CE5" s="17">
        <f>IF(Table4[[#This Row],[ha2016.09]]&gt;0,Table4[[#This Row],[hp2016.09]]/Table4[[#This Row],[ha2016.09]],0)</f>
        <v>0.19804182637425113</v>
      </c>
      <c r="CF5" s="17">
        <f>IF(Table4[[#This Row],[ha2016.10]]&gt;0,Table4[[#This Row],[hp2016.10]]/Table4[[#This Row],[ha2016.10]],0)</f>
        <v>0.21375433025903026</v>
      </c>
      <c r="CG5" s="17">
        <f>IF(Table4[[#This Row],[ha2016.11]]&gt;0,Table4[[#This Row],[hp2016.11]]/Table4[[#This Row],[ha2016.11]],0)</f>
        <v>0.21375433025903026</v>
      </c>
      <c r="CH5" s="17">
        <f>IF(Table4[[#This Row],[ha2016.12]]&gt;0,Table4[[#This Row],[hp2016.12]]/Table4[[#This Row],[ha2016.12]],0)</f>
        <v>0.19804182637425113</v>
      </c>
      <c r="CI5" s="17">
        <f>IF(Table4[[#This Row],[ha2016.FY]]&gt;0,Table4[[#This Row],[hp2016.FY]]/Table4[[#This Row],[ha2016.FY]],0)</f>
        <v>0.21447797335860602</v>
      </c>
      <c r="CJ5" s="17">
        <f>IF(Table4[[#This Row],[ha2017]]&gt;0,Table4[[#This Row],[hp2017]]/Table4[[#This Row],[ha2017]],0)</f>
        <v>0.17785253963423006</v>
      </c>
      <c r="CK5" s="17">
        <f>IF(Table4[[#This Row],[ha2018]]&gt;0,Table4[[#This Row],[hp2018]]/Table4[[#This Row],[ha2018]],0)</f>
        <v>0.11592449660648312</v>
      </c>
      <c r="CL5" s="17">
        <f>IF(Table4[[#This Row],[ha2019]]&gt;0,Table4[[#This Row],[hp2019]]/Table4[[#This Row],[ha2019]],0)</f>
        <v>9.5435971746659326E-2</v>
      </c>
    </row>
    <row r="6" spans="1:90" x14ac:dyDescent="0.25">
      <c r="A6" s="37">
        <v>2</v>
      </c>
      <c r="B6" s="37" t="str">
        <f>CONCATENATE(FLOOR(v_TRBS*(A6-1),v_TRBS),"-",FLOOR(v_TRBS*(A6-1),v_TRBS)+v_TRBS-1)</f>
        <v>300-599</v>
      </c>
      <c r="C6" s="37">
        <f>COUNTIF(r_Press_Tonnage,Table4[[Tonnage Range]:[Tonnage Range]])</f>
        <v>11</v>
      </c>
      <c r="D6">
        <f>SUMIF(r_Press_Tonnage,Table4[[Tonnage Range]:[Tonnage Range]],t_Presses[ha2015.01])</f>
        <v>2654</v>
      </c>
      <c r="E6">
        <f>SUMIF(r_Press_Tonnage,Table4[[Tonnage Range]:[Tonnage Range]],t_Presses[ha2015.02])</f>
        <v>2724</v>
      </c>
      <c r="F6">
        <f>SUMIF(r_Press_Tonnage,Table4[[Tonnage Range]:[Tonnage Range]],t_Presses[ha2015.03])</f>
        <v>3546</v>
      </c>
      <c r="G6">
        <f>SUMIF(r_Press_Tonnage,Table4[[Tonnage Range]:[Tonnage Range]],t_Presses[ha2015.04])</f>
        <v>2654</v>
      </c>
      <c r="H6">
        <f>SUMIF(r_Press_Tonnage,Table4[[Tonnage Range]:[Tonnage Range]],t_Presses[ha2015.05])</f>
        <v>2724</v>
      </c>
      <c r="I6">
        <f>SUMIF(r_Press_Tonnage,Table4[[Tonnage Range]:[Tonnage Range]],t_Presses[ha2015.06])</f>
        <v>3546</v>
      </c>
      <c r="J6">
        <f>SUMIF(r_Press_Tonnage,Table4[[Tonnage Range]:[Tonnage Range]],t_Presses[ha2015.07])</f>
        <v>2654</v>
      </c>
      <c r="K6">
        <f>SUMIF(r_Press_Tonnage,Table4[[Tonnage Range]:[Tonnage Range]],t_Presses[ha2015.08])</f>
        <v>2724</v>
      </c>
      <c r="L6">
        <f>SUMIF(r_Press_Tonnage,Table4[[Tonnage Range]:[Tonnage Range]],t_Presses[ha2015.09])</f>
        <v>3546</v>
      </c>
      <c r="M6">
        <f>SUMIF(r_Press_Tonnage,Table4[[Tonnage Range]:[Tonnage Range]],t_Presses[ha2015.10])</f>
        <v>2654</v>
      </c>
      <c r="N6">
        <f>SUMIF(r_Press_Tonnage,Table4[[Tonnage Range]:[Tonnage Range]],t_Presses[ha2015.11])</f>
        <v>2724</v>
      </c>
      <c r="O6">
        <f>SUMIF(r_Press_Tonnage,Table4[[Tonnage Range]:[Tonnage Range]],t_Presses[ha2015.12])</f>
        <v>3546</v>
      </c>
      <c r="P6">
        <f>SUMIF(r_Press_Tonnage,Table4[[Tonnage Range]:[Tonnage Range]],t_Presses[ha2015.FY])</f>
        <v>35696</v>
      </c>
      <c r="Q6" s="20">
        <f>SUMIF(r_Press_Tonnage,Table4[[Tonnage Range]:[Tonnage Range]],t_Presses[ha2016.01])</f>
        <v>904</v>
      </c>
      <c r="R6" s="43">
        <f>SUMIF(r_Press_Tonnage,Table4[[Tonnage Range]:[Tonnage Range]],t_Presses[ha2016.02])</f>
        <v>904</v>
      </c>
      <c r="S6" s="43">
        <f>SUMIF(r_Press_Tonnage,Table4[[Tonnage Range]:[Tonnage Range]],t_Presses[ha2016.03])</f>
        <v>1166</v>
      </c>
      <c r="T6" s="43">
        <f>SUMIF(r_Press_Tonnage,Table4[[Tonnage Range]:[Tonnage Range]],t_Presses[ha2016.04])</f>
        <v>904</v>
      </c>
      <c r="U6" s="43">
        <f>SUMIF(r_Press_Tonnage,Table4[[Tonnage Range]:[Tonnage Range]],t_Presses[ha2016.05])</f>
        <v>904</v>
      </c>
      <c r="V6" s="43">
        <f>SUMIF(r_Press_Tonnage,Table4[[Tonnage Range]:[Tonnage Range]],t_Presses[ha2016.06])</f>
        <v>1166</v>
      </c>
      <c r="W6" s="43">
        <f>SUMIF(r_Press_Tonnage,Table4[[Tonnage Range]:[Tonnage Range]],t_Presses[ha2016.07])</f>
        <v>904</v>
      </c>
      <c r="X6" s="43">
        <f>SUMIF(r_Press_Tonnage,Table4[[Tonnage Range]:[Tonnage Range]],t_Presses[ha2016.08])</f>
        <v>904</v>
      </c>
      <c r="Y6" s="43">
        <f>SUMIF(r_Press_Tonnage,Table4[[Tonnage Range]:[Tonnage Range]],t_Presses[ha2016.09])</f>
        <v>1166</v>
      </c>
      <c r="Z6" s="43">
        <f>SUMIF(r_Press_Tonnage,Table4[[Tonnage Range]:[Tonnage Range]],t_Presses[ha2016.10])</f>
        <v>904</v>
      </c>
      <c r="AA6" s="43">
        <f>SUMIF(r_Press_Tonnage,Table4[[Tonnage Range]:[Tonnage Range]],t_Presses[ha2016.11])</f>
        <v>904</v>
      </c>
      <c r="AB6" s="43">
        <f>SUMIF(r_Press_Tonnage,Table4[[Tonnage Range]:[Tonnage Range]],t_Presses[ha2016.12])</f>
        <v>1166</v>
      </c>
      <c r="AC6" s="43">
        <f>SUMIF(r_Press_Tonnage,Table4[[Tonnage Range]:[Tonnage Range]],t_Presses[ha2016.FY])</f>
        <v>11896</v>
      </c>
      <c r="AD6" s="43">
        <f>SUMIF(r_Press_Tonnage,Table4[[Tonnage Range]:[Tonnage Range]],t_Presses[ha2017])</f>
        <v>11896</v>
      </c>
      <c r="AE6" s="43">
        <f>SUMIF(r_Press_Tonnage,Table4[[Tonnage Range]:[Tonnage Range]],t_Presses[ha2018])</f>
        <v>11896</v>
      </c>
      <c r="AF6" s="43">
        <f>SUMIF(r_Press_Tonnage,Table4[[Tonnage Range]:[Tonnage Range]],t_Presses[ha2019])</f>
        <v>11896</v>
      </c>
      <c r="AG6" s="43">
        <f>SUMIF(r_Press_Tonnage,Table4[[Tonnage Range]:[Tonnage Range]],t_Presses[hp2015.01])</f>
        <v>96.212760572760558</v>
      </c>
      <c r="AH6" s="43">
        <f>SUMIF(r_Press_Tonnage,Table4[[Tonnage Range]:[Tonnage Range]],t_Presses[hp2015.02])</f>
        <v>96.212760572760558</v>
      </c>
      <c r="AI6" s="43">
        <f>SUMIF(r_Press_Tonnage,Table4[[Tonnage Range]:[Tonnage Range]],t_Presses[hp2015.03])</f>
        <v>111.26595071595071</v>
      </c>
      <c r="AJ6" s="43">
        <f>SUMIF(r_Press_Tonnage,Table4[[Tonnage Range]:[Tonnage Range]],t_Presses[hp2015.04])</f>
        <v>96.212760572760558</v>
      </c>
      <c r="AK6" s="43">
        <f>SUMIF(r_Press_Tonnage,Table4[[Tonnage Range]:[Tonnage Range]],t_Presses[hp2015.05])</f>
        <v>96.212760572760558</v>
      </c>
      <c r="AL6" s="43">
        <f>SUMIF(r_Press_Tonnage,Table4[[Tonnage Range]:[Tonnage Range]],t_Presses[hp2015.06])</f>
        <v>111.26595071595071</v>
      </c>
      <c r="AM6" s="43">
        <f>SUMIF(r_Press_Tonnage,Table4[[Tonnage Range]:[Tonnage Range]],t_Presses[hp2015.07])</f>
        <v>91.98082584082583</v>
      </c>
      <c r="AN6" s="43">
        <f>SUMIF(r_Press_Tonnage,Table4[[Tonnage Range]:[Tonnage Range]],t_Presses[hp2015.08])</f>
        <v>91.98082584082583</v>
      </c>
      <c r="AO6" s="43">
        <f>SUMIF(r_Press_Tonnage,Table4[[Tonnage Range]:[Tonnage Range]],t_Presses[hp2015.09])</f>
        <v>106.97603230103229</v>
      </c>
      <c r="AP6" s="43">
        <f>SUMIF(r_Press_Tonnage,Table4[[Tonnage Range]:[Tonnage Range]],t_Presses[hp2015.10])</f>
        <v>80.284415584415569</v>
      </c>
      <c r="AQ6" s="43">
        <f>SUMIF(r_Press_Tonnage,Table4[[Tonnage Range]:[Tonnage Range]],t_Presses[hp2015.11])</f>
        <v>80.284415584415569</v>
      </c>
      <c r="AR6" s="43">
        <f>SUMIF(r_Press_Tonnage,Table4[[Tonnage Range]:[Tonnage Range]],t_Presses[hp2015.12])</f>
        <v>93.35551948051949</v>
      </c>
      <c r="AS6" s="43">
        <f>SUM(Table4[[#This Row],[hp2015.01]:[hp2015.12]])</f>
        <v>1152.2449783549782</v>
      </c>
      <c r="AT6" s="43">
        <f>SUMIF(r_Press_Tonnage,Table4[[Tonnage Range]:[Tonnage Range]],t_Presses[hp2016.01])</f>
        <v>73.560073260073253</v>
      </c>
      <c r="AU6" s="43">
        <f>SUMIF(r_Press_Tonnage,Table4[[Tonnage Range]:[Tonnage Range]],t_Presses[hp2016.02])</f>
        <v>73.560073260073253</v>
      </c>
      <c r="AV6" s="43">
        <f>SUMIF(r_Press_Tonnage,Table4[[Tonnage Range]:[Tonnage Range]],t_Presses[hp2016.03])</f>
        <v>85.950091575091562</v>
      </c>
      <c r="AW6" s="43">
        <f>SUMIF(r_Press_Tonnage,Table4[[Tonnage Range]:[Tonnage Range]],t_Presses[hp2016.04])</f>
        <v>73.560073260073253</v>
      </c>
      <c r="AX6" s="43">
        <f>SUMIF(r_Press_Tonnage,Table4[[Tonnage Range]:[Tonnage Range]],t_Presses[hp2016.05])</f>
        <v>73.560073260073253</v>
      </c>
      <c r="AY6" s="43">
        <f>SUMIF(r_Press_Tonnage,Table4[[Tonnage Range]:[Tonnage Range]],t_Presses[hp2016.06])</f>
        <v>85.950091575091562</v>
      </c>
      <c r="AZ6" s="43">
        <f>SUMIF(r_Press_Tonnage,Table4[[Tonnage Range]:[Tonnage Range]],t_Presses[hp2016.07])</f>
        <v>62.33782883782883</v>
      </c>
      <c r="BA6" s="43">
        <f>SUMIF(r_Press_Tonnage,Table4[[Tonnage Range]:[Tonnage Range]],t_Presses[hp2016.08])</f>
        <v>62.33782883782883</v>
      </c>
      <c r="BB6" s="43">
        <f>SUMIF(r_Press_Tonnage,Table4[[Tonnage Range]:[Tonnage Range]],t_Presses[hp2016.09])</f>
        <v>72.922286047286036</v>
      </c>
      <c r="BC6" s="43">
        <f>SUMIF(r_Press_Tonnage,Table4[[Tonnage Range]:[Tonnage Range]],t_Presses[hp2016.10])</f>
        <v>62.33782883782883</v>
      </c>
      <c r="BD6" s="43">
        <f>SUMIF(r_Press_Tonnage,Table4[[Tonnage Range]:[Tonnage Range]],t_Presses[hp2016.11])</f>
        <v>62.33782883782883</v>
      </c>
      <c r="BE6" s="43">
        <f>SUMIF(r_Press_Tonnage,Table4[[Tonnage Range]:[Tonnage Range]],t_Presses[hp2016.12])</f>
        <v>72.922286047286036</v>
      </c>
      <c r="BF6" s="43">
        <f>SUMIF(r_Press_Tonnage,Table4[[Tonnage Range]:[Tonnage Range]],t_Presses[hp2016.FY])</f>
        <v>861.33636363636367</v>
      </c>
      <c r="BG6" s="43">
        <f>SUMIF(r_Press_Tonnage,Table4[[Tonnage Range]:[Tonnage Range]],t_Presses[hp2017])</f>
        <v>201.25512265512265</v>
      </c>
      <c r="BH6" s="43">
        <f>SUMIF(r_Press_Tonnage,Table4[[Tonnage Range]:[Tonnage Range]],t_Presses[hp2018])</f>
        <v>201.25512265512265</v>
      </c>
      <c r="BI6" s="43">
        <f>SUMIF(r_Press_Tonnage,Table4[[Tonnage Range]:[Tonnage Range]],t_Presses[hp2019])</f>
        <v>161.66378066378064</v>
      </c>
      <c r="BJ6" s="17">
        <f>IF(Table4[[#This Row],[ha2015.01]]&gt;0,Table4[[#This Row],[hp2015.01]]/Table4[[#This Row],[ha2015.01]],0)</f>
        <v>3.6251982129902244E-2</v>
      </c>
      <c r="BK6" s="17">
        <f>IF(Table4[[#This Row],[ha2015.02]]&gt;0,Table4[[#This Row],[hp2015.02]]/Table4[[#This Row],[ha2015.02]],0)</f>
        <v>3.5320396686035448E-2</v>
      </c>
      <c r="BL6" s="17">
        <f>IF(Table4[[#This Row],[ha2015.03]]&gt;0,Table4[[#This Row],[hp2015.03]]/Table4[[#This Row],[ha2015.03]],0)</f>
        <v>3.137787668244521E-2</v>
      </c>
      <c r="BM6" s="17">
        <f>IF(Table4[[#This Row],[ha2015.04]]&gt;0,Table4[[#This Row],[hp2015.04]]/Table4[[#This Row],[ha2015.04]],0)</f>
        <v>3.6251982129902244E-2</v>
      </c>
      <c r="BN6" s="17">
        <f>IF(Table4[[#This Row],[ha2015.05]]&gt;0,Table4[[#This Row],[hp2015.05]]/Table4[[#This Row],[ha2015.05]],0)</f>
        <v>3.5320396686035448E-2</v>
      </c>
      <c r="BO6" s="17">
        <f>IF(Table4[[#This Row],[ha2015.06]]&gt;0,Table4[[#This Row],[hp2015.06]]/Table4[[#This Row],[ha2015.06]],0)</f>
        <v>3.137787668244521E-2</v>
      </c>
      <c r="BP6" s="17">
        <f>IF(Table4[[#This Row],[ha2015.07]]&gt;0,Table4[[#This Row],[hp2015.07]]/Table4[[#This Row],[ha2015.07]],0)</f>
        <v>3.4657432494659315E-2</v>
      </c>
      <c r="BQ6" s="17">
        <f>IF(Table4[[#This Row],[ha2015.08]]&gt;0,Table4[[#This Row],[hp2015.08]]/Table4[[#This Row],[ha2015.08]],0)</f>
        <v>3.376682299589788E-2</v>
      </c>
      <c r="BR6" s="17">
        <f>IF(Table4[[#This Row],[ha2015.09]]&gt;0,Table4[[#This Row],[hp2015.09]]/Table4[[#This Row],[ha2015.09]],0)</f>
        <v>3.0168085815293934E-2</v>
      </c>
      <c r="BS6" s="17">
        <f>IF(Table4[[#This Row],[ha2015.10]]&gt;0,Table4[[#This Row],[hp2015.10]]/Table4[[#This Row],[ha2015.10]],0)</f>
        <v>3.0250344982824254E-2</v>
      </c>
      <c r="BT6" s="17">
        <f>IF(Table4[[#This Row],[ha2015.11]]&gt;0,Table4[[#This Row],[hp2015.11]]/Table4[[#This Row],[ha2015.11]],0)</f>
        <v>2.9472986631576933E-2</v>
      </c>
      <c r="BU6" s="17">
        <f>IF(Table4[[#This Row],[ha2015.12]]&gt;0,Table4[[#This Row],[hp2015.12]]/Table4[[#This Row],[ha2015.12]],0)</f>
        <v>2.6326993649328678E-2</v>
      </c>
      <c r="BV6" s="17">
        <f>IF(Table4[[#This Row],[ha2015.FY]]&gt;0,Table4[[#This Row],[hp2015.FY]]/Table4[[#This Row],[ha2015.FY]],0)</f>
        <v>3.2279386439796567E-2</v>
      </c>
      <c r="BW6" s="17">
        <f>IF(Table4[[#This Row],[ha2016.01]]&gt;0,Table4[[#This Row],[hp2016.01]]/Table4[[#This Row],[ha2016.01]],0)</f>
        <v>8.1371762455833246E-2</v>
      </c>
      <c r="BX6" s="17">
        <f>IF(Table4[[#This Row],[ha2016.02]]&gt;0,Table4[[#This Row],[hp2016.02]]/Table4[[#This Row],[ha2016.02]],0)</f>
        <v>8.1371762455833246E-2</v>
      </c>
      <c r="BY6" s="17">
        <f>IF(Table4[[#This Row],[ha2016.03]]&gt;0,Table4[[#This Row],[hp2016.03]]/Table4[[#This Row],[ha2016.03]],0)</f>
        <v>7.3713629138157433E-2</v>
      </c>
      <c r="BZ6" s="17">
        <f>IF(Table4[[#This Row],[ha2016.04]]&gt;0,Table4[[#This Row],[hp2016.04]]/Table4[[#This Row],[ha2016.04]],0)</f>
        <v>8.1371762455833246E-2</v>
      </c>
      <c r="CA6" s="17">
        <f>IF(Table4[[#This Row],[ha2016.05]]&gt;0,Table4[[#This Row],[hp2016.05]]/Table4[[#This Row],[ha2016.05]],0)</f>
        <v>8.1371762455833246E-2</v>
      </c>
      <c r="CB6" s="17">
        <f>IF(Table4[[#This Row],[ha2016.06]]&gt;0,Table4[[#This Row],[hp2016.06]]/Table4[[#This Row],[ha2016.06]],0)</f>
        <v>7.3713629138157433E-2</v>
      </c>
      <c r="CC6" s="17">
        <f>IF(Table4[[#This Row],[ha2016.07]]&gt;0,Table4[[#This Row],[hp2016.07]]/Table4[[#This Row],[ha2016.07]],0)</f>
        <v>6.8957775263084983E-2</v>
      </c>
      <c r="CD6" s="17">
        <f>IF(Table4[[#This Row],[ha2016.08]]&gt;0,Table4[[#This Row],[hp2016.08]]/Table4[[#This Row],[ha2016.08]],0)</f>
        <v>6.8957775263084983E-2</v>
      </c>
      <c r="CE6" s="17">
        <f>IF(Table4[[#This Row],[ha2016.09]]&gt;0,Table4[[#This Row],[hp2016.09]]/Table4[[#This Row],[ha2016.09]],0)</f>
        <v>6.2540554071428847E-2</v>
      </c>
      <c r="CF6" s="17">
        <f>IF(Table4[[#This Row],[ha2016.10]]&gt;0,Table4[[#This Row],[hp2016.10]]/Table4[[#This Row],[ha2016.10]],0)</f>
        <v>6.8957775263084983E-2</v>
      </c>
      <c r="CG6" s="17">
        <f>IF(Table4[[#This Row],[ha2016.11]]&gt;0,Table4[[#This Row],[hp2016.11]]/Table4[[#This Row],[ha2016.11]],0)</f>
        <v>6.8957775263084983E-2</v>
      </c>
      <c r="CH6" s="17">
        <f>IF(Table4[[#This Row],[ha2016.12]]&gt;0,Table4[[#This Row],[hp2016.12]]/Table4[[#This Row],[ha2016.12]],0)</f>
        <v>6.2540554071428847E-2</v>
      </c>
      <c r="CI6" s="17">
        <f>IF(Table4[[#This Row],[ha2016.FY]]&gt;0,Table4[[#This Row],[hp2016.FY]]/Table4[[#This Row],[ha2016.FY]],0)</f>
        <v>7.2405545026594118E-2</v>
      </c>
      <c r="CJ6" s="17">
        <f>IF(Table4[[#This Row],[ha2017]]&gt;0,Table4[[#This Row],[hp2017]]/Table4[[#This Row],[ha2017]],0)</f>
        <v>1.6917881864082267E-2</v>
      </c>
      <c r="CK6" s="17">
        <f>IF(Table4[[#This Row],[ha2018]]&gt;0,Table4[[#This Row],[hp2018]]/Table4[[#This Row],[ha2018]],0)</f>
        <v>1.6917881864082267E-2</v>
      </c>
      <c r="CL6" s="17">
        <f>IF(Table4[[#This Row],[ha2019]]&gt;0,Table4[[#This Row],[hp2019]]/Table4[[#This Row],[ha2019]],0)</f>
        <v>1.3589759638851768E-2</v>
      </c>
    </row>
    <row r="7" spans="1:90" x14ac:dyDescent="0.25">
      <c r="A7">
        <v>3</v>
      </c>
      <c r="B7" s="37" t="str">
        <f>CONCATENATE(FLOOR(v_TRBS*(A7-1),v_TRBS),"-",FLOOR(v_TRBS*(A7-1),v_TRBS)+v_TRBS-1)</f>
        <v>600-899</v>
      </c>
      <c r="C7" s="37">
        <f>COUNTIF(r_Press_Tonnage,Table4[[Tonnage Range]:[Tonnage Range]])</f>
        <v>7</v>
      </c>
      <c r="D7">
        <f>SUMIF(r_Press_Tonnage,Table4[[Tonnage Range]:[Tonnage Range]],t_Presses[ha2015.01])</f>
        <v>1624</v>
      </c>
      <c r="E7">
        <f>SUMIF(r_Press_Tonnage,Table4[[Tonnage Range]:[Tonnage Range]],t_Presses[ha2015.02])</f>
        <v>1664</v>
      </c>
      <c r="F7">
        <f>SUMIF(r_Press_Tonnage,Table4[[Tonnage Range]:[Tonnage Range]],t_Presses[ha2015.03])</f>
        <v>2176</v>
      </c>
      <c r="G7">
        <f>SUMIF(r_Press_Tonnage,Table4[[Tonnage Range]:[Tonnage Range]],t_Presses[ha2015.04])</f>
        <v>1624</v>
      </c>
      <c r="H7">
        <f>SUMIF(r_Press_Tonnage,Table4[[Tonnage Range]:[Tonnage Range]],t_Presses[ha2015.05])</f>
        <v>1664</v>
      </c>
      <c r="I7">
        <f>SUMIF(r_Press_Tonnage,Table4[[Tonnage Range]:[Tonnage Range]],t_Presses[ha2015.06])</f>
        <v>2176</v>
      </c>
      <c r="J7">
        <f>SUMIF(r_Press_Tonnage,Table4[[Tonnage Range]:[Tonnage Range]],t_Presses[ha2015.07])</f>
        <v>1624</v>
      </c>
      <c r="K7">
        <f>SUMIF(r_Press_Tonnage,Table4[[Tonnage Range]:[Tonnage Range]],t_Presses[ha2015.08])</f>
        <v>1664</v>
      </c>
      <c r="L7">
        <f>SUMIF(r_Press_Tonnage,Table4[[Tonnage Range]:[Tonnage Range]],t_Presses[ha2015.09])</f>
        <v>2176</v>
      </c>
      <c r="M7">
        <f>SUMIF(r_Press_Tonnage,Table4[[Tonnage Range]:[Tonnage Range]],t_Presses[ha2015.10])</f>
        <v>1624</v>
      </c>
      <c r="N7">
        <f>SUMIF(r_Press_Tonnage,Table4[[Tonnage Range]:[Tonnage Range]],t_Presses[ha2015.11])</f>
        <v>1664</v>
      </c>
      <c r="O7">
        <f>SUMIF(r_Press_Tonnage,Table4[[Tonnage Range]:[Tonnage Range]],t_Presses[ha2015.12])</f>
        <v>2176</v>
      </c>
      <c r="P7">
        <f>SUMIF(r_Press_Tonnage,Table4[[Tonnage Range]:[Tonnage Range]],t_Presses[ha2015.FY])</f>
        <v>21856</v>
      </c>
      <c r="Q7" s="20">
        <f>SUMIF(r_Press_Tonnage,Table4[[Tonnage Range]:[Tonnage Range]],t_Presses[ha2016.01])</f>
        <v>624</v>
      </c>
      <c r="R7" s="43">
        <f>SUMIF(r_Press_Tonnage,Table4[[Tonnage Range]:[Tonnage Range]],t_Presses[ha2016.02])</f>
        <v>624</v>
      </c>
      <c r="S7" s="43">
        <f>SUMIF(r_Press_Tonnage,Table4[[Tonnage Range]:[Tonnage Range]],t_Presses[ha2016.03])</f>
        <v>816</v>
      </c>
      <c r="T7" s="43">
        <f>SUMIF(r_Press_Tonnage,Table4[[Tonnage Range]:[Tonnage Range]],t_Presses[ha2016.04])</f>
        <v>624</v>
      </c>
      <c r="U7" s="43">
        <f>SUMIF(r_Press_Tonnage,Table4[[Tonnage Range]:[Tonnage Range]],t_Presses[ha2016.05])</f>
        <v>624</v>
      </c>
      <c r="V7" s="43">
        <f>SUMIF(r_Press_Tonnage,Table4[[Tonnage Range]:[Tonnage Range]],t_Presses[ha2016.06])</f>
        <v>816</v>
      </c>
      <c r="W7" s="43">
        <f>SUMIF(r_Press_Tonnage,Table4[[Tonnage Range]:[Tonnage Range]],t_Presses[ha2016.07])</f>
        <v>624</v>
      </c>
      <c r="X7" s="43">
        <f>SUMIF(r_Press_Tonnage,Table4[[Tonnage Range]:[Tonnage Range]],t_Presses[ha2016.08])</f>
        <v>624</v>
      </c>
      <c r="Y7" s="43">
        <f>SUMIF(r_Press_Tonnage,Table4[[Tonnage Range]:[Tonnage Range]],t_Presses[ha2016.09])</f>
        <v>816</v>
      </c>
      <c r="Z7" s="43">
        <f>SUMIF(r_Press_Tonnage,Table4[[Tonnage Range]:[Tonnage Range]],t_Presses[ha2016.10])</f>
        <v>624</v>
      </c>
      <c r="AA7" s="43">
        <f>SUMIF(r_Press_Tonnage,Table4[[Tonnage Range]:[Tonnage Range]],t_Presses[ha2016.11])</f>
        <v>624</v>
      </c>
      <c r="AB7" s="43">
        <f>SUMIF(r_Press_Tonnage,Table4[[Tonnage Range]:[Tonnage Range]],t_Presses[ha2016.12])</f>
        <v>816</v>
      </c>
      <c r="AC7" s="43">
        <f>SUMIF(r_Press_Tonnage,Table4[[Tonnage Range]:[Tonnage Range]],t_Presses[ha2016.FY])</f>
        <v>8256</v>
      </c>
      <c r="AD7" s="43">
        <f>SUMIF(r_Press_Tonnage,Table4[[Tonnage Range]:[Tonnage Range]],t_Presses[ha2017])</f>
        <v>8256</v>
      </c>
      <c r="AE7" s="43">
        <f>SUMIF(r_Press_Tonnage,Table4[[Tonnage Range]:[Tonnage Range]],t_Presses[ha2018])</f>
        <v>8256</v>
      </c>
      <c r="AF7" s="43">
        <f>SUMIF(r_Press_Tonnage,Table4[[Tonnage Range]:[Tonnage Range]],t_Presses[ha2019])</f>
        <v>8256</v>
      </c>
      <c r="AG7" s="43">
        <f>SUMIF(r_Press_Tonnage,Table4[[Tonnage Range]:[Tonnage Range]],t_Presses[hp2015.01])</f>
        <v>0</v>
      </c>
      <c r="AH7" s="43">
        <f>SUMIF(r_Press_Tonnage,Table4[[Tonnage Range]:[Tonnage Range]],t_Presses[hp2015.02])</f>
        <v>0</v>
      </c>
      <c r="AI7" s="43">
        <f>SUMIF(r_Press_Tonnage,Table4[[Tonnage Range]:[Tonnage Range]],t_Presses[hp2015.03])</f>
        <v>0</v>
      </c>
      <c r="AJ7" s="43">
        <f>SUMIF(r_Press_Tonnage,Table4[[Tonnage Range]:[Tonnage Range]],t_Presses[hp2015.04])</f>
        <v>0</v>
      </c>
      <c r="AK7" s="43">
        <f>SUMIF(r_Press_Tonnage,Table4[[Tonnage Range]:[Tonnage Range]],t_Presses[hp2015.05])</f>
        <v>0</v>
      </c>
      <c r="AL7" s="43">
        <f>SUMIF(r_Press_Tonnage,Table4[[Tonnage Range]:[Tonnage Range]],t_Presses[hp2015.06])</f>
        <v>0</v>
      </c>
      <c r="AM7" s="43">
        <f>SUMIF(r_Press_Tonnage,Table4[[Tonnage Range]:[Tonnage Range]],t_Presses[hp2015.07])</f>
        <v>0</v>
      </c>
      <c r="AN7" s="43">
        <f>SUMIF(r_Press_Tonnage,Table4[[Tonnage Range]:[Tonnage Range]],t_Presses[hp2015.08])</f>
        <v>0</v>
      </c>
      <c r="AO7" s="43">
        <f>SUMIF(r_Press_Tonnage,Table4[[Tonnage Range]:[Tonnage Range]],t_Presses[hp2015.09])</f>
        <v>0</v>
      </c>
      <c r="AP7" s="43">
        <f>SUMIF(r_Press_Tonnage,Table4[[Tonnage Range]:[Tonnage Range]],t_Presses[hp2015.10])</f>
        <v>0</v>
      </c>
      <c r="AQ7" s="43">
        <f>SUMIF(r_Press_Tonnage,Table4[[Tonnage Range]:[Tonnage Range]],t_Presses[hp2015.11])</f>
        <v>0</v>
      </c>
      <c r="AR7" s="43">
        <f>SUMIF(r_Press_Tonnage,Table4[[Tonnage Range]:[Tonnage Range]],t_Presses[hp2015.12])</f>
        <v>0</v>
      </c>
      <c r="AS7" s="43">
        <f>SUM(Table4[[#This Row],[hp2015.01]:[hp2015.12]])</f>
        <v>0</v>
      </c>
      <c r="AT7" s="43">
        <f>SUMIF(r_Press_Tonnage,Table4[[Tonnage Range]:[Tonnage Range]],t_Presses[hp2016.01])</f>
        <v>0</v>
      </c>
      <c r="AU7" s="43">
        <f>SUMIF(r_Press_Tonnage,Table4[[Tonnage Range]:[Tonnage Range]],t_Presses[hp2016.02])</f>
        <v>0</v>
      </c>
      <c r="AV7" s="43">
        <f>SUMIF(r_Press_Tonnage,Table4[[Tonnage Range]:[Tonnage Range]],t_Presses[hp2016.03])</f>
        <v>0</v>
      </c>
      <c r="AW7" s="43">
        <f>SUMIF(r_Press_Tonnage,Table4[[Tonnage Range]:[Tonnage Range]],t_Presses[hp2016.04])</f>
        <v>0</v>
      </c>
      <c r="AX7" s="43">
        <f>SUMIF(r_Press_Tonnage,Table4[[Tonnage Range]:[Tonnage Range]],t_Presses[hp2016.05])</f>
        <v>0</v>
      </c>
      <c r="AY7" s="43">
        <f>SUMIF(r_Press_Tonnage,Table4[[Tonnage Range]:[Tonnage Range]],t_Presses[hp2016.06])</f>
        <v>0</v>
      </c>
      <c r="AZ7" s="43">
        <f>SUMIF(r_Press_Tonnage,Table4[[Tonnage Range]:[Tonnage Range]],t_Presses[hp2016.07])</f>
        <v>0</v>
      </c>
      <c r="BA7" s="43">
        <f>SUMIF(r_Press_Tonnage,Table4[[Tonnage Range]:[Tonnage Range]],t_Presses[hp2016.08])</f>
        <v>0</v>
      </c>
      <c r="BB7" s="43">
        <f>SUMIF(r_Press_Tonnage,Table4[[Tonnage Range]:[Tonnage Range]],t_Presses[hp2016.09])</f>
        <v>0</v>
      </c>
      <c r="BC7" s="43">
        <f>SUMIF(r_Press_Tonnage,Table4[[Tonnage Range]:[Tonnage Range]],t_Presses[hp2016.10])</f>
        <v>0</v>
      </c>
      <c r="BD7" s="43">
        <f>SUMIF(r_Press_Tonnage,Table4[[Tonnage Range]:[Tonnage Range]],t_Presses[hp2016.11])</f>
        <v>0</v>
      </c>
      <c r="BE7" s="43">
        <f>SUMIF(r_Press_Tonnage,Table4[[Tonnage Range]:[Tonnage Range]],t_Presses[hp2016.12])</f>
        <v>0</v>
      </c>
      <c r="BF7" s="43">
        <f>SUMIF(r_Press_Tonnage,Table4[[Tonnage Range]:[Tonnage Range]],t_Presses[hp2016.FY])</f>
        <v>0</v>
      </c>
      <c r="BG7" s="43">
        <f>SUMIF(r_Press_Tonnage,Table4[[Tonnage Range]:[Tonnage Range]],t_Presses[hp2017])</f>
        <v>0</v>
      </c>
      <c r="BH7" s="43">
        <f>SUMIF(r_Press_Tonnage,Table4[[Tonnage Range]:[Tonnage Range]],t_Presses[hp2018])</f>
        <v>0</v>
      </c>
      <c r="BI7" s="43">
        <f>SUMIF(r_Press_Tonnage,Table4[[Tonnage Range]:[Tonnage Range]],t_Presses[hp2019])</f>
        <v>0</v>
      </c>
      <c r="BJ7" s="17">
        <f>IF(Table4[[#This Row],[ha2015.01]]&gt;0,Table4[[#This Row],[hp2015.01]]/Table4[[#This Row],[ha2015.01]],0)</f>
        <v>0</v>
      </c>
      <c r="BK7" s="17">
        <f>IF(Table4[[#This Row],[ha2015.02]]&gt;0,Table4[[#This Row],[hp2015.02]]/Table4[[#This Row],[ha2015.02]],0)</f>
        <v>0</v>
      </c>
      <c r="BL7" s="17">
        <f>IF(Table4[[#This Row],[ha2015.03]]&gt;0,Table4[[#This Row],[hp2015.03]]/Table4[[#This Row],[ha2015.03]],0)</f>
        <v>0</v>
      </c>
      <c r="BM7" s="17">
        <f>IF(Table4[[#This Row],[ha2015.04]]&gt;0,Table4[[#This Row],[hp2015.04]]/Table4[[#This Row],[ha2015.04]],0)</f>
        <v>0</v>
      </c>
      <c r="BN7" s="17">
        <f>IF(Table4[[#This Row],[ha2015.05]]&gt;0,Table4[[#This Row],[hp2015.05]]/Table4[[#This Row],[ha2015.05]],0)</f>
        <v>0</v>
      </c>
      <c r="BO7" s="17">
        <f>IF(Table4[[#This Row],[ha2015.06]]&gt;0,Table4[[#This Row],[hp2015.06]]/Table4[[#This Row],[ha2015.06]],0)</f>
        <v>0</v>
      </c>
      <c r="BP7" s="17">
        <f>IF(Table4[[#This Row],[ha2015.07]]&gt;0,Table4[[#This Row],[hp2015.07]]/Table4[[#This Row],[ha2015.07]],0)</f>
        <v>0</v>
      </c>
      <c r="BQ7" s="17">
        <f>IF(Table4[[#This Row],[ha2015.08]]&gt;0,Table4[[#This Row],[hp2015.08]]/Table4[[#This Row],[ha2015.08]],0)</f>
        <v>0</v>
      </c>
      <c r="BR7" s="17">
        <f>IF(Table4[[#This Row],[ha2015.09]]&gt;0,Table4[[#This Row],[hp2015.09]]/Table4[[#This Row],[ha2015.09]],0)</f>
        <v>0</v>
      </c>
      <c r="BS7" s="17">
        <f>IF(Table4[[#This Row],[ha2015.10]]&gt;0,Table4[[#This Row],[hp2015.10]]/Table4[[#This Row],[ha2015.10]],0)</f>
        <v>0</v>
      </c>
      <c r="BT7" s="17">
        <f>IF(Table4[[#This Row],[ha2015.11]]&gt;0,Table4[[#This Row],[hp2015.11]]/Table4[[#This Row],[ha2015.11]],0)</f>
        <v>0</v>
      </c>
      <c r="BU7" s="17">
        <f>IF(Table4[[#This Row],[ha2015.12]]&gt;0,Table4[[#This Row],[hp2015.12]]/Table4[[#This Row],[ha2015.12]],0)</f>
        <v>0</v>
      </c>
      <c r="BV7" s="17">
        <f>IF(Table4[[#This Row],[ha2015.FY]]&gt;0,Table4[[#This Row],[hp2015.FY]]/Table4[[#This Row],[ha2015.FY]],0)</f>
        <v>0</v>
      </c>
      <c r="BW7" s="17">
        <f>IF(Table4[[#This Row],[ha2016.01]]&gt;0,Table4[[#This Row],[hp2016.01]]/Table4[[#This Row],[ha2016.01]],0)</f>
        <v>0</v>
      </c>
      <c r="BX7" s="17">
        <f>IF(Table4[[#This Row],[ha2016.02]]&gt;0,Table4[[#This Row],[hp2016.02]]/Table4[[#This Row],[ha2016.02]],0)</f>
        <v>0</v>
      </c>
      <c r="BY7" s="17">
        <f>IF(Table4[[#This Row],[ha2016.03]]&gt;0,Table4[[#This Row],[hp2016.03]]/Table4[[#This Row],[ha2016.03]],0)</f>
        <v>0</v>
      </c>
      <c r="BZ7" s="17">
        <f>IF(Table4[[#This Row],[ha2016.04]]&gt;0,Table4[[#This Row],[hp2016.04]]/Table4[[#This Row],[ha2016.04]],0)</f>
        <v>0</v>
      </c>
      <c r="CA7" s="17">
        <f>IF(Table4[[#This Row],[ha2016.05]]&gt;0,Table4[[#This Row],[hp2016.05]]/Table4[[#This Row],[ha2016.05]],0)</f>
        <v>0</v>
      </c>
      <c r="CB7" s="17">
        <f>IF(Table4[[#This Row],[ha2016.06]]&gt;0,Table4[[#This Row],[hp2016.06]]/Table4[[#This Row],[ha2016.06]],0)</f>
        <v>0</v>
      </c>
      <c r="CC7" s="17">
        <f>IF(Table4[[#This Row],[ha2016.07]]&gt;0,Table4[[#This Row],[hp2016.07]]/Table4[[#This Row],[ha2016.07]],0)</f>
        <v>0</v>
      </c>
      <c r="CD7" s="17">
        <f>IF(Table4[[#This Row],[ha2016.08]]&gt;0,Table4[[#This Row],[hp2016.08]]/Table4[[#This Row],[ha2016.08]],0)</f>
        <v>0</v>
      </c>
      <c r="CE7" s="17">
        <f>IF(Table4[[#This Row],[ha2016.09]]&gt;0,Table4[[#This Row],[hp2016.09]]/Table4[[#This Row],[ha2016.09]],0)</f>
        <v>0</v>
      </c>
      <c r="CF7" s="17">
        <f>IF(Table4[[#This Row],[ha2016.10]]&gt;0,Table4[[#This Row],[hp2016.10]]/Table4[[#This Row],[ha2016.10]],0)</f>
        <v>0</v>
      </c>
      <c r="CG7" s="17">
        <f>IF(Table4[[#This Row],[ha2016.11]]&gt;0,Table4[[#This Row],[hp2016.11]]/Table4[[#This Row],[ha2016.11]],0)</f>
        <v>0</v>
      </c>
      <c r="CH7" s="17">
        <f>IF(Table4[[#This Row],[ha2016.12]]&gt;0,Table4[[#This Row],[hp2016.12]]/Table4[[#This Row],[ha2016.12]],0)</f>
        <v>0</v>
      </c>
      <c r="CI7" s="17">
        <f>IF(Table4[[#This Row],[ha2016.FY]]&gt;0,Table4[[#This Row],[hp2016.FY]]/Table4[[#This Row],[ha2016.FY]],0)</f>
        <v>0</v>
      </c>
      <c r="CJ7" s="17">
        <f>IF(Table4[[#This Row],[ha2017]]&gt;0,Table4[[#This Row],[hp2017]]/Table4[[#This Row],[ha2017]],0)</f>
        <v>0</v>
      </c>
      <c r="CK7" s="17">
        <f>IF(Table4[[#This Row],[ha2018]]&gt;0,Table4[[#This Row],[hp2018]]/Table4[[#This Row],[ha2018]],0)</f>
        <v>0</v>
      </c>
      <c r="CL7" s="17">
        <f>IF(Table4[[#This Row],[ha2019]]&gt;0,Table4[[#This Row],[hp2019]]/Table4[[#This Row],[ha2019]],0)</f>
        <v>0</v>
      </c>
    </row>
    <row r="8" spans="1:90" x14ac:dyDescent="0.25">
      <c r="A8">
        <v>4</v>
      </c>
      <c r="B8" s="37" t="str">
        <f>CONCATENATE(FLOOR(v_TRBS*(A8-1),v_TRBS),"-",FLOOR(v_TRBS*(A8-1),v_TRBS)+v_TRBS-1)</f>
        <v>900-1199</v>
      </c>
      <c r="C8" s="37">
        <f>COUNTIF(r_Press_Tonnage,Table4[[Tonnage Range]:[Tonnage Range]])</f>
        <v>4</v>
      </c>
      <c r="D8">
        <f>SUMIF(r_Press_Tonnage,Table4[[Tonnage Range]:[Tonnage Range]],t_Presses[ha2015.01])</f>
        <v>904</v>
      </c>
      <c r="E8">
        <f>SUMIF(r_Press_Tonnage,Table4[[Tonnage Range]:[Tonnage Range]],t_Presses[ha2015.02])</f>
        <v>904</v>
      </c>
      <c r="F8">
        <f>SUMIF(r_Press_Tonnage,Table4[[Tonnage Range]:[Tonnage Range]],t_Presses[ha2015.03])</f>
        <v>1166</v>
      </c>
      <c r="G8">
        <f>SUMIF(r_Press_Tonnage,Table4[[Tonnage Range]:[Tonnage Range]],t_Presses[ha2015.04])</f>
        <v>904</v>
      </c>
      <c r="H8">
        <f>SUMIF(r_Press_Tonnage,Table4[[Tonnage Range]:[Tonnage Range]],t_Presses[ha2015.05])</f>
        <v>904</v>
      </c>
      <c r="I8">
        <f>SUMIF(r_Press_Tonnage,Table4[[Tonnage Range]:[Tonnage Range]],t_Presses[ha2015.06])</f>
        <v>1166</v>
      </c>
      <c r="J8">
        <f>SUMIF(r_Press_Tonnage,Table4[[Tonnage Range]:[Tonnage Range]],t_Presses[ha2015.07])</f>
        <v>904</v>
      </c>
      <c r="K8">
        <f>SUMIF(r_Press_Tonnage,Table4[[Tonnage Range]:[Tonnage Range]],t_Presses[ha2015.08])</f>
        <v>904</v>
      </c>
      <c r="L8">
        <f>SUMIF(r_Press_Tonnage,Table4[[Tonnage Range]:[Tonnage Range]],t_Presses[ha2015.09])</f>
        <v>1166</v>
      </c>
      <c r="M8">
        <f>SUMIF(r_Press_Tonnage,Table4[[Tonnage Range]:[Tonnage Range]],t_Presses[ha2015.10])</f>
        <v>904</v>
      </c>
      <c r="N8">
        <f>SUMIF(r_Press_Tonnage,Table4[[Tonnage Range]:[Tonnage Range]],t_Presses[ha2015.11])</f>
        <v>904</v>
      </c>
      <c r="O8">
        <f>SUMIF(r_Press_Tonnage,Table4[[Tonnage Range]:[Tonnage Range]],t_Presses[ha2015.12])</f>
        <v>1166</v>
      </c>
      <c r="P8">
        <f>SUMIF(r_Press_Tonnage,Table4[[Tonnage Range]:[Tonnage Range]],t_Presses[ha2015.FY])</f>
        <v>11896</v>
      </c>
      <c r="Q8" s="20">
        <f>SUMIF(r_Press_Tonnage,Table4[[Tonnage Range]:[Tonnage Range]],t_Presses[ha2016.01])</f>
        <v>904</v>
      </c>
      <c r="R8" s="43">
        <f>SUMIF(r_Press_Tonnage,Table4[[Tonnage Range]:[Tonnage Range]],t_Presses[ha2016.02])</f>
        <v>904</v>
      </c>
      <c r="S8" s="43">
        <f>SUMIF(r_Press_Tonnage,Table4[[Tonnage Range]:[Tonnage Range]],t_Presses[ha2016.03])</f>
        <v>1166</v>
      </c>
      <c r="T8" s="43">
        <f>SUMIF(r_Press_Tonnage,Table4[[Tonnage Range]:[Tonnage Range]],t_Presses[ha2016.04])</f>
        <v>904</v>
      </c>
      <c r="U8" s="43">
        <f>SUMIF(r_Press_Tonnage,Table4[[Tonnage Range]:[Tonnage Range]],t_Presses[ha2016.05])</f>
        <v>904</v>
      </c>
      <c r="V8" s="43">
        <f>SUMIF(r_Press_Tonnage,Table4[[Tonnage Range]:[Tonnage Range]],t_Presses[ha2016.06])</f>
        <v>1166</v>
      </c>
      <c r="W8" s="43">
        <f>SUMIF(r_Press_Tonnage,Table4[[Tonnage Range]:[Tonnage Range]],t_Presses[ha2016.07])</f>
        <v>904</v>
      </c>
      <c r="X8" s="43">
        <f>SUMIF(r_Press_Tonnage,Table4[[Tonnage Range]:[Tonnage Range]],t_Presses[ha2016.08])</f>
        <v>904</v>
      </c>
      <c r="Y8" s="43">
        <f>SUMIF(r_Press_Tonnage,Table4[[Tonnage Range]:[Tonnage Range]],t_Presses[ha2016.09])</f>
        <v>1166</v>
      </c>
      <c r="Z8" s="43">
        <f>SUMIF(r_Press_Tonnage,Table4[[Tonnage Range]:[Tonnage Range]],t_Presses[ha2016.10])</f>
        <v>904</v>
      </c>
      <c r="AA8" s="43">
        <f>SUMIF(r_Press_Tonnage,Table4[[Tonnage Range]:[Tonnage Range]],t_Presses[ha2016.11])</f>
        <v>904</v>
      </c>
      <c r="AB8" s="43">
        <f>SUMIF(r_Press_Tonnage,Table4[[Tonnage Range]:[Tonnage Range]],t_Presses[ha2016.12])</f>
        <v>1166</v>
      </c>
      <c r="AC8" s="43">
        <f>SUMIF(r_Press_Tonnage,Table4[[Tonnage Range]:[Tonnage Range]],t_Presses[ha2016.FY])</f>
        <v>11896</v>
      </c>
      <c r="AD8" s="43">
        <f>SUMIF(r_Press_Tonnage,Table4[[Tonnage Range]:[Tonnage Range]],t_Presses[ha2017])</f>
        <v>11896</v>
      </c>
      <c r="AE8" s="43">
        <f>SUMIF(r_Press_Tonnage,Table4[[Tonnage Range]:[Tonnage Range]],t_Presses[ha2018])</f>
        <v>11896</v>
      </c>
      <c r="AF8" s="43">
        <f>SUMIF(r_Press_Tonnage,Table4[[Tonnage Range]:[Tonnage Range]],t_Presses[ha2019])</f>
        <v>11896</v>
      </c>
      <c r="AG8" s="43">
        <f>SUMIF(r_Press_Tonnage,Table4[[Tonnage Range]:[Tonnage Range]],t_Presses[hp2015.01])</f>
        <v>158.80698523698518</v>
      </c>
      <c r="AH8" s="43">
        <f>SUMIF(r_Press_Tonnage,Table4[[Tonnage Range]:[Tonnage Range]],t_Presses[hp2015.02])</f>
        <v>158.80698523698518</v>
      </c>
      <c r="AI8" s="43">
        <f>SUMIF(r_Press_Tonnage,Table4[[Tonnage Range]:[Tonnage Range]],t_Presses[hp2015.03])</f>
        <v>190.00873154623153</v>
      </c>
      <c r="AJ8" s="43">
        <f>SUMIF(r_Press_Tonnage,Table4[[Tonnage Range]:[Tonnage Range]],t_Presses[hp2015.04])</f>
        <v>158.80698523698518</v>
      </c>
      <c r="AK8" s="43">
        <f>SUMIF(r_Press_Tonnage,Table4[[Tonnage Range]:[Tonnage Range]],t_Presses[hp2015.05])</f>
        <v>158.80698523698518</v>
      </c>
      <c r="AL8" s="43">
        <f>SUMIF(r_Press_Tonnage,Table4[[Tonnage Range]:[Tonnage Range]],t_Presses[hp2015.06])</f>
        <v>190.00873154623153</v>
      </c>
      <c r="AM8" s="43">
        <f>SUMIF(r_Press_Tonnage,Table4[[Tonnage Range]:[Tonnage Range]],t_Presses[hp2015.07])</f>
        <v>158.80698523698518</v>
      </c>
      <c r="AN8" s="43">
        <f>SUMIF(r_Press_Tonnage,Table4[[Tonnage Range]:[Tonnage Range]],t_Presses[hp2015.08])</f>
        <v>158.80698523698518</v>
      </c>
      <c r="AO8" s="43">
        <f>SUMIF(r_Press_Tonnage,Table4[[Tonnage Range]:[Tonnage Range]],t_Presses[hp2015.09])</f>
        <v>190.00873154623153</v>
      </c>
      <c r="AP8" s="43">
        <f>SUMIF(r_Press_Tonnage,Table4[[Tonnage Range]:[Tonnage Range]],t_Presses[hp2015.10])</f>
        <v>158.80698523698518</v>
      </c>
      <c r="AQ8" s="43">
        <f>SUMIF(r_Press_Tonnage,Table4[[Tonnage Range]:[Tonnage Range]],t_Presses[hp2015.11])</f>
        <v>158.80698523698518</v>
      </c>
      <c r="AR8" s="43">
        <f>SUMIF(r_Press_Tonnage,Table4[[Tonnage Range]:[Tonnage Range]],t_Presses[hp2015.12])</f>
        <v>190.00873154623153</v>
      </c>
      <c r="AS8" s="43">
        <f>SUM(Table4[[#This Row],[hp2015.01]:[hp2015.12]])</f>
        <v>2030.4908080808075</v>
      </c>
      <c r="AT8" s="43">
        <f>SUMIF(r_Press_Tonnage,Table4[[Tonnage Range]:[Tonnage Range]],t_Presses[hp2016.01])</f>
        <v>158.80698523698518</v>
      </c>
      <c r="AU8" s="43">
        <f>SUMIF(r_Press_Tonnage,Table4[[Tonnage Range]:[Tonnage Range]],t_Presses[hp2016.02])</f>
        <v>158.80698523698518</v>
      </c>
      <c r="AV8" s="43">
        <f>SUMIF(r_Press_Tonnage,Table4[[Tonnage Range]:[Tonnage Range]],t_Presses[hp2016.03])</f>
        <v>190.00873154623153</v>
      </c>
      <c r="AW8" s="43">
        <f>SUMIF(r_Press_Tonnage,Table4[[Tonnage Range]:[Tonnage Range]],t_Presses[hp2016.04])</f>
        <v>158.80698523698518</v>
      </c>
      <c r="AX8" s="43">
        <f>SUMIF(r_Press_Tonnage,Table4[[Tonnage Range]:[Tonnage Range]],t_Presses[hp2016.05])</f>
        <v>158.80698523698518</v>
      </c>
      <c r="AY8" s="43">
        <f>SUMIF(r_Press_Tonnage,Table4[[Tonnage Range]:[Tonnage Range]],t_Presses[hp2016.06])</f>
        <v>190.00873154623153</v>
      </c>
      <c r="AZ8" s="43">
        <f>SUMIF(r_Press_Tonnage,Table4[[Tonnage Range]:[Tonnage Range]],t_Presses[hp2016.07])</f>
        <v>158.80698523698518</v>
      </c>
      <c r="BA8" s="43">
        <f>SUMIF(r_Press_Tonnage,Table4[[Tonnage Range]:[Tonnage Range]],t_Presses[hp2016.08])</f>
        <v>146.41560994560993</v>
      </c>
      <c r="BB8" s="43">
        <f>SUMIF(r_Press_Tonnage,Table4[[Tonnage Range]:[Tonnage Range]],t_Presses[hp2016.09])</f>
        <v>175.51951243201242</v>
      </c>
      <c r="BC8" s="43">
        <f>SUMIF(r_Press_Tonnage,Table4[[Tonnage Range]:[Tonnage Range]],t_Presses[hp2016.10])</f>
        <v>146.41560994560993</v>
      </c>
      <c r="BD8" s="43">
        <f>SUMIF(r_Press_Tonnage,Table4[[Tonnage Range]:[Tonnage Range]],t_Presses[hp2016.11])</f>
        <v>146.41560994560993</v>
      </c>
      <c r="BE8" s="43">
        <f>SUMIF(r_Press_Tonnage,Table4[[Tonnage Range]:[Tonnage Range]],t_Presses[hp2016.12])</f>
        <v>175.51951243201242</v>
      </c>
      <c r="BF8" s="43">
        <f>SUMIF(r_Press_Tonnage,Table4[[Tonnage Range]:[Tonnage Range]],t_Presses[hp2016.FY])</f>
        <v>1964.3382439782438</v>
      </c>
      <c r="BG8" s="43">
        <f>SUMIF(r_Press_Tonnage,Table4[[Tonnage Range]:[Tonnage Range]],t_Presses[hp2017])</f>
        <v>1811.1524242424239</v>
      </c>
      <c r="BH8" s="43">
        <f>SUMIF(r_Press_Tonnage,Table4[[Tonnage Range]:[Tonnage Range]],t_Presses[hp2018])</f>
        <v>1811.1524242424239</v>
      </c>
      <c r="BI8" s="43">
        <f>SUMIF(r_Press_Tonnage,Table4[[Tonnage Range]:[Tonnage Range]],t_Presses[hp2019])</f>
        <v>1811.1524242424239</v>
      </c>
      <c r="BJ8" s="17">
        <f>IF(Table4[[#This Row],[ha2015.01]]&gt;0,Table4[[#This Row],[hp2015.01]]/Table4[[#This Row],[ha2015.01]],0)</f>
        <v>0.17567144384622255</v>
      </c>
      <c r="BK8" s="17">
        <f>IF(Table4[[#This Row],[ha2015.02]]&gt;0,Table4[[#This Row],[hp2015.02]]/Table4[[#This Row],[ha2015.02]],0)</f>
        <v>0.17567144384622255</v>
      </c>
      <c r="BL8" s="17">
        <f>IF(Table4[[#This Row],[ha2015.03]]&gt;0,Table4[[#This Row],[hp2015.03]]/Table4[[#This Row],[ha2015.03]],0)</f>
        <v>0.16295774575148503</v>
      </c>
      <c r="BM8" s="17">
        <f>IF(Table4[[#This Row],[ha2015.04]]&gt;0,Table4[[#This Row],[hp2015.04]]/Table4[[#This Row],[ha2015.04]],0)</f>
        <v>0.17567144384622255</v>
      </c>
      <c r="BN8" s="17">
        <f>IF(Table4[[#This Row],[ha2015.05]]&gt;0,Table4[[#This Row],[hp2015.05]]/Table4[[#This Row],[ha2015.05]],0)</f>
        <v>0.17567144384622255</v>
      </c>
      <c r="BO8" s="17">
        <f>IF(Table4[[#This Row],[ha2015.06]]&gt;0,Table4[[#This Row],[hp2015.06]]/Table4[[#This Row],[ha2015.06]],0)</f>
        <v>0.16295774575148503</v>
      </c>
      <c r="BP8" s="17">
        <f>IF(Table4[[#This Row],[ha2015.07]]&gt;0,Table4[[#This Row],[hp2015.07]]/Table4[[#This Row],[ha2015.07]],0)</f>
        <v>0.17567144384622255</v>
      </c>
      <c r="BQ8" s="17">
        <f>IF(Table4[[#This Row],[ha2015.08]]&gt;0,Table4[[#This Row],[hp2015.08]]/Table4[[#This Row],[ha2015.08]],0)</f>
        <v>0.17567144384622255</v>
      </c>
      <c r="BR8" s="17">
        <f>IF(Table4[[#This Row],[ha2015.09]]&gt;0,Table4[[#This Row],[hp2015.09]]/Table4[[#This Row],[ha2015.09]],0)</f>
        <v>0.16295774575148503</v>
      </c>
      <c r="BS8" s="17">
        <f>IF(Table4[[#This Row],[ha2015.10]]&gt;0,Table4[[#This Row],[hp2015.10]]/Table4[[#This Row],[ha2015.10]],0)</f>
        <v>0.17567144384622255</v>
      </c>
      <c r="BT8" s="17">
        <f>IF(Table4[[#This Row],[ha2015.11]]&gt;0,Table4[[#This Row],[hp2015.11]]/Table4[[#This Row],[ha2015.11]],0)</f>
        <v>0.17567144384622255</v>
      </c>
      <c r="BU8" s="17">
        <f>IF(Table4[[#This Row],[ha2015.12]]&gt;0,Table4[[#This Row],[hp2015.12]]/Table4[[#This Row],[ha2015.12]],0)</f>
        <v>0.16295774575148503</v>
      </c>
      <c r="BV8" s="17">
        <f>IF(Table4[[#This Row],[ha2015.FY]]&gt;0,Table4[[#This Row],[hp2015.FY]]/Table4[[#This Row],[ha2015.FY]],0)</f>
        <v>0.17068685340289236</v>
      </c>
      <c r="BW8" s="17">
        <f>IF(Table4[[#This Row],[ha2016.01]]&gt;0,Table4[[#This Row],[hp2016.01]]/Table4[[#This Row],[ha2016.01]],0)</f>
        <v>0.17567144384622255</v>
      </c>
      <c r="BX8" s="17">
        <f>IF(Table4[[#This Row],[ha2016.02]]&gt;0,Table4[[#This Row],[hp2016.02]]/Table4[[#This Row],[ha2016.02]],0)</f>
        <v>0.17567144384622255</v>
      </c>
      <c r="BY8" s="17">
        <f>IF(Table4[[#This Row],[ha2016.03]]&gt;0,Table4[[#This Row],[hp2016.03]]/Table4[[#This Row],[ha2016.03]],0)</f>
        <v>0.16295774575148503</v>
      </c>
      <c r="BZ8" s="17">
        <f>IF(Table4[[#This Row],[ha2016.04]]&gt;0,Table4[[#This Row],[hp2016.04]]/Table4[[#This Row],[ha2016.04]],0)</f>
        <v>0.17567144384622255</v>
      </c>
      <c r="CA8" s="17">
        <f>IF(Table4[[#This Row],[ha2016.05]]&gt;0,Table4[[#This Row],[hp2016.05]]/Table4[[#This Row],[ha2016.05]],0)</f>
        <v>0.17567144384622255</v>
      </c>
      <c r="CB8" s="17">
        <f>IF(Table4[[#This Row],[ha2016.06]]&gt;0,Table4[[#This Row],[hp2016.06]]/Table4[[#This Row],[ha2016.06]],0)</f>
        <v>0.16295774575148503</v>
      </c>
      <c r="CC8" s="17">
        <f>IF(Table4[[#This Row],[ha2016.07]]&gt;0,Table4[[#This Row],[hp2016.07]]/Table4[[#This Row],[ha2016.07]],0)</f>
        <v>0.17567144384622255</v>
      </c>
      <c r="CD8" s="17">
        <f>IF(Table4[[#This Row],[ha2016.08]]&gt;0,Table4[[#This Row],[hp2016.08]]/Table4[[#This Row],[ha2016.08]],0)</f>
        <v>0.1619641702938163</v>
      </c>
      <c r="CE8" s="17">
        <f>IF(Table4[[#This Row],[ha2016.09]]&gt;0,Table4[[#This Row],[hp2016.09]]/Table4[[#This Row],[ha2016.09]],0)</f>
        <v>0.15053131426416158</v>
      </c>
      <c r="CF8" s="17">
        <f>IF(Table4[[#This Row],[ha2016.10]]&gt;0,Table4[[#This Row],[hp2016.10]]/Table4[[#This Row],[ha2016.10]],0)</f>
        <v>0.1619641702938163</v>
      </c>
      <c r="CG8" s="17">
        <f>IF(Table4[[#This Row],[ha2016.11]]&gt;0,Table4[[#This Row],[hp2016.11]]/Table4[[#This Row],[ha2016.11]],0)</f>
        <v>0.1619641702938163</v>
      </c>
      <c r="CH8" s="17">
        <f>IF(Table4[[#This Row],[ha2016.12]]&gt;0,Table4[[#This Row],[hp2016.12]]/Table4[[#This Row],[ha2016.12]],0)</f>
        <v>0.15053131426416158</v>
      </c>
      <c r="CI8" s="17">
        <f>IF(Table4[[#This Row],[ha2016.FY]]&gt;0,Table4[[#This Row],[hp2016.FY]]/Table4[[#This Row],[ha2016.FY]],0)</f>
        <v>0.1651259451898322</v>
      </c>
      <c r="CJ8" s="17">
        <f>IF(Table4[[#This Row],[ha2017]]&gt;0,Table4[[#This Row],[hp2017]]/Table4[[#This Row],[ha2017]],0)</f>
        <v>0.15224885879643779</v>
      </c>
      <c r="CK8" s="17">
        <f>IF(Table4[[#This Row],[ha2018]]&gt;0,Table4[[#This Row],[hp2018]]/Table4[[#This Row],[ha2018]],0)</f>
        <v>0.15224885879643779</v>
      </c>
      <c r="CL8" s="17">
        <f>IF(Table4[[#This Row],[ha2019]]&gt;0,Table4[[#This Row],[hp2019]]/Table4[[#This Row],[ha2019]],0)</f>
        <v>0.15224885879643779</v>
      </c>
    </row>
    <row r="9" spans="1:90" x14ac:dyDescent="0.25">
      <c r="A9">
        <v>5</v>
      </c>
      <c r="B9" s="37" t="str">
        <f>CONCATENATE(FLOOR(v_TRBS*(A9-1),v_TRBS),"-",FLOOR(v_TRBS*(A9-1),v_TRBS)+v_TRBS-1)</f>
        <v>1200-1499</v>
      </c>
      <c r="C9" s="37">
        <f>COUNTIF(r_Press_Tonnage,Table4[[Tonnage Range]:[Tonnage Range]])</f>
        <v>0</v>
      </c>
      <c r="D9">
        <f>SUMIF(r_Press_Tonnage,Table4[[Tonnage Range]:[Tonnage Range]],t_Presses[ha2015.01])</f>
        <v>0</v>
      </c>
      <c r="E9">
        <f>SUMIF(r_Press_Tonnage,Table4[[Tonnage Range]:[Tonnage Range]],t_Presses[ha2015.02])</f>
        <v>0</v>
      </c>
      <c r="F9">
        <f>SUMIF(r_Press_Tonnage,Table4[[Tonnage Range]:[Tonnage Range]],t_Presses[ha2015.03])</f>
        <v>0</v>
      </c>
      <c r="G9">
        <f>SUMIF(r_Press_Tonnage,Table4[[Tonnage Range]:[Tonnage Range]],t_Presses[ha2015.04])</f>
        <v>0</v>
      </c>
      <c r="H9">
        <f>SUMIF(r_Press_Tonnage,Table4[[Tonnage Range]:[Tonnage Range]],t_Presses[ha2015.05])</f>
        <v>0</v>
      </c>
      <c r="I9">
        <f>SUMIF(r_Press_Tonnage,Table4[[Tonnage Range]:[Tonnage Range]],t_Presses[ha2015.06])</f>
        <v>0</v>
      </c>
      <c r="J9">
        <f>SUMIF(r_Press_Tonnage,Table4[[Tonnage Range]:[Tonnage Range]],t_Presses[ha2015.07])</f>
        <v>0</v>
      </c>
      <c r="K9">
        <f>SUMIF(r_Press_Tonnage,Table4[[Tonnage Range]:[Tonnage Range]],t_Presses[ha2015.08])</f>
        <v>0</v>
      </c>
      <c r="L9">
        <f>SUMIF(r_Press_Tonnage,Table4[[Tonnage Range]:[Tonnage Range]],t_Presses[ha2015.09])</f>
        <v>0</v>
      </c>
      <c r="M9">
        <f>SUMIF(r_Press_Tonnage,Table4[[Tonnage Range]:[Tonnage Range]],t_Presses[ha2015.10])</f>
        <v>0</v>
      </c>
      <c r="N9">
        <f>SUMIF(r_Press_Tonnage,Table4[[Tonnage Range]:[Tonnage Range]],t_Presses[ha2015.11])</f>
        <v>0</v>
      </c>
      <c r="O9">
        <f>SUMIF(r_Press_Tonnage,Table4[[Tonnage Range]:[Tonnage Range]],t_Presses[ha2015.12])</f>
        <v>0</v>
      </c>
      <c r="P9">
        <f>SUMIF(r_Press_Tonnage,Table4[[Tonnage Range]:[Tonnage Range]],t_Presses[ha2015.FY])</f>
        <v>0</v>
      </c>
      <c r="Q9" s="20">
        <f>SUMIF(r_Press_Tonnage,Table4[[Tonnage Range]:[Tonnage Range]],t_Presses[ha2016.01])</f>
        <v>0</v>
      </c>
      <c r="R9" s="43">
        <f>SUMIF(r_Press_Tonnage,Table4[[Tonnage Range]:[Tonnage Range]],t_Presses[ha2016.02])</f>
        <v>0</v>
      </c>
      <c r="S9" s="43">
        <f>SUMIF(r_Press_Tonnage,Table4[[Tonnage Range]:[Tonnage Range]],t_Presses[ha2016.03])</f>
        <v>0</v>
      </c>
      <c r="T9" s="43">
        <f>SUMIF(r_Press_Tonnage,Table4[[Tonnage Range]:[Tonnage Range]],t_Presses[ha2016.04])</f>
        <v>0</v>
      </c>
      <c r="U9" s="43">
        <f>SUMIF(r_Press_Tonnage,Table4[[Tonnage Range]:[Tonnage Range]],t_Presses[ha2016.05])</f>
        <v>0</v>
      </c>
      <c r="V9" s="43">
        <f>SUMIF(r_Press_Tonnage,Table4[[Tonnage Range]:[Tonnage Range]],t_Presses[ha2016.06])</f>
        <v>0</v>
      </c>
      <c r="W9" s="43">
        <f>SUMIF(r_Press_Tonnage,Table4[[Tonnage Range]:[Tonnage Range]],t_Presses[ha2016.07])</f>
        <v>0</v>
      </c>
      <c r="X9" s="43">
        <f>SUMIF(r_Press_Tonnage,Table4[[Tonnage Range]:[Tonnage Range]],t_Presses[ha2016.08])</f>
        <v>0</v>
      </c>
      <c r="Y9" s="43">
        <f>SUMIF(r_Press_Tonnage,Table4[[Tonnage Range]:[Tonnage Range]],t_Presses[ha2016.09])</f>
        <v>0</v>
      </c>
      <c r="Z9" s="43">
        <f>SUMIF(r_Press_Tonnage,Table4[[Tonnage Range]:[Tonnage Range]],t_Presses[ha2016.10])</f>
        <v>0</v>
      </c>
      <c r="AA9" s="43">
        <f>SUMIF(r_Press_Tonnage,Table4[[Tonnage Range]:[Tonnage Range]],t_Presses[ha2016.11])</f>
        <v>0</v>
      </c>
      <c r="AB9" s="43">
        <f>SUMIF(r_Press_Tonnage,Table4[[Tonnage Range]:[Tonnage Range]],t_Presses[ha2016.12])</f>
        <v>0</v>
      </c>
      <c r="AC9" s="43">
        <f>SUMIF(r_Press_Tonnage,Table4[[Tonnage Range]:[Tonnage Range]],t_Presses[ha2016.FY])</f>
        <v>0</v>
      </c>
      <c r="AD9" s="43">
        <f>SUMIF(r_Press_Tonnage,Table4[[Tonnage Range]:[Tonnage Range]],t_Presses[ha2017])</f>
        <v>0</v>
      </c>
      <c r="AE9" s="43">
        <f>SUMIF(r_Press_Tonnage,Table4[[Tonnage Range]:[Tonnage Range]],t_Presses[ha2018])</f>
        <v>0</v>
      </c>
      <c r="AF9" s="43">
        <f>SUMIF(r_Press_Tonnage,Table4[[Tonnage Range]:[Tonnage Range]],t_Presses[ha2019])</f>
        <v>0</v>
      </c>
      <c r="AG9" s="43">
        <f>SUMIF(r_Press_Tonnage,Table4[[Tonnage Range]:[Tonnage Range]],t_Presses[hp2015.01])</f>
        <v>0</v>
      </c>
      <c r="AH9" s="43">
        <f>SUMIF(r_Press_Tonnage,Table4[[Tonnage Range]:[Tonnage Range]],t_Presses[hp2015.02])</f>
        <v>0</v>
      </c>
      <c r="AI9" s="43">
        <f>SUMIF(r_Press_Tonnage,Table4[[Tonnage Range]:[Tonnage Range]],t_Presses[hp2015.03])</f>
        <v>0</v>
      </c>
      <c r="AJ9" s="43">
        <f>SUMIF(r_Press_Tonnage,Table4[[Tonnage Range]:[Tonnage Range]],t_Presses[hp2015.04])</f>
        <v>0</v>
      </c>
      <c r="AK9" s="43">
        <f>SUMIF(r_Press_Tonnage,Table4[[Tonnage Range]:[Tonnage Range]],t_Presses[hp2015.05])</f>
        <v>0</v>
      </c>
      <c r="AL9" s="43">
        <f>SUMIF(r_Press_Tonnage,Table4[[Tonnage Range]:[Tonnage Range]],t_Presses[hp2015.06])</f>
        <v>0</v>
      </c>
      <c r="AM9" s="43">
        <f>SUMIF(r_Press_Tonnage,Table4[[Tonnage Range]:[Tonnage Range]],t_Presses[hp2015.07])</f>
        <v>0</v>
      </c>
      <c r="AN9" s="43">
        <f>SUMIF(r_Press_Tonnage,Table4[[Tonnage Range]:[Tonnage Range]],t_Presses[hp2015.08])</f>
        <v>0</v>
      </c>
      <c r="AO9" s="43">
        <f>SUMIF(r_Press_Tonnage,Table4[[Tonnage Range]:[Tonnage Range]],t_Presses[hp2015.09])</f>
        <v>0</v>
      </c>
      <c r="AP9" s="43">
        <f>SUMIF(r_Press_Tonnage,Table4[[Tonnage Range]:[Tonnage Range]],t_Presses[hp2015.10])</f>
        <v>0</v>
      </c>
      <c r="AQ9" s="43">
        <f>SUMIF(r_Press_Tonnage,Table4[[Tonnage Range]:[Tonnage Range]],t_Presses[hp2015.11])</f>
        <v>0</v>
      </c>
      <c r="AR9" s="43">
        <f>SUMIF(r_Press_Tonnage,Table4[[Tonnage Range]:[Tonnage Range]],t_Presses[hp2015.12])</f>
        <v>0</v>
      </c>
      <c r="AS9" s="43">
        <f>SUM(Table4[[#This Row],[hp2015.01]:[hp2015.12]])</f>
        <v>0</v>
      </c>
      <c r="AT9" s="43">
        <f>SUMIF(r_Press_Tonnage,Table4[[Tonnage Range]:[Tonnage Range]],t_Presses[hp2016.01])</f>
        <v>0</v>
      </c>
      <c r="AU9" s="43">
        <f>SUMIF(r_Press_Tonnage,Table4[[Tonnage Range]:[Tonnage Range]],t_Presses[hp2016.02])</f>
        <v>0</v>
      </c>
      <c r="AV9" s="43">
        <f>SUMIF(r_Press_Tonnage,Table4[[Tonnage Range]:[Tonnage Range]],t_Presses[hp2016.03])</f>
        <v>0</v>
      </c>
      <c r="AW9" s="43">
        <f>SUMIF(r_Press_Tonnage,Table4[[Tonnage Range]:[Tonnage Range]],t_Presses[hp2016.04])</f>
        <v>0</v>
      </c>
      <c r="AX9" s="43">
        <f>SUMIF(r_Press_Tonnage,Table4[[Tonnage Range]:[Tonnage Range]],t_Presses[hp2016.05])</f>
        <v>0</v>
      </c>
      <c r="AY9" s="43">
        <f>SUMIF(r_Press_Tonnage,Table4[[Tonnage Range]:[Tonnage Range]],t_Presses[hp2016.06])</f>
        <v>0</v>
      </c>
      <c r="AZ9" s="43">
        <f>SUMIF(r_Press_Tonnage,Table4[[Tonnage Range]:[Tonnage Range]],t_Presses[hp2016.07])</f>
        <v>0</v>
      </c>
      <c r="BA9" s="43">
        <f>SUMIF(r_Press_Tonnage,Table4[[Tonnage Range]:[Tonnage Range]],t_Presses[hp2016.08])</f>
        <v>0</v>
      </c>
      <c r="BB9" s="43">
        <f>SUMIF(r_Press_Tonnage,Table4[[Tonnage Range]:[Tonnage Range]],t_Presses[hp2016.09])</f>
        <v>0</v>
      </c>
      <c r="BC9" s="43">
        <f>SUMIF(r_Press_Tonnage,Table4[[Tonnage Range]:[Tonnage Range]],t_Presses[hp2016.10])</f>
        <v>0</v>
      </c>
      <c r="BD9" s="43">
        <f>SUMIF(r_Press_Tonnage,Table4[[Tonnage Range]:[Tonnage Range]],t_Presses[hp2016.11])</f>
        <v>0</v>
      </c>
      <c r="BE9" s="43">
        <f>SUMIF(r_Press_Tonnage,Table4[[Tonnage Range]:[Tonnage Range]],t_Presses[hp2016.12])</f>
        <v>0</v>
      </c>
      <c r="BF9" s="43">
        <f>SUMIF(r_Press_Tonnage,Table4[[Tonnage Range]:[Tonnage Range]],t_Presses[hp2016.FY])</f>
        <v>0</v>
      </c>
      <c r="BG9" s="43">
        <f>SUMIF(r_Press_Tonnage,Table4[[Tonnage Range]:[Tonnage Range]],t_Presses[hp2017])</f>
        <v>0</v>
      </c>
      <c r="BH9" s="43">
        <f>SUMIF(r_Press_Tonnage,Table4[[Tonnage Range]:[Tonnage Range]],t_Presses[hp2018])</f>
        <v>0</v>
      </c>
      <c r="BI9" s="43">
        <f>SUMIF(r_Press_Tonnage,Table4[[Tonnage Range]:[Tonnage Range]],t_Presses[hp2019])</f>
        <v>0</v>
      </c>
      <c r="BJ9" s="17">
        <f>IF(Table4[[#This Row],[ha2015.01]]&gt;0,Table4[[#This Row],[hp2015.01]]/Table4[[#This Row],[ha2015.01]],0)</f>
        <v>0</v>
      </c>
      <c r="BK9" s="17">
        <f>IF(Table4[[#This Row],[ha2015.02]]&gt;0,Table4[[#This Row],[hp2015.02]]/Table4[[#This Row],[ha2015.02]],0)</f>
        <v>0</v>
      </c>
      <c r="BL9" s="17">
        <f>IF(Table4[[#This Row],[ha2015.03]]&gt;0,Table4[[#This Row],[hp2015.03]]/Table4[[#This Row],[ha2015.03]],0)</f>
        <v>0</v>
      </c>
      <c r="BM9" s="17">
        <f>IF(Table4[[#This Row],[ha2015.04]]&gt;0,Table4[[#This Row],[hp2015.04]]/Table4[[#This Row],[ha2015.04]],0)</f>
        <v>0</v>
      </c>
      <c r="BN9" s="17">
        <f>IF(Table4[[#This Row],[ha2015.05]]&gt;0,Table4[[#This Row],[hp2015.05]]/Table4[[#This Row],[ha2015.05]],0)</f>
        <v>0</v>
      </c>
      <c r="BO9" s="17">
        <f>IF(Table4[[#This Row],[ha2015.06]]&gt;0,Table4[[#This Row],[hp2015.06]]/Table4[[#This Row],[ha2015.06]],0)</f>
        <v>0</v>
      </c>
      <c r="BP9" s="17">
        <f>IF(Table4[[#This Row],[ha2015.07]]&gt;0,Table4[[#This Row],[hp2015.07]]/Table4[[#This Row],[ha2015.07]],0)</f>
        <v>0</v>
      </c>
      <c r="BQ9" s="17">
        <f>IF(Table4[[#This Row],[ha2015.08]]&gt;0,Table4[[#This Row],[hp2015.08]]/Table4[[#This Row],[ha2015.08]],0)</f>
        <v>0</v>
      </c>
      <c r="BR9" s="17">
        <f>IF(Table4[[#This Row],[ha2015.09]]&gt;0,Table4[[#This Row],[hp2015.09]]/Table4[[#This Row],[ha2015.09]],0)</f>
        <v>0</v>
      </c>
      <c r="BS9" s="17">
        <f>IF(Table4[[#This Row],[ha2015.10]]&gt;0,Table4[[#This Row],[hp2015.10]]/Table4[[#This Row],[ha2015.10]],0)</f>
        <v>0</v>
      </c>
      <c r="BT9" s="17">
        <f>IF(Table4[[#This Row],[ha2015.11]]&gt;0,Table4[[#This Row],[hp2015.11]]/Table4[[#This Row],[ha2015.11]],0)</f>
        <v>0</v>
      </c>
      <c r="BU9" s="17">
        <f>IF(Table4[[#This Row],[ha2015.12]]&gt;0,Table4[[#This Row],[hp2015.12]]/Table4[[#This Row],[ha2015.12]],0)</f>
        <v>0</v>
      </c>
      <c r="BV9" s="17">
        <f>IF(Table4[[#This Row],[ha2015.FY]]&gt;0,Table4[[#This Row],[hp2015.FY]]/Table4[[#This Row],[ha2015.FY]],0)</f>
        <v>0</v>
      </c>
      <c r="BW9" s="17">
        <f>IF(Table4[[#This Row],[ha2016.01]]&gt;0,Table4[[#This Row],[hp2016.01]]/Table4[[#This Row],[ha2016.01]],0)</f>
        <v>0</v>
      </c>
      <c r="BX9" s="17">
        <f>IF(Table4[[#This Row],[ha2016.02]]&gt;0,Table4[[#This Row],[hp2016.02]]/Table4[[#This Row],[ha2016.02]],0)</f>
        <v>0</v>
      </c>
      <c r="BY9" s="17">
        <f>IF(Table4[[#This Row],[ha2016.03]]&gt;0,Table4[[#This Row],[hp2016.03]]/Table4[[#This Row],[ha2016.03]],0)</f>
        <v>0</v>
      </c>
      <c r="BZ9" s="17">
        <f>IF(Table4[[#This Row],[ha2016.04]]&gt;0,Table4[[#This Row],[hp2016.04]]/Table4[[#This Row],[ha2016.04]],0)</f>
        <v>0</v>
      </c>
      <c r="CA9" s="17">
        <f>IF(Table4[[#This Row],[ha2016.05]]&gt;0,Table4[[#This Row],[hp2016.05]]/Table4[[#This Row],[ha2016.05]],0)</f>
        <v>0</v>
      </c>
      <c r="CB9" s="17">
        <f>IF(Table4[[#This Row],[ha2016.06]]&gt;0,Table4[[#This Row],[hp2016.06]]/Table4[[#This Row],[ha2016.06]],0)</f>
        <v>0</v>
      </c>
      <c r="CC9" s="17">
        <f>IF(Table4[[#This Row],[ha2016.07]]&gt;0,Table4[[#This Row],[hp2016.07]]/Table4[[#This Row],[ha2016.07]],0)</f>
        <v>0</v>
      </c>
      <c r="CD9" s="17">
        <f>IF(Table4[[#This Row],[ha2016.08]]&gt;0,Table4[[#This Row],[hp2016.08]]/Table4[[#This Row],[ha2016.08]],0)</f>
        <v>0</v>
      </c>
      <c r="CE9" s="17">
        <f>IF(Table4[[#This Row],[ha2016.09]]&gt;0,Table4[[#This Row],[hp2016.09]]/Table4[[#This Row],[ha2016.09]],0)</f>
        <v>0</v>
      </c>
      <c r="CF9" s="17">
        <f>IF(Table4[[#This Row],[ha2016.10]]&gt;0,Table4[[#This Row],[hp2016.10]]/Table4[[#This Row],[ha2016.10]],0)</f>
        <v>0</v>
      </c>
      <c r="CG9" s="17">
        <f>IF(Table4[[#This Row],[ha2016.11]]&gt;0,Table4[[#This Row],[hp2016.11]]/Table4[[#This Row],[ha2016.11]],0)</f>
        <v>0</v>
      </c>
      <c r="CH9" s="17">
        <f>IF(Table4[[#This Row],[ha2016.12]]&gt;0,Table4[[#This Row],[hp2016.12]]/Table4[[#This Row],[ha2016.12]],0)</f>
        <v>0</v>
      </c>
      <c r="CI9" s="17">
        <f>IF(Table4[[#This Row],[ha2016.FY]]&gt;0,Table4[[#This Row],[hp2016.FY]]/Table4[[#This Row],[ha2016.FY]],0)</f>
        <v>0</v>
      </c>
      <c r="CJ9" s="17">
        <f>IF(Table4[[#This Row],[ha2017]]&gt;0,Table4[[#This Row],[hp2017]]/Table4[[#This Row],[ha2017]],0)</f>
        <v>0</v>
      </c>
      <c r="CK9" s="17">
        <f>IF(Table4[[#This Row],[ha2018]]&gt;0,Table4[[#This Row],[hp2018]]/Table4[[#This Row],[ha2018]],0)</f>
        <v>0</v>
      </c>
      <c r="CL9" s="17">
        <f>IF(Table4[[#This Row],[ha2019]]&gt;0,Table4[[#This Row],[hp2019]]/Table4[[#This Row],[ha2019]],0)</f>
        <v>0</v>
      </c>
    </row>
    <row r="10" spans="1:90" x14ac:dyDescent="0.25">
      <c r="D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</row>
    <row r="11" spans="1:90" x14ac:dyDescent="0.25">
      <c r="D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</row>
    <row r="12" spans="1:90" x14ac:dyDescent="0.25">
      <c r="D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</row>
    <row r="13" spans="1:90" x14ac:dyDescent="0.25">
      <c r="D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</row>
    <row r="14" spans="1:90" x14ac:dyDescent="0.25">
      <c r="D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</row>
    <row r="15" spans="1:90" x14ac:dyDescent="0.25"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</row>
    <row r="16" spans="1:90" x14ac:dyDescent="0.25">
      <c r="D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</row>
    <row r="17" spans="4:74" x14ac:dyDescent="0.25">
      <c r="D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</row>
    <row r="18" spans="4:74" x14ac:dyDescent="0.25">
      <c r="D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</row>
    <row r="19" spans="4:74" x14ac:dyDescent="0.25">
      <c r="D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</row>
    <row r="20" spans="4:74" x14ac:dyDescent="0.25">
      <c r="D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</row>
    <row r="21" spans="4:74" x14ac:dyDescent="0.25">
      <c r="D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</row>
    <row r="22" spans="4:74" x14ac:dyDescent="0.25">
      <c r="D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</row>
    <row r="23" spans="4:74" x14ac:dyDescent="0.25">
      <c r="D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</row>
    <row r="24" spans="4:74" x14ac:dyDescent="0.25">
      <c r="D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</row>
    <row r="25" spans="4:74" x14ac:dyDescent="0.25">
      <c r="D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</row>
    <row r="26" spans="4:74" x14ac:dyDescent="0.25">
      <c r="D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</row>
    <row r="27" spans="4:74" x14ac:dyDescent="0.25">
      <c r="D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</row>
    <row r="28" spans="4:74" x14ac:dyDescent="0.25">
      <c r="D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</row>
    <row r="29" spans="4:74" x14ac:dyDescent="0.25">
      <c r="D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</row>
    <row r="30" spans="4:74" x14ac:dyDescent="0.25">
      <c r="D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</row>
    <row r="31" spans="4:74" x14ac:dyDescent="0.25">
      <c r="D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</row>
    <row r="32" spans="4:74" x14ac:dyDescent="0.25">
      <c r="D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</row>
    <row r="33" spans="4:74" x14ac:dyDescent="0.25">
      <c r="D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</row>
    <row r="34" spans="4:74" x14ac:dyDescent="0.25">
      <c r="D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</row>
    <row r="35" spans="4:74" x14ac:dyDescent="0.25">
      <c r="D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</row>
    <row r="36" spans="4:74" x14ac:dyDescent="0.25">
      <c r="D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</row>
    <row r="37" spans="4:74" x14ac:dyDescent="0.25">
      <c r="D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</row>
    <row r="38" spans="4:74" x14ac:dyDescent="0.25">
      <c r="D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</row>
    <row r="39" spans="4:74" x14ac:dyDescent="0.25">
      <c r="D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</row>
    <row r="40" spans="4:74" x14ac:dyDescent="0.25">
      <c r="D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</row>
    <row r="41" spans="4:74" x14ac:dyDescent="0.25">
      <c r="D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</row>
    <row r="42" spans="4:74" x14ac:dyDescent="0.25">
      <c r="D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</row>
    <row r="43" spans="4:74" x14ac:dyDescent="0.25">
      <c r="D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</row>
    <row r="44" spans="4:74" x14ac:dyDescent="0.25">
      <c r="D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</row>
    <row r="45" spans="4:74" x14ac:dyDescent="0.25">
      <c r="D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</row>
    <row r="46" spans="4:74" x14ac:dyDescent="0.25">
      <c r="D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</row>
    <row r="47" spans="4:74" x14ac:dyDescent="0.25">
      <c r="D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</row>
    <row r="48" spans="4:74" x14ac:dyDescent="0.25">
      <c r="D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</row>
    <row r="50" spans="4:62" x14ac:dyDescent="0.25">
      <c r="BJ50" s="4"/>
    </row>
    <row r="53" spans="4:62" x14ac:dyDescent="0.25">
      <c r="D53" s="3"/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ToggleMenu">
                <anchor moveWithCells="1">
                  <from>
                    <xdr:col>2</xdr:col>
                    <xdr:colOff>0</xdr:colOff>
                    <xdr:row>2</xdr:row>
                    <xdr:rowOff>28575</xdr:rowOff>
                  </from>
                  <to>
                    <xdr:col>2</xdr:col>
                    <xdr:colOff>323850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DropDownTonnageViews">
              <controlPr locked="0" defaultSize="0" print="0" autoLine="0" autoPict="0" macro="[0]!DropDownTonnageViews_Change">
                <anchor moveWithCells="1">
                  <from>
                    <xdr:col>0</xdr:col>
                    <xdr:colOff>38100</xdr:colOff>
                    <xdr:row>1</xdr:row>
                    <xdr:rowOff>238125</xdr:rowOff>
                  </from>
                  <to>
                    <xdr:col>2</xdr:col>
                    <xdr:colOff>114300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BJ5:CL9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F37"/>
  <sheetViews>
    <sheetView topLeftCell="A10" workbookViewId="0">
      <selection activeCell="B26" sqref="B26"/>
    </sheetView>
  </sheetViews>
  <sheetFormatPr defaultRowHeight="15" x14ac:dyDescent="0.25"/>
  <cols>
    <col min="1" max="1" width="27.7109375" style="16" customWidth="1"/>
    <col min="6" max="6" width="13" customWidth="1"/>
  </cols>
  <sheetData>
    <row r="1" spans="1:6" x14ac:dyDescent="0.25">
      <c r="A1" s="33" t="s">
        <v>24</v>
      </c>
      <c r="B1" s="13"/>
    </row>
    <row r="2" spans="1:6" s="35" customFormat="1" ht="18" customHeight="1" x14ac:dyDescent="0.25">
      <c r="A2" s="53" t="s">
        <v>25</v>
      </c>
      <c r="B2" s="36" t="s">
        <v>26</v>
      </c>
    </row>
    <row r="3" spans="1:6" s="37" customFormat="1" x14ac:dyDescent="0.25">
      <c r="A3" s="54" t="s">
        <v>27</v>
      </c>
      <c r="B3" s="38">
        <v>300</v>
      </c>
      <c r="F3" s="49"/>
    </row>
    <row r="4" spans="1:6" s="37" customFormat="1" x14ac:dyDescent="0.25">
      <c r="A4" s="54" t="s">
        <v>164</v>
      </c>
      <c r="B4" s="48">
        <v>0.2</v>
      </c>
    </row>
    <row r="5" spans="1:6" s="37" customFormat="1" x14ac:dyDescent="0.25">
      <c r="A5" s="54" t="s">
        <v>165</v>
      </c>
      <c r="B5" s="48">
        <v>0.75</v>
      </c>
    </row>
    <row r="6" spans="1:6" s="37" customFormat="1" x14ac:dyDescent="0.25">
      <c r="A6" s="54" t="s">
        <v>166</v>
      </c>
      <c r="B6" s="48">
        <v>1</v>
      </c>
    </row>
    <row r="7" spans="1:6" x14ac:dyDescent="0.25">
      <c r="E7" s="37"/>
      <c r="F7" s="37"/>
    </row>
    <row r="8" spans="1:6" x14ac:dyDescent="0.25">
      <c r="E8" s="37"/>
      <c r="F8" s="37"/>
    </row>
    <row r="9" spans="1:6" x14ac:dyDescent="0.25">
      <c r="E9" s="37"/>
      <c r="F9" s="37"/>
    </row>
    <row r="10" spans="1:6" x14ac:dyDescent="0.25">
      <c r="A10" s="53" t="s">
        <v>355</v>
      </c>
      <c r="D10" s="37"/>
      <c r="E10" s="37"/>
      <c r="F10" s="37"/>
    </row>
    <row r="11" spans="1:6" x14ac:dyDescent="0.25">
      <c r="A11" s="16">
        <v>2015.01</v>
      </c>
      <c r="E11" s="37"/>
      <c r="F11" s="37"/>
    </row>
    <row r="12" spans="1:6" x14ac:dyDescent="0.25">
      <c r="A12" s="16">
        <v>2015.02</v>
      </c>
    </row>
    <row r="13" spans="1:6" x14ac:dyDescent="0.25">
      <c r="A13" s="16">
        <v>2015.03</v>
      </c>
    </row>
    <row r="14" spans="1:6" x14ac:dyDescent="0.25">
      <c r="A14" s="16">
        <v>2015.04</v>
      </c>
    </row>
    <row r="15" spans="1:6" x14ac:dyDescent="0.25">
      <c r="A15" s="16">
        <v>2015.05</v>
      </c>
    </row>
    <row r="16" spans="1:6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 t="s">
        <v>96</v>
      </c>
    </row>
    <row r="21" spans="1:1" x14ac:dyDescent="0.25">
      <c r="A21" s="16">
        <v>2015.11</v>
      </c>
    </row>
    <row r="22" spans="1:1" x14ac:dyDescent="0.25">
      <c r="A22" s="16" t="s">
        <v>92</v>
      </c>
    </row>
    <row r="23" spans="1:1" x14ac:dyDescent="0.25">
      <c r="A23" s="16" t="s">
        <v>321</v>
      </c>
    </row>
    <row r="24" spans="1:1" x14ac:dyDescent="0.25">
      <c r="A24" s="16" t="s">
        <v>322</v>
      </c>
    </row>
    <row r="25" spans="1:1" x14ac:dyDescent="0.25">
      <c r="A25" s="16" t="s">
        <v>323</v>
      </c>
    </row>
    <row r="26" spans="1:1" x14ac:dyDescent="0.25">
      <c r="A26" s="16" t="s">
        <v>324</v>
      </c>
    </row>
    <row r="27" spans="1:1" x14ac:dyDescent="0.25">
      <c r="A27" s="16" t="s">
        <v>325</v>
      </c>
    </row>
    <row r="28" spans="1:1" x14ac:dyDescent="0.25">
      <c r="A28" s="16" t="s">
        <v>326</v>
      </c>
    </row>
    <row r="29" spans="1:1" x14ac:dyDescent="0.25">
      <c r="A29" s="16" t="s">
        <v>327</v>
      </c>
    </row>
    <row r="30" spans="1:1" x14ac:dyDescent="0.25">
      <c r="A30" s="16" t="s">
        <v>328</v>
      </c>
    </row>
    <row r="31" spans="1:1" x14ac:dyDescent="0.25">
      <c r="A31" s="16" t="s">
        <v>329</v>
      </c>
    </row>
    <row r="32" spans="1:1" x14ac:dyDescent="0.25">
      <c r="A32" s="16" t="s">
        <v>330</v>
      </c>
    </row>
    <row r="33" spans="1:1" x14ac:dyDescent="0.25">
      <c r="A33" s="16" t="s">
        <v>331</v>
      </c>
    </row>
    <row r="34" spans="1:1" x14ac:dyDescent="0.25">
      <c r="A34" s="16" t="s">
        <v>332</v>
      </c>
    </row>
    <row r="35" spans="1:1" x14ac:dyDescent="0.25">
      <c r="A35" s="16" t="s">
        <v>81</v>
      </c>
    </row>
    <row r="36" spans="1:1" x14ac:dyDescent="0.25">
      <c r="A36" s="16" t="s">
        <v>82</v>
      </c>
    </row>
    <row r="37" spans="1:1" x14ac:dyDescent="0.25">
      <c r="A37" s="16" t="s">
        <v>83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"/>
  <sheetViews>
    <sheetView workbookViewId="0">
      <selection activeCell="B3" sqref="B3"/>
    </sheetView>
  </sheetViews>
  <sheetFormatPr defaultRowHeight="15" x14ac:dyDescent="0.25"/>
  <sheetData>
    <row r="1" spans="1:2" x14ac:dyDescent="0.25">
      <c r="A1" s="62" t="s">
        <v>421</v>
      </c>
    </row>
    <row r="3" spans="1:2" x14ac:dyDescent="0.25">
      <c r="A3">
        <v>1</v>
      </c>
      <c r="B3" t="s">
        <v>480</v>
      </c>
    </row>
    <row r="4" spans="1:2" x14ac:dyDescent="0.25">
      <c r="A4">
        <v>2</v>
      </c>
      <c r="B4" t="s">
        <v>481</v>
      </c>
    </row>
    <row r="5" spans="1:2" x14ac:dyDescent="0.25">
      <c r="A5">
        <v>3</v>
      </c>
      <c r="B5" t="s">
        <v>482</v>
      </c>
    </row>
    <row r="6" spans="1:2" x14ac:dyDescent="0.25">
      <c r="A6">
        <v>4</v>
      </c>
      <c r="B6" t="s">
        <v>483</v>
      </c>
    </row>
    <row r="7" spans="1:2" x14ac:dyDescent="0.25">
      <c r="A7">
        <v>5</v>
      </c>
      <c r="B7" t="s">
        <v>484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2"/>
  <sheetViews>
    <sheetView topLeftCell="A10" workbookViewId="0">
      <selection activeCell="D30" sqref="D29:D30"/>
    </sheetView>
  </sheetViews>
  <sheetFormatPr defaultRowHeight="15" x14ac:dyDescent="0.25"/>
  <cols>
    <col min="1" max="1" width="35.140625" customWidth="1"/>
    <col min="2" max="2" width="12.7109375" customWidth="1"/>
  </cols>
  <sheetData>
    <row r="1" spans="1:2" x14ac:dyDescent="0.25">
      <c r="A1" t="s">
        <v>423</v>
      </c>
      <c r="B1" t="s">
        <v>443</v>
      </c>
    </row>
    <row r="2" spans="1:2" x14ac:dyDescent="0.25">
      <c r="A2" t="s">
        <v>426</v>
      </c>
      <c r="B2" s="87">
        <v>10</v>
      </c>
    </row>
    <row r="3" spans="1:2" x14ac:dyDescent="0.25">
      <c r="A3" s="16" t="s">
        <v>425</v>
      </c>
      <c r="B3" s="87">
        <v>20</v>
      </c>
    </row>
    <row r="4" spans="1:2" x14ac:dyDescent="0.25">
      <c r="A4" s="16" t="s">
        <v>424</v>
      </c>
      <c r="B4" s="87">
        <v>30</v>
      </c>
    </row>
    <row r="5" spans="1:2" x14ac:dyDescent="0.25">
      <c r="A5" s="16" t="s">
        <v>433</v>
      </c>
      <c r="B5" s="87">
        <v>40</v>
      </c>
    </row>
    <row r="6" spans="1:2" x14ac:dyDescent="0.25">
      <c r="A6" s="16" t="s">
        <v>431</v>
      </c>
      <c r="B6" s="87">
        <v>60</v>
      </c>
    </row>
    <row r="7" spans="1:2" x14ac:dyDescent="0.25">
      <c r="A7" s="16" t="s">
        <v>29</v>
      </c>
      <c r="B7" s="87">
        <v>70</v>
      </c>
    </row>
    <row r="8" spans="1:2" x14ac:dyDescent="0.25">
      <c r="A8" t="s">
        <v>430</v>
      </c>
      <c r="B8" s="87">
        <v>80</v>
      </c>
    </row>
    <row r="9" spans="1:2" x14ac:dyDescent="0.25">
      <c r="A9" s="16" t="s">
        <v>432</v>
      </c>
      <c r="B9" s="87">
        <v>90</v>
      </c>
    </row>
    <row r="10" spans="1:2" x14ac:dyDescent="0.25">
      <c r="A10" s="16" t="s">
        <v>171</v>
      </c>
      <c r="B10" s="87">
        <v>100</v>
      </c>
    </row>
    <row r="11" spans="1:2" x14ac:dyDescent="0.25">
      <c r="A11" s="16" t="s">
        <v>434</v>
      </c>
      <c r="B11" s="87">
        <v>900</v>
      </c>
    </row>
    <row r="12" spans="1:2" x14ac:dyDescent="0.25">
      <c r="A12" s="16"/>
    </row>
    <row r="13" spans="1:2" x14ac:dyDescent="0.25">
      <c r="A13" s="16"/>
    </row>
    <row r="14" spans="1:2" x14ac:dyDescent="0.25">
      <c r="A14" t="s">
        <v>441</v>
      </c>
      <c r="B14" t="s">
        <v>443</v>
      </c>
    </row>
    <row r="15" spans="1:2" x14ac:dyDescent="0.25">
      <c r="A15" t="s">
        <v>426</v>
      </c>
      <c r="B15" s="87">
        <v>10</v>
      </c>
    </row>
    <row r="16" spans="1:2" x14ac:dyDescent="0.25">
      <c r="A16" s="16" t="s">
        <v>425</v>
      </c>
      <c r="B16" s="87">
        <v>20</v>
      </c>
    </row>
    <row r="17" spans="1:2" x14ac:dyDescent="0.25">
      <c r="A17" s="16" t="s">
        <v>424</v>
      </c>
      <c r="B17" s="87">
        <v>30</v>
      </c>
    </row>
    <row r="18" spans="1:2" x14ac:dyDescent="0.25">
      <c r="A18" s="16" t="s">
        <v>434</v>
      </c>
      <c r="B18" s="87">
        <v>40</v>
      </c>
    </row>
    <row r="19" spans="1:2" x14ac:dyDescent="0.25">
      <c r="A19" t="s">
        <v>435</v>
      </c>
      <c r="B19" s="87">
        <v>35</v>
      </c>
    </row>
    <row r="20" spans="1:2" x14ac:dyDescent="0.25">
      <c r="B20" s="87"/>
    </row>
    <row r="22" spans="1:2" x14ac:dyDescent="0.25">
      <c r="A22" s="68" t="s">
        <v>440</v>
      </c>
      <c r="B22" s="68" t="s">
        <v>443</v>
      </c>
    </row>
    <row r="23" spans="1:2" x14ac:dyDescent="0.25">
      <c r="A23" s="67" t="s">
        <v>435</v>
      </c>
      <c r="B23" s="68">
        <v>0</v>
      </c>
    </row>
    <row r="24" spans="1:2" x14ac:dyDescent="0.25">
      <c r="A24" s="67" t="s">
        <v>426</v>
      </c>
      <c r="B24" s="68">
        <v>1</v>
      </c>
    </row>
    <row r="25" spans="1:2" x14ac:dyDescent="0.25">
      <c r="A25" s="67" t="s">
        <v>425</v>
      </c>
      <c r="B25" s="68">
        <v>2</v>
      </c>
    </row>
    <row r="26" spans="1:2" x14ac:dyDescent="0.25">
      <c r="A26" s="67" t="s">
        <v>424</v>
      </c>
      <c r="B26" s="68">
        <v>3</v>
      </c>
    </row>
    <row r="27" spans="1:2" x14ac:dyDescent="0.25">
      <c r="A27" s="67" t="s">
        <v>436</v>
      </c>
      <c r="B27" s="68">
        <v>4</v>
      </c>
    </row>
    <row r="28" spans="1:2" x14ac:dyDescent="0.25">
      <c r="A28" s="67" t="s">
        <v>437</v>
      </c>
      <c r="B28" s="68">
        <v>5</v>
      </c>
    </row>
    <row r="29" spans="1:2" x14ac:dyDescent="0.25">
      <c r="A29" s="67" t="s">
        <v>438</v>
      </c>
      <c r="B29" s="68">
        <v>6</v>
      </c>
    </row>
    <row r="30" spans="1:2" x14ac:dyDescent="0.25">
      <c r="A30" s="67" t="s">
        <v>432</v>
      </c>
      <c r="B30" s="68">
        <v>7</v>
      </c>
    </row>
    <row r="31" spans="1:2" x14ac:dyDescent="0.25">
      <c r="A31" s="67" t="s">
        <v>171</v>
      </c>
      <c r="B31" s="68">
        <v>8</v>
      </c>
    </row>
    <row r="32" spans="1:2" x14ac:dyDescent="0.25">
      <c r="A32" s="67" t="s">
        <v>669</v>
      </c>
      <c r="B32" s="68">
        <v>9</v>
      </c>
    </row>
    <row r="33" spans="1:2" x14ac:dyDescent="0.25">
      <c r="A33" s="67" t="s">
        <v>439</v>
      </c>
      <c r="B33" s="68">
        <v>10</v>
      </c>
    </row>
    <row r="34" spans="1:2" x14ac:dyDescent="0.25">
      <c r="A34" s="67" t="s">
        <v>434</v>
      </c>
      <c r="B34" s="68">
        <v>99</v>
      </c>
    </row>
    <row r="37" spans="1:2" x14ac:dyDescent="0.25">
      <c r="A37" t="s">
        <v>485</v>
      </c>
      <c r="B37" t="s">
        <v>443</v>
      </c>
    </row>
    <row r="38" spans="1:2" x14ac:dyDescent="0.25">
      <c r="A38" s="93" t="s">
        <v>426</v>
      </c>
      <c r="B38" s="94">
        <v>10</v>
      </c>
    </row>
    <row r="39" spans="1:2" x14ac:dyDescent="0.25">
      <c r="A39" s="95" t="s">
        <v>425</v>
      </c>
      <c r="B39" s="94">
        <v>20</v>
      </c>
    </row>
    <row r="40" spans="1:2" x14ac:dyDescent="0.25">
      <c r="A40" s="95" t="s">
        <v>424</v>
      </c>
      <c r="B40" s="94">
        <v>30</v>
      </c>
    </row>
    <row r="41" spans="1:2" x14ac:dyDescent="0.25">
      <c r="A41" s="96" t="s">
        <v>435</v>
      </c>
      <c r="B41" s="98">
        <v>35</v>
      </c>
    </row>
    <row r="42" spans="1:2" x14ac:dyDescent="0.25">
      <c r="A42" s="97" t="s">
        <v>434</v>
      </c>
      <c r="B42" s="99">
        <v>40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54</vt:i4>
      </vt:variant>
    </vt:vector>
  </HeadingPairs>
  <TitlesOfParts>
    <vt:vector size="62" baseType="lpstr">
      <vt:lpstr>Plants</vt:lpstr>
      <vt:lpstr>Press</vt:lpstr>
      <vt:lpstr>Parts</vt:lpstr>
      <vt:lpstr>Tonnage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r_PressViews</vt:lpstr>
      <vt:lpstr>r_TonnageViews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vr_PaCust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  <vt:lpstr>vr_PrAll</vt:lpstr>
      <vt:lpstr>vr_PrAnnSummary</vt:lpstr>
      <vt:lpstr>vr_PrUtilAnnual</vt:lpstr>
      <vt:lpstr>vr_PrUtilYr1</vt:lpstr>
      <vt:lpstr>vr_PrUtilYr2</vt:lpstr>
      <vt:lpstr>vr_TrAll</vt:lpstr>
      <vt:lpstr>vr_TrAnnSummary</vt:lpstr>
      <vt:lpstr>vr_TrUtilAnnual</vt:lpstr>
      <vt:lpstr>vr_TrUtilYr1</vt:lpstr>
      <vt:lpstr>vr_TrUtilYr2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2015-03-23T17:49:29Z</dcterms:modified>
</cp:coreProperties>
</file>