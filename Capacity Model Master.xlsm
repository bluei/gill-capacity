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10050"/>
  </bookViews>
  <sheets>
    <sheet name="Plants" sheetId="2" r:id="rId1"/>
    <sheet name="Tonnage" sheetId="9" r:id="rId2"/>
    <sheet name="Press" sheetId="3" r:id="rId3"/>
    <sheet name="Parts" sheetId="6" r:id="rId4"/>
    <sheet name="Plant_Util%" sheetId="7" r:id="rId5"/>
    <sheet name="Variables" sheetId="5" r:id="rId6"/>
    <sheet name="ToDo" sheetId="10" r:id="rId7"/>
    <sheet name="Setup" sheetId="11" r:id="rId8"/>
  </sheets>
  <definedNames>
    <definedName name="list_Periods">Variables!$A$11:$A$37</definedName>
    <definedName name="list_Plants">Plants!$A$5:$A$10</definedName>
    <definedName name="list_Presses">t_Presses[PRESS]</definedName>
    <definedName name="PressUtilization" localSheetId="3">t_Presses[]</definedName>
    <definedName name="PressUtilization">t_Presses[]</definedName>
    <definedName name="r_DieCols">Parts!$N:$U</definedName>
    <definedName name="r_PartPresses">t_Parts[Press]</definedName>
    <definedName name="r_PlantViews">t_PlantViews[Plant Input Ranges]</definedName>
    <definedName name="r_Press_Plants">t_Presses[Plant]</definedName>
    <definedName name="r_Press_Tonnage">Press!$E$11:$E$49</definedName>
    <definedName name="r_PressPlants">Press!$B$10:$B$14</definedName>
    <definedName name="r_TonnageViews">#REF!</definedName>
    <definedName name="v_TRBS">Variables!$C$3</definedName>
    <definedName name="v_uGrn">Variables!$C$4</definedName>
    <definedName name="v_uRed">Variables!$C$6</definedName>
    <definedName name="v_uYel">Variables!$C$5</definedName>
    <definedName name="vr_PlAll">Plants!$D:$FU</definedName>
    <definedName name="vr_PlBusinessDays">Plants!$D:$AF</definedName>
    <definedName name="vr_PlDaysAvail">Plants!$BJ:$CL</definedName>
    <definedName name="vr_PlDaysOff">Plants!$AG:$BI</definedName>
    <definedName name="vr_PlHrsAvail">Plants!$CM:$DO</definedName>
    <definedName name="vr_PlHrsPlanned">Plants!$DP:$ER</definedName>
    <definedName name="vr_PlUtilAnnual">Plants!$FE:$FE,Plants!$FR:$FU</definedName>
    <definedName name="vr_PlUtilYr1">Plants!$ES:$FD</definedName>
    <definedName name="vr_PlUtilYr2">Plants!$FF:$FQ</definedName>
    <definedName name="vr_PlYr1Detail">Plants!$D:$P,Plants!$AG:$AS,Plants!$BJ:$BV,Plants!$CM:$CY,Plants!$DP:$EB,Plants!$ES:$FE</definedName>
  </definedNames>
  <calcPr calcId="145621"/>
</workbook>
</file>

<file path=xl/calcChain.xml><?xml version="1.0" encoding="utf-8"?>
<calcChain xmlns="http://schemas.openxmlformats.org/spreadsheetml/2006/main">
  <c r="ED5" i="2" l="1"/>
  <c r="EE5" i="2"/>
  <c r="EF5" i="2"/>
  <c r="EG5" i="2"/>
  <c r="EH5" i="2"/>
  <c r="EI5" i="2"/>
  <c r="EJ5" i="2"/>
  <c r="EK5" i="2"/>
  <c r="EL5" i="2"/>
  <c r="EM5" i="2"/>
  <c r="EN5" i="2"/>
  <c r="EO5" i="2"/>
  <c r="EP5" i="2"/>
  <c r="EQ5" i="2"/>
  <c r="ER5" i="2"/>
  <c r="ED9" i="2"/>
  <c r="EE9" i="2"/>
  <c r="EF9" i="2"/>
  <c r="EG9" i="2"/>
  <c r="EH9" i="2"/>
  <c r="EI9" i="2"/>
  <c r="EJ9" i="2"/>
  <c r="EK9" i="2"/>
  <c r="EL9" i="2"/>
  <c r="EM9" i="2"/>
  <c r="EN9" i="2"/>
  <c r="EO9" i="2"/>
  <c r="EP9" i="2"/>
  <c r="EQ9" i="2"/>
  <c r="ER9" i="2"/>
  <c r="ED8" i="2"/>
  <c r="EE8" i="2"/>
  <c r="EF8" i="2"/>
  <c r="EG8" i="2"/>
  <c r="EH8" i="2"/>
  <c r="EI8" i="2"/>
  <c r="EJ8" i="2"/>
  <c r="EK8" i="2"/>
  <c r="EL8" i="2"/>
  <c r="EM8" i="2"/>
  <c r="EN8" i="2"/>
  <c r="EO8" i="2"/>
  <c r="EP8" i="2"/>
  <c r="EQ8" i="2"/>
  <c r="ER8" i="2"/>
  <c r="EC5" i="2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AW6" i="3"/>
  <c r="AW5" i="3"/>
  <c r="AW7" i="3"/>
  <c r="AW8" i="3"/>
  <c r="AW9" i="3"/>
  <c r="AW12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BZ31" i="3" s="1"/>
  <c r="AW32" i="3"/>
  <c r="BZ32" i="3" s="1"/>
  <c r="AW33" i="3"/>
  <c r="BZ33" i="3" s="1"/>
  <c r="AW34" i="3"/>
  <c r="BZ34" i="3" s="1"/>
  <c r="AW35" i="3"/>
  <c r="BZ35" i="3" s="1"/>
  <c r="AW36" i="3"/>
  <c r="BZ36" i="3" s="1"/>
  <c r="AW37" i="3"/>
  <c r="BZ37" i="3" s="1"/>
  <c r="AW38" i="3"/>
  <c r="BZ38" i="3" s="1"/>
  <c r="AW39" i="3"/>
  <c r="BZ39" i="3" s="1"/>
  <c r="AW40" i="3"/>
  <c r="BZ40" i="3" s="1"/>
  <c r="AW41" i="3"/>
  <c r="BZ41" i="3" s="1"/>
  <c r="AW42" i="3"/>
  <c r="BZ42" i="3" s="1"/>
  <c r="AW43" i="3"/>
  <c r="BZ43" i="3" s="1"/>
  <c r="AW44" i="3"/>
  <c r="BZ44" i="3" s="1"/>
  <c r="AW45" i="3"/>
  <c r="BZ45" i="3" s="1"/>
  <c r="AW46" i="3"/>
  <c r="BZ46" i="3" s="1"/>
  <c r="AW47" i="3"/>
  <c r="BZ47" i="3" s="1"/>
  <c r="AW48" i="3"/>
  <c r="BZ48" i="3" s="1"/>
  <c r="AW49" i="3"/>
  <c r="BZ49" i="3" s="1"/>
  <c r="AF31" i="3"/>
  <c r="CL31" i="3" s="1"/>
  <c r="AF32" i="3"/>
  <c r="CL32" i="3" s="1"/>
  <c r="AF33" i="3"/>
  <c r="CL33" i="3" s="1"/>
  <c r="AF34" i="3"/>
  <c r="CL34" i="3" s="1"/>
  <c r="AF35" i="3"/>
  <c r="CL35" i="3" s="1"/>
  <c r="AF36" i="3"/>
  <c r="CL36" i="3" s="1"/>
  <c r="AF37" i="3"/>
  <c r="CL37" i="3" s="1"/>
  <c r="AF38" i="3"/>
  <c r="CL38" i="3" s="1"/>
  <c r="AF39" i="3"/>
  <c r="CL39" i="3" s="1"/>
  <c r="AF40" i="3"/>
  <c r="CL40" i="3" s="1"/>
  <c r="AF41" i="3"/>
  <c r="CL41" i="3" s="1"/>
  <c r="AF42" i="3"/>
  <c r="CL42" i="3" s="1"/>
  <c r="AF43" i="3"/>
  <c r="CL43" i="3" s="1"/>
  <c r="AF44" i="3"/>
  <c r="CL44" i="3" s="1"/>
  <c r="AF45" i="3"/>
  <c r="CL45" i="3" s="1"/>
  <c r="AF46" i="3"/>
  <c r="CL46" i="3" s="1"/>
  <c r="AF47" i="3"/>
  <c r="CL47" i="3" s="1"/>
  <c r="AF48" i="3"/>
  <c r="CL48" i="3" s="1"/>
  <c r="AF49" i="3"/>
  <c r="CL49" i="3" s="1"/>
  <c r="EC9" i="2" l="1"/>
  <c r="EC8" i="2"/>
  <c r="DK6" i="6"/>
  <c r="DL6" i="6"/>
  <c r="DK7" i="6"/>
  <c r="DL7" i="6"/>
  <c r="DK8" i="6"/>
  <c r="DL8" i="6"/>
  <c r="DK9" i="6"/>
  <c r="DL9" i="6"/>
  <c r="DK10" i="6"/>
  <c r="DL10" i="6"/>
  <c r="DK11" i="6"/>
  <c r="DL11" i="6"/>
  <c r="DK12" i="6"/>
  <c r="DL12" i="6"/>
  <c r="DK13" i="6"/>
  <c r="DL13" i="6"/>
  <c r="DK14" i="6"/>
  <c r="DL14" i="6"/>
  <c r="DK15" i="6"/>
  <c r="BK13" i="3" s="1"/>
  <c r="EQ6" i="2" s="1"/>
  <c r="DL15" i="6"/>
  <c r="BL13" i="3" s="1"/>
  <c r="ER6" i="2" s="1"/>
  <c r="DJ6" i="6"/>
  <c r="DJ7" i="6"/>
  <c r="DJ8" i="6"/>
  <c r="DJ9" i="6"/>
  <c r="DJ10" i="6"/>
  <c r="DJ11" i="6"/>
  <c r="DJ12" i="6"/>
  <c r="DJ13" i="6"/>
  <c r="DJ14" i="6"/>
  <c r="DJ15" i="6"/>
  <c r="BJ13" i="3" s="1"/>
  <c r="EP6" i="2" s="1"/>
  <c r="CW6" i="6"/>
  <c r="CX6" i="6"/>
  <c r="CY6" i="6"/>
  <c r="CZ6" i="6"/>
  <c r="DA6" i="6"/>
  <c r="DB6" i="6"/>
  <c r="DC6" i="6"/>
  <c r="DD6" i="6"/>
  <c r="DE6" i="6"/>
  <c r="DF6" i="6"/>
  <c r="DG6" i="6"/>
  <c r="DH6" i="6"/>
  <c r="CW7" i="6"/>
  <c r="CX7" i="6"/>
  <c r="CY7" i="6"/>
  <c r="CZ7" i="6"/>
  <c r="DA7" i="6"/>
  <c r="DB7" i="6"/>
  <c r="DC7" i="6"/>
  <c r="DD7" i="6"/>
  <c r="DE7" i="6"/>
  <c r="DF7" i="6"/>
  <c r="DG7" i="6"/>
  <c r="DH7" i="6"/>
  <c r="CW8" i="6"/>
  <c r="CX8" i="6"/>
  <c r="CY8" i="6"/>
  <c r="CZ8" i="6"/>
  <c r="DA8" i="6"/>
  <c r="DB8" i="6"/>
  <c r="DC8" i="6"/>
  <c r="DD8" i="6"/>
  <c r="DE8" i="6"/>
  <c r="DF8" i="6"/>
  <c r="DG8" i="6"/>
  <c r="DH8" i="6"/>
  <c r="CW9" i="6"/>
  <c r="CX9" i="6"/>
  <c r="CY9" i="6"/>
  <c r="CZ9" i="6"/>
  <c r="DA9" i="6"/>
  <c r="DB9" i="6"/>
  <c r="DC9" i="6"/>
  <c r="DD9" i="6"/>
  <c r="DE9" i="6"/>
  <c r="DF9" i="6"/>
  <c r="DG9" i="6"/>
  <c r="DH9" i="6"/>
  <c r="CW10" i="6"/>
  <c r="CX10" i="6"/>
  <c r="CY10" i="6"/>
  <c r="CZ10" i="6"/>
  <c r="DA10" i="6"/>
  <c r="DB10" i="6"/>
  <c r="DC10" i="6"/>
  <c r="DD10" i="6"/>
  <c r="DE10" i="6"/>
  <c r="DF10" i="6"/>
  <c r="DG10" i="6"/>
  <c r="DH10" i="6"/>
  <c r="CW11" i="6"/>
  <c r="CX11" i="6"/>
  <c r="CY11" i="6"/>
  <c r="CZ11" i="6"/>
  <c r="DA11" i="6"/>
  <c r="DB11" i="6"/>
  <c r="DC11" i="6"/>
  <c r="DD11" i="6"/>
  <c r="DE11" i="6"/>
  <c r="DF11" i="6"/>
  <c r="DG11" i="6"/>
  <c r="DH11" i="6"/>
  <c r="CW12" i="6"/>
  <c r="CX12" i="6"/>
  <c r="CY12" i="6"/>
  <c r="CZ12" i="6"/>
  <c r="DA12" i="6"/>
  <c r="DB12" i="6"/>
  <c r="DC12" i="6"/>
  <c r="DD12" i="6"/>
  <c r="DE12" i="6"/>
  <c r="DF12" i="6"/>
  <c r="DG12" i="6"/>
  <c r="DH12" i="6"/>
  <c r="CW13" i="6"/>
  <c r="CX13" i="6"/>
  <c r="CY13" i="6"/>
  <c r="CZ13" i="6"/>
  <c r="DA13" i="6"/>
  <c r="DB13" i="6"/>
  <c r="DC13" i="6"/>
  <c r="DD13" i="6"/>
  <c r="DE13" i="6"/>
  <c r="DF13" i="6"/>
  <c r="DG13" i="6"/>
  <c r="DH13" i="6"/>
  <c r="CW14" i="6"/>
  <c r="CX14" i="6"/>
  <c r="CY14" i="6"/>
  <c r="CZ14" i="6"/>
  <c r="DA14" i="6"/>
  <c r="DB14" i="6"/>
  <c r="DC14" i="6"/>
  <c r="DD14" i="6"/>
  <c r="DE14" i="6"/>
  <c r="DF14" i="6"/>
  <c r="DG14" i="6"/>
  <c r="DH14" i="6"/>
  <c r="CW15" i="6"/>
  <c r="AW13" i="3" s="1"/>
  <c r="EC6" i="2" s="1"/>
  <c r="CX15" i="6"/>
  <c r="AX13" i="3" s="1"/>
  <c r="ED6" i="2" s="1"/>
  <c r="CY15" i="6"/>
  <c r="AY13" i="3" s="1"/>
  <c r="EE6" i="2" s="1"/>
  <c r="CZ15" i="6"/>
  <c r="AZ13" i="3" s="1"/>
  <c r="EF6" i="2" s="1"/>
  <c r="DA15" i="6"/>
  <c r="BA13" i="3" s="1"/>
  <c r="EG6" i="2" s="1"/>
  <c r="DB15" i="6"/>
  <c r="BB13" i="3" s="1"/>
  <c r="EH6" i="2" s="1"/>
  <c r="DC15" i="6"/>
  <c r="BC13" i="3" s="1"/>
  <c r="EI6" i="2" s="1"/>
  <c r="DD15" i="6"/>
  <c r="BD13" i="3" s="1"/>
  <c r="EJ6" i="2" s="1"/>
  <c r="DE15" i="6"/>
  <c r="BE13" i="3" s="1"/>
  <c r="EK6" i="2" s="1"/>
  <c r="DF15" i="6"/>
  <c r="BF13" i="3" s="1"/>
  <c r="EL6" i="2" s="1"/>
  <c r="DG15" i="6"/>
  <c r="BG13" i="3" s="1"/>
  <c r="EM6" i="2" s="1"/>
  <c r="DH15" i="6"/>
  <c r="BH13" i="3" s="1"/>
  <c r="EN6" i="2" s="1"/>
  <c r="BD6" i="6"/>
  <c r="BE6" i="6"/>
  <c r="BF6" i="6"/>
  <c r="BD7" i="6"/>
  <c r="BE7" i="6"/>
  <c r="BF7" i="6"/>
  <c r="BD8" i="6"/>
  <c r="BE8" i="6"/>
  <c r="BF8" i="6"/>
  <c r="BD9" i="6"/>
  <c r="BE9" i="6"/>
  <c r="BF9" i="6"/>
  <c r="BD10" i="6"/>
  <c r="BE10" i="6"/>
  <c r="BF10" i="6"/>
  <c r="BD11" i="6"/>
  <c r="BE11" i="6"/>
  <c r="BF11" i="6"/>
  <c r="BD12" i="6"/>
  <c r="BE12" i="6"/>
  <c r="BF12" i="6"/>
  <c r="BD13" i="6"/>
  <c r="BE13" i="6"/>
  <c r="BF13" i="6"/>
  <c r="BD14" i="6"/>
  <c r="BE14" i="6"/>
  <c r="BF14" i="6"/>
  <c r="BD15" i="6"/>
  <c r="BE15" i="6"/>
  <c r="BF15" i="6"/>
  <c r="BE5" i="6"/>
  <c r="BF5" i="6"/>
  <c r="BD5" i="6"/>
  <c r="AQ6" i="6"/>
  <c r="AR6" i="6"/>
  <c r="AS6" i="6"/>
  <c r="AT6" i="6"/>
  <c r="AU6" i="6"/>
  <c r="AV6" i="6"/>
  <c r="AW6" i="6"/>
  <c r="AX6" i="6"/>
  <c r="AY6" i="6"/>
  <c r="AZ6" i="6"/>
  <c r="BA6" i="6"/>
  <c r="BB6" i="6"/>
  <c r="AQ7" i="6"/>
  <c r="AR7" i="6"/>
  <c r="AS7" i="6"/>
  <c r="AT7" i="6"/>
  <c r="AU7" i="6"/>
  <c r="AV7" i="6"/>
  <c r="AW7" i="6"/>
  <c r="AX7" i="6"/>
  <c r="AY7" i="6"/>
  <c r="AZ7" i="6"/>
  <c r="BA7" i="6"/>
  <c r="BB7" i="6"/>
  <c r="AQ8" i="6"/>
  <c r="AR8" i="6"/>
  <c r="AS8" i="6"/>
  <c r="AT8" i="6"/>
  <c r="AU8" i="6"/>
  <c r="AV8" i="6"/>
  <c r="AW8" i="6"/>
  <c r="AX8" i="6"/>
  <c r="AY8" i="6"/>
  <c r="AZ8" i="6"/>
  <c r="BA8" i="6"/>
  <c r="BB8" i="6"/>
  <c r="AQ9" i="6"/>
  <c r="AR9" i="6"/>
  <c r="AS9" i="6"/>
  <c r="AT9" i="6"/>
  <c r="AU9" i="6"/>
  <c r="AV9" i="6"/>
  <c r="AW9" i="6"/>
  <c r="AX9" i="6"/>
  <c r="AY9" i="6"/>
  <c r="AZ9" i="6"/>
  <c r="BA9" i="6"/>
  <c r="BB9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AQ13" i="6"/>
  <c r="AR13" i="6"/>
  <c r="AS13" i="6"/>
  <c r="AT13" i="6"/>
  <c r="AU13" i="6"/>
  <c r="AV13" i="6"/>
  <c r="AW13" i="6"/>
  <c r="AX13" i="6"/>
  <c r="AY13" i="6"/>
  <c r="AZ13" i="6"/>
  <c r="BA13" i="6"/>
  <c r="BB13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BF11" i="3" l="1"/>
  <c r="BB11" i="3"/>
  <c r="AX11" i="3"/>
  <c r="BE11" i="3"/>
  <c r="BA11" i="3"/>
  <c r="BH11" i="3"/>
  <c r="BD11" i="3"/>
  <c r="AZ11" i="3"/>
  <c r="BL11" i="3"/>
  <c r="BG11" i="3"/>
  <c r="BC11" i="3"/>
  <c r="AY11" i="3"/>
  <c r="BJ11" i="3"/>
  <c r="BK11" i="3"/>
  <c r="AW11" i="3"/>
  <c r="DI15" i="6"/>
  <c r="BI13" i="3" s="1"/>
  <c r="EO6" i="2" s="1"/>
  <c r="DI14" i="6"/>
  <c r="DI13" i="6"/>
  <c r="DI12" i="6"/>
  <c r="DI11" i="6"/>
  <c r="DI10" i="6"/>
  <c r="DI9" i="6"/>
  <c r="DI8" i="6"/>
  <c r="DI7" i="6"/>
  <c r="DI6" i="6"/>
  <c r="BC15" i="6"/>
  <c r="BC14" i="6"/>
  <c r="BC13" i="6"/>
  <c r="BC12" i="6"/>
  <c r="BC11" i="6"/>
  <c r="BC10" i="6"/>
  <c r="BC9" i="6"/>
  <c r="BC8" i="6"/>
  <c r="BC7" i="6"/>
  <c r="BC6" i="6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DQ1" i="2"/>
  <c r="DR1" i="2"/>
  <c r="DS1" i="2"/>
  <c r="DT1" i="2"/>
  <c r="DU1" i="2"/>
  <c r="DV1" i="2"/>
  <c r="DW1" i="2"/>
  <c r="DX1" i="2"/>
  <c r="DY1" i="2"/>
  <c r="DZ1" i="2"/>
  <c r="EA1" i="2"/>
  <c r="EB1" i="2"/>
  <c r="EC1" i="2"/>
  <c r="ED1" i="2"/>
  <c r="EE1" i="2"/>
  <c r="EF1" i="2"/>
  <c r="EG1" i="2"/>
  <c r="EH1" i="2"/>
  <c r="EI1" i="2"/>
  <c r="EJ1" i="2"/>
  <c r="EK1" i="2"/>
  <c r="EL1" i="2"/>
  <c r="EM1" i="2"/>
  <c r="EN1" i="2"/>
  <c r="EO1" i="2"/>
  <c r="EP1" i="2"/>
  <c r="EQ1" i="2"/>
  <c r="ER1" i="2"/>
  <c r="ES1" i="2"/>
  <c r="ET1" i="2"/>
  <c r="EU1" i="2"/>
  <c r="EV1" i="2"/>
  <c r="EW1" i="2"/>
  <c r="EX1" i="2"/>
  <c r="EY1" i="2"/>
  <c r="EZ1" i="2"/>
  <c r="FA1" i="2"/>
  <c r="FB1" i="2"/>
  <c r="FC1" i="2"/>
  <c r="FD1" i="2"/>
  <c r="FE1" i="2"/>
  <c r="FF1" i="2"/>
  <c r="FG1" i="2"/>
  <c r="FH1" i="2"/>
  <c r="FI1" i="2"/>
  <c r="FJ1" i="2"/>
  <c r="FK1" i="2"/>
  <c r="FL1" i="2"/>
  <c r="FM1" i="2"/>
  <c r="FN1" i="2"/>
  <c r="FO1" i="2"/>
  <c r="FP1" i="2"/>
  <c r="FQ1" i="2"/>
  <c r="FR1" i="2"/>
  <c r="FS1" i="2"/>
  <c r="FT1" i="2"/>
  <c r="FU1" i="2"/>
  <c r="BI11" i="3" l="1"/>
  <c r="BX6" i="2"/>
  <c r="DA6" i="2" s="1"/>
  <c r="BY6" i="2"/>
  <c r="DB6" i="2" s="1"/>
  <c r="BZ6" i="2"/>
  <c r="DC6" i="2" s="1"/>
  <c r="CA6" i="2"/>
  <c r="DD6" i="2" s="1"/>
  <c r="CB6" i="2"/>
  <c r="DE6" i="2" s="1"/>
  <c r="CC6" i="2"/>
  <c r="DF6" i="2" s="1"/>
  <c r="CD6" i="2"/>
  <c r="DG6" i="2" s="1"/>
  <c r="CE6" i="2"/>
  <c r="DH6" i="2" s="1"/>
  <c r="CF6" i="2"/>
  <c r="DI6" i="2" s="1"/>
  <c r="CG6" i="2"/>
  <c r="DJ6" i="2" s="1"/>
  <c r="CH6" i="2"/>
  <c r="DK6" i="2" s="1"/>
  <c r="BX5" i="2"/>
  <c r="DA5" i="2" s="1"/>
  <c r="FG5" i="2" s="1"/>
  <c r="BY5" i="2"/>
  <c r="DB5" i="2" s="1"/>
  <c r="FH5" i="2" s="1"/>
  <c r="BZ5" i="2"/>
  <c r="DC5" i="2" s="1"/>
  <c r="FI5" i="2" s="1"/>
  <c r="CA5" i="2"/>
  <c r="DD5" i="2" s="1"/>
  <c r="FJ5" i="2" s="1"/>
  <c r="CB5" i="2"/>
  <c r="DE5" i="2" s="1"/>
  <c r="FK5" i="2" s="1"/>
  <c r="CC5" i="2"/>
  <c r="DF5" i="2" s="1"/>
  <c r="FL5" i="2" s="1"/>
  <c r="CD5" i="2"/>
  <c r="DG5" i="2" s="1"/>
  <c r="FM5" i="2" s="1"/>
  <c r="CE5" i="2"/>
  <c r="DH5" i="2" s="1"/>
  <c r="FN5" i="2" s="1"/>
  <c r="CF5" i="2"/>
  <c r="DI5" i="2" s="1"/>
  <c r="FO5" i="2" s="1"/>
  <c r="CG5" i="2"/>
  <c r="DJ5" i="2" s="1"/>
  <c r="FP5" i="2" s="1"/>
  <c r="CH5" i="2"/>
  <c r="DK5" i="2" s="1"/>
  <c r="FQ5" i="2" s="1"/>
  <c r="BX9" i="2"/>
  <c r="DA9" i="2" s="1"/>
  <c r="FG9" i="2" s="1"/>
  <c r="BY9" i="2"/>
  <c r="DB9" i="2" s="1"/>
  <c r="FH9" i="2" s="1"/>
  <c r="BZ9" i="2"/>
  <c r="DC9" i="2" s="1"/>
  <c r="FI9" i="2" s="1"/>
  <c r="CA9" i="2"/>
  <c r="DD9" i="2" s="1"/>
  <c r="FJ9" i="2" s="1"/>
  <c r="CB9" i="2"/>
  <c r="DE9" i="2" s="1"/>
  <c r="FK9" i="2" s="1"/>
  <c r="CC9" i="2"/>
  <c r="DF9" i="2" s="1"/>
  <c r="FL9" i="2" s="1"/>
  <c r="CD9" i="2"/>
  <c r="DG9" i="2" s="1"/>
  <c r="FM9" i="2" s="1"/>
  <c r="CE9" i="2"/>
  <c r="DH9" i="2" s="1"/>
  <c r="FN9" i="2" s="1"/>
  <c r="CF9" i="2"/>
  <c r="DI9" i="2" s="1"/>
  <c r="FO9" i="2" s="1"/>
  <c r="CG9" i="2"/>
  <c r="DJ9" i="2" s="1"/>
  <c r="FP9" i="2" s="1"/>
  <c r="CH9" i="2"/>
  <c r="DK9" i="2" s="1"/>
  <c r="FQ9" i="2" s="1"/>
  <c r="BX8" i="2"/>
  <c r="DA8" i="2" s="1"/>
  <c r="FG8" i="2" s="1"/>
  <c r="BY8" i="2"/>
  <c r="DB8" i="2" s="1"/>
  <c r="FH8" i="2" s="1"/>
  <c r="BZ8" i="2"/>
  <c r="DC8" i="2" s="1"/>
  <c r="FI8" i="2" s="1"/>
  <c r="CA8" i="2"/>
  <c r="DD8" i="2" s="1"/>
  <c r="FJ8" i="2" s="1"/>
  <c r="CB8" i="2"/>
  <c r="DE8" i="2" s="1"/>
  <c r="FK8" i="2" s="1"/>
  <c r="CC8" i="2"/>
  <c r="DF8" i="2" s="1"/>
  <c r="FL8" i="2" s="1"/>
  <c r="CD8" i="2"/>
  <c r="DG8" i="2" s="1"/>
  <c r="FM8" i="2" s="1"/>
  <c r="CE8" i="2"/>
  <c r="DH8" i="2" s="1"/>
  <c r="FN8" i="2" s="1"/>
  <c r="CF8" i="2"/>
  <c r="DI8" i="2" s="1"/>
  <c r="FO8" i="2" s="1"/>
  <c r="CG8" i="2"/>
  <c r="DJ8" i="2" s="1"/>
  <c r="FP8" i="2" s="1"/>
  <c r="CH8" i="2"/>
  <c r="DK8" i="2" s="1"/>
  <c r="FQ8" i="2" s="1"/>
  <c r="BX7" i="2"/>
  <c r="BY7" i="2"/>
  <c r="DB7" i="2" s="1"/>
  <c r="BZ7" i="2"/>
  <c r="DC7" i="2" s="1"/>
  <c r="CA7" i="2"/>
  <c r="DD7" i="2" s="1"/>
  <c r="CB7" i="2"/>
  <c r="DE7" i="2" s="1"/>
  <c r="CC7" i="2"/>
  <c r="DF7" i="2" s="1"/>
  <c r="CD7" i="2"/>
  <c r="DG7" i="2" s="1"/>
  <c r="CE7" i="2"/>
  <c r="DH7" i="2" s="1"/>
  <c r="CF7" i="2"/>
  <c r="DI7" i="2" s="1"/>
  <c r="CG7" i="2"/>
  <c r="DJ7" i="2" s="1"/>
  <c r="CH7" i="2"/>
  <c r="DK7" i="2" s="1"/>
  <c r="BW7" i="2"/>
  <c r="CZ7" i="2" s="1"/>
  <c r="BW6" i="2"/>
  <c r="CZ6" i="2" s="1"/>
  <c r="FF6" i="2" s="1"/>
  <c r="BW5" i="2"/>
  <c r="CZ5" i="2" s="1"/>
  <c r="FF5" i="2" s="1"/>
  <c r="BW9" i="2"/>
  <c r="CZ9" i="2" s="1"/>
  <c r="FF9" i="2" s="1"/>
  <c r="BW8" i="2"/>
  <c r="CZ8" i="2" s="1"/>
  <c r="FF8" i="2" s="1"/>
  <c r="BF7" i="2"/>
  <c r="BH7" i="2" s="1"/>
  <c r="BF6" i="2"/>
  <c r="BG6" i="2" s="1"/>
  <c r="BF5" i="2"/>
  <c r="BH5" i="2" s="1"/>
  <c r="BF9" i="2"/>
  <c r="BG9" i="2" s="1"/>
  <c r="BF8" i="2"/>
  <c r="BH8" i="2" s="1"/>
  <c r="AC7" i="2"/>
  <c r="AD7" i="2" s="1"/>
  <c r="AC6" i="2"/>
  <c r="AD6" i="2" s="1"/>
  <c r="AC5" i="2"/>
  <c r="AD5" i="2" s="1"/>
  <c r="AC9" i="2"/>
  <c r="AD9" i="2" s="1"/>
  <c r="AC8" i="2"/>
  <c r="AD8" i="2" s="1"/>
  <c r="AC17" i="3" l="1"/>
  <c r="CI17" i="3" s="1"/>
  <c r="AC25" i="3"/>
  <c r="CI25" i="3" s="1"/>
  <c r="AC16" i="3"/>
  <c r="CI16" i="3" s="1"/>
  <c r="AC24" i="3"/>
  <c r="CI24" i="3" s="1"/>
  <c r="AC19" i="3"/>
  <c r="CI19" i="3" s="1"/>
  <c r="AC27" i="3"/>
  <c r="CI27" i="3" s="1"/>
  <c r="AC18" i="3"/>
  <c r="AC26" i="3"/>
  <c r="CI26" i="3" s="1"/>
  <c r="AC13" i="3"/>
  <c r="CI13" i="3" s="1"/>
  <c r="AC21" i="3"/>
  <c r="CI21" i="3" s="1"/>
  <c r="AC29" i="3"/>
  <c r="CI29" i="3" s="1"/>
  <c r="AC20" i="3"/>
  <c r="CI20" i="3" s="1"/>
  <c r="AC28" i="3"/>
  <c r="CI28" i="3" s="1"/>
  <c r="FO6" i="2"/>
  <c r="AC15" i="3"/>
  <c r="CI15" i="3" s="1"/>
  <c r="AC23" i="3"/>
  <c r="CI23" i="3" s="1"/>
  <c r="AC14" i="3"/>
  <c r="CI14" i="3" s="1"/>
  <c r="AC22" i="3"/>
  <c r="CI22" i="3" s="1"/>
  <c r="AC30" i="3"/>
  <c r="CI30" i="3" s="1"/>
  <c r="FK6" i="2"/>
  <c r="Y13" i="3"/>
  <c r="CE13" i="3" s="1"/>
  <c r="Y21" i="3"/>
  <c r="CE21" i="3" s="1"/>
  <c r="Y29" i="3"/>
  <c r="CE29" i="3" s="1"/>
  <c r="Y20" i="3"/>
  <c r="CE20" i="3" s="1"/>
  <c r="Y28" i="3"/>
  <c r="CE28" i="3" s="1"/>
  <c r="Y15" i="3"/>
  <c r="CE15" i="3" s="1"/>
  <c r="Y23" i="3"/>
  <c r="CE23" i="3" s="1"/>
  <c r="Y14" i="3"/>
  <c r="CE14" i="3" s="1"/>
  <c r="Y22" i="3"/>
  <c r="CE22" i="3" s="1"/>
  <c r="Y30" i="3"/>
  <c r="CE30" i="3" s="1"/>
  <c r="Y17" i="3"/>
  <c r="CE17" i="3" s="1"/>
  <c r="Y25" i="3"/>
  <c r="CE25" i="3" s="1"/>
  <c r="Y16" i="3"/>
  <c r="CE16" i="3" s="1"/>
  <c r="Y24" i="3"/>
  <c r="CE24" i="3" s="1"/>
  <c r="Y19" i="3"/>
  <c r="CE19" i="3" s="1"/>
  <c r="Y27" i="3"/>
  <c r="CE27" i="3" s="1"/>
  <c r="Y18" i="3"/>
  <c r="Y26" i="3"/>
  <c r="CE26" i="3" s="1"/>
  <c r="U15" i="3"/>
  <c r="CA15" i="3" s="1"/>
  <c r="U16" i="3"/>
  <c r="CA16" i="3" s="1"/>
  <c r="U13" i="3"/>
  <c r="CA13" i="3" s="1"/>
  <c r="U29" i="3"/>
  <c r="CA29" i="3" s="1"/>
  <c r="FG6" i="2"/>
  <c r="U19" i="3"/>
  <c r="CA19" i="3" s="1"/>
  <c r="U24" i="3"/>
  <c r="CA24" i="3" s="1"/>
  <c r="U17" i="3"/>
  <c r="CA17" i="3" s="1"/>
  <c r="U14" i="3"/>
  <c r="CA14" i="3" s="1"/>
  <c r="U18" i="3"/>
  <c r="U23" i="3"/>
  <c r="CA23" i="3" s="1"/>
  <c r="U20" i="3"/>
  <c r="CA20" i="3" s="1"/>
  <c r="U21" i="3"/>
  <c r="CA21" i="3" s="1"/>
  <c r="U22" i="3"/>
  <c r="CA22" i="3" s="1"/>
  <c r="U26" i="3"/>
  <c r="CA26" i="3" s="1"/>
  <c r="U27" i="3"/>
  <c r="CA27" i="3" s="1"/>
  <c r="U28" i="3"/>
  <c r="CA28" i="3" s="1"/>
  <c r="U25" i="3"/>
  <c r="CA25" i="3" s="1"/>
  <c r="U30" i="3"/>
  <c r="CA30" i="3" s="1"/>
  <c r="AB17" i="3"/>
  <c r="CH17" i="3" s="1"/>
  <c r="AB25" i="3"/>
  <c r="CH25" i="3" s="1"/>
  <c r="AB18" i="3"/>
  <c r="AB26" i="3"/>
  <c r="CH26" i="3" s="1"/>
  <c r="AB19" i="3"/>
  <c r="CH19" i="3" s="1"/>
  <c r="AB27" i="3"/>
  <c r="CH27" i="3" s="1"/>
  <c r="AB20" i="3"/>
  <c r="CH20" i="3" s="1"/>
  <c r="AB28" i="3"/>
  <c r="CH28" i="3" s="1"/>
  <c r="FN6" i="2"/>
  <c r="AB13" i="3"/>
  <c r="CH13" i="3" s="1"/>
  <c r="AB21" i="3"/>
  <c r="CH21" i="3" s="1"/>
  <c r="AB14" i="3"/>
  <c r="CH14" i="3" s="1"/>
  <c r="AB22" i="3"/>
  <c r="CH22" i="3" s="1"/>
  <c r="AB30" i="3"/>
  <c r="CH30" i="3" s="1"/>
  <c r="AB15" i="3"/>
  <c r="CH15" i="3" s="1"/>
  <c r="AB23" i="3"/>
  <c r="CH23" i="3" s="1"/>
  <c r="AB16" i="3"/>
  <c r="CH16" i="3" s="1"/>
  <c r="AB24" i="3"/>
  <c r="CH24" i="3" s="1"/>
  <c r="AB29" i="3"/>
  <c r="CH29" i="3" s="1"/>
  <c r="X13" i="3"/>
  <c r="CD13" i="3" s="1"/>
  <c r="X21" i="3"/>
  <c r="CD21" i="3" s="1"/>
  <c r="X29" i="3"/>
  <c r="CD29" i="3" s="1"/>
  <c r="X18" i="3"/>
  <c r="X26" i="3"/>
  <c r="CD26" i="3" s="1"/>
  <c r="X15" i="3"/>
  <c r="CD15" i="3" s="1"/>
  <c r="X23" i="3"/>
  <c r="CD23" i="3" s="1"/>
  <c r="X30" i="3"/>
  <c r="CD30" i="3" s="1"/>
  <c r="X20" i="3"/>
  <c r="CD20" i="3" s="1"/>
  <c r="X28" i="3"/>
  <c r="CD28" i="3" s="1"/>
  <c r="X17" i="3"/>
  <c r="CD17" i="3" s="1"/>
  <c r="X25" i="3"/>
  <c r="CD25" i="3" s="1"/>
  <c r="X14" i="3"/>
  <c r="CD14" i="3" s="1"/>
  <c r="X22" i="3"/>
  <c r="CD22" i="3" s="1"/>
  <c r="FJ6" i="2"/>
  <c r="X19" i="3"/>
  <c r="CD19" i="3" s="1"/>
  <c r="X27" i="3"/>
  <c r="CD27" i="3" s="1"/>
  <c r="X16" i="3"/>
  <c r="CD16" i="3" s="1"/>
  <c r="X24" i="3"/>
  <c r="CD24" i="3" s="1"/>
  <c r="FQ6" i="2"/>
  <c r="AE18" i="3"/>
  <c r="AE26" i="3"/>
  <c r="CK26" i="3" s="1"/>
  <c r="AE15" i="3"/>
  <c r="CK15" i="3" s="1"/>
  <c r="AE23" i="3"/>
  <c r="CK23" i="3" s="1"/>
  <c r="AE20" i="3"/>
  <c r="CK20" i="3" s="1"/>
  <c r="AE28" i="3"/>
  <c r="CK28" i="3" s="1"/>
  <c r="AE17" i="3"/>
  <c r="CK17" i="3" s="1"/>
  <c r="AE25" i="3"/>
  <c r="CK25" i="3" s="1"/>
  <c r="AE14" i="3"/>
  <c r="CK14" i="3" s="1"/>
  <c r="AE22" i="3"/>
  <c r="CK22" i="3" s="1"/>
  <c r="AE30" i="3"/>
  <c r="CK30" i="3" s="1"/>
  <c r="AE19" i="3"/>
  <c r="CK19" i="3" s="1"/>
  <c r="AE27" i="3"/>
  <c r="CK27" i="3" s="1"/>
  <c r="AE16" i="3"/>
  <c r="CK16" i="3" s="1"/>
  <c r="AE24" i="3"/>
  <c r="CK24" i="3" s="1"/>
  <c r="AE13" i="3"/>
  <c r="CK13" i="3" s="1"/>
  <c r="AE21" i="3"/>
  <c r="CK21" i="3" s="1"/>
  <c r="AE29" i="3"/>
  <c r="CK29" i="3" s="1"/>
  <c r="AA14" i="3"/>
  <c r="CG14" i="3" s="1"/>
  <c r="AA22" i="3"/>
  <c r="CG22" i="3" s="1"/>
  <c r="AA30" i="3"/>
  <c r="CG30" i="3" s="1"/>
  <c r="AA19" i="3"/>
  <c r="CG19" i="3" s="1"/>
  <c r="AA27" i="3"/>
  <c r="CG27" i="3" s="1"/>
  <c r="FM6" i="2"/>
  <c r="AA16" i="3"/>
  <c r="CG16" i="3" s="1"/>
  <c r="AA24" i="3"/>
  <c r="CG24" i="3" s="1"/>
  <c r="AA13" i="3"/>
  <c r="CG13" i="3" s="1"/>
  <c r="AA21" i="3"/>
  <c r="CG21" i="3" s="1"/>
  <c r="AA29" i="3"/>
  <c r="CG29" i="3" s="1"/>
  <c r="AA18" i="3"/>
  <c r="AA26" i="3"/>
  <c r="CG26" i="3" s="1"/>
  <c r="AA15" i="3"/>
  <c r="CG15" i="3" s="1"/>
  <c r="AA23" i="3"/>
  <c r="CG23" i="3" s="1"/>
  <c r="AA20" i="3"/>
  <c r="CG20" i="3" s="1"/>
  <c r="AA28" i="3"/>
  <c r="CG28" i="3" s="1"/>
  <c r="AA17" i="3"/>
  <c r="CG17" i="3" s="1"/>
  <c r="AA25" i="3"/>
  <c r="CG25" i="3" s="1"/>
  <c r="W18" i="3"/>
  <c r="W26" i="3"/>
  <c r="CC26" i="3" s="1"/>
  <c r="W15" i="3"/>
  <c r="CC15" i="3" s="1"/>
  <c r="W23" i="3"/>
  <c r="CC23" i="3" s="1"/>
  <c r="W20" i="3"/>
  <c r="CC20" i="3" s="1"/>
  <c r="W28" i="3"/>
  <c r="CC28" i="3" s="1"/>
  <c r="W17" i="3"/>
  <c r="CC17" i="3" s="1"/>
  <c r="W25" i="3"/>
  <c r="CC25" i="3" s="1"/>
  <c r="FI6" i="2"/>
  <c r="W14" i="3"/>
  <c r="CC14" i="3" s="1"/>
  <c r="W22" i="3"/>
  <c r="CC22" i="3" s="1"/>
  <c r="W30" i="3"/>
  <c r="CC30" i="3" s="1"/>
  <c r="W19" i="3"/>
  <c r="CC19" i="3" s="1"/>
  <c r="W27" i="3"/>
  <c r="CC27" i="3" s="1"/>
  <c r="W16" i="3"/>
  <c r="CC16" i="3" s="1"/>
  <c r="W24" i="3"/>
  <c r="CC24" i="3" s="1"/>
  <c r="W13" i="3"/>
  <c r="CC13" i="3" s="1"/>
  <c r="W21" i="3"/>
  <c r="CC21" i="3" s="1"/>
  <c r="W29" i="3"/>
  <c r="CC29" i="3" s="1"/>
  <c r="FP6" i="2"/>
  <c r="AD14" i="3"/>
  <c r="CJ14" i="3" s="1"/>
  <c r="AD22" i="3"/>
  <c r="CJ22" i="3" s="1"/>
  <c r="AD30" i="3"/>
  <c r="CJ30" i="3" s="1"/>
  <c r="AD19" i="3"/>
  <c r="CJ19" i="3" s="1"/>
  <c r="AD27" i="3"/>
  <c r="CJ27" i="3" s="1"/>
  <c r="AD16" i="3"/>
  <c r="CJ16" i="3" s="1"/>
  <c r="AD24" i="3"/>
  <c r="CJ24" i="3" s="1"/>
  <c r="AD13" i="3"/>
  <c r="CJ13" i="3" s="1"/>
  <c r="AD21" i="3"/>
  <c r="CJ21" i="3" s="1"/>
  <c r="AD29" i="3"/>
  <c r="CJ29" i="3" s="1"/>
  <c r="AD18" i="3"/>
  <c r="AD26" i="3"/>
  <c r="CJ26" i="3" s="1"/>
  <c r="AD15" i="3"/>
  <c r="CJ15" i="3" s="1"/>
  <c r="AD23" i="3"/>
  <c r="CJ23" i="3" s="1"/>
  <c r="AD20" i="3"/>
  <c r="CJ20" i="3" s="1"/>
  <c r="AD28" i="3"/>
  <c r="CJ28" i="3" s="1"/>
  <c r="AD17" i="3"/>
  <c r="CJ17" i="3" s="1"/>
  <c r="AD25" i="3"/>
  <c r="CJ25" i="3" s="1"/>
  <c r="Z18" i="3"/>
  <c r="Z26" i="3"/>
  <c r="CF26" i="3" s="1"/>
  <c r="Z17" i="3"/>
  <c r="CF17" i="3" s="1"/>
  <c r="Z25" i="3"/>
  <c r="CF25" i="3" s="1"/>
  <c r="FL6" i="2"/>
  <c r="Z20" i="3"/>
  <c r="CF20" i="3" s="1"/>
  <c r="Z28" i="3"/>
  <c r="CF28" i="3" s="1"/>
  <c r="Z19" i="3"/>
  <c r="CF19" i="3" s="1"/>
  <c r="Z27" i="3"/>
  <c r="CF27" i="3" s="1"/>
  <c r="Z14" i="3"/>
  <c r="CF14" i="3" s="1"/>
  <c r="Z22" i="3"/>
  <c r="CF22" i="3" s="1"/>
  <c r="Z13" i="3"/>
  <c r="CF13" i="3" s="1"/>
  <c r="Z21" i="3"/>
  <c r="CF21" i="3" s="1"/>
  <c r="Z29" i="3"/>
  <c r="CF29" i="3" s="1"/>
  <c r="Z16" i="3"/>
  <c r="CF16" i="3" s="1"/>
  <c r="Z24" i="3"/>
  <c r="CF24" i="3" s="1"/>
  <c r="Z15" i="3"/>
  <c r="CF15" i="3" s="1"/>
  <c r="Z23" i="3"/>
  <c r="CF23" i="3" s="1"/>
  <c r="Z30" i="3"/>
  <c r="CF30" i="3" s="1"/>
  <c r="V14" i="3"/>
  <c r="CB14" i="3" s="1"/>
  <c r="V22" i="3"/>
  <c r="CB22" i="3" s="1"/>
  <c r="V30" i="3"/>
  <c r="CB30" i="3" s="1"/>
  <c r="V19" i="3"/>
  <c r="CB19" i="3" s="1"/>
  <c r="V27" i="3"/>
  <c r="CB27" i="3" s="1"/>
  <c r="V16" i="3"/>
  <c r="CB16" i="3" s="1"/>
  <c r="V24" i="3"/>
  <c r="CB24" i="3" s="1"/>
  <c r="V13" i="3"/>
  <c r="CB13" i="3" s="1"/>
  <c r="V21" i="3"/>
  <c r="CB21" i="3" s="1"/>
  <c r="V29" i="3"/>
  <c r="CB29" i="3" s="1"/>
  <c r="FH6" i="2"/>
  <c r="V18" i="3"/>
  <c r="V26" i="3"/>
  <c r="CB26" i="3" s="1"/>
  <c r="V15" i="3"/>
  <c r="CB15" i="3" s="1"/>
  <c r="V23" i="3"/>
  <c r="CB23" i="3" s="1"/>
  <c r="V20" i="3"/>
  <c r="CB20" i="3" s="1"/>
  <c r="V28" i="3"/>
  <c r="CB28" i="3" s="1"/>
  <c r="V17" i="3"/>
  <c r="CB17" i="3" s="1"/>
  <c r="V25" i="3"/>
  <c r="CB25" i="3" s="1"/>
  <c r="AC5" i="3"/>
  <c r="AC7" i="3"/>
  <c r="AC9" i="3"/>
  <c r="CI9" i="3" s="1"/>
  <c r="AC11" i="3"/>
  <c r="CI11" i="3" s="1"/>
  <c r="AC6" i="3"/>
  <c r="AC8" i="3"/>
  <c r="CI8" i="3" s="1"/>
  <c r="AC10" i="3"/>
  <c r="AC12" i="3"/>
  <c r="CI12" i="3" s="1"/>
  <c r="Y5" i="3"/>
  <c r="Y7" i="3"/>
  <c r="Y9" i="3"/>
  <c r="CE9" i="3" s="1"/>
  <c r="Y11" i="3"/>
  <c r="CE11" i="3" s="1"/>
  <c r="Y6" i="3"/>
  <c r="Y8" i="3"/>
  <c r="CE8" i="3" s="1"/>
  <c r="Y10" i="3"/>
  <c r="Y12" i="3"/>
  <c r="CE12" i="3" s="1"/>
  <c r="AB5" i="3"/>
  <c r="AB7" i="3"/>
  <c r="AB9" i="3"/>
  <c r="CH9" i="3" s="1"/>
  <c r="AB11" i="3"/>
  <c r="CH11" i="3" s="1"/>
  <c r="AB6" i="3"/>
  <c r="AB8" i="3"/>
  <c r="CH8" i="3" s="1"/>
  <c r="AB10" i="3"/>
  <c r="AB12" i="3"/>
  <c r="CH12" i="3" s="1"/>
  <c r="X5" i="3"/>
  <c r="X7" i="3"/>
  <c r="X9" i="3"/>
  <c r="CD9" i="3" s="1"/>
  <c r="X11" i="3"/>
  <c r="CD11" i="3" s="1"/>
  <c r="X6" i="3"/>
  <c r="X8" i="3"/>
  <c r="CD8" i="3" s="1"/>
  <c r="X10" i="3"/>
  <c r="X12" i="3"/>
  <c r="CD12" i="3" s="1"/>
  <c r="AE5" i="3"/>
  <c r="AE6" i="3"/>
  <c r="AE8" i="3"/>
  <c r="CK8" i="3" s="1"/>
  <c r="AE10" i="3"/>
  <c r="AE12" i="3"/>
  <c r="CK12" i="3" s="1"/>
  <c r="AE7" i="3"/>
  <c r="AE9" i="3"/>
  <c r="CK9" i="3" s="1"/>
  <c r="AE11" i="3"/>
  <c r="CK11" i="3" s="1"/>
  <c r="AA5" i="3"/>
  <c r="AA6" i="3"/>
  <c r="AA8" i="3"/>
  <c r="CG8" i="3" s="1"/>
  <c r="AA10" i="3"/>
  <c r="AA12" i="3"/>
  <c r="CG12" i="3" s="1"/>
  <c r="AA7" i="3"/>
  <c r="AA9" i="3"/>
  <c r="CG9" i="3" s="1"/>
  <c r="AA11" i="3"/>
  <c r="CG11" i="3" s="1"/>
  <c r="W5" i="3"/>
  <c r="W6" i="3"/>
  <c r="W8" i="3"/>
  <c r="CC8" i="3" s="1"/>
  <c r="W10" i="3"/>
  <c r="W12" i="3"/>
  <c r="CC12" i="3" s="1"/>
  <c r="W7" i="3"/>
  <c r="W9" i="3"/>
  <c r="CC9" i="3" s="1"/>
  <c r="W11" i="3"/>
  <c r="CC11" i="3" s="1"/>
  <c r="AD5" i="3"/>
  <c r="AD6" i="3"/>
  <c r="AD8" i="3"/>
  <c r="CJ8" i="3" s="1"/>
  <c r="AD10" i="3"/>
  <c r="AD12" i="3"/>
  <c r="CJ12" i="3" s="1"/>
  <c r="AD7" i="3"/>
  <c r="AD9" i="3"/>
  <c r="CJ9" i="3" s="1"/>
  <c r="AD11" i="3"/>
  <c r="CJ11" i="3" s="1"/>
  <c r="Z5" i="3"/>
  <c r="Z6" i="3"/>
  <c r="Z8" i="3"/>
  <c r="CF8" i="3" s="1"/>
  <c r="Z10" i="3"/>
  <c r="Z12" i="3"/>
  <c r="CF12" i="3" s="1"/>
  <c r="Z7" i="3"/>
  <c r="Z9" i="3"/>
  <c r="CF9" i="3" s="1"/>
  <c r="Z11" i="3"/>
  <c r="CF11" i="3" s="1"/>
  <c r="V5" i="3"/>
  <c r="V6" i="3"/>
  <c r="V8" i="3"/>
  <c r="CB8" i="3" s="1"/>
  <c r="V10" i="3"/>
  <c r="V12" i="3"/>
  <c r="CB12" i="3" s="1"/>
  <c r="V7" i="3"/>
  <c r="V9" i="3"/>
  <c r="CB9" i="3" s="1"/>
  <c r="V11" i="3"/>
  <c r="CB11" i="3" s="1"/>
  <c r="T18" i="3"/>
  <c r="T23" i="3"/>
  <c r="T15" i="3"/>
  <c r="T16" i="3"/>
  <c r="T20" i="3"/>
  <c r="T24" i="3"/>
  <c r="T28" i="3"/>
  <c r="T22" i="3"/>
  <c r="T19" i="3"/>
  <c r="T13" i="3"/>
  <c r="T17" i="3"/>
  <c r="T21" i="3"/>
  <c r="T25" i="3"/>
  <c r="T29" i="3"/>
  <c r="T14" i="3"/>
  <c r="T26" i="3"/>
  <c r="T30" i="3"/>
  <c r="T27" i="3"/>
  <c r="T5" i="3"/>
  <c r="T6" i="3"/>
  <c r="T7" i="3"/>
  <c r="T11" i="3"/>
  <c r="BZ11" i="3" s="1"/>
  <c r="T8" i="3"/>
  <c r="BZ8" i="3" s="1"/>
  <c r="T12" i="3"/>
  <c r="BZ12" i="3" s="1"/>
  <c r="T10" i="3"/>
  <c r="T9" i="3"/>
  <c r="BZ9" i="3" s="1"/>
  <c r="DA7" i="2"/>
  <c r="CI6" i="2"/>
  <c r="CI9" i="2"/>
  <c r="CI8" i="2"/>
  <c r="CI7" i="2"/>
  <c r="DL7" i="2" s="1"/>
  <c r="CI5" i="2"/>
  <c r="BI8" i="2"/>
  <c r="BI7" i="2"/>
  <c r="BI5" i="2"/>
  <c r="BI9" i="2"/>
  <c r="BI6" i="2"/>
  <c r="BG8" i="2"/>
  <c r="BH9" i="2"/>
  <c r="BG5" i="2"/>
  <c r="BG7" i="2"/>
  <c r="BH6" i="2"/>
  <c r="AF9" i="2"/>
  <c r="AF5" i="2"/>
  <c r="AF6" i="2"/>
  <c r="AF8" i="2"/>
  <c r="AF7" i="2"/>
  <c r="AE9" i="2"/>
  <c r="AE5" i="2"/>
  <c r="AE6" i="2"/>
  <c r="AE8" i="2"/>
  <c r="AE7" i="2"/>
  <c r="B6" i="9"/>
  <c r="B7" i="9"/>
  <c r="B8" i="9"/>
  <c r="B9" i="9"/>
  <c r="B5" i="9"/>
  <c r="AJ14" i="3"/>
  <c r="AK14" i="3"/>
  <c r="AL14" i="3"/>
  <c r="AM14" i="3"/>
  <c r="AN14" i="3"/>
  <c r="AO14" i="3"/>
  <c r="AP14" i="3"/>
  <c r="AQ14" i="3"/>
  <c r="AR14" i="3"/>
  <c r="AS14" i="3"/>
  <c r="AT14" i="3"/>
  <c r="AU14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J49" i="3"/>
  <c r="DP9" i="2" s="1"/>
  <c r="AK49" i="3"/>
  <c r="AL49" i="3"/>
  <c r="AM49" i="3"/>
  <c r="AN49" i="3"/>
  <c r="AO49" i="3"/>
  <c r="AP49" i="3"/>
  <c r="AQ49" i="3"/>
  <c r="DW9" i="2" s="1"/>
  <c r="AR49" i="3"/>
  <c r="AS49" i="3"/>
  <c r="AT49" i="3"/>
  <c r="AU49" i="3"/>
  <c r="AB15" i="6"/>
  <c r="DP5" i="2"/>
  <c r="DQ5" i="2"/>
  <c r="DR5" i="2"/>
  <c r="DS5" i="2"/>
  <c r="DT5" i="2"/>
  <c r="DU5" i="2"/>
  <c r="DV5" i="2"/>
  <c r="DW5" i="2"/>
  <c r="DX5" i="2"/>
  <c r="DY5" i="2"/>
  <c r="DZ5" i="2"/>
  <c r="EA5" i="2"/>
  <c r="EB5" i="2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AK6" i="3"/>
  <c r="AL6" i="3"/>
  <c r="AM6" i="3"/>
  <c r="AN6" i="3"/>
  <c r="AO6" i="3"/>
  <c r="AP6" i="3"/>
  <c r="AQ6" i="3"/>
  <c r="AR6" i="3"/>
  <c r="AS6" i="3"/>
  <c r="AT6" i="3"/>
  <c r="AU6" i="3"/>
  <c r="AK7" i="3"/>
  <c r="AL7" i="3"/>
  <c r="AM7" i="3"/>
  <c r="AN7" i="3"/>
  <c r="AO7" i="3"/>
  <c r="AP7" i="3"/>
  <c r="AQ7" i="3"/>
  <c r="AR7" i="3"/>
  <c r="AS7" i="3"/>
  <c r="AT7" i="3"/>
  <c r="AU7" i="3"/>
  <c r="AK8" i="3"/>
  <c r="AL8" i="3"/>
  <c r="AM8" i="3"/>
  <c r="AN8" i="3"/>
  <c r="AO8" i="3"/>
  <c r="AP8" i="3"/>
  <c r="AQ8" i="3"/>
  <c r="AR8" i="3"/>
  <c r="AS8" i="3"/>
  <c r="AT8" i="3"/>
  <c r="AU8" i="3"/>
  <c r="AK9" i="3"/>
  <c r="AL9" i="3"/>
  <c r="AM9" i="3"/>
  <c r="AN9" i="3"/>
  <c r="AO9" i="3"/>
  <c r="AP9" i="3"/>
  <c r="AQ9" i="3"/>
  <c r="AR9" i="3"/>
  <c r="AS9" i="3"/>
  <c r="AT9" i="3"/>
  <c r="AU9" i="3"/>
  <c r="AK12" i="3"/>
  <c r="AL12" i="3"/>
  <c r="AM12" i="3"/>
  <c r="AN12" i="3"/>
  <c r="AO12" i="3"/>
  <c r="AP12" i="3"/>
  <c r="AQ12" i="3"/>
  <c r="AR12" i="3"/>
  <c r="AS12" i="3"/>
  <c r="AT12" i="3"/>
  <c r="AU12" i="3"/>
  <c r="AL5" i="3"/>
  <c r="AM5" i="3"/>
  <c r="AN5" i="3"/>
  <c r="AO5" i="3"/>
  <c r="AP5" i="3"/>
  <c r="AQ5" i="3"/>
  <c r="AR5" i="3"/>
  <c r="AS5" i="3"/>
  <c r="AT5" i="3"/>
  <c r="AU5" i="3"/>
  <c r="AK5" i="3"/>
  <c r="AJ6" i="3"/>
  <c r="AJ7" i="3"/>
  <c r="AJ8" i="3"/>
  <c r="AJ9" i="3"/>
  <c r="AJ12" i="3"/>
  <c r="AJ5" i="3"/>
  <c r="AA5" i="6"/>
  <c r="AB14" i="6"/>
  <c r="AB13" i="6"/>
  <c r="AB12" i="6"/>
  <c r="AB8" i="6"/>
  <c r="BG8" i="9" l="1"/>
  <c r="BF8" i="9"/>
  <c r="BC8" i="9"/>
  <c r="BB8" i="9"/>
  <c r="BE8" i="9"/>
  <c r="BD8" i="9"/>
  <c r="AY8" i="9"/>
  <c r="AX8" i="9"/>
  <c r="BA8" i="9"/>
  <c r="AZ8" i="9"/>
  <c r="AS8" i="9"/>
  <c r="AU8" i="9"/>
  <c r="AT8" i="9"/>
  <c r="AW8" i="9"/>
  <c r="AV8" i="9"/>
  <c r="BH8" i="9"/>
  <c r="BH7" i="9"/>
  <c r="BG7" i="9"/>
  <c r="AS7" i="9"/>
  <c r="AT7" i="9"/>
  <c r="BD7" i="9"/>
  <c r="BC7" i="9"/>
  <c r="BF7" i="9"/>
  <c r="BE7" i="9"/>
  <c r="AZ7" i="9"/>
  <c r="AY7" i="9"/>
  <c r="BB7" i="9"/>
  <c r="BA7" i="9"/>
  <c r="AV7" i="9"/>
  <c r="AU7" i="9"/>
  <c r="AX7" i="9"/>
  <c r="AW7" i="9"/>
  <c r="BE6" i="9"/>
  <c r="BD6" i="9"/>
  <c r="BC6" i="9"/>
  <c r="BB6" i="9"/>
  <c r="AS6" i="9"/>
  <c r="BA6" i="9"/>
  <c r="AZ6" i="9"/>
  <c r="AY6" i="9"/>
  <c r="AX6" i="9"/>
  <c r="AW6" i="9"/>
  <c r="AV6" i="9"/>
  <c r="AU6" i="9"/>
  <c r="AT6" i="9"/>
  <c r="BH6" i="9"/>
  <c r="BG6" i="9"/>
  <c r="BF6" i="9"/>
  <c r="AA6" i="9"/>
  <c r="CG6" i="9" s="1"/>
  <c r="Q9" i="9"/>
  <c r="BW9" i="9" s="1"/>
  <c r="U9" i="9"/>
  <c r="CA9" i="9" s="1"/>
  <c r="Y9" i="9"/>
  <c r="CE9" i="9" s="1"/>
  <c r="AC9" i="9"/>
  <c r="CI9" i="9" s="1"/>
  <c r="AU9" i="9"/>
  <c r="AY9" i="9"/>
  <c r="BC9" i="9"/>
  <c r="BG9" i="9"/>
  <c r="R9" i="9"/>
  <c r="BX9" i="9" s="1"/>
  <c r="V9" i="9"/>
  <c r="CB9" i="9" s="1"/>
  <c r="Z9" i="9"/>
  <c r="CF9" i="9" s="1"/>
  <c r="AD9" i="9"/>
  <c r="CJ9" i="9" s="1"/>
  <c r="AV9" i="9"/>
  <c r="AZ9" i="9"/>
  <c r="BD9" i="9"/>
  <c r="BH9" i="9"/>
  <c r="S9" i="9"/>
  <c r="BY9" i="9" s="1"/>
  <c r="W9" i="9"/>
  <c r="CC9" i="9" s="1"/>
  <c r="AA9" i="9"/>
  <c r="CG9" i="9" s="1"/>
  <c r="AE9" i="9"/>
  <c r="CK9" i="9" s="1"/>
  <c r="AW9" i="9"/>
  <c r="BA9" i="9"/>
  <c r="BE9" i="9"/>
  <c r="AS9" i="9"/>
  <c r="T9" i="9"/>
  <c r="BZ9" i="9" s="1"/>
  <c r="X9" i="9"/>
  <c r="CD9" i="9" s="1"/>
  <c r="AB9" i="9"/>
  <c r="CH9" i="9" s="1"/>
  <c r="AT9" i="9"/>
  <c r="AX9" i="9"/>
  <c r="BB9" i="9"/>
  <c r="BF9" i="9"/>
  <c r="P9" i="9"/>
  <c r="BV9" i="9" s="1"/>
  <c r="CF18" i="3"/>
  <c r="V7" i="9"/>
  <c r="CB7" i="9" s="1"/>
  <c r="CJ18" i="3"/>
  <c r="Z7" i="9"/>
  <c r="CF7" i="9" s="1"/>
  <c r="CD18" i="3"/>
  <c r="T7" i="9"/>
  <c r="BZ7" i="9" s="1"/>
  <c r="CH18" i="3"/>
  <c r="X7" i="9"/>
  <c r="CD7" i="9" s="1"/>
  <c r="CA18" i="3"/>
  <c r="Q7" i="9"/>
  <c r="BW7" i="9" s="1"/>
  <c r="CI18" i="3"/>
  <c r="Y7" i="9"/>
  <c r="CE7" i="9" s="1"/>
  <c r="CB18" i="3"/>
  <c r="R7" i="9"/>
  <c r="BX7" i="9" s="1"/>
  <c r="CC18" i="3"/>
  <c r="S7" i="9"/>
  <c r="BY7" i="9" s="1"/>
  <c r="CG18" i="3"/>
  <c r="W7" i="9"/>
  <c r="CC7" i="9" s="1"/>
  <c r="CK18" i="3"/>
  <c r="AA7" i="9"/>
  <c r="CG7" i="9" s="1"/>
  <c r="CE18" i="3"/>
  <c r="U7" i="9"/>
  <c r="CA7" i="9" s="1"/>
  <c r="BZ6" i="3"/>
  <c r="P8" i="9"/>
  <c r="BV8" i="9" s="1"/>
  <c r="BZ5" i="3"/>
  <c r="P6" i="9"/>
  <c r="BV6" i="9" s="1"/>
  <c r="CB7" i="3"/>
  <c r="R5" i="9"/>
  <c r="CB6" i="3"/>
  <c r="R8" i="9"/>
  <c r="BX8" i="9" s="1"/>
  <c r="CF7" i="3"/>
  <c r="V5" i="9"/>
  <c r="CF6" i="3"/>
  <c r="V8" i="9"/>
  <c r="CB8" i="9" s="1"/>
  <c r="CJ7" i="3"/>
  <c r="Z5" i="9"/>
  <c r="CJ6" i="3"/>
  <c r="Z8" i="9"/>
  <c r="CF8" i="9" s="1"/>
  <c r="CC7" i="3"/>
  <c r="S5" i="9"/>
  <c r="CC6" i="3"/>
  <c r="S8" i="9"/>
  <c r="BY8" i="9" s="1"/>
  <c r="CG7" i="3"/>
  <c r="W5" i="9"/>
  <c r="CG6" i="3"/>
  <c r="W8" i="9"/>
  <c r="CC8" i="9" s="1"/>
  <c r="CK7" i="3"/>
  <c r="AA5" i="9"/>
  <c r="CK6" i="3"/>
  <c r="AA8" i="9"/>
  <c r="CG8" i="9" s="1"/>
  <c r="CD7" i="3"/>
  <c r="T5" i="9"/>
  <c r="CH7" i="3"/>
  <c r="X5" i="9"/>
  <c r="CE7" i="3"/>
  <c r="U5" i="9"/>
  <c r="CI7" i="3"/>
  <c r="Y5" i="9"/>
  <c r="BZ7" i="3"/>
  <c r="P5" i="9"/>
  <c r="P7" i="9"/>
  <c r="BV7" i="9" s="1"/>
  <c r="CB5" i="3"/>
  <c r="R6" i="9"/>
  <c r="BX6" i="9" s="1"/>
  <c r="CF5" i="3"/>
  <c r="V6" i="9"/>
  <c r="CB6" i="9" s="1"/>
  <c r="CJ5" i="3"/>
  <c r="Z6" i="9"/>
  <c r="CF6" i="9" s="1"/>
  <c r="CC5" i="3"/>
  <c r="S6" i="9"/>
  <c r="BY6" i="9" s="1"/>
  <c r="CG5" i="3"/>
  <c r="W6" i="9"/>
  <c r="CC6" i="9" s="1"/>
  <c r="CD6" i="3"/>
  <c r="T8" i="9"/>
  <c r="BZ8" i="9" s="1"/>
  <c r="CD5" i="3"/>
  <c r="T6" i="9"/>
  <c r="BZ6" i="9" s="1"/>
  <c r="CH6" i="3"/>
  <c r="X8" i="9"/>
  <c r="CD8" i="9" s="1"/>
  <c r="CH5" i="3"/>
  <c r="X6" i="9"/>
  <c r="CD6" i="9" s="1"/>
  <c r="CE6" i="3"/>
  <c r="U8" i="9"/>
  <c r="CA8" i="9" s="1"/>
  <c r="CE5" i="3"/>
  <c r="U6" i="9"/>
  <c r="CA6" i="9" s="1"/>
  <c r="CI6" i="3"/>
  <c r="Y8" i="9"/>
  <c r="CE8" i="9" s="1"/>
  <c r="CI5" i="3"/>
  <c r="Y6" i="9"/>
  <c r="CE6" i="9" s="1"/>
  <c r="CK5" i="3"/>
  <c r="AF26" i="3"/>
  <c r="CL26" i="3" s="1"/>
  <c r="BZ26" i="3"/>
  <c r="AF21" i="3"/>
  <c r="CL21" i="3" s="1"/>
  <c r="BZ21" i="3"/>
  <c r="AF22" i="3"/>
  <c r="CL22" i="3" s="1"/>
  <c r="BZ22" i="3"/>
  <c r="AF16" i="3"/>
  <c r="CL16" i="3" s="1"/>
  <c r="BZ16" i="3"/>
  <c r="AF14" i="3"/>
  <c r="CL14" i="3" s="1"/>
  <c r="BZ14" i="3"/>
  <c r="AF17" i="3"/>
  <c r="CL17" i="3" s="1"/>
  <c r="BZ17" i="3"/>
  <c r="AF28" i="3"/>
  <c r="CL28" i="3" s="1"/>
  <c r="BZ28" i="3"/>
  <c r="AF15" i="3"/>
  <c r="CL15" i="3" s="1"/>
  <c r="BZ15" i="3"/>
  <c r="AF27" i="3"/>
  <c r="CL27" i="3" s="1"/>
  <c r="BZ27" i="3"/>
  <c r="AF29" i="3"/>
  <c r="CL29" i="3" s="1"/>
  <c r="BZ29" i="3"/>
  <c r="AF13" i="3"/>
  <c r="CL13" i="3" s="1"/>
  <c r="BZ13" i="3"/>
  <c r="AF24" i="3"/>
  <c r="CL24" i="3" s="1"/>
  <c r="BZ24" i="3"/>
  <c r="AF23" i="3"/>
  <c r="CL23" i="3" s="1"/>
  <c r="BZ23" i="3"/>
  <c r="AF30" i="3"/>
  <c r="CL30" i="3" s="1"/>
  <c r="BZ30" i="3"/>
  <c r="AF25" i="3"/>
  <c r="CL25" i="3" s="1"/>
  <c r="BZ25" i="3"/>
  <c r="AF19" i="3"/>
  <c r="CL19" i="3" s="1"/>
  <c r="BZ19" i="3"/>
  <c r="AF20" i="3"/>
  <c r="CL20" i="3" s="1"/>
  <c r="BZ20" i="3"/>
  <c r="AF18" i="3"/>
  <c r="BZ18" i="3"/>
  <c r="U6" i="3"/>
  <c r="Q8" i="9" s="1"/>
  <c r="BW8" i="9" s="1"/>
  <c r="U10" i="3"/>
  <c r="AF10" i="3" s="1"/>
  <c r="U7" i="3"/>
  <c r="U11" i="3"/>
  <c r="U8" i="3"/>
  <c r="U12" i="3"/>
  <c r="U9" i="3"/>
  <c r="U5" i="3"/>
  <c r="Q6" i="9" s="1"/>
  <c r="BW6" i="9" s="1"/>
  <c r="CL9" i="2"/>
  <c r="DO9" i="2" s="1"/>
  <c r="FU9" i="2" s="1"/>
  <c r="DL9" i="2"/>
  <c r="FR9" i="2" s="1"/>
  <c r="CL5" i="2"/>
  <c r="DO5" i="2" s="1"/>
  <c r="FU5" i="2" s="1"/>
  <c r="DL5" i="2"/>
  <c r="FR5" i="2" s="1"/>
  <c r="CK6" i="2"/>
  <c r="DN6" i="2" s="1"/>
  <c r="FT6" i="2" s="1"/>
  <c r="DL6" i="2"/>
  <c r="FR6" i="2" s="1"/>
  <c r="CL8" i="2"/>
  <c r="DO8" i="2" s="1"/>
  <c r="FU8" i="2" s="1"/>
  <c r="DL8" i="2"/>
  <c r="FR8" i="2" s="1"/>
  <c r="CL7" i="2"/>
  <c r="DO7" i="2" s="1"/>
  <c r="DY8" i="2"/>
  <c r="CJ6" i="2"/>
  <c r="DM6" i="2" s="1"/>
  <c r="FS6" i="2" s="1"/>
  <c r="CL6" i="2"/>
  <c r="DO6" i="2" s="1"/>
  <c r="FU6" i="2" s="1"/>
  <c r="CJ7" i="2"/>
  <c r="DM7" i="2" s="1"/>
  <c r="CK7" i="2"/>
  <c r="DN7" i="2" s="1"/>
  <c r="CJ8" i="2"/>
  <c r="DM8" i="2" s="1"/>
  <c r="FS8" i="2" s="1"/>
  <c r="CK8" i="2"/>
  <c r="DN8" i="2" s="1"/>
  <c r="FT8" i="2" s="1"/>
  <c r="CJ9" i="2"/>
  <c r="DM9" i="2" s="1"/>
  <c r="FS9" i="2" s="1"/>
  <c r="CK9" i="2"/>
  <c r="DN9" i="2" s="1"/>
  <c r="FT9" i="2" s="1"/>
  <c r="CJ5" i="2"/>
  <c r="DM5" i="2" s="1"/>
  <c r="FS5" i="2" s="1"/>
  <c r="CK5" i="2"/>
  <c r="DN5" i="2" s="1"/>
  <c r="FT5" i="2" s="1"/>
  <c r="EA8" i="2"/>
  <c r="DS8" i="2"/>
  <c r="DU8" i="2"/>
  <c r="DQ8" i="2"/>
  <c r="DR8" i="2"/>
  <c r="DY9" i="2"/>
  <c r="EA9" i="2"/>
  <c r="DS9" i="2"/>
  <c r="DW8" i="2"/>
  <c r="DU9" i="2"/>
  <c r="DQ9" i="2"/>
  <c r="DZ9" i="2"/>
  <c r="DV9" i="2"/>
  <c r="DR9" i="2"/>
  <c r="DZ8" i="2"/>
  <c r="DV8" i="2"/>
  <c r="DX9" i="2"/>
  <c r="DT9" i="2"/>
  <c r="DX8" i="2"/>
  <c r="DT8" i="2"/>
  <c r="DP8" i="2"/>
  <c r="AV49" i="3"/>
  <c r="AV33" i="3"/>
  <c r="AV45" i="3"/>
  <c r="AV43" i="3"/>
  <c r="AV41" i="3"/>
  <c r="AV29" i="3"/>
  <c r="AV21" i="3"/>
  <c r="AV37" i="3"/>
  <c r="AV31" i="3"/>
  <c r="AV25" i="3"/>
  <c r="AV27" i="3"/>
  <c r="AV23" i="3"/>
  <c r="AV17" i="3"/>
  <c r="AV39" i="3"/>
  <c r="AV19" i="3"/>
  <c r="AV15" i="3"/>
  <c r="AV47" i="3"/>
  <c r="AV35" i="3"/>
  <c r="AV48" i="3"/>
  <c r="AV40" i="3"/>
  <c r="AV32" i="3"/>
  <c r="AV24" i="3"/>
  <c r="AV16" i="3"/>
  <c r="AV46" i="3"/>
  <c r="AV38" i="3"/>
  <c r="AV30" i="3"/>
  <c r="AV22" i="3"/>
  <c r="AV14" i="3"/>
  <c r="AV44" i="3"/>
  <c r="AV28" i="3"/>
  <c r="AV20" i="3"/>
  <c r="AV42" i="3"/>
  <c r="AV34" i="3"/>
  <c r="AV26" i="3"/>
  <c r="AV18" i="3"/>
  <c r="AV36" i="3"/>
  <c r="AA15" i="6"/>
  <c r="AC15" i="6" s="1"/>
  <c r="AV8" i="3"/>
  <c r="AV7" i="3"/>
  <c r="AV6" i="3"/>
  <c r="AV9" i="3"/>
  <c r="AV12" i="3"/>
  <c r="AV5" i="3"/>
  <c r="A1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C1" i="3"/>
  <c r="Q5" i="9" l="1"/>
  <c r="CL18" i="3"/>
  <c r="AB7" i="9"/>
  <c r="CH7" i="9" s="1"/>
  <c r="AF11" i="3"/>
  <c r="CL11" i="3" s="1"/>
  <c r="CA11" i="3"/>
  <c r="AF9" i="3"/>
  <c r="CL9" i="3" s="1"/>
  <c r="CA9" i="3"/>
  <c r="AF7" i="3"/>
  <c r="CA7" i="3"/>
  <c r="AF12" i="3"/>
  <c r="CL12" i="3" s="1"/>
  <c r="CA12" i="3"/>
  <c r="AF8" i="3"/>
  <c r="CL8" i="3" s="1"/>
  <c r="CA8" i="3"/>
  <c r="AF6" i="3"/>
  <c r="CA6" i="3"/>
  <c r="AF5" i="3"/>
  <c r="CA5" i="3"/>
  <c r="AG14" i="3"/>
  <c r="CM14" i="3" s="1"/>
  <c r="AG18" i="3"/>
  <c r="AG22" i="3"/>
  <c r="CM22" i="3" s="1"/>
  <c r="AG26" i="3"/>
  <c r="CM26" i="3" s="1"/>
  <c r="AG30" i="3"/>
  <c r="CM30" i="3" s="1"/>
  <c r="AG13" i="3"/>
  <c r="CM13" i="3" s="1"/>
  <c r="AG17" i="3"/>
  <c r="CM17" i="3" s="1"/>
  <c r="AG21" i="3"/>
  <c r="CM21" i="3" s="1"/>
  <c r="AG25" i="3"/>
  <c r="CM25" i="3" s="1"/>
  <c r="AG29" i="3"/>
  <c r="CM29" i="3" s="1"/>
  <c r="AG16" i="3"/>
  <c r="CM16" i="3" s="1"/>
  <c r="AG20" i="3"/>
  <c r="CM20" i="3" s="1"/>
  <c r="AG24" i="3"/>
  <c r="CM24" i="3" s="1"/>
  <c r="AG28" i="3"/>
  <c r="CM28" i="3" s="1"/>
  <c r="AG15" i="3"/>
  <c r="CM15" i="3" s="1"/>
  <c r="AG19" i="3"/>
  <c r="CM19" i="3" s="1"/>
  <c r="AG23" i="3"/>
  <c r="CM23" i="3" s="1"/>
  <c r="AG27" i="3"/>
  <c r="CM27" i="3" s="1"/>
  <c r="AH5" i="3"/>
  <c r="AH7" i="3"/>
  <c r="AH11" i="3"/>
  <c r="CN11" i="3" s="1"/>
  <c r="AH6" i="3"/>
  <c r="AH10" i="3"/>
  <c r="AH9" i="3"/>
  <c r="CN9" i="3" s="1"/>
  <c r="AH8" i="3"/>
  <c r="CN8" i="3" s="1"/>
  <c r="AH12" i="3"/>
  <c r="CN12" i="3" s="1"/>
  <c r="AG5" i="3"/>
  <c r="AG6" i="3"/>
  <c r="AG10" i="3"/>
  <c r="AG9" i="3"/>
  <c r="CM9" i="3" s="1"/>
  <c r="AG8" i="3"/>
  <c r="CM8" i="3" s="1"/>
  <c r="AG12" i="3"/>
  <c r="CM12" i="3" s="1"/>
  <c r="AG7" i="3"/>
  <c r="AG11" i="3"/>
  <c r="CM11" i="3" s="1"/>
  <c r="AI5" i="3"/>
  <c r="AI8" i="3"/>
  <c r="CO8" i="3" s="1"/>
  <c r="AI12" i="3"/>
  <c r="CO12" i="3" s="1"/>
  <c r="AI7" i="3"/>
  <c r="AI11" i="3"/>
  <c r="CO11" i="3" s="1"/>
  <c r="AI6" i="3"/>
  <c r="AI10" i="3"/>
  <c r="AI9" i="3"/>
  <c r="CO9" i="3" s="1"/>
  <c r="AH15" i="3"/>
  <c r="CN15" i="3" s="1"/>
  <c r="AH19" i="3"/>
  <c r="CN19" i="3" s="1"/>
  <c r="AH23" i="3"/>
  <c r="CN23" i="3" s="1"/>
  <c r="AH27" i="3"/>
  <c r="CN27" i="3" s="1"/>
  <c r="AH14" i="3"/>
  <c r="CN14" i="3" s="1"/>
  <c r="AH18" i="3"/>
  <c r="AH22" i="3"/>
  <c r="CN22" i="3" s="1"/>
  <c r="AH26" i="3"/>
  <c r="CN26" i="3" s="1"/>
  <c r="AH30" i="3"/>
  <c r="CN30" i="3" s="1"/>
  <c r="AH13" i="3"/>
  <c r="CN13" i="3" s="1"/>
  <c r="AH17" i="3"/>
  <c r="CN17" i="3" s="1"/>
  <c r="AH21" i="3"/>
  <c r="CN21" i="3" s="1"/>
  <c r="AH25" i="3"/>
  <c r="CN25" i="3" s="1"/>
  <c r="AH29" i="3"/>
  <c r="CN29" i="3" s="1"/>
  <c r="AH16" i="3"/>
  <c r="CN16" i="3" s="1"/>
  <c r="AH20" i="3"/>
  <c r="CN20" i="3" s="1"/>
  <c r="AH24" i="3"/>
  <c r="CN24" i="3" s="1"/>
  <c r="AH28" i="3"/>
  <c r="CN28" i="3" s="1"/>
  <c r="AI16" i="3"/>
  <c r="CO16" i="3" s="1"/>
  <c r="AI20" i="3"/>
  <c r="CO20" i="3" s="1"/>
  <c r="AI24" i="3"/>
  <c r="CO24" i="3" s="1"/>
  <c r="AI28" i="3"/>
  <c r="CO28" i="3" s="1"/>
  <c r="AI15" i="3"/>
  <c r="CO15" i="3" s="1"/>
  <c r="AI19" i="3"/>
  <c r="CO19" i="3" s="1"/>
  <c r="AI23" i="3"/>
  <c r="CO23" i="3" s="1"/>
  <c r="AI27" i="3"/>
  <c r="CO27" i="3" s="1"/>
  <c r="AI14" i="3"/>
  <c r="CO14" i="3" s="1"/>
  <c r="AI18" i="3"/>
  <c r="AI22" i="3"/>
  <c r="CO22" i="3" s="1"/>
  <c r="AI26" i="3"/>
  <c r="CO26" i="3" s="1"/>
  <c r="AI30" i="3"/>
  <c r="CO30" i="3" s="1"/>
  <c r="AI13" i="3"/>
  <c r="CO13" i="3" s="1"/>
  <c r="AI17" i="3"/>
  <c r="CO17" i="3" s="1"/>
  <c r="AI21" i="3"/>
  <c r="CO21" i="3" s="1"/>
  <c r="AI25" i="3"/>
  <c r="CO25" i="3" s="1"/>
  <c r="AI29" i="3"/>
  <c r="CO29" i="3" s="1"/>
  <c r="AM8" i="9"/>
  <c r="AP9" i="9"/>
  <c r="AI7" i="9"/>
  <c r="AM7" i="9"/>
  <c r="AQ7" i="9"/>
  <c r="AI8" i="9"/>
  <c r="AQ8" i="9"/>
  <c r="AH9" i="9"/>
  <c r="AL9" i="9"/>
  <c r="K9" i="9"/>
  <c r="BQ9" i="9" s="1"/>
  <c r="L9" i="9"/>
  <c r="BR9" i="9" s="1"/>
  <c r="E9" i="9"/>
  <c r="BK9" i="9" s="1"/>
  <c r="F9" i="9"/>
  <c r="BL9" i="9" s="1"/>
  <c r="AF7" i="9"/>
  <c r="AJ8" i="9"/>
  <c r="AQ9" i="9"/>
  <c r="AK7" i="9"/>
  <c r="AO8" i="9"/>
  <c r="AL6" i="9"/>
  <c r="AP7" i="9"/>
  <c r="AK9" i="9"/>
  <c r="G9" i="9"/>
  <c r="BM9" i="9" s="1"/>
  <c r="D9" i="9"/>
  <c r="BJ9" i="9" s="1"/>
  <c r="AQ6" i="9"/>
  <c r="I9" i="9"/>
  <c r="BO9" i="9" s="1"/>
  <c r="J9" i="9"/>
  <c r="BP9" i="9" s="1"/>
  <c r="AF6" i="9"/>
  <c r="AJ7" i="9"/>
  <c r="AN8" i="9"/>
  <c r="AG6" i="9"/>
  <c r="AO7" i="9"/>
  <c r="AF9" i="9"/>
  <c r="AP6" i="9"/>
  <c r="AL8" i="9"/>
  <c r="AO9" i="9"/>
  <c r="AG7" i="9"/>
  <c r="M9" i="9"/>
  <c r="BS9" i="9" s="1"/>
  <c r="N9" i="9"/>
  <c r="AJ6" i="9"/>
  <c r="AN7" i="9"/>
  <c r="AI9" i="9"/>
  <c r="AK6" i="9"/>
  <c r="AG8" i="9"/>
  <c r="AJ9" i="9"/>
  <c r="C9" i="9"/>
  <c r="BI9" i="9" s="1"/>
  <c r="AH7" i="9"/>
  <c r="AP8" i="9"/>
  <c r="AI6" i="9"/>
  <c r="AH8" i="9"/>
  <c r="H9" i="9"/>
  <c r="BN9" i="9" s="1"/>
  <c r="AN6" i="9"/>
  <c r="AF8" i="9"/>
  <c r="AM9" i="9"/>
  <c r="O9" i="9"/>
  <c r="BU9" i="9" s="1"/>
  <c r="AO6" i="9"/>
  <c r="AK8" i="9"/>
  <c r="AN9" i="9"/>
  <c r="AL7" i="9"/>
  <c r="AG9" i="9"/>
  <c r="AM6" i="9"/>
  <c r="AH6" i="9"/>
  <c r="EB9" i="2"/>
  <c r="EB8" i="2"/>
  <c r="J1" i="3"/>
  <c r="K1" i="3"/>
  <c r="L1" i="3"/>
  <c r="M1" i="3"/>
  <c r="N1" i="3"/>
  <c r="O1" i="3"/>
  <c r="P1" i="3"/>
  <c r="Q1" i="3"/>
  <c r="R1" i="3"/>
  <c r="S1" i="3"/>
  <c r="AB5" i="6"/>
  <c r="AB6" i="6"/>
  <c r="AB7" i="6"/>
  <c r="AB9" i="6"/>
  <c r="AB10" i="6"/>
  <c r="AB11" i="6"/>
  <c r="CN18" i="3" l="1"/>
  <c r="AD7" i="9"/>
  <c r="CJ7" i="9" s="1"/>
  <c r="CO6" i="3"/>
  <c r="AE8" i="9"/>
  <c r="CK8" i="9" s="1"/>
  <c r="CM6" i="3"/>
  <c r="AC8" i="9"/>
  <c r="CI8" i="9" s="1"/>
  <c r="CN7" i="3"/>
  <c r="AD5" i="9"/>
  <c r="CO5" i="3"/>
  <c r="AE6" i="9"/>
  <c r="CK6" i="9" s="1"/>
  <c r="CM5" i="3"/>
  <c r="AC6" i="9"/>
  <c r="CI6" i="9" s="1"/>
  <c r="CN5" i="3"/>
  <c r="AD6" i="9"/>
  <c r="CJ6" i="9" s="1"/>
  <c r="CL5" i="3"/>
  <c r="AB6" i="9"/>
  <c r="CH6" i="9" s="1"/>
  <c r="CL7" i="3"/>
  <c r="AB5" i="9"/>
  <c r="CO18" i="3"/>
  <c r="AE7" i="9"/>
  <c r="CK7" i="9" s="1"/>
  <c r="CO7" i="3"/>
  <c r="AE5" i="9"/>
  <c r="CN6" i="3"/>
  <c r="AD8" i="9"/>
  <c r="CJ8" i="9" s="1"/>
  <c r="CM18" i="3"/>
  <c r="AC7" i="9"/>
  <c r="CI7" i="9" s="1"/>
  <c r="CM7" i="3"/>
  <c r="AC5" i="9"/>
  <c r="CL6" i="3"/>
  <c r="AB8" i="9"/>
  <c r="CH8" i="9" s="1"/>
  <c r="BT9" i="9"/>
  <c r="AR9" i="9"/>
  <c r="AR6" i="9"/>
  <c r="AR7" i="9"/>
  <c r="AR8" i="9"/>
  <c r="E9" i="3"/>
  <c r="E7" i="3"/>
  <c r="E8" i="3"/>
  <c r="AC5" i="6" l="1"/>
  <c r="B1" i="3"/>
  <c r="V15" i="6" s="1"/>
  <c r="CI15" i="6" s="1"/>
  <c r="FR15" i="6" s="1"/>
  <c r="D1" i="3"/>
  <c r="E1" i="3"/>
  <c r="W15" i="6" s="1"/>
  <c r="F1" i="3"/>
  <c r="Y15" i="6" s="1"/>
  <c r="G1" i="3"/>
  <c r="H1" i="3"/>
  <c r="I1" i="3"/>
  <c r="B1" i="2"/>
  <c r="BL6" i="2"/>
  <c r="CO6" i="2" s="1"/>
  <c r="BM6" i="2"/>
  <c r="CP6" i="2" s="1"/>
  <c r="BN6" i="2"/>
  <c r="CQ6" i="2" s="1"/>
  <c r="BO6" i="2"/>
  <c r="CR6" i="2" s="1"/>
  <c r="BP6" i="2"/>
  <c r="CS6" i="2" s="1"/>
  <c r="BQ6" i="2"/>
  <c r="CT6" i="2" s="1"/>
  <c r="BR6" i="2"/>
  <c r="CU6" i="2" s="1"/>
  <c r="BS6" i="2"/>
  <c r="CV6" i="2" s="1"/>
  <c r="BT6" i="2"/>
  <c r="CW6" i="2" s="1"/>
  <c r="BU6" i="2"/>
  <c r="CX6" i="2" s="1"/>
  <c r="BL5" i="2"/>
  <c r="CO5" i="2" s="1"/>
  <c r="EU5" i="2" s="1"/>
  <c r="BM5" i="2"/>
  <c r="CP5" i="2" s="1"/>
  <c r="EV5" i="2" s="1"/>
  <c r="BN5" i="2"/>
  <c r="CQ5" i="2" s="1"/>
  <c r="EW5" i="2" s="1"/>
  <c r="BO5" i="2"/>
  <c r="CR5" i="2" s="1"/>
  <c r="EX5" i="2" s="1"/>
  <c r="BP5" i="2"/>
  <c r="CS5" i="2" s="1"/>
  <c r="EY5" i="2" s="1"/>
  <c r="BQ5" i="2"/>
  <c r="CT5" i="2" s="1"/>
  <c r="EZ5" i="2" s="1"/>
  <c r="BR5" i="2"/>
  <c r="CU5" i="2" s="1"/>
  <c r="FA5" i="2" s="1"/>
  <c r="BS5" i="2"/>
  <c r="CV5" i="2" s="1"/>
  <c r="FB5" i="2" s="1"/>
  <c r="BT5" i="2"/>
  <c r="CW5" i="2" s="1"/>
  <c r="FC5" i="2" s="1"/>
  <c r="BU5" i="2"/>
  <c r="CX5" i="2" s="1"/>
  <c r="FD5" i="2" s="1"/>
  <c r="BL9" i="2"/>
  <c r="CO9" i="2" s="1"/>
  <c r="BM9" i="2"/>
  <c r="CP9" i="2" s="1"/>
  <c r="BN9" i="2"/>
  <c r="CQ9" i="2" s="1"/>
  <c r="BO9" i="2"/>
  <c r="CR9" i="2" s="1"/>
  <c r="BP9" i="2"/>
  <c r="CS9" i="2" s="1"/>
  <c r="BQ9" i="2"/>
  <c r="CT9" i="2" s="1"/>
  <c r="BR9" i="2"/>
  <c r="CU9" i="2" s="1"/>
  <c r="BS9" i="2"/>
  <c r="CV9" i="2" s="1"/>
  <c r="BT9" i="2"/>
  <c r="CW9" i="2" s="1"/>
  <c r="BU9" i="2"/>
  <c r="CX9" i="2" s="1"/>
  <c r="BL8" i="2"/>
  <c r="CO8" i="2" s="1"/>
  <c r="BM8" i="2"/>
  <c r="CP8" i="2" s="1"/>
  <c r="BN8" i="2"/>
  <c r="CQ8" i="2" s="1"/>
  <c r="BO8" i="2"/>
  <c r="CR8" i="2" s="1"/>
  <c r="BP8" i="2"/>
  <c r="CS8" i="2" s="1"/>
  <c r="BQ8" i="2"/>
  <c r="CT8" i="2" s="1"/>
  <c r="BR8" i="2"/>
  <c r="CU8" i="2" s="1"/>
  <c r="BS8" i="2"/>
  <c r="CV8" i="2" s="1"/>
  <c r="BT8" i="2"/>
  <c r="CW8" i="2" s="1"/>
  <c r="BU8" i="2"/>
  <c r="CX8" i="2" s="1"/>
  <c r="BM7" i="2"/>
  <c r="CP7" i="2" s="1"/>
  <c r="BN7" i="2"/>
  <c r="CQ7" i="2" s="1"/>
  <c r="BO7" i="2"/>
  <c r="CR7" i="2" s="1"/>
  <c r="BP7" i="2"/>
  <c r="CS7" i="2" s="1"/>
  <c r="BQ7" i="2"/>
  <c r="CT7" i="2" s="1"/>
  <c r="BR7" i="2"/>
  <c r="CU7" i="2" s="1"/>
  <c r="BS7" i="2"/>
  <c r="CV7" i="2" s="1"/>
  <c r="BT7" i="2"/>
  <c r="CW7" i="2" s="1"/>
  <c r="BU7" i="2"/>
  <c r="CX7" i="2" s="1"/>
  <c r="AS7" i="2"/>
  <c r="AS6" i="2"/>
  <c r="AS5" i="2"/>
  <c r="AS9" i="2"/>
  <c r="AS8" i="2"/>
  <c r="P7" i="2"/>
  <c r="P6" i="2"/>
  <c r="P5" i="2"/>
  <c r="P9" i="2"/>
  <c r="P8" i="2"/>
  <c r="BJ6" i="2"/>
  <c r="CM6" i="2" s="1"/>
  <c r="BK6" i="2"/>
  <c r="CN6" i="2" s="1"/>
  <c r="BJ5" i="2"/>
  <c r="CM5" i="2" s="1"/>
  <c r="BK5" i="2"/>
  <c r="CN5" i="2" s="1"/>
  <c r="ET5" i="2" s="1"/>
  <c r="BJ9" i="2"/>
  <c r="CM9" i="2" s="1"/>
  <c r="BK9" i="2"/>
  <c r="CN9" i="2" s="1"/>
  <c r="BJ8" i="2"/>
  <c r="CM8" i="2" s="1"/>
  <c r="BK8" i="2"/>
  <c r="CN8" i="2" s="1"/>
  <c r="BK7" i="2"/>
  <c r="CN7" i="2" s="1"/>
  <c r="BL7" i="2"/>
  <c r="CO7" i="2" s="1"/>
  <c r="BJ7" i="2"/>
  <c r="CM7" i="2" s="1"/>
  <c r="E5" i="3"/>
  <c r="E6" i="3"/>
  <c r="W10" i="6" l="1"/>
  <c r="W5" i="6"/>
  <c r="DJ5" i="6"/>
  <c r="BJ10" i="3" s="1"/>
  <c r="BF5" i="9" s="1"/>
  <c r="CI5" i="9" s="1"/>
  <c r="DK5" i="6"/>
  <c r="BK10" i="3" s="1"/>
  <c r="BG5" i="9" s="1"/>
  <c r="CJ5" i="9" s="1"/>
  <c r="DL5" i="6"/>
  <c r="BL10" i="3" s="1"/>
  <c r="BH5" i="9" s="1"/>
  <c r="CK5" i="9" s="1"/>
  <c r="CG15" i="6"/>
  <c r="CH15" i="6"/>
  <c r="CF15" i="6"/>
  <c r="BT15" i="6"/>
  <c r="BX15" i="6"/>
  <c r="CB15" i="6"/>
  <c r="BU15" i="6"/>
  <c r="BY15" i="6"/>
  <c r="CC15" i="6"/>
  <c r="BV15" i="6"/>
  <c r="BZ15" i="6"/>
  <c r="CD15" i="6"/>
  <c r="BW15" i="6"/>
  <c r="CA15" i="6"/>
  <c r="CE15" i="6"/>
  <c r="X15" i="6"/>
  <c r="ET9" i="2"/>
  <c r="H45" i="3"/>
  <c r="BN45" i="3" s="1"/>
  <c r="H46" i="3"/>
  <c r="BN46" i="3" s="1"/>
  <c r="H49" i="3"/>
  <c r="BN49" i="3" s="1"/>
  <c r="H47" i="3"/>
  <c r="BN47" i="3" s="1"/>
  <c r="H48" i="3"/>
  <c r="BN48" i="3" s="1"/>
  <c r="R6" i="3"/>
  <c r="R9" i="3"/>
  <c r="BX9" i="3" s="1"/>
  <c r="R7" i="3"/>
  <c r="R8" i="3"/>
  <c r="BX8" i="3" s="1"/>
  <c r="R5" i="3"/>
  <c r="R10" i="3"/>
  <c r="R11" i="3"/>
  <c r="R12" i="3"/>
  <c r="BX12" i="3" s="1"/>
  <c r="J7" i="3"/>
  <c r="J6" i="3"/>
  <c r="J8" i="3"/>
  <c r="BP8" i="3" s="1"/>
  <c r="J5" i="3"/>
  <c r="J9" i="3"/>
  <c r="BP9" i="3" s="1"/>
  <c r="J11" i="3"/>
  <c r="J12" i="3"/>
  <c r="BP12" i="3" s="1"/>
  <c r="J10" i="3"/>
  <c r="H7" i="3"/>
  <c r="H6" i="3"/>
  <c r="H5" i="3"/>
  <c r="H9" i="3"/>
  <c r="BN9" i="3" s="1"/>
  <c r="H8" i="3"/>
  <c r="BN8" i="3" s="1"/>
  <c r="H11" i="3"/>
  <c r="H12" i="3"/>
  <c r="BN12" i="3" s="1"/>
  <c r="H10" i="3"/>
  <c r="ES9" i="2"/>
  <c r="CY9" i="2"/>
  <c r="FE9" i="2" s="1"/>
  <c r="G47" i="3"/>
  <c r="G46" i="3"/>
  <c r="G48" i="3"/>
  <c r="G45" i="3"/>
  <c r="G49" i="3"/>
  <c r="CY6" i="2"/>
  <c r="BG15" i="6"/>
  <c r="G27" i="3"/>
  <c r="G28" i="3"/>
  <c r="G25" i="3"/>
  <c r="G22" i="3"/>
  <c r="G15" i="3"/>
  <c r="G16" i="3"/>
  <c r="G13" i="3"/>
  <c r="G29" i="3"/>
  <c r="G26" i="3"/>
  <c r="G19" i="3"/>
  <c r="G20" i="3"/>
  <c r="G17" i="3"/>
  <c r="G14" i="3"/>
  <c r="G30" i="3"/>
  <c r="G23" i="3"/>
  <c r="G24" i="3"/>
  <c r="G21" i="3"/>
  <c r="G18" i="3"/>
  <c r="Q6" i="3"/>
  <c r="Q5" i="3"/>
  <c r="Q8" i="3"/>
  <c r="BW8" i="3" s="1"/>
  <c r="Q9" i="3"/>
  <c r="BW9" i="3" s="1"/>
  <c r="Q7" i="3"/>
  <c r="Q10" i="3"/>
  <c r="Q11" i="3"/>
  <c r="Q12" i="3"/>
  <c r="BW12" i="3" s="1"/>
  <c r="M8" i="3"/>
  <c r="BS8" i="3" s="1"/>
  <c r="M5" i="3"/>
  <c r="M9" i="3"/>
  <c r="BS9" i="3" s="1"/>
  <c r="M6" i="3"/>
  <c r="M7" i="3"/>
  <c r="M10" i="3"/>
  <c r="M11" i="3"/>
  <c r="M12" i="3"/>
  <c r="BS12" i="3" s="1"/>
  <c r="FD8" i="2"/>
  <c r="R35" i="3"/>
  <c r="BX35" i="3" s="1"/>
  <c r="R36" i="3"/>
  <c r="BX36" i="3" s="1"/>
  <c r="R37" i="3"/>
  <c r="BX37" i="3" s="1"/>
  <c r="R42" i="3"/>
  <c r="BX42" i="3" s="1"/>
  <c r="R39" i="3"/>
  <c r="BX39" i="3" s="1"/>
  <c r="R40" i="3"/>
  <c r="BX40" i="3" s="1"/>
  <c r="R41" i="3"/>
  <c r="BX41" i="3" s="1"/>
  <c r="R43" i="3"/>
  <c r="BX43" i="3" s="1"/>
  <c r="R44" i="3"/>
  <c r="BX44" i="3" s="1"/>
  <c r="R34" i="3"/>
  <c r="BX34" i="3" s="1"/>
  <c r="R31" i="3"/>
  <c r="BX31" i="3" s="1"/>
  <c r="R32" i="3"/>
  <c r="BX32" i="3" s="1"/>
  <c r="R33" i="3"/>
  <c r="BX33" i="3" s="1"/>
  <c r="R38" i="3"/>
  <c r="BX38" i="3" s="1"/>
  <c r="EZ8" i="2"/>
  <c r="N44" i="3"/>
  <c r="BT44" i="3" s="1"/>
  <c r="N34" i="3"/>
  <c r="BT34" i="3" s="1"/>
  <c r="N35" i="3"/>
  <c r="BT35" i="3" s="1"/>
  <c r="N32" i="3"/>
  <c r="BT32" i="3" s="1"/>
  <c r="N33" i="3"/>
  <c r="BT33" i="3" s="1"/>
  <c r="N38" i="3"/>
  <c r="BT38" i="3" s="1"/>
  <c r="N39" i="3"/>
  <c r="BT39" i="3" s="1"/>
  <c r="N36" i="3"/>
  <c r="BT36" i="3" s="1"/>
  <c r="N37" i="3"/>
  <c r="BT37" i="3" s="1"/>
  <c r="N42" i="3"/>
  <c r="BT42" i="3" s="1"/>
  <c r="N43" i="3"/>
  <c r="BT43" i="3" s="1"/>
  <c r="N40" i="3"/>
  <c r="BT40" i="3" s="1"/>
  <c r="N41" i="3"/>
  <c r="BT41" i="3" s="1"/>
  <c r="N31" i="3"/>
  <c r="BT31" i="3" s="1"/>
  <c r="EV8" i="2"/>
  <c r="J36" i="3"/>
  <c r="BP36" i="3" s="1"/>
  <c r="J37" i="3"/>
  <c r="BP37" i="3" s="1"/>
  <c r="J42" i="3"/>
  <c r="BP42" i="3" s="1"/>
  <c r="J43" i="3"/>
  <c r="BP43" i="3" s="1"/>
  <c r="J40" i="3"/>
  <c r="BP40" i="3" s="1"/>
  <c r="J41" i="3"/>
  <c r="BP41" i="3" s="1"/>
  <c r="J31" i="3"/>
  <c r="BP31" i="3" s="1"/>
  <c r="J44" i="3"/>
  <c r="BP44" i="3" s="1"/>
  <c r="J34" i="3"/>
  <c r="BP34" i="3" s="1"/>
  <c r="J35" i="3"/>
  <c r="BP35" i="3" s="1"/>
  <c r="J32" i="3"/>
  <c r="BP32" i="3" s="1"/>
  <c r="J33" i="3"/>
  <c r="BP33" i="3" s="1"/>
  <c r="J38" i="3"/>
  <c r="BP38" i="3" s="1"/>
  <c r="J39" i="3"/>
  <c r="BP39" i="3" s="1"/>
  <c r="FB9" i="2"/>
  <c r="P49" i="3"/>
  <c r="BV49" i="3" s="1"/>
  <c r="P46" i="3"/>
  <c r="BV46" i="3" s="1"/>
  <c r="P47" i="3"/>
  <c r="BV47" i="3" s="1"/>
  <c r="P45" i="3"/>
  <c r="BV45" i="3" s="1"/>
  <c r="P48" i="3"/>
  <c r="BV48" i="3" s="1"/>
  <c r="EX9" i="2"/>
  <c r="L46" i="3"/>
  <c r="BR46" i="3" s="1"/>
  <c r="L49" i="3"/>
  <c r="BR49" i="3" s="1"/>
  <c r="L47" i="3"/>
  <c r="BR47" i="3" s="1"/>
  <c r="L48" i="3"/>
  <c r="BR48" i="3" s="1"/>
  <c r="L45" i="3"/>
  <c r="BR45" i="3" s="1"/>
  <c r="P15" i="3"/>
  <c r="BV15" i="3" s="1"/>
  <c r="P21" i="3"/>
  <c r="BV21" i="3" s="1"/>
  <c r="P26" i="3"/>
  <c r="BV26" i="3" s="1"/>
  <c r="P27" i="3"/>
  <c r="BV27" i="3" s="1"/>
  <c r="BP15" i="6"/>
  <c r="P19" i="3"/>
  <c r="BV19" i="3" s="1"/>
  <c r="P25" i="3"/>
  <c r="BV25" i="3" s="1"/>
  <c r="P30" i="3"/>
  <c r="BV30" i="3" s="1"/>
  <c r="P20" i="3"/>
  <c r="BV20" i="3" s="1"/>
  <c r="P14" i="3"/>
  <c r="BV14" i="3" s="1"/>
  <c r="P13" i="3"/>
  <c r="P29" i="3"/>
  <c r="BV29" i="3" s="1"/>
  <c r="P16" i="3"/>
  <c r="BV16" i="3" s="1"/>
  <c r="P24" i="3"/>
  <c r="BV24" i="3" s="1"/>
  <c r="P18" i="3"/>
  <c r="P17" i="3"/>
  <c r="BV17" i="3" s="1"/>
  <c r="P22" i="3"/>
  <c r="BV22" i="3" s="1"/>
  <c r="P23" i="3"/>
  <c r="BV23" i="3" s="1"/>
  <c r="P28" i="3"/>
  <c r="BV28" i="3" s="1"/>
  <c r="L14" i="3"/>
  <c r="BR14" i="3" s="1"/>
  <c r="L30" i="3"/>
  <c r="BR30" i="3" s="1"/>
  <c r="L27" i="3"/>
  <c r="BR27" i="3" s="1"/>
  <c r="L28" i="3"/>
  <c r="BR28" i="3" s="1"/>
  <c r="L25" i="3"/>
  <c r="BR25" i="3" s="1"/>
  <c r="L18" i="3"/>
  <c r="L15" i="3"/>
  <c r="BR15" i="3" s="1"/>
  <c r="L16" i="3"/>
  <c r="BR16" i="3" s="1"/>
  <c r="L13" i="3"/>
  <c r="L29" i="3"/>
  <c r="BR29" i="3" s="1"/>
  <c r="L22" i="3"/>
  <c r="BR22" i="3" s="1"/>
  <c r="L19" i="3"/>
  <c r="BR19" i="3" s="1"/>
  <c r="L20" i="3"/>
  <c r="BR20" i="3" s="1"/>
  <c r="L17" i="3"/>
  <c r="BR17" i="3" s="1"/>
  <c r="BL15" i="6"/>
  <c r="L26" i="3"/>
  <c r="BR26" i="3" s="1"/>
  <c r="L23" i="3"/>
  <c r="BR23" i="3" s="1"/>
  <c r="L24" i="3"/>
  <c r="BR24" i="3" s="1"/>
  <c r="L21" i="3"/>
  <c r="BR21" i="3" s="1"/>
  <c r="BH15" i="6"/>
  <c r="H26" i="3"/>
  <c r="BN26" i="3" s="1"/>
  <c r="H23" i="3"/>
  <c r="BN23" i="3" s="1"/>
  <c r="H24" i="3"/>
  <c r="BN24" i="3" s="1"/>
  <c r="H21" i="3"/>
  <c r="BN21" i="3" s="1"/>
  <c r="H18" i="3"/>
  <c r="H15" i="3"/>
  <c r="BN15" i="3" s="1"/>
  <c r="H16" i="3"/>
  <c r="BN16" i="3" s="1"/>
  <c r="H13" i="3"/>
  <c r="H29" i="3"/>
  <c r="BN29" i="3" s="1"/>
  <c r="H14" i="3"/>
  <c r="BN14" i="3" s="1"/>
  <c r="H27" i="3"/>
  <c r="BN27" i="3" s="1"/>
  <c r="H25" i="3"/>
  <c r="BN25" i="3" s="1"/>
  <c r="H22" i="3"/>
  <c r="BN22" i="3" s="1"/>
  <c r="H20" i="3"/>
  <c r="BN20" i="3" s="1"/>
  <c r="H30" i="3"/>
  <c r="BN30" i="3" s="1"/>
  <c r="H28" i="3"/>
  <c r="BN28" i="3" s="1"/>
  <c r="H19" i="3"/>
  <c r="BN19" i="3" s="1"/>
  <c r="H17" i="3"/>
  <c r="BN17" i="3" s="1"/>
  <c r="L8" i="3"/>
  <c r="BR8" i="3" s="1"/>
  <c r="L5" i="3"/>
  <c r="L9" i="3"/>
  <c r="BR9" i="3" s="1"/>
  <c r="L6" i="3"/>
  <c r="L7" i="3"/>
  <c r="L10" i="3"/>
  <c r="L11" i="3"/>
  <c r="L12" i="3"/>
  <c r="BR12" i="3" s="1"/>
  <c r="EY8" i="2"/>
  <c r="M33" i="3"/>
  <c r="BS33" i="3" s="1"/>
  <c r="M38" i="3"/>
  <c r="BS38" i="3" s="1"/>
  <c r="M39" i="3"/>
  <c r="BS39" i="3" s="1"/>
  <c r="M40" i="3"/>
  <c r="BS40" i="3" s="1"/>
  <c r="M37" i="3"/>
  <c r="BS37" i="3" s="1"/>
  <c r="M42" i="3"/>
  <c r="BS42" i="3" s="1"/>
  <c r="M43" i="3"/>
  <c r="BS43" i="3" s="1"/>
  <c r="M44" i="3"/>
  <c r="BS44" i="3" s="1"/>
  <c r="M41" i="3"/>
  <c r="BS41" i="3" s="1"/>
  <c r="M31" i="3"/>
  <c r="BS31" i="3" s="1"/>
  <c r="M32" i="3"/>
  <c r="BS32" i="3" s="1"/>
  <c r="M34" i="3"/>
  <c r="BS34" i="3" s="1"/>
  <c r="M35" i="3"/>
  <c r="BS35" i="3" s="1"/>
  <c r="M36" i="3"/>
  <c r="BS36" i="3" s="1"/>
  <c r="FA9" i="2"/>
  <c r="O45" i="3"/>
  <c r="BU45" i="3" s="1"/>
  <c r="O49" i="3"/>
  <c r="BU49" i="3" s="1"/>
  <c r="O47" i="3"/>
  <c r="BU47" i="3" s="1"/>
  <c r="O46" i="3"/>
  <c r="BU46" i="3" s="1"/>
  <c r="O48" i="3"/>
  <c r="BU48" i="3" s="1"/>
  <c r="BO15" i="6"/>
  <c r="O27" i="3"/>
  <c r="BU27" i="3" s="1"/>
  <c r="O28" i="3"/>
  <c r="BU28" i="3" s="1"/>
  <c r="O25" i="3"/>
  <c r="BU25" i="3" s="1"/>
  <c r="O22" i="3"/>
  <c r="BU22" i="3" s="1"/>
  <c r="O15" i="3"/>
  <c r="BU15" i="3" s="1"/>
  <c r="O16" i="3"/>
  <c r="BU16" i="3" s="1"/>
  <c r="O13" i="3"/>
  <c r="O29" i="3"/>
  <c r="BU29" i="3" s="1"/>
  <c r="O26" i="3"/>
  <c r="BU26" i="3" s="1"/>
  <c r="O19" i="3"/>
  <c r="BU19" i="3" s="1"/>
  <c r="O20" i="3"/>
  <c r="BU20" i="3" s="1"/>
  <c r="O17" i="3"/>
  <c r="BU17" i="3" s="1"/>
  <c r="O14" i="3"/>
  <c r="BU14" i="3" s="1"/>
  <c r="O30" i="3"/>
  <c r="BU30" i="3" s="1"/>
  <c r="O23" i="3"/>
  <c r="BU23" i="3" s="1"/>
  <c r="O24" i="3"/>
  <c r="BU24" i="3" s="1"/>
  <c r="O21" i="3"/>
  <c r="BU21" i="3" s="1"/>
  <c r="O18" i="3"/>
  <c r="BK15" i="6"/>
  <c r="K19" i="3"/>
  <c r="BQ19" i="3" s="1"/>
  <c r="K20" i="3"/>
  <c r="BQ20" i="3" s="1"/>
  <c r="K17" i="3"/>
  <c r="BQ17" i="3" s="1"/>
  <c r="K14" i="3"/>
  <c r="BQ14" i="3" s="1"/>
  <c r="K30" i="3"/>
  <c r="BQ30" i="3" s="1"/>
  <c r="K23" i="3"/>
  <c r="BQ23" i="3" s="1"/>
  <c r="K24" i="3"/>
  <c r="BQ24" i="3" s="1"/>
  <c r="K21" i="3"/>
  <c r="BQ21" i="3" s="1"/>
  <c r="K18" i="3"/>
  <c r="K27" i="3"/>
  <c r="BQ27" i="3" s="1"/>
  <c r="K28" i="3"/>
  <c r="BQ28" i="3" s="1"/>
  <c r="K25" i="3"/>
  <c r="BQ25" i="3" s="1"/>
  <c r="K22" i="3"/>
  <c r="BQ22" i="3" s="1"/>
  <c r="K15" i="3"/>
  <c r="BQ15" i="3" s="1"/>
  <c r="K16" i="3"/>
  <c r="BQ16" i="3" s="1"/>
  <c r="K13" i="3"/>
  <c r="K29" i="3"/>
  <c r="BQ29" i="3" s="1"/>
  <c r="K26" i="3"/>
  <c r="BQ26" i="3" s="1"/>
  <c r="ET8" i="2"/>
  <c r="H31" i="3"/>
  <c r="BN31" i="3" s="1"/>
  <c r="H32" i="3"/>
  <c r="BN32" i="3" s="1"/>
  <c r="H33" i="3"/>
  <c r="BN33" i="3" s="1"/>
  <c r="H34" i="3"/>
  <c r="BN34" i="3" s="1"/>
  <c r="H35" i="3"/>
  <c r="BN35" i="3" s="1"/>
  <c r="H36" i="3"/>
  <c r="BN36" i="3" s="1"/>
  <c r="H37" i="3"/>
  <c r="BN37" i="3" s="1"/>
  <c r="H38" i="3"/>
  <c r="BN38" i="3" s="1"/>
  <c r="H39" i="3"/>
  <c r="BN39" i="3" s="1"/>
  <c r="H40" i="3"/>
  <c r="BN40" i="3" s="1"/>
  <c r="H41" i="3"/>
  <c r="BN41" i="3" s="1"/>
  <c r="H42" i="3"/>
  <c r="BN42" i="3" s="1"/>
  <c r="H43" i="3"/>
  <c r="BN43" i="3" s="1"/>
  <c r="H44" i="3"/>
  <c r="BN44" i="3" s="1"/>
  <c r="P6" i="3"/>
  <c r="P8" i="3"/>
  <c r="BV8" i="3" s="1"/>
  <c r="P9" i="3"/>
  <c r="BV9" i="3" s="1"/>
  <c r="P7" i="3"/>
  <c r="P5" i="3"/>
  <c r="P12" i="3"/>
  <c r="BV12" i="3" s="1"/>
  <c r="P10" i="3"/>
  <c r="P11" i="3"/>
  <c r="FC8" i="2"/>
  <c r="Q40" i="3"/>
  <c r="BW40" i="3" s="1"/>
  <c r="Q41" i="3"/>
  <c r="BW41" i="3" s="1"/>
  <c r="Q31" i="3"/>
  <c r="BW31" i="3" s="1"/>
  <c r="Q44" i="3"/>
  <c r="BW44" i="3" s="1"/>
  <c r="Q34" i="3"/>
  <c r="BW34" i="3" s="1"/>
  <c r="Q35" i="3"/>
  <c r="BW35" i="3" s="1"/>
  <c r="Q32" i="3"/>
  <c r="BW32" i="3" s="1"/>
  <c r="Q33" i="3"/>
  <c r="BW33" i="3" s="1"/>
  <c r="Q38" i="3"/>
  <c r="BW38" i="3" s="1"/>
  <c r="Q39" i="3"/>
  <c r="BW39" i="3" s="1"/>
  <c r="Q36" i="3"/>
  <c r="BW36" i="3" s="1"/>
  <c r="Q37" i="3"/>
  <c r="BW37" i="3" s="1"/>
  <c r="Q42" i="3"/>
  <c r="BW42" i="3" s="1"/>
  <c r="Q43" i="3"/>
  <c r="BW43" i="3" s="1"/>
  <c r="EU8" i="2"/>
  <c r="I41" i="3"/>
  <c r="BO41" i="3" s="1"/>
  <c r="I31" i="3"/>
  <c r="BO31" i="3" s="1"/>
  <c r="I32" i="3"/>
  <c r="BO32" i="3" s="1"/>
  <c r="I34" i="3"/>
  <c r="BO34" i="3" s="1"/>
  <c r="I35" i="3"/>
  <c r="BO35" i="3" s="1"/>
  <c r="I36" i="3"/>
  <c r="BO36" i="3" s="1"/>
  <c r="I33" i="3"/>
  <c r="BO33" i="3" s="1"/>
  <c r="I38" i="3"/>
  <c r="BO38" i="3" s="1"/>
  <c r="I39" i="3"/>
  <c r="BO39" i="3" s="1"/>
  <c r="I40" i="3"/>
  <c r="BO40" i="3" s="1"/>
  <c r="I37" i="3"/>
  <c r="BO37" i="3" s="1"/>
  <c r="I42" i="3"/>
  <c r="BO42" i="3" s="1"/>
  <c r="I43" i="3"/>
  <c r="BO43" i="3" s="1"/>
  <c r="I44" i="3"/>
  <c r="BO44" i="3" s="1"/>
  <c r="EW9" i="2"/>
  <c r="K48" i="3"/>
  <c r="BQ48" i="3" s="1"/>
  <c r="K45" i="3"/>
  <c r="BQ45" i="3" s="1"/>
  <c r="K49" i="3"/>
  <c r="BQ49" i="3" s="1"/>
  <c r="K47" i="3"/>
  <c r="BQ47" i="3" s="1"/>
  <c r="K46" i="3"/>
  <c r="BQ46" i="3" s="1"/>
  <c r="G6" i="3"/>
  <c r="G7" i="3"/>
  <c r="G8" i="3"/>
  <c r="G5" i="3"/>
  <c r="G9" i="3"/>
  <c r="G10" i="3"/>
  <c r="G11" i="3"/>
  <c r="G12" i="3"/>
  <c r="CY7" i="2"/>
  <c r="ES8" i="2"/>
  <c r="G35" i="3"/>
  <c r="G36" i="3"/>
  <c r="CY8" i="2"/>
  <c r="FE8" i="2" s="1"/>
  <c r="G43" i="3"/>
  <c r="G39" i="3"/>
  <c r="G33" i="3"/>
  <c r="G38" i="3"/>
  <c r="G32" i="3"/>
  <c r="G37" i="3"/>
  <c r="G42" i="3"/>
  <c r="G40" i="3"/>
  <c r="G41" i="3"/>
  <c r="G31" i="3"/>
  <c r="G44" i="3"/>
  <c r="G34" i="3"/>
  <c r="ES5" i="2"/>
  <c r="CY5" i="2"/>
  <c r="FE5" i="2" s="1"/>
  <c r="O6" i="3"/>
  <c r="O5" i="3"/>
  <c r="O8" i="3"/>
  <c r="BU8" i="3" s="1"/>
  <c r="O9" i="3"/>
  <c r="BU9" i="3" s="1"/>
  <c r="O7" i="3"/>
  <c r="O12" i="3"/>
  <c r="BU12" i="3" s="1"/>
  <c r="O10" i="3"/>
  <c r="O11" i="3"/>
  <c r="K6" i="3"/>
  <c r="K5" i="3"/>
  <c r="K7" i="3"/>
  <c r="K8" i="3"/>
  <c r="BQ8" i="3" s="1"/>
  <c r="K9" i="3"/>
  <c r="BQ9" i="3" s="1"/>
  <c r="K12" i="3"/>
  <c r="BQ12" i="3" s="1"/>
  <c r="K10" i="3"/>
  <c r="K11" i="3"/>
  <c r="FB8" i="2"/>
  <c r="P34" i="3"/>
  <c r="BV34" i="3" s="1"/>
  <c r="P35" i="3"/>
  <c r="BV35" i="3" s="1"/>
  <c r="P36" i="3"/>
  <c r="BV36" i="3" s="1"/>
  <c r="P33" i="3"/>
  <c r="BV33" i="3" s="1"/>
  <c r="P38" i="3"/>
  <c r="BV38" i="3" s="1"/>
  <c r="P39" i="3"/>
  <c r="BV39" i="3" s="1"/>
  <c r="P40" i="3"/>
  <c r="BV40" i="3" s="1"/>
  <c r="P37" i="3"/>
  <c r="BV37" i="3" s="1"/>
  <c r="P42" i="3"/>
  <c r="BV42" i="3" s="1"/>
  <c r="P43" i="3"/>
  <c r="BV43" i="3" s="1"/>
  <c r="P44" i="3"/>
  <c r="BV44" i="3" s="1"/>
  <c r="P41" i="3"/>
  <c r="BV41" i="3" s="1"/>
  <c r="P31" i="3"/>
  <c r="BV31" i="3" s="1"/>
  <c r="P32" i="3"/>
  <c r="BV32" i="3" s="1"/>
  <c r="EX8" i="2"/>
  <c r="L38" i="3"/>
  <c r="BR38" i="3" s="1"/>
  <c r="L39" i="3"/>
  <c r="BR39" i="3" s="1"/>
  <c r="L40" i="3"/>
  <c r="BR40" i="3" s="1"/>
  <c r="L41" i="3"/>
  <c r="BR41" i="3" s="1"/>
  <c r="L42" i="3"/>
  <c r="BR42" i="3" s="1"/>
  <c r="L43" i="3"/>
  <c r="BR43" i="3" s="1"/>
  <c r="L44" i="3"/>
  <c r="BR44" i="3" s="1"/>
  <c r="L31" i="3"/>
  <c r="BR31" i="3" s="1"/>
  <c r="L32" i="3"/>
  <c r="BR32" i="3" s="1"/>
  <c r="L33" i="3"/>
  <c r="BR33" i="3" s="1"/>
  <c r="L34" i="3"/>
  <c r="BR34" i="3" s="1"/>
  <c r="L35" i="3"/>
  <c r="BR35" i="3" s="1"/>
  <c r="L36" i="3"/>
  <c r="BR36" i="3" s="1"/>
  <c r="L37" i="3"/>
  <c r="BR37" i="3" s="1"/>
  <c r="FD9" i="2"/>
  <c r="R49" i="3"/>
  <c r="BX49" i="3" s="1"/>
  <c r="R47" i="3"/>
  <c r="BX47" i="3" s="1"/>
  <c r="R46" i="3"/>
  <c r="BX46" i="3" s="1"/>
  <c r="R48" i="3"/>
  <c r="BX48" i="3" s="1"/>
  <c r="R45" i="3"/>
  <c r="BX45" i="3" s="1"/>
  <c r="EZ9" i="2"/>
  <c r="N49" i="3"/>
  <c r="BT49" i="3" s="1"/>
  <c r="N46" i="3"/>
  <c r="BT46" i="3" s="1"/>
  <c r="N48" i="3"/>
  <c r="BT48" i="3" s="1"/>
  <c r="N47" i="3"/>
  <c r="BT47" i="3" s="1"/>
  <c r="N45" i="3"/>
  <c r="BT45" i="3" s="1"/>
  <c r="EV9" i="2"/>
  <c r="J45" i="3"/>
  <c r="BP45" i="3" s="1"/>
  <c r="J49" i="3"/>
  <c r="BP49" i="3" s="1"/>
  <c r="J46" i="3"/>
  <c r="BP46" i="3" s="1"/>
  <c r="J48" i="3"/>
  <c r="BP48" i="3" s="1"/>
  <c r="J47" i="3"/>
  <c r="BP47" i="3" s="1"/>
  <c r="BR15" i="6"/>
  <c r="R15" i="3"/>
  <c r="BX15" i="3" s="1"/>
  <c r="R16" i="3"/>
  <c r="BX16" i="3" s="1"/>
  <c r="R13" i="3"/>
  <c r="R29" i="3"/>
  <c r="BX29" i="3" s="1"/>
  <c r="R26" i="3"/>
  <c r="BX26" i="3" s="1"/>
  <c r="R19" i="3"/>
  <c r="BX19" i="3" s="1"/>
  <c r="R20" i="3"/>
  <c r="BX20" i="3" s="1"/>
  <c r="R17" i="3"/>
  <c r="BX17" i="3" s="1"/>
  <c r="R14" i="3"/>
  <c r="BX14" i="3" s="1"/>
  <c r="R30" i="3"/>
  <c r="BX30" i="3" s="1"/>
  <c r="R23" i="3"/>
  <c r="BX23" i="3" s="1"/>
  <c r="R24" i="3"/>
  <c r="BX24" i="3" s="1"/>
  <c r="R21" i="3"/>
  <c r="BX21" i="3" s="1"/>
  <c r="R18" i="3"/>
  <c r="R27" i="3"/>
  <c r="BX27" i="3" s="1"/>
  <c r="R28" i="3"/>
  <c r="BX28" i="3" s="1"/>
  <c r="R25" i="3"/>
  <c r="BX25" i="3" s="1"/>
  <c r="R22" i="3"/>
  <c r="BX22" i="3" s="1"/>
  <c r="BN15" i="6"/>
  <c r="N24" i="3"/>
  <c r="BT24" i="3" s="1"/>
  <c r="N21" i="3"/>
  <c r="BT21" i="3" s="1"/>
  <c r="N18" i="3"/>
  <c r="N15" i="3"/>
  <c r="BT15" i="3" s="1"/>
  <c r="N28" i="3"/>
  <c r="BT28" i="3" s="1"/>
  <c r="N25" i="3"/>
  <c r="BT25" i="3" s="1"/>
  <c r="N22" i="3"/>
  <c r="BT22" i="3" s="1"/>
  <c r="N19" i="3"/>
  <c r="BT19" i="3" s="1"/>
  <c r="N16" i="3"/>
  <c r="BT16" i="3" s="1"/>
  <c r="N13" i="3"/>
  <c r="N29" i="3"/>
  <c r="BT29" i="3" s="1"/>
  <c r="N26" i="3"/>
  <c r="BT26" i="3" s="1"/>
  <c r="N23" i="3"/>
  <c r="BT23" i="3" s="1"/>
  <c r="N20" i="3"/>
  <c r="BT20" i="3" s="1"/>
  <c r="N17" i="3"/>
  <c r="BT17" i="3" s="1"/>
  <c r="N14" i="3"/>
  <c r="BT14" i="3" s="1"/>
  <c r="N30" i="3"/>
  <c r="BT30" i="3" s="1"/>
  <c r="N27" i="3"/>
  <c r="BT27" i="3" s="1"/>
  <c r="BJ15" i="6"/>
  <c r="J16" i="3"/>
  <c r="BP16" i="3" s="1"/>
  <c r="J13" i="3"/>
  <c r="J26" i="3"/>
  <c r="BP26" i="3" s="1"/>
  <c r="J20" i="3"/>
  <c r="BP20" i="3" s="1"/>
  <c r="J17" i="3"/>
  <c r="BP17" i="3" s="1"/>
  <c r="J14" i="3"/>
  <c r="BP14" i="3" s="1"/>
  <c r="J30" i="3"/>
  <c r="BP30" i="3" s="1"/>
  <c r="J27" i="3"/>
  <c r="BP27" i="3" s="1"/>
  <c r="J24" i="3"/>
  <c r="BP24" i="3" s="1"/>
  <c r="J18" i="3"/>
  <c r="J21" i="3"/>
  <c r="BP21" i="3" s="1"/>
  <c r="J15" i="3"/>
  <c r="BP15" i="3" s="1"/>
  <c r="J28" i="3"/>
  <c r="BP28" i="3" s="1"/>
  <c r="J25" i="3"/>
  <c r="BP25" i="3" s="1"/>
  <c r="J22" i="3"/>
  <c r="BP22" i="3" s="1"/>
  <c r="J19" i="3"/>
  <c r="BP19" i="3" s="1"/>
  <c r="J29" i="3"/>
  <c r="BP29" i="3" s="1"/>
  <c r="J23" i="3"/>
  <c r="BP23" i="3" s="1"/>
  <c r="I8" i="3"/>
  <c r="BO8" i="3" s="1"/>
  <c r="I6" i="3"/>
  <c r="I5" i="3"/>
  <c r="I9" i="3"/>
  <c r="BO9" i="3" s="1"/>
  <c r="I7" i="3"/>
  <c r="I10" i="3"/>
  <c r="I11" i="3"/>
  <c r="I12" i="3"/>
  <c r="BO12" i="3" s="1"/>
  <c r="N8" i="3"/>
  <c r="BT8" i="3" s="1"/>
  <c r="N7" i="3"/>
  <c r="N5" i="3"/>
  <c r="N9" i="3"/>
  <c r="BT9" i="3" s="1"/>
  <c r="N6" i="3"/>
  <c r="N11" i="3"/>
  <c r="N12" i="3"/>
  <c r="BT12" i="3" s="1"/>
  <c r="N10" i="3"/>
  <c r="FA8" i="2"/>
  <c r="O35" i="3"/>
  <c r="BU35" i="3" s="1"/>
  <c r="O36" i="3"/>
  <c r="BU36" i="3" s="1"/>
  <c r="O37" i="3"/>
  <c r="BU37" i="3" s="1"/>
  <c r="O42" i="3"/>
  <c r="BU42" i="3" s="1"/>
  <c r="O43" i="3"/>
  <c r="BU43" i="3" s="1"/>
  <c r="O44" i="3"/>
  <c r="BU44" i="3" s="1"/>
  <c r="O34" i="3"/>
  <c r="BU34" i="3" s="1"/>
  <c r="O40" i="3"/>
  <c r="BU40" i="3" s="1"/>
  <c r="O31" i="3"/>
  <c r="BU31" i="3" s="1"/>
  <c r="O33" i="3"/>
  <c r="BU33" i="3" s="1"/>
  <c r="O39" i="3"/>
  <c r="BU39" i="3" s="1"/>
  <c r="O41" i="3"/>
  <c r="BU41" i="3" s="1"/>
  <c r="O32" i="3"/>
  <c r="BU32" i="3" s="1"/>
  <c r="O38" i="3"/>
  <c r="BU38" i="3" s="1"/>
  <c r="EW8" i="2"/>
  <c r="K43" i="3"/>
  <c r="BQ43" i="3" s="1"/>
  <c r="K44" i="3"/>
  <c r="BQ44" i="3" s="1"/>
  <c r="K34" i="3"/>
  <c r="BQ34" i="3" s="1"/>
  <c r="K35" i="3"/>
  <c r="BQ35" i="3" s="1"/>
  <c r="K36" i="3"/>
  <c r="BQ36" i="3" s="1"/>
  <c r="K37" i="3"/>
  <c r="BQ37" i="3" s="1"/>
  <c r="K42" i="3"/>
  <c r="BQ42" i="3" s="1"/>
  <c r="K31" i="3"/>
  <c r="BQ31" i="3" s="1"/>
  <c r="K33" i="3"/>
  <c r="BQ33" i="3" s="1"/>
  <c r="K39" i="3"/>
  <c r="BQ39" i="3" s="1"/>
  <c r="K41" i="3"/>
  <c r="BQ41" i="3" s="1"/>
  <c r="K32" i="3"/>
  <c r="BQ32" i="3" s="1"/>
  <c r="K38" i="3"/>
  <c r="BQ38" i="3" s="1"/>
  <c r="K40" i="3"/>
  <c r="BQ40" i="3" s="1"/>
  <c r="FC9" i="2"/>
  <c r="Q48" i="3"/>
  <c r="BW48" i="3" s="1"/>
  <c r="Q47" i="3"/>
  <c r="BW47" i="3" s="1"/>
  <c r="Q45" i="3"/>
  <c r="BW45" i="3" s="1"/>
  <c r="Q49" i="3"/>
  <c r="BW49" i="3" s="1"/>
  <c r="Q46" i="3"/>
  <c r="BW46" i="3" s="1"/>
  <c r="EY9" i="2"/>
  <c r="M47" i="3"/>
  <c r="BS47" i="3" s="1"/>
  <c r="M45" i="3"/>
  <c r="BS45" i="3" s="1"/>
  <c r="M48" i="3"/>
  <c r="BS48" i="3" s="1"/>
  <c r="M49" i="3"/>
  <c r="BS49" i="3" s="1"/>
  <c r="M46" i="3"/>
  <c r="BS46" i="3" s="1"/>
  <c r="EU9" i="2"/>
  <c r="I46" i="3"/>
  <c r="BO46" i="3" s="1"/>
  <c r="I47" i="3"/>
  <c r="BO47" i="3" s="1"/>
  <c r="I45" i="3"/>
  <c r="BO45" i="3" s="1"/>
  <c r="I48" i="3"/>
  <c r="BO48" i="3" s="1"/>
  <c r="I49" i="3"/>
  <c r="BO49" i="3" s="1"/>
  <c r="Q20" i="3"/>
  <c r="BW20" i="3" s="1"/>
  <c r="Q17" i="3"/>
  <c r="BW17" i="3" s="1"/>
  <c r="Q14" i="3"/>
  <c r="BW14" i="3" s="1"/>
  <c r="Q30" i="3"/>
  <c r="BW30" i="3" s="1"/>
  <c r="Q27" i="3"/>
  <c r="BW27" i="3" s="1"/>
  <c r="Q24" i="3"/>
  <c r="BW24" i="3" s="1"/>
  <c r="Q21" i="3"/>
  <c r="BW21" i="3" s="1"/>
  <c r="Q18" i="3"/>
  <c r="Q15" i="3"/>
  <c r="BW15" i="3" s="1"/>
  <c r="Q28" i="3"/>
  <c r="BW28" i="3" s="1"/>
  <c r="Q25" i="3"/>
  <c r="BW25" i="3" s="1"/>
  <c r="Q22" i="3"/>
  <c r="BW22" i="3" s="1"/>
  <c r="Q19" i="3"/>
  <c r="BW19" i="3" s="1"/>
  <c r="BQ15" i="6"/>
  <c r="Q16" i="3"/>
  <c r="BW16" i="3" s="1"/>
  <c r="Q13" i="3"/>
  <c r="Q29" i="3"/>
  <c r="BW29" i="3" s="1"/>
  <c r="Q26" i="3"/>
  <c r="BW26" i="3" s="1"/>
  <c r="Q23" i="3"/>
  <c r="BW23" i="3" s="1"/>
  <c r="M25" i="3"/>
  <c r="BS25" i="3" s="1"/>
  <c r="M22" i="3"/>
  <c r="BS22" i="3" s="1"/>
  <c r="M19" i="3"/>
  <c r="BS19" i="3" s="1"/>
  <c r="M20" i="3"/>
  <c r="BS20" i="3" s="1"/>
  <c r="BM15" i="6"/>
  <c r="M13" i="3"/>
  <c r="M29" i="3"/>
  <c r="BS29" i="3" s="1"/>
  <c r="M26" i="3"/>
  <c r="BS26" i="3" s="1"/>
  <c r="M23" i="3"/>
  <c r="BS23" i="3" s="1"/>
  <c r="M24" i="3"/>
  <c r="BS24" i="3" s="1"/>
  <c r="M17" i="3"/>
  <c r="BS17" i="3" s="1"/>
  <c r="M14" i="3"/>
  <c r="BS14" i="3" s="1"/>
  <c r="M30" i="3"/>
  <c r="BS30" i="3" s="1"/>
  <c r="M27" i="3"/>
  <c r="BS27" i="3" s="1"/>
  <c r="M28" i="3"/>
  <c r="BS28" i="3" s="1"/>
  <c r="M21" i="3"/>
  <c r="BS21" i="3" s="1"/>
  <c r="M18" i="3"/>
  <c r="M15" i="3"/>
  <c r="BS15" i="3" s="1"/>
  <c r="M16" i="3"/>
  <c r="BS16" i="3" s="1"/>
  <c r="I17" i="3"/>
  <c r="BO17" i="3" s="1"/>
  <c r="I14" i="3"/>
  <c r="BO14" i="3" s="1"/>
  <c r="I30" i="3"/>
  <c r="BO30" i="3" s="1"/>
  <c r="I27" i="3"/>
  <c r="BO27" i="3" s="1"/>
  <c r="I28" i="3"/>
  <c r="BO28" i="3" s="1"/>
  <c r="I21" i="3"/>
  <c r="BO21" i="3" s="1"/>
  <c r="I18" i="3"/>
  <c r="I15" i="3"/>
  <c r="BO15" i="3" s="1"/>
  <c r="I16" i="3"/>
  <c r="BO16" i="3" s="1"/>
  <c r="I25" i="3"/>
  <c r="BO25" i="3" s="1"/>
  <c r="I22" i="3"/>
  <c r="BO22" i="3" s="1"/>
  <c r="I19" i="3"/>
  <c r="BO19" i="3" s="1"/>
  <c r="I20" i="3"/>
  <c r="BO20" i="3" s="1"/>
  <c r="BI15" i="6"/>
  <c r="I13" i="3"/>
  <c r="I29" i="3"/>
  <c r="BO29" i="3" s="1"/>
  <c r="I26" i="3"/>
  <c r="BO26" i="3" s="1"/>
  <c r="I23" i="3"/>
  <c r="BO23" i="3" s="1"/>
  <c r="I24" i="3"/>
  <c r="BO24" i="3" s="1"/>
  <c r="Y9" i="6"/>
  <c r="Y14" i="6"/>
  <c r="Y13" i="6"/>
  <c r="Y12" i="6"/>
  <c r="Y8" i="6"/>
  <c r="W8" i="6"/>
  <c r="W14" i="6"/>
  <c r="W13" i="6"/>
  <c r="W12" i="6"/>
  <c r="V6" i="6"/>
  <c r="CI6" i="6" s="1"/>
  <c r="V13" i="6"/>
  <c r="CI13" i="6" s="1"/>
  <c r="V8" i="6"/>
  <c r="CI8" i="6" s="1"/>
  <c r="V14" i="6"/>
  <c r="CI14" i="6" s="1"/>
  <c r="V12" i="6"/>
  <c r="CI12" i="6" s="1"/>
  <c r="V10" i="6"/>
  <c r="CI10" i="6" s="1"/>
  <c r="V5" i="6"/>
  <c r="CI5" i="6" s="1"/>
  <c r="FR5" i="6" s="1"/>
  <c r="Y7" i="6"/>
  <c r="V9" i="6"/>
  <c r="CI9" i="6" s="1"/>
  <c r="Y11" i="6"/>
  <c r="Y6" i="6"/>
  <c r="V7" i="6"/>
  <c r="CI7" i="6" s="1"/>
  <c r="Y10" i="6"/>
  <c r="Y5" i="6"/>
  <c r="V11" i="6"/>
  <c r="CI11" i="6" s="1"/>
  <c r="W9" i="6"/>
  <c r="W7" i="6"/>
  <c r="W11" i="6"/>
  <c r="W6" i="6"/>
  <c r="BV8" i="2"/>
  <c r="BV7" i="2"/>
  <c r="BV5" i="2"/>
  <c r="BV6" i="2"/>
  <c r="AH15" i="6" s="1"/>
  <c r="CN15" i="6" s="1"/>
  <c r="AN13" i="3" s="1"/>
  <c r="DT6" i="2" s="1"/>
  <c r="EW6" i="2" s="1"/>
  <c r="BV9" i="2"/>
  <c r="BM5" i="3"/>
  <c r="CN10" i="3" l="1"/>
  <c r="EQ7" i="2"/>
  <c r="FT7" i="2" s="1"/>
  <c r="CM10" i="3"/>
  <c r="EP7" i="2"/>
  <c r="FS7" i="2" s="1"/>
  <c r="CO10" i="3"/>
  <c r="ER7" i="2"/>
  <c r="FU7" i="2" s="1"/>
  <c r="S5" i="3"/>
  <c r="EC15" i="6"/>
  <c r="FF15" i="6"/>
  <c r="EI15" i="6"/>
  <c r="FL15" i="6"/>
  <c r="ED15" i="6"/>
  <c r="FG15" i="6"/>
  <c r="EM15" i="6"/>
  <c r="FP15" i="6"/>
  <c r="ET15" i="6"/>
  <c r="EJ15" i="6"/>
  <c r="FM15" i="6"/>
  <c r="EE15" i="6"/>
  <c r="FH15" i="6"/>
  <c r="DZ15" i="6"/>
  <c r="FC15" i="6"/>
  <c r="EK15" i="6"/>
  <c r="FN15" i="6"/>
  <c r="EF15" i="6"/>
  <c r="FI15" i="6"/>
  <c r="EA15" i="6"/>
  <c r="FD15" i="6"/>
  <c r="EL15" i="6"/>
  <c r="FO15" i="6"/>
  <c r="EG15" i="6"/>
  <c r="FJ15" i="6"/>
  <c r="EB15" i="6"/>
  <c r="FE15" i="6"/>
  <c r="EH15" i="6"/>
  <c r="FK15" i="6"/>
  <c r="EN15" i="6"/>
  <c r="FQ15" i="6"/>
  <c r="CF6" i="6"/>
  <c r="CG6" i="6"/>
  <c r="CH6" i="6"/>
  <c r="CF9" i="6"/>
  <c r="CG9" i="6"/>
  <c r="CH9" i="6"/>
  <c r="CG7" i="6"/>
  <c r="CH7" i="6"/>
  <c r="CF7" i="6"/>
  <c r="CF14" i="6"/>
  <c r="CG14" i="6"/>
  <c r="CH14" i="6"/>
  <c r="CG11" i="6"/>
  <c r="CH11" i="6"/>
  <c r="CF11" i="6"/>
  <c r="CH8" i="6"/>
  <c r="CF8" i="6"/>
  <c r="CG8" i="6"/>
  <c r="CH12" i="6"/>
  <c r="CF12" i="6"/>
  <c r="CG12" i="6"/>
  <c r="CF10" i="6"/>
  <c r="CG10" i="6"/>
  <c r="CH10" i="6"/>
  <c r="CF13" i="6"/>
  <c r="CG13" i="6"/>
  <c r="CH13" i="6"/>
  <c r="CF5" i="6"/>
  <c r="CG5" i="6"/>
  <c r="CH5" i="6"/>
  <c r="BT12" i="6"/>
  <c r="BX12" i="6"/>
  <c r="CB12" i="6"/>
  <c r="BU12" i="6"/>
  <c r="BY12" i="6"/>
  <c r="CC12" i="6"/>
  <c r="BV12" i="6"/>
  <c r="BZ12" i="6"/>
  <c r="CD12" i="6"/>
  <c r="BW12" i="6"/>
  <c r="CA12" i="6"/>
  <c r="CE12" i="6"/>
  <c r="BT6" i="6"/>
  <c r="BX6" i="6"/>
  <c r="CB6" i="6"/>
  <c r="BU6" i="6"/>
  <c r="BY6" i="6"/>
  <c r="CC6" i="6"/>
  <c r="BV6" i="6"/>
  <c r="BZ6" i="6"/>
  <c r="CD6" i="6"/>
  <c r="BW6" i="6"/>
  <c r="CA6" i="6"/>
  <c r="CE6" i="6"/>
  <c r="BT7" i="6"/>
  <c r="BX7" i="6"/>
  <c r="CB7" i="6"/>
  <c r="BU7" i="6"/>
  <c r="BY7" i="6"/>
  <c r="CC7" i="6"/>
  <c r="BV7" i="6"/>
  <c r="BZ7" i="6"/>
  <c r="CD7" i="6"/>
  <c r="BW7" i="6"/>
  <c r="CA7" i="6"/>
  <c r="CE7" i="6"/>
  <c r="BT14" i="6"/>
  <c r="BX14" i="6"/>
  <c r="CB14" i="6"/>
  <c r="BU14" i="6"/>
  <c r="BY14" i="6"/>
  <c r="CC14" i="6"/>
  <c r="BV14" i="6"/>
  <c r="BZ14" i="6"/>
  <c r="CD14" i="6"/>
  <c r="BW14" i="6"/>
  <c r="CA14" i="6"/>
  <c r="CE14" i="6"/>
  <c r="BT8" i="6"/>
  <c r="BX8" i="6"/>
  <c r="CB8" i="6"/>
  <c r="BU8" i="6"/>
  <c r="BY8" i="6"/>
  <c r="CC8" i="6"/>
  <c r="BV8" i="6"/>
  <c r="BZ8" i="6"/>
  <c r="CD8" i="6"/>
  <c r="BW8" i="6"/>
  <c r="CA8" i="6"/>
  <c r="CE8" i="6"/>
  <c r="BT11" i="6"/>
  <c r="BX11" i="6"/>
  <c r="CB11" i="6"/>
  <c r="BU11" i="6"/>
  <c r="BY11" i="6"/>
  <c r="CC11" i="6"/>
  <c r="BV11" i="6"/>
  <c r="BZ11" i="6"/>
  <c r="CD11" i="6"/>
  <c r="BW11" i="6"/>
  <c r="CA11" i="6"/>
  <c r="CE11" i="6"/>
  <c r="BT10" i="6"/>
  <c r="BX10" i="6"/>
  <c r="CB10" i="6"/>
  <c r="BU10" i="6"/>
  <c r="BY10" i="6"/>
  <c r="CC10" i="6"/>
  <c r="BV10" i="6"/>
  <c r="BZ10" i="6"/>
  <c r="CD10" i="6"/>
  <c r="BW10" i="6"/>
  <c r="CA10" i="6"/>
  <c r="CE10" i="6"/>
  <c r="BT13" i="6"/>
  <c r="BX13" i="6"/>
  <c r="CB13" i="6"/>
  <c r="BU13" i="6"/>
  <c r="BY13" i="6"/>
  <c r="CC13" i="6"/>
  <c r="BV13" i="6"/>
  <c r="BZ13" i="6"/>
  <c r="CD13" i="6"/>
  <c r="BW13" i="6"/>
  <c r="CA13" i="6"/>
  <c r="CE13" i="6"/>
  <c r="BT9" i="6"/>
  <c r="BX9" i="6"/>
  <c r="CB9" i="6"/>
  <c r="BU9" i="6"/>
  <c r="BY9" i="6"/>
  <c r="CC9" i="6"/>
  <c r="BV9" i="6"/>
  <c r="BZ9" i="6"/>
  <c r="CD9" i="6"/>
  <c r="BW9" i="6"/>
  <c r="CA9" i="6"/>
  <c r="CE9" i="6"/>
  <c r="BX5" i="6"/>
  <c r="CB5" i="6"/>
  <c r="BY5" i="6"/>
  <c r="CC5" i="6"/>
  <c r="BZ5" i="6"/>
  <c r="CD5" i="6"/>
  <c r="CA5" i="6"/>
  <c r="CE5" i="6"/>
  <c r="BT5" i="6"/>
  <c r="BU5" i="6"/>
  <c r="BV5" i="6"/>
  <c r="BW5" i="6"/>
  <c r="AT5" i="6"/>
  <c r="CZ5" i="6" s="1"/>
  <c r="AZ10" i="3" s="1"/>
  <c r="AV5" i="9" s="1"/>
  <c r="BY5" i="9" s="1"/>
  <c r="BB5" i="6"/>
  <c r="DH5" i="6" s="1"/>
  <c r="BH10" i="3" s="1"/>
  <c r="BD5" i="9" s="1"/>
  <c r="CG5" i="9" s="1"/>
  <c r="AU5" i="6"/>
  <c r="DA5" i="6" s="1"/>
  <c r="AY5" i="6"/>
  <c r="DE5" i="6" s="1"/>
  <c r="BE10" i="3" s="1"/>
  <c r="BA5" i="9" s="1"/>
  <c r="CD5" i="9" s="1"/>
  <c r="AV5" i="6"/>
  <c r="DB5" i="6" s="1"/>
  <c r="AZ5" i="6"/>
  <c r="DF5" i="6" s="1"/>
  <c r="AW5" i="6"/>
  <c r="DC5" i="6" s="1"/>
  <c r="BA5" i="6"/>
  <c r="DG5" i="6" s="1"/>
  <c r="BG10" i="3" s="1"/>
  <c r="BC5" i="9" s="1"/>
  <c r="CF5" i="9" s="1"/>
  <c r="AX5" i="6"/>
  <c r="DD5" i="6" s="1"/>
  <c r="AR5" i="6"/>
  <c r="CX5" i="6" s="1"/>
  <c r="AS5" i="6"/>
  <c r="CY5" i="6" s="1"/>
  <c r="AQ5" i="6"/>
  <c r="CW5" i="6" s="1"/>
  <c r="AD7" i="6"/>
  <c r="AH7" i="6"/>
  <c r="AL7" i="6"/>
  <c r="AE7" i="6"/>
  <c r="AI7" i="6"/>
  <c r="AM7" i="6"/>
  <c r="AF7" i="6"/>
  <c r="AJ7" i="6"/>
  <c r="AN7" i="6"/>
  <c r="AG7" i="6"/>
  <c r="AK7" i="6"/>
  <c r="AO7" i="6"/>
  <c r="AD10" i="6"/>
  <c r="AH10" i="6"/>
  <c r="AL10" i="6"/>
  <c r="AE10" i="6"/>
  <c r="AI10" i="6"/>
  <c r="AM10" i="6"/>
  <c r="AF10" i="6"/>
  <c r="AJ10" i="6"/>
  <c r="AN10" i="6"/>
  <c r="AG10" i="6"/>
  <c r="AK10" i="6"/>
  <c r="AO10" i="6"/>
  <c r="AD13" i="6"/>
  <c r="AH13" i="6"/>
  <c r="AL13" i="6"/>
  <c r="AE13" i="6"/>
  <c r="AI13" i="6"/>
  <c r="AM13" i="6"/>
  <c r="AF13" i="6"/>
  <c r="AJ13" i="6"/>
  <c r="AN13" i="6"/>
  <c r="AG13" i="6"/>
  <c r="AK13" i="6"/>
  <c r="AO13" i="6"/>
  <c r="AD9" i="6"/>
  <c r="AH9" i="6"/>
  <c r="AL9" i="6"/>
  <c r="AE9" i="6"/>
  <c r="AI9" i="6"/>
  <c r="AM9" i="6"/>
  <c r="AF9" i="6"/>
  <c r="AJ9" i="6"/>
  <c r="AN9" i="6"/>
  <c r="AG9" i="6"/>
  <c r="AK9" i="6"/>
  <c r="AO9" i="6"/>
  <c r="AD12" i="6"/>
  <c r="AH12" i="6"/>
  <c r="AL12" i="6"/>
  <c r="AE12" i="6"/>
  <c r="AI12" i="6"/>
  <c r="AM12" i="6"/>
  <c r="AF12" i="6"/>
  <c r="AJ12" i="6"/>
  <c r="AN12" i="6"/>
  <c r="AG12" i="6"/>
  <c r="AK12" i="6"/>
  <c r="AO12" i="6"/>
  <c r="AD6" i="6"/>
  <c r="AH6" i="6"/>
  <c r="AL6" i="6"/>
  <c r="AE6" i="6"/>
  <c r="AI6" i="6"/>
  <c r="AM6" i="6"/>
  <c r="AF6" i="6"/>
  <c r="AJ6" i="6"/>
  <c r="AN6" i="6"/>
  <c r="AG6" i="6"/>
  <c r="AK6" i="6"/>
  <c r="AO6" i="6"/>
  <c r="AL15" i="6"/>
  <c r="CR15" i="6" s="1"/>
  <c r="AR13" i="3" s="1"/>
  <c r="DX6" i="2" s="1"/>
  <c r="FA6" i="2" s="1"/>
  <c r="AG15" i="6"/>
  <c r="CM15" i="6" s="1"/>
  <c r="AM13" i="3" s="1"/>
  <c r="DS6" i="2" s="1"/>
  <c r="EV6" i="2" s="1"/>
  <c r="AM15" i="6"/>
  <c r="CS15" i="6" s="1"/>
  <c r="AS13" i="3" s="1"/>
  <c r="DY6" i="2" s="1"/>
  <c r="FB6" i="2" s="1"/>
  <c r="AD15" i="6"/>
  <c r="CJ15" i="6" s="1"/>
  <c r="EO15" i="6" s="1"/>
  <c r="AJ15" i="6"/>
  <c r="CP15" i="6" s="1"/>
  <c r="AP13" i="3" s="1"/>
  <c r="DV6" i="2" s="1"/>
  <c r="EY6" i="2" s="1"/>
  <c r="AI15" i="6"/>
  <c r="CO15" i="6" s="1"/>
  <c r="AO13" i="3" s="1"/>
  <c r="DU6" i="2" s="1"/>
  <c r="EX6" i="2" s="1"/>
  <c r="AD14" i="6"/>
  <c r="AH14" i="6"/>
  <c r="AL14" i="6"/>
  <c r="AE14" i="6"/>
  <c r="AI14" i="6"/>
  <c r="AM14" i="6"/>
  <c r="AF14" i="6"/>
  <c r="AJ14" i="6"/>
  <c r="AN14" i="6"/>
  <c r="AG14" i="6"/>
  <c r="AK14" i="6"/>
  <c r="AO14" i="6"/>
  <c r="AD11" i="6"/>
  <c r="AH11" i="6"/>
  <c r="AL11" i="6"/>
  <c r="AE11" i="6"/>
  <c r="AI11" i="6"/>
  <c r="AM11" i="6"/>
  <c r="AF11" i="6"/>
  <c r="AJ11" i="6"/>
  <c r="AN11" i="6"/>
  <c r="AG11" i="6"/>
  <c r="AK11" i="6"/>
  <c r="AO11" i="6"/>
  <c r="AD8" i="6"/>
  <c r="AH8" i="6"/>
  <c r="AL8" i="6"/>
  <c r="AE8" i="6"/>
  <c r="AI8" i="6"/>
  <c r="AM8" i="6"/>
  <c r="AF8" i="6"/>
  <c r="AJ8" i="6"/>
  <c r="AN8" i="6"/>
  <c r="AG8" i="6"/>
  <c r="AK8" i="6"/>
  <c r="AO8" i="6"/>
  <c r="AO15" i="6"/>
  <c r="CU15" i="6" s="1"/>
  <c r="AN15" i="6"/>
  <c r="CT15" i="6" s="1"/>
  <c r="AT13" i="3" s="1"/>
  <c r="DZ6" i="2" s="1"/>
  <c r="FC6" i="2" s="1"/>
  <c r="AE15" i="6"/>
  <c r="CK15" i="6" s="1"/>
  <c r="AK13" i="3" s="1"/>
  <c r="DQ6" i="2" s="1"/>
  <c r="ET6" i="2" s="1"/>
  <c r="BS13" i="3"/>
  <c r="AK15" i="6"/>
  <c r="CQ15" i="6" s="1"/>
  <c r="AQ13" i="3" s="1"/>
  <c r="DW6" i="2" s="1"/>
  <c r="EZ6" i="2" s="1"/>
  <c r="AF15" i="6"/>
  <c r="CL15" i="6" s="1"/>
  <c r="AL13" i="3" s="1"/>
  <c r="DR6" i="2" s="1"/>
  <c r="EU6" i="2" s="1"/>
  <c r="AE5" i="6"/>
  <c r="CK5" i="6" s="1"/>
  <c r="AF5" i="6"/>
  <c r="AJ5" i="6"/>
  <c r="AN5" i="6"/>
  <c r="AK5" i="6"/>
  <c r="CQ5" i="6" s="1"/>
  <c r="AO5" i="6"/>
  <c r="AG5" i="6"/>
  <c r="AH5" i="6"/>
  <c r="CN5" i="6" s="1"/>
  <c r="AL5" i="6"/>
  <c r="AI5" i="6"/>
  <c r="AM5" i="6"/>
  <c r="CS5" i="6" s="1"/>
  <c r="AD5" i="6"/>
  <c r="X7" i="6"/>
  <c r="AA7" i="6" s="1"/>
  <c r="AC7" i="6" s="1"/>
  <c r="CT7" i="6" s="1"/>
  <c r="BG6" i="6"/>
  <c r="DS15" i="6"/>
  <c r="BO13" i="3"/>
  <c r="C8" i="9"/>
  <c r="BI8" i="9" s="1"/>
  <c r="BO5" i="3"/>
  <c r="E6" i="9"/>
  <c r="BK6" i="9" s="1"/>
  <c r="BS18" i="3"/>
  <c r="I7" i="9"/>
  <c r="BO7" i="9" s="1"/>
  <c r="BT7" i="3"/>
  <c r="J5" i="9"/>
  <c r="BO6" i="3"/>
  <c r="E8" i="9"/>
  <c r="BK8" i="9" s="1"/>
  <c r="BQ6" i="3"/>
  <c r="G8" i="9"/>
  <c r="BM8" i="9" s="1"/>
  <c r="BU7" i="3"/>
  <c r="K5" i="9"/>
  <c r="BU6" i="3"/>
  <c r="K8" i="9"/>
  <c r="BQ8" i="9" s="1"/>
  <c r="C6" i="9"/>
  <c r="BI6" i="9" s="1"/>
  <c r="BV7" i="3"/>
  <c r="L5" i="9"/>
  <c r="BQ18" i="3"/>
  <c r="G7" i="9"/>
  <c r="BM7" i="9" s="1"/>
  <c r="BR6" i="3"/>
  <c r="H8" i="9"/>
  <c r="BN8" i="9" s="1"/>
  <c r="BV18" i="3"/>
  <c r="L7" i="9"/>
  <c r="BR7" i="9" s="1"/>
  <c r="BS7" i="3"/>
  <c r="I5" i="9"/>
  <c r="BW7" i="3"/>
  <c r="M5" i="9"/>
  <c r="BW6" i="3"/>
  <c r="M8" i="9"/>
  <c r="BS8" i="9" s="1"/>
  <c r="BN7" i="3"/>
  <c r="D5" i="9"/>
  <c r="BP7" i="3"/>
  <c r="F5" i="9"/>
  <c r="BX5" i="3"/>
  <c r="N6" i="9"/>
  <c r="BX6" i="3"/>
  <c r="N8" i="9"/>
  <c r="BW18" i="3"/>
  <c r="M7" i="9"/>
  <c r="BS7" i="9" s="1"/>
  <c r="BT6" i="3"/>
  <c r="J8" i="9"/>
  <c r="BP8" i="9" s="1"/>
  <c r="BO7" i="3"/>
  <c r="E5" i="9"/>
  <c r="BT18" i="3"/>
  <c r="J7" i="9"/>
  <c r="BP7" i="9" s="1"/>
  <c r="BN18" i="3"/>
  <c r="D7" i="9"/>
  <c r="BJ7" i="9" s="1"/>
  <c r="BR18" i="3"/>
  <c r="H7" i="9"/>
  <c r="BN7" i="9" s="1"/>
  <c r="BS6" i="3"/>
  <c r="I8" i="9"/>
  <c r="BO8" i="9" s="1"/>
  <c r="C7" i="9"/>
  <c r="BI7" i="9" s="1"/>
  <c r="BP5" i="3"/>
  <c r="F6" i="9"/>
  <c r="BL6" i="9" s="1"/>
  <c r="BO18" i="3"/>
  <c r="E7" i="9"/>
  <c r="BK7" i="9" s="1"/>
  <c r="BP18" i="3"/>
  <c r="F7" i="9"/>
  <c r="BL7" i="9" s="1"/>
  <c r="BX18" i="3"/>
  <c r="N7" i="9"/>
  <c r="BQ7" i="3"/>
  <c r="G5" i="9"/>
  <c r="C5" i="9"/>
  <c r="BR5" i="3"/>
  <c r="H6" i="9"/>
  <c r="BN6" i="9" s="1"/>
  <c r="BN5" i="3"/>
  <c r="D6" i="9"/>
  <c r="BJ6" i="9" s="1"/>
  <c r="BX7" i="3"/>
  <c r="N5" i="9"/>
  <c r="BT5" i="3"/>
  <c r="J6" i="9"/>
  <c r="BP6" i="9" s="1"/>
  <c r="BQ5" i="3"/>
  <c r="G6" i="9"/>
  <c r="BM6" i="9" s="1"/>
  <c r="BU5" i="3"/>
  <c r="K6" i="9"/>
  <c r="BQ6" i="9" s="1"/>
  <c r="BV5" i="3"/>
  <c r="L6" i="9"/>
  <c r="BR6" i="9" s="1"/>
  <c r="BV6" i="3"/>
  <c r="L8" i="9"/>
  <c r="BR8" i="9" s="1"/>
  <c r="BU18" i="3"/>
  <c r="K7" i="9"/>
  <c r="BQ7" i="9" s="1"/>
  <c r="BR7" i="3"/>
  <c r="H5" i="9"/>
  <c r="BS5" i="3"/>
  <c r="I6" i="9"/>
  <c r="BO6" i="9" s="1"/>
  <c r="BW5" i="3"/>
  <c r="M6" i="9"/>
  <c r="BS6" i="9" s="1"/>
  <c r="BN6" i="3"/>
  <c r="D8" i="9"/>
  <c r="BJ8" i="9" s="1"/>
  <c r="BP6" i="3"/>
  <c r="F8" i="9"/>
  <c r="BL8" i="9" s="1"/>
  <c r="BM34" i="3"/>
  <c r="S34" i="3"/>
  <c r="BY34" i="3" s="1"/>
  <c r="BM40" i="3"/>
  <c r="S40" i="3"/>
  <c r="BY40" i="3" s="1"/>
  <c r="BM38" i="3"/>
  <c r="S38" i="3"/>
  <c r="BY38" i="3" s="1"/>
  <c r="BM9" i="3"/>
  <c r="S9" i="3"/>
  <c r="BY9" i="3" s="1"/>
  <c r="BM6" i="3"/>
  <c r="S6" i="3"/>
  <c r="BM24" i="3"/>
  <c r="S24" i="3"/>
  <c r="BY24" i="3" s="1"/>
  <c r="BM17" i="3"/>
  <c r="S17" i="3"/>
  <c r="BY17" i="3" s="1"/>
  <c r="BM29" i="3"/>
  <c r="S29" i="3"/>
  <c r="BY29" i="3" s="1"/>
  <c r="BM22" i="3"/>
  <c r="S22" i="3"/>
  <c r="BY22" i="3" s="1"/>
  <c r="BS15" i="6"/>
  <c r="BM45" i="3"/>
  <c r="S45" i="3"/>
  <c r="BY45" i="3" s="1"/>
  <c r="DP15" i="6"/>
  <c r="DT15" i="6"/>
  <c r="DX15" i="6"/>
  <c r="BM44" i="3"/>
  <c r="S44" i="3"/>
  <c r="BY44" i="3" s="1"/>
  <c r="BM42" i="3"/>
  <c r="S42" i="3"/>
  <c r="BY42" i="3" s="1"/>
  <c r="BM33" i="3"/>
  <c r="S33" i="3"/>
  <c r="BY33" i="3" s="1"/>
  <c r="BM36" i="3"/>
  <c r="S36" i="3"/>
  <c r="BY36" i="3" s="1"/>
  <c r="BM12" i="3"/>
  <c r="S12" i="3"/>
  <c r="BY12" i="3" s="1"/>
  <c r="DR15" i="6"/>
  <c r="BV13" i="3"/>
  <c r="BM23" i="3"/>
  <c r="S23" i="3"/>
  <c r="BY23" i="3" s="1"/>
  <c r="BM20" i="3"/>
  <c r="S20" i="3"/>
  <c r="BY20" i="3" s="1"/>
  <c r="S13" i="3"/>
  <c r="BM25" i="3"/>
  <c r="S25" i="3"/>
  <c r="BY25" i="3" s="1"/>
  <c r="BM48" i="3"/>
  <c r="S48" i="3"/>
  <c r="BY48" i="3" s="1"/>
  <c r="BM31" i="3"/>
  <c r="S31" i="3"/>
  <c r="BY31" i="3" s="1"/>
  <c r="BM37" i="3"/>
  <c r="S37" i="3"/>
  <c r="BY37" i="3" s="1"/>
  <c r="BM39" i="3"/>
  <c r="S39" i="3"/>
  <c r="BY39" i="3" s="1"/>
  <c r="BM35" i="3"/>
  <c r="S35" i="3"/>
  <c r="BY35" i="3" s="1"/>
  <c r="S11" i="3"/>
  <c r="BM8" i="3"/>
  <c r="S8" i="3"/>
  <c r="BY8" i="3" s="1"/>
  <c r="BQ13" i="3"/>
  <c r="DQ15" i="6"/>
  <c r="DU15" i="6"/>
  <c r="BM18" i="3"/>
  <c r="S18" i="3"/>
  <c r="BM30" i="3"/>
  <c r="S30" i="3"/>
  <c r="BY30" i="3" s="1"/>
  <c r="BM19" i="3"/>
  <c r="S19" i="3"/>
  <c r="BY19" i="3" s="1"/>
  <c r="BM16" i="3"/>
  <c r="S16" i="3"/>
  <c r="BY16" i="3" s="1"/>
  <c r="BM28" i="3"/>
  <c r="S28" i="3"/>
  <c r="BY28" i="3" s="1"/>
  <c r="BM46" i="3"/>
  <c r="S46" i="3"/>
  <c r="BY46" i="3" s="1"/>
  <c r="BP13" i="3"/>
  <c r="BT13" i="3"/>
  <c r="BM41" i="3"/>
  <c r="S41" i="3"/>
  <c r="BY41" i="3" s="1"/>
  <c r="BM32" i="3"/>
  <c r="S32" i="3"/>
  <c r="BY32" i="3" s="1"/>
  <c r="BM43" i="3"/>
  <c r="S43" i="3"/>
  <c r="BY43" i="3" s="1"/>
  <c r="S10" i="3"/>
  <c r="BM7" i="3"/>
  <c r="S7" i="3"/>
  <c r="BU13" i="3"/>
  <c r="BR13" i="3"/>
  <c r="DV15" i="6"/>
  <c r="BM21" i="3"/>
  <c r="S21" i="3"/>
  <c r="BY21" i="3" s="1"/>
  <c r="BM14" i="3"/>
  <c r="S14" i="3"/>
  <c r="BY14" i="3" s="1"/>
  <c r="BM26" i="3"/>
  <c r="S26" i="3"/>
  <c r="BY26" i="3" s="1"/>
  <c r="BM15" i="3"/>
  <c r="S15" i="3"/>
  <c r="BY15" i="3" s="1"/>
  <c r="BM27" i="3"/>
  <c r="S27" i="3"/>
  <c r="BY27" i="3" s="1"/>
  <c r="BM49" i="3"/>
  <c r="S49" i="3"/>
  <c r="BY49" i="3" s="1"/>
  <c r="BM47" i="3"/>
  <c r="S47" i="3"/>
  <c r="BY47" i="3" s="1"/>
  <c r="BP6" i="6"/>
  <c r="BN6" i="6"/>
  <c r="BH6" i="6"/>
  <c r="BM6" i="6"/>
  <c r="BJ6" i="6"/>
  <c r="X6" i="6"/>
  <c r="AA6" i="6" s="1"/>
  <c r="AC6" i="6" s="1"/>
  <c r="FR6" i="6" s="1"/>
  <c r="BR6" i="6"/>
  <c r="BI6" i="6"/>
  <c r="BO6" i="6"/>
  <c r="BK6" i="6"/>
  <c r="X8" i="6"/>
  <c r="AA8" i="6" s="1"/>
  <c r="AC8" i="6" s="1"/>
  <c r="FR8" i="6" s="1"/>
  <c r="BO8" i="6"/>
  <c r="BK8" i="6"/>
  <c r="BG8" i="6"/>
  <c r="BN8" i="6"/>
  <c r="BR8" i="6"/>
  <c r="BQ8" i="6"/>
  <c r="BP8" i="6"/>
  <c r="BL8" i="6"/>
  <c r="BH8" i="6"/>
  <c r="BJ8" i="6"/>
  <c r="BM8" i="6"/>
  <c r="BI8" i="6"/>
  <c r="X13" i="6"/>
  <c r="AA13" i="6" s="1"/>
  <c r="AC13" i="6" s="1"/>
  <c r="FR13" i="6" s="1"/>
  <c r="BP13" i="6"/>
  <c r="BR13" i="6"/>
  <c r="BN13" i="6"/>
  <c r="BQ13" i="6"/>
  <c r="BL13" i="6"/>
  <c r="BJ13" i="6"/>
  <c r="BM13" i="6"/>
  <c r="BH13" i="6"/>
  <c r="BG13" i="6"/>
  <c r="BI13" i="6"/>
  <c r="BO13" i="6"/>
  <c r="BK13" i="6"/>
  <c r="X12" i="6"/>
  <c r="AA12" i="6" s="1"/>
  <c r="AC12" i="6" s="1"/>
  <c r="FR12" i="6" s="1"/>
  <c r="BL12" i="6"/>
  <c r="BH12" i="6"/>
  <c r="BO12" i="6"/>
  <c r="BR12" i="6"/>
  <c r="BQ12" i="6"/>
  <c r="BM12" i="6"/>
  <c r="BJ12" i="6"/>
  <c r="BI12" i="6"/>
  <c r="BP12" i="6"/>
  <c r="BK12" i="6"/>
  <c r="BG12" i="6"/>
  <c r="BN12" i="6"/>
  <c r="BQ6" i="6"/>
  <c r="BL6" i="6"/>
  <c r="X14" i="6"/>
  <c r="AA14" i="6" s="1"/>
  <c r="AC14" i="6" s="1"/>
  <c r="FR14" i="6" s="1"/>
  <c r="BH14" i="6"/>
  <c r="BG14" i="6"/>
  <c r="BK14" i="6"/>
  <c r="BP14" i="6"/>
  <c r="BL14" i="6"/>
  <c r="BO14" i="6"/>
  <c r="BQ14" i="6"/>
  <c r="BM14" i="6"/>
  <c r="BR14" i="6"/>
  <c r="BN14" i="6"/>
  <c r="BJ14" i="6"/>
  <c r="BI14" i="6"/>
  <c r="BG7" i="6"/>
  <c r="BK7" i="6"/>
  <c r="BO7" i="6"/>
  <c r="BH7" i="6"/>
  <c r="BL7" i="6"/>
  <c r="BP7" i="6"/>
  <c r="BI7" i="6"/>
  <c r="BM7" i="6"/>
  <c r="BQ7" i="6"/>
  <c r="EZ7" i="6" s="1"/>
  <c r="BJ7" i="6"/>
  <c r="BN7" i="6"/>
  <c r="BR7" i="6"/>
  <c r="X11" i="6"/>
  <c r="AA11" i="6" s="1"/>
  <c r="AC11" i="6" s="1"/>
  <c r="FR11" i="6" s="1"/>
  <c r="BG11" i="6"/>
  <c r="BK11" i="6"/>
  <c r="BO11" i="6"/>
  <c r="BH11" i="6"/>
  <c r="BL11" i="6"/>
  <c r="BP11" i="6"/>
  <c r="BI11" i="6"/>
  <c r="BM11" i="6"/>
  <c r="BQ11" i="6"/>
  <c r="BJ11" i="6"/>
  <c r="BN11" i="6"/>
  <c r="BR11" i="6"/>
  <c r="X5" i="6"/>
  <c r="BI5" i="6"/>
  <c r="BM5" i="6"/>
  <c r="BQ5" i="6"/>
  <c r="BJ5" i="6"/>
  <c r="BN5" i="6"/>
  <c r="EW5" i="6" s="1"/>
  <c r="BR5" i="6"/>
  <c r="BK5" i="6"/>
  <c r="ET5" i="6" s="1"/>
  <c r="BO5" i="6"/>
  <c r="BH5" i="6"/>
  <c r="EQ5" i="6" s="1"/>
  <c r="BL5" i="6"/>
  <c r="BP5" i="6"/>
  <c r="EY5" i="6" s="1"/>
  <c r="BG5" i="6"/>
  <c r="CO5" i="6"/>
  <c r="CP5" i="6"/>
  <c r="CT5" i="6"/>
  <c r="CU5" i="6"/>
  <c r="CR5" i="6"/>
  <c r="X10" i="6"/>
  <c r="AA10" i="6" s="1"/>
  <c r="AC10" i="6" s="1"/>
  <c r="FR10" i="6" s="1"/>
  <c r="BG10" i="6"/>
  <c r="BK10" i="6"/>
  <c r="BO10" i="6"/>
  <c r="BH10" i="6"/>
  <c r="BL10" i="6"/>
  <c r="BP10" i="6"/>
  <c r="BI10" i="6"/>
  <c r="BM10" i="6"/>
  <c r="BQ10" i="6"/>
  <c r="BJ10" i="6"/>
  <c r="BN10" i="6"/>
  <c r="BR10" i="6"/>
  <c r="X9" i="6"/>
  <c r="AA9" i="6" s="1"/>
  <c r="AC9" i="6" s="1"/>
  <c r="FR9" i="6" s="1"/>
  <c r="BG9" i="6"/>
  <c r="BK9" i="6"/>
  <c r="BO9" i="6"/>
  <c r="BH9" i="6"/>
  <c r="BL9" i="6"/>
  <c r="BP9" i="6"/>
  <c r="BI9" i="6"/>
  <c r="BM9" i="6"/>
  <c r="BQ9" i="6"/>
  <c r="BJ9" i="6"/>
  <c r="BN9" i="6"/>
  <c r="BR9" i="6"/>
  <c r="CM5" i="6"/>
  <c r="BT6" i="9" l="1"/>
  <c r="BT8" i="9"/>
  <c r="BT7" i="9"/>
  <c r="CJ10" i="3"/>
  <c r="EM7" i="2"/>
  <c r="FP7" i="2" s="1"/>
  <c r="CH10" i="3"/>
  <c r="EK7" i="2"/>
  <c r="FN7" i="2" s="1"/>
  <c r="CK10" i="3"/>
  <c r="EN7" i="2"/>
  <c r="FQ7" i="2" s="1"/>
  <c r="CC10" i="3"/>
  <c r="EF7" i="2"/>
  <c r="FI7" i="2" s="1"/>
  <c r="EA5" i="6"/>
  <c r="AX10" i="3"/>
  <c r="AT5" i="9" s="1"/>
  <c r="BW5" i="9" s="1"/>
  <c r="EI5" i="6"/>
  <c r="BF10" i="3"/>
  <c r="BB5" i="9" s="1"/>
  <c r="CE5" i="9" s="1"/>
  <c r="EG5" i="6"/>
  <c r="BD10" i="3"/>
  <c r="AZ5" i="9" s="1"/>
  <c r="CC5" i="9" s="1"/>
  <c r="EE5" i="6"/>
  <c r="BB10" i="3"/>
  <c r="AX5" i="9" s="1"/>
  <c r="CA5" i="9" s="1"/>
  <c r="EB5" i="6"/>
  <c r="AY10" i="3"/>
  <c r="AU5" i="9" s="1"/>
  <c r="BX5" i="9" s="1"/>
  <c r="EF5" i="6"/>
  <c r="BC10" i="3"/>
  <c r="AY5" i="9" s="1"/>
  <c r="CB5" i="9" s="1"/>
  <c r="ED5" i="6"/>
  <c r="BA10" i="3"/>
  <c r="AW5" i="9" s="1"/>
  <c r="BZ5" i="9" s="1"/>
  <c r="DZ5" i="6"/>
  <c r="AW10" i="3"/>
  <c r="AS5" i="9" s="1"/>
  <c r="BV5" i="9" s="1"/>
  <c r="FA15" i="6"/>
  <c r="EK5" i="6"/>
  <c r="EU5" i="6"/>
  <c r="EX5" i="6"/>
  <c r="FA5" i="6"/>
  <c r="EK9" i="6"/>
  <c r="FN9" i="6"/>
  <c r="EF9" i="6"/>
  <c r="FI9" i="6"/>
  <c r="EA9" i="6"/>
  <c r="FD9" i="6"/>
  <c r="EK13" i="6"/>
  <c r="FN13" i="6"/>
  <c r="EF13" i="6"/>
  <c r="FI13" i="6"/>
  <c r="EA13" i="6"/>
  <c r="FD13" i="6"/>
  <c r="EK10" i="6"/>
  <c r="FN10" i="6"/>
  <c r="EF10" i="6"/>
  <c r="FI10" i="6"/>
  <c r="EA10" i="6"/>
  <c r="FD10" i="6"/>
  <c r="EK11" i="6"/>
  <c r="FN11" i="6"/>
  <c r="EF11" i="6"/>
  <c r="FI11" i="6"/>
  <c r="EA11" i="6"/>
  <c r="FD11" i="6"/>
  <c r="EK8" i="6"/>
  <c r="FN8" i="6"/>
  <c r="EF8" i="6"/>
  <c r="FI8" i="6"/>
  <c r="EA8" i="6"/>
  <c r="FD8" i="6"/>
  <c r="EK14" i="6"/>
  <c r="FN14" i="6"/>
  <c r="EF14" i="6"/>
  <c r="FI14" i="6"/>
  <c r="EA14" i="6"/>
  <c r="FD14" i="6"/>
  <c r="EK7" i="6"/>
  <c r="FN7" i="6"/>
  <c r="EF7" i="6"/>
  <c r="FI7" i="6"/>
  <c r="EA7" i="6"/>
  <c r="FD7" i="6"/>
  <c r="EK6" i="6"/>
  <c r="FN6" i="6"/>
  <c r="EF6" i="6"/>
  <c r="FI6" i="6"/>
  <c r="EA6" i="6"/>
  <c r="FD6" i="6"/>
  <c r="EK12" i="6"/>
  <c r="FN12" i="6"/>
  <c r="EF12" i="6"/>
  <c r="FI12" i="6"/>
  <c r="EA12" i="6"/>
  <c r="FD12" i="6"/>
  <c r="EM13" i="6"/>
  <c r="FP13" i="6"/>
  <c r="EL10" i="6"/>
  <c r="FO10" i="6"/>
  <c r="EM8" i="6"/>
  <c r="FP8" i="6"/>
  <c r="EN11" i="6"/>
  <c r="FQ11" i="6"/>
  <c r="EL14" i="6"/>
  <c r="FO14" i="6"/>
  <c r="EN9" i="6"/>
  <c r="FQ9" i="6"/>
  <c r="EM6" i="6"/>
  <c r="FP6" i="6"/>
  <c r="EZ15" i="6"/>
  <c r="EX15" i="6"/>
  <c r="EG9" i="6"/>
  <c r="FJ9" i="6"/>
  <c r="EB9" i="6"/>
  <c r="FE9" i="6"/>
  <c r="EH9" i="6"/>
  <c r="FK9" i="6"/>
  <c r="EG13" i="6"/>
  <c r="FJ13" i="6"/>
  <c r="EB13" i="6"/>
  <c r="FE13" i="6"/>
  <c r="EH13" i="6"/>
  <c r="FK13" i="6"/>
  <c r="EG10" i="6"/>
  <c r="FJ10" i="6"/>
  <c r="EB10" i="6"/>
  <c r="FE10" i="6"/>
  <c r="EH10" i="6"/>
  <c r="FK10" i="6"/>
  <c r="EG11" i="6"/>
  <c r="FJ11" i="6"/>
  <c r="EB11" i="6"/>
  <c r="FE11" i="6"/>
  <c r="EH11" i="6"/>
  <c r="FK11" i="6"/>
  <c r="EG8" i="6"/>
  <c r="FJ8" i="6"/>
  <c r="EB8" i="6"/>
  <c r="FE8" i="6"/>
  <c r="EH8" i="6"/>
  <c r="FK8" i="6"/>
  <c r="EG14" i="6"/>
  <c r="FJ14" i="6"/>
  <c r="EB14" i="6"/>
  <c r="FE14" i="6"/>
  <c r="EH14" i="6"/>
  <c r="FK14" i="6"/>
  <c r="EG7" i="6"/>
  <c r="FJ7" i="6"/>
  <c r="EB7" i="6"/>
  <c r="FE7" i="6"/>
  <c r="EH7" i="6"/>
  <c r="FK7" i="6"/>
  <c r="EG6" i="6"/>
  <c r="FJ6" i="6"/>
  <c r="EB6" i="6"/>
  <c r="FE6" i="6"/>
  <c r="EH6" i="6"/>
  <c r="FK6" i="6"/>
  <c r="EG12" i="6"/>
  <c r="FJ12" i="6"/>
  <c r="EB12" i="6"/>
  <c r="FE12" i="6"/>
  <c r="EH12" i="6"/>
  <c r="FK12" i="6"/>
  <c r="EL13" i="6"/>
  <c r="FO13" i="6"/>
  <c r="EM12" i="6"/>
  <c r="FP12" i="6"/>
  <c r="EL8" i="6"/>
  <c r="FO8" i="6"/>
  <c r="EM11" i="6"/>
  <c r="FP11" i="6"/>
  <c r="EL7" i="6"/>
  <c r="FO7" i="6"/>
  <c r="EM9" i="6"/>
  <c r="FP9" i="6"/>
  <c r="EL6" i="6"/>
  <c r="FO6" i="6"/>
  <c r="EU15" i="6"/>
  <c r="EC9" i="6"/>
  <c r="FF9" i="6"/>
  <c r="EI9" i="6"/>
  <c r="FL9" i="6"/>
  <c r="ED9" i="6"/>
  <c r="FG9" i="6"/>
  <c r="EC13" i="6"/>
  <c r="FF13" i="6"/>
  <c r="EI13" i="6"/>
  <c r="FL13" i="6"/>
  <c r="ED13" i="6"/>
  <c r="FG13" i="6"/>
  <c r="EC10" i="6"/>
  <c r="FF10" i="6"/>
  <c r="EI10" i="6"/>
  <c r="FL10" i="6"/>
  <c r="ED10" i="6"/>
  <c r="FG10" i="6"/>
  <c r="EC11" i="6"/>
  <c r="FF11" i="6"/>
  <c r="EI11" i="6"/>
  <c r="FL11" i="6"/>
  <c r="ED11" i="6"/>
  <c r="FG11" i="6"/>
  <c r="EC8" i="6"/>
  <c r="FF8" i="6"/>
  <c r="EI8" i="6"/>
  <c r="FL8" i="6"/>
  <c r="ED8" i="6"/>
  <c r="FG8" i="6"/>
  <c r="EC14" i="6"/>
  <c r="FF14" i="6"/>
  <c r="EI14" i="6"/>
  <c r="FL14" i="6"/>
  <c r="ED14" i="6"/>
  <c r="FG14" i="6"/>
  <c r="EC7" i="6"/>
  <c r="FF7" i="6"/>
  <c r="EI7" i="6"/>
  <c r="FL7" i="6"/>
  <c r="ED7" i="6"/>
  <c r="FG7" i="6"/>
  <c r="EC6" i="6"/>
  <c r="FF6" i="6"/>
  <c r="EI6" i="6"/>
  <c r="FL6" i="6"/>
  <c r="ED6" i="6"/>
  <c r="FG6" i="6"/>
  <c r="EC12" i="6"/>
  <c r="FF12" i="6"/>
  <c r="EI12" i="6"/>
  <c r="FL12" i="6"/>
  <c r="ED12" i="6"/>
  <c r="FG12" i="6"/>
  <c r="EN10" i="6"/>
  <c r="FQ10" i="6"/>
  <c r="EL12" i="6"/>
  <c r="FO12" i="6"/>
  <c r="EN8" i="6"/>
  <c r="FQ8" i="6"/>
  <c r="EN14" i="6"/>
  <c r="FQ14" i="6"/>
  <c r="EN7" i="6"/>
  <c r="FQ7" i="6"/>
  <c r="EL9" i="6"/>
  <c r="FO9" i="6"/>
  <c r="EY15" i="6"/>
  <c r="FR7" i="6"/>
  <c r="EV15" i="6"/>
  <c r="EJ9" i="6"/>
  <c r="FM9" i="6"/>
  <c r="EE9" i="6"/>
  <c r="FH9" i="6"/>
  <c r="DZ9" i="6"/>
  <c r="FC9" i="6"/>
  <c r="EJ13" i="6"/>
  <c r="FM13" i="6"/>
  <c r="EE13" i="6"/>
  <c r="FH13" i="6"/>
  <c r="DZ13" i="6"/>
  <c r="FC13" i="6"/>
  <c r="EJ10" i="6"/>
  <c r="FM10" i="6"/>
  <c r="EE10" i="6"/>
  <c r="FH10" i="6"/>
  <c r="DZ10" i="6"/>
  <c r="FC10" i="6"/>
  <c r="EJ11" i="6"/>
  <c r="FM11" i="6"/>
  <c r="EE11" i="6"/>
  <c r="FH11" i="6"/>
  <c r="DZ11" i="6"/>
  <c r="FC11" i="6"/>
  <c r="EJ8" i="6"/>
  <c r="FM8" i="6"/>
  <c r="EE8" i="6"/>
  <c r="FH8" i="6"/>
  <c r="DZ8" i="6"/>
  <c r="FC8" i="6"/>
  <c r="EJ14" i="6"/>
  <c r="FM14" i="6"/>
  <c r="EE14" i="6"/>
  <c r="FH14" i="6"/>
  <c r="DZ14" i="6"/>
  <c r="FC14" i="6"/>
  <c r="EJ7" i="6"/>
  <c r="FM7" i="6"/>
  <c r="EE7" i="6"/>
  <c r="FH7" i="6"/>
  <c r="DZ7" i="6"/>
  <c r="FC7" i="6"/>
  <c r="EJ6" i="6"/>
  <c r="FM6" i="6"/>
  <c r="EE6" i="6"/>
  <c r="FH6" i="6"/>
  <c r="DZ6" i="6"/>
  <c r="FC6" i="6"/>
  <c r="EJ12" i="6"/>
  <c r="FM12" i="6"/>
  <c r="EE12" i="6"/>
  <c r="FH12" i="6"/>
  <c r="DZ12" i="6"/>
  <c r="FC12" i="6"/>
  <c r="EN13" i="6"/>
  <c r="FQ13" i="6"/>
  <c r="EM10" i="6"/>
  <c r="FP10" i="6"/>
  <c r="EN12" i="6"/>
  <c r="FQ12" i="6"/>
  <c r="EL11" i="6"/>
  <c r="FO11" i="6"/>
  <c r="EM14" i="6"/>
  <c r="FP14" i="6"/>
  <c r="EM7" i="6"/>
  <c r="FP7" i="6"/>
  <c r="EN6" i="6"/>
  <c r="FQ6" i="6"/>
  <c r="ES15" i="6"/>
  <c r="EW15" i="6"/>
  <c r="EQ15" i="6"/>
  <c r="ER15" i="6"/>
  <c r="FD5" i="6"/>
  <c r="FM5" i="6"/>
  <c r="FK5" i="6"/>
  <c r="FI5" i="6"/>
  <c r="FG5" i="6"/>
  <c r="FF5" i="6"/>
  <c r="FN5" i="6"/>
  <c r="FL5" i="6"/>
  <c r="EN5" i="6"/>
  <c r="FQ5" i="6"/>
  <c r="FE5" i="6"/>
  <c r="FJ5" i="6"/>
  <c r="FH5" i="6"/>
  <c r="EM5" i="6"/>
  <c r="FP5" i="6"/>
  <c r="ES5" i="6"/>
  <c r="EZ5" i="6"/>
  <c r="FC5" i="6"/>
  <c r="EV5" i="6"/>
  <c r="EP15" i="6"/>
  <c r="EJ5" i="6"/>
  <c r="EH5" i="6"/>
  <c r="EC5" i="6"/>
  <c r="AU13" i="3"/>
  <c r="CQ8" i="6"/>
  <c r="EW8" i="6" s="1"/>
  <c r="DI5" i="6"/>
  <c r="CV15" i="6"/>
  <c r="DY15" i="6" s="1"/>
  <c r="BC5" i="6"/>
  <c r="CS8" i="6"/>
  <c r="EY8" i="6" s="1"/>
  <c r="CT8" i="6"/>
  <c r="EZ8" i="6" s="1"/>
  <c r="AJ13" i="3"/>
  <c r="DM15" i="6"/>
  <c r="AP15" i="6"/>
  <c r="AP8" i="6"/>
  <c r="AP11" i="6"/>
  <c r="AP14" i="6"/>
  <c r="AP6" i="6"/>
  <c r="AP12" i="6"/>
  <c r="AP9" i="6"/>
  <c r="AP13" i="6"/>
  <c r="AP10" i="6"/>
  <c r="AP7" i="6"/>
  <c r="AP5" i="6"/>
  <c r="CO7" i="6"/>
  <c r="DR7" i="6" s="1"/>
  <c r="BN13" i="3"/>
  <c r="BW13" i="3"/>
  <c r="DN15" i="6"/>
  <c r="DW15" i="6"/>
  <c r="DO15" i="6"/>
  <c r="CU13" i="6"/>
  <c r="FA13" i="6" s="1"/>
  <c r="BM13" i="3"/>
  <c r="CJ5" i="6"/>
  <c r="EO5" i="6" s="1"/>
  <c r="CJ7" i="6"/>
  <c r="EO7" i="6" s="1"/>
  <c r="CJ13" i="6"/>
  <c r="EO13" i="6" s="1"/>
  <c r="CP7" i="6"/>
  <c r="DS7" i="6" s="1"/>
  <c r="BY7" i="3"/>
  <c r="O5" i="9"/>
  <c r="BY18" i="3"/>
  <c r="O7" i="9"/>
  <c r="BU7" i="9" s="1"/>
  <c r="BY5" i="3"/>
  <c r="O6" i="9"/>
  <c r="BU6" i="9" s="1"/>
  <c r="BY6" i="3"/>
  <c r="O8" i="9"/>
  <c r="BU8" i="9" s="1"/>
  <c r="BS6" i="6"/>
  <c r="CU6" i="6"/>
  <c r="CK6" i="6"/>
  <c r="DN6" i="6" s="1"/>
  <c r="CO6" i="6"/>
  <c r="DR6" i="6" s="1"/>
  <c r="CN6" i="6"/>
  <c r="DQ6" i="6" s="1"/>
  <c r="CM6" i="6"/>
  <c r="DP6" i="6" s="1"/>
  <c r="CR6" i="6"/>
  <c r="DU6" i="6" s="1"/>
  <c r="CL6" i="6"/>
  <c r="DO6" i="6" s="1"/>
  <c r="CP6" i="6"/>
  <c r="DS6" i="6" s="1"/>
  <c r="CS6" i="6"/>
  <c r="DV6" i="6" s="1"/>
  <c r="CJ6" i="6"/>
  <c r="EO6" i="6" s="1"/>
  <c r="CJ8" i="6"/>
  <c r="EO8" i="6" s="1"/>
  <c r="CJ12" i="6"/>
  <c r="EO12" i="6" s="1"/>
  <c r="CU12" i="6"/>
  <c r="FA12" i="6" s="1"/>
  <c r="CK12" i="6"/>
  <c r="DN12" i="6" s="1"/>
  <c r="CR13" i="6"/>
  <c r="DU13" i="6" s="1"/>
  <c r="CM8" i="6"/>
  <c r="DP8" i="6" s="1"/>
  <c r="CK8" i="6"/>
  <c r="DN8" i="6" s="1"/>
  <c r="CN12" i="6"/>
  <c r="DQ12" i="6" s="1"/>
  <c r="CL12" i="6"/>
  <c r="ER12" i="6" s="1"/>
  <c r="CT12" i="6"/>
  <c r="DW12" i="6" s="1"/>
  <c r="CO8" i="6"/>
  <c r="DR8" i="6" s="1"/>
  <c r="CM12" i="6"/>
  <c r="DP12" i="6" s="1"/>
  <c r="CP12" i="6"/>
  <c r="DS12" i="6" s="1"/>
  <c r="CR12" i="6"/>
  <c r="DU12" i="6" s="1"/>
  <c r="CM13" i="6"/>
  <c r="DP13" i="6" s="1"/>
  <c r="CK13" i="6"/>
  <c r="DN13" i="6" s="1"/>
  <c r="CS13" i="6"/>
  <c r="DV13" i="6" s="1"/>
  <c r="CR8" i="6"/>
  <c r="DU8" i="6" s="1"/>
  <c r="CN8" i="6"/>
  <c r="DQ8" i="6" s="1"/>
  <c r="CP8" i="6"/>
  <c r="DS8" i="6" s="1"/>
  <c r="CS12" i="6"/>
  <c r="DV12" i="6" s="1"/>
  <c r="CQ12" i="6"/>
  <c r="DT12" i="6" s="1"/>
  <c r="CQ13" i="6"/>
  <c r="DT13" i="6" s="1"/>
  <c r="CL13" i="6"/>
  <c r="DO13" i="6" s="1"/>
  <c r="CN13" i="6"/>
  <c r="DQ13" i="6" s="1"/>
  <c r="CU8" i="6"/>
  <c r="FA8" i="6" s="1"/>
  <c r="CL8" i="6"/>
  <c r="DO8" i="6" s="1"/>
  <c r="DW7" i="6"/>
  <c r="CL7" i="6"/>
  <c r="DO7" i="6" s="1"/>
  <c r="CR7" i="6"/>
  <c r="DU7" i="6" s="1"/>
  <c r="BS12" i="6"/>
  <c r="CQ6" i="6"/>
  <c r="DT6" i="6" s="1"/>
  <c r="CT13" i="6"/>
  <c r="DW13" i="6" s="1"/>
  <c r="CO12" i="6"/>
  <c r="DR12" i="6" s="1"/>
  <c r="CQ7" i="6"/>
  <c r="DT7" i="6" s="1"/>
  <c r="CQ14" i="6"/>
  <c r="DT14" i="6" s="1"/>
  <c r="CN14" i="6"/>
  <c r="DQ14" i="6" s="1"/>
  <c r="CO13" i="6"/>
  <c r="DR13" i="6" s="1"/>
  <c r="DW8" i="6"/>
  <c r="CO14" i="6"/>
  <c r="DR14" i="6" s="1"/>
  <c r="CL14" i="6"/>
  <c r="DO14" i="6" s="1"/>
  <c r="CM14" i="6"/>
  <c r="DP14" i="6" s="1"/>
  <c r="BS13" i="6"/>
  <c r="CP13" i="6"/>
  <c r="DS13" i="6" s="1"/>
  <c r="CK14" i="6"/>
  <c r="DN14" i="6" s="1"/>
  <c r="CS14" i="6"/>
  <c r="DV14" i="6" s="1"/>
  <c r="CU14" i="6"/>
  <c r="FA14" i="6" s="1"/>
  <c r="CJ14" i="6"/>
  <c r="EO14" i="6" s="1"/>
  <c r="CS7" i="6"/>
  <c r="DV7" i="6" s="1"/>
  <c r="CP14" i="6"/>
  <c r="DS14" i="6" s="1"/>
  <c r="CR14" i="6"/>
  <c r="DU14" i="6" s="1"/>
  <c r="BS14" i="6"/>
  <c r="CT14" i="6"/>
  <c r="DW14" i="6" s="1"/>
  <c r="BS8" i="6"/>
  <c r="DN5" i="6"/>
  <c r="DP5" i="6"/>
  <c r="DQ5" i="6"/>
  <c r="DV5" i="6"/>
  <c r="DU5" i="6"/>
  <c r="CK7" i="6"/>
  <c r="DN7" i="6" s="1"/>
  <c r="CU7" i="6"/>
  <c r="FA7" i="6" s="1"/>
  <c r="CN7" i="6"/>
  <c r="DQ7" i="6" s="1"/>
  <c r="CM7" i="6"/>
  <c r="DP7" i="6" s="1"/>
  <c r="CL10" i="6"/>
  <c r="DO10" i="6" s="1"/>
  <c r="CK10" i="6"/>
  <c r="DN10" i="6" s="1"/>
  <c r="CJ10" i="6"/>
  <c r="EO10" i="6" s="1"/>
  <c r="CT11" i="6"/>
  <c r="DW11" i="6" s="1"/>
  <c r="CS11" i="6"/>
  <c r="DV11" i="6" s="1"/>
  <c r="CJ11" i="6"/>
  <c r="EO11" i="6" s="1"/>
  <c r="CL9" i="6"/>
  <c r="DO9" i="6" s="1"/>
  <c r="CK9" i="6"/>
  <c r="DN9" i="6" s="1"/>
  <c r="CU9" i="6"/>
  <c r="FA9" i="6" s="1"/>
  <c r="CT10" i="6"/>
  <c r="DW10" i="6" s="1"/>
  <c r="CP10" i="6"/>
  <c r="DS10" i="6" s="1"/>
  <c r="CU10" i="6"/>
  <c r="FA10" i="6" s="1"/>
  <c r="CO11" i="6"/>
  <c r="DR11" i="6" s="1"/>
  <c r="CK11" i="6"/>
  <c r="EQ11" i="6" s="1"/>
  <c r="CM11" i="6"/>
  <c r="DP11" i="6" s="1"/>
  <c r="CT6" i="6"/>
  <c r="EZ6" i="6" s="1"/>
  <c r="CT9" i="6"/>
  <c r="DW9" i="6" s="1"/>
  <c r="CR9" i="6"/>
  <c r="DU9" i="6" s="1"/>
  <c r="CQ9" i="6"/>
  <c r="DT9" i="6" s="1"/>
  <c r="CS10" i="6"/>
  <c r="DV10" i="6" s="1"/>
  <c r="CR10" i="6"/>
  <c r="DU10" i="6" s="1"/>
  <c r="CQ10" i="6"/>
  <c r="DT10" i="6" s="1"/>
  <c r="CU11" i="6"/>
  <c r="FA11" i="6" s="1"/>
  <c r="CQ11" i="6"/>
  <c r="DT11" i="6" s="1"/>
  <c r="CR11" i="6"/>
  <c r="DU11" i="6" s="1"/>
  <c r="CS9" i="6"/>
  <c r="DV9" i="6" s="1"/>
  <c r="CN9" i="6"/>
  <c r="DQ9" i="6" s="1"/>
  <c r="CM9" i="6"/>
  <c r="DP9" i="6" s="1"/>
  <c r="CO10" i="6"/>
  <c r="DR10" i="6" s="1"/>
  <c r="CN10" i="6"/>
  <c r="DQ10" i="6" s="1"/>
  <c r="CM10" i="6"/>
  <c r="DP10" i="6" s="1"/>
  <c r="CL11" i="6"/>
  <c r="DO11" i="6" s="1"/>
  <c r="CP11" i="6"/>
  <c r="DS11" i="6" s="1"/>
  <c r="CN11" i="6"/>
  <c r="DQ11" i="6" s="1"/>
  <c r="DM12" i="6"/>
  <c r="CP9" i="6"/>
  <c r="DS9" i="6" s="1"/>
  <c r="CO9" i="6"/>
  <c r="DR9" i="6" s="1"/>
  <c r="CJ9" i="6"/>
  <c r="EO9" i="6" s="1"/>
  <c r="DW5" i="6"/>
  <c r="CL5" i="6"/>
  <c r="ER5" i="6" s="1"/>
  <c r="DT5" i="6"/>
  <c r="DX5" i="6"/>
  <c r="DR5" i="6"/>
  <c r="DS5" i="6"/>
  <c r="BS5" i="6"/>
  <c r="BS11" i="6"/>
  <c r="BS10" i="6"/>
  <c r="BS9" i="6"/>
  <c r="BS7" i="6"/>
  <c r="DM7" i="6" l="1"/>
  <c r="DT8" i="6"/>
  <c r="DV8" i="6"/>
  <c r="CF10" i="3"/>
  <c r="EI7" i="2"/>
  <c r="FL7" i="2" s="1"/>
  <c r="CE10" i="3"/>
  <c r="EH7" i="2"/>
  <c r="FK7" i="2" s="1"/>
  <c r="CI10" i="3"/>
  <c r="EL7" i="2"/>
  <c r="FO7" i="2" s="1"/>
  <c r="CD10" i="3"/>
  <c r="EG7" i="2"/>
  <c r="FJ7" i="2" s="1"/>
  <c r="CB10" i="3"/>
  <c r="EE7" i="2"/>
  <c r="FH7" i="2" s="1"/>
  <c r="CG10" i="3"/>
  <c r="EJ7" i="2"/>
  <c r="FM7" i="2" s="1"/>
  <c r="CA10" i="3"/>
  <c r="ED7" i="2"/>
  <c r="FG7" i="2" s="1"/>
  <c r="BZ10" i="3"/>
  <c r="EC7" i="2"/>
  <c r="FF7" i="2" s="1"/>
  <c r="EL5" i="6"/>
  <c r="BI10" i="3"/>
  <c r="BE5" i="9" s="1"/>
  <c r="CH5" i="9" s="1"/>
  <c r="FA6" i="6"/>
  <c r="EY6" i="6"/>
  <c r="EU14" i="6"/>
  <c r="EV11" i="6"/>
  <c r="EQ9" i="6"/>
  <c r="EY7" i="6"/>
  <c r="EV8" i="6"/>
  <c r="EU12" i="6"/>
  <c r="EX14" i="6"/>
  <c r="ET10" i="6"/>
  <c r="FB15" i="6"/>
  <c r="EU8" i="6"/>
  <c r="EX13" i="6"/>
  <c r="EU6" i="6"/>
  <c r="EX7" i="6"/>
  <c r="EY11" i="6"/>
  <c r="EW10" i="6"/>
  <c r="ER6" i="6"/>
  <c r="EY14" i="6"/>
  <c r="ER11" i="6"/>
  <c r="EQ8" i="6"/>
  <c r="ER14" i="6"/>
  <c r="ES6" i="6"/>
  <c r="ES8" i="6"/>
  <c r="EV9" i="6"/>
  <c r="EZ11" i="6"/>
  <c r="EW6" i="6"/>
  <c r="EZ12" i="6"/>
  <c r="ET7" i="6"/>
  <c r="EY10" i="6"/>
  <c r="EQ6" i="6"/>
  <c r="ER8" i="6"/>
  <c r="EQ12" i="6"/>
  <c r="ET14" i="6"/>
  <c r="ER7" i="6"/>
  <c r="ES11" i="6"/>
  <c r="ET9" i="6"/>
  <c r="EV14" i="6"/>
  <c r="EV10" i="6"/>
  <c r="EZ13" i="6"/>
  <c r="EV7" i="6"/>
  <c r="EQ10" i="6"/>
  <c r="EX6" i="6"/>
  <c r="EY13" i="6"/>
  <c r="EW12" i="6"/>
  <c r="EU7" i="6"/>
  <c r="EU10" i="6"/>
  <c r="ES10" i="6"/>
  <c r="ET6" i="6"/>
  <c r="ES13" i="6"/>
  <c r="EY12" i="6"/>
  <c r="ES7" i="6"/>
  <c r="EZ9" i="6"/>
  <c r="EW13" i="6"/>
  <c r="EV12" i="6"/>
  <c r="EZ14" i="6"/>
  <c r="EW7" i="6"/>
  <c r="EX10" i="6"/>
  <c r="EY9" i="6"/>
  <c r="EQ13" i="6"/>
  <c r="EQ7" i="6"/>
  <c r="EX9" i="6"/>
  <c r="EV6" i="6"/>
  <c r="ET13" i="6"/>
  <c r="EX11" i="6"/>
  <c r="ET8" i="6"/>
  <c r="EU13" i="6"/>
  <c r="EQ14" i="6"/>
  <c r="EZ10" i="6"/>
  <c r="EW14" i="6"/>
  <c r="EU9" i="6"/>
  <c r="ER13" i="6"/>
  <c r="EU11" i="6"/>
  <c r="EV13" i="6"/>
  <c r="ET12" i="6"/>
  <c r="ES14" i="6"/>
  <c r="ET11" i="6"/>
  <c r="ER10" i="6"/>
  <c r="ES9" i="6"/>
  <c r="EX12" i="6"/>
  <c r="EW9" i="6"/>
  <c r="EX8" i="6"/>
  <c r="ES12" i="6"/>
  <c r="EW11" i="6"/>
  <c r="ER9" i="6"/>
  <c r="FO5" i="6"/>
  <c r="EP5" i="6"/>
  <c r="EP7" i="6"/>
  <c r="EP9" i="6"/>
  <c r="EP10" i="6"/>
  <c r="EP6" i="6"/>
  <c r="EP12" i="6"/>
  <c r="EP14" i="6"/>
  <c r="EP8" i="6"/>
  <c r="EP13" i="6"/>
  <c r="EP11" i="6"/>
  <c r="DX7" i="6"/>
  <c r="DX14" i="6"/>
  <c r="DX12" i="6"/>
  <c r="DX6" i="6"/>
  <c r="DX9" i="6"/>
  <c r="DX8" i="6"/>
  <c r="DX10" i="6"/>
  <c r="EA6" i="2"/>
  <c r="FD6" i="2" s="1"/>
  <c r="BX13" i="3"/>
  <c r="DX11" i="6"/>
  <c r="DX13" i="6"/>
  <c r="CV7" i="6"/>
  <c r="DY7" i="6" s="1"/>
  <c r="DM10" i="6"/>
  <c r="CV10" i="6"/>
  <c r="DY10" i="6" s="1"/>
  <c r="CV12" i="6"/>
  <c r="DY12" i="6" s="1"/>
  <c r="CV9" i="6"/>
  <c r="FB9" i="6" s="1"/>
  <c r="DM11" i="6"/>
  <c r="CV11" i="6"/>
  <c r="FB11" i="6" s="1"/>
  <c r="DM14" i="6"/>
  <c r="CV14" i="6"/>
  <c r="DY14" i="6" s="1"/>
  <c r="DM8" i="6"/>
  <c r="CV8" i="6"/>
  <c r="DY8" i="6" s="1"/>
  <c r="DM6" i="6"/>
  <c r="CV6" i="6"/>
  <c r="FB6" i="6" s="1"/>
  <c r="DM13" i="6"/>
  <c r="CV13" i="6"/>
  <c r="DY13" i="6" s="1"/>
  <c r="DM5" i="6"/>
  <c r="CV5" i="6"/>
  <c r="DY5" i="6" s="1"/>
  <c r="AV13" i="3"/>
  <c r="DP6" i="2"/>
  <c r="ES6" i="2" s="1"/>
  <c r="AK10" i="3"/>
  <c r="BN10" i="3" s="1"/>
  <c r="DO12" i="6"/>
  <c r="DN11" i="6"/>
  <c r="DO5" i="6"/>
  <c r="AL10" i="3"/>
  <c r="AS11" i="3"/>
  <c r="BV11" i="3" s="1"/>
  <c r="AU11" i="3"/>
  <c r="BX11" i="3" s="1"/>
  <c r="AP11" i="3"/>
  <c r="BS11" i="3" s="1"/>
  <c r="AS10" i="3"/>
  <c r="AN10" i="3"/>
  <c r="AO11" i="3"/>
  <c r="BR11" i="3" s="1"/>
  <c r="AM10" i="3"/>
  <c r="AT10" i="3"/>
  <c r="AM11" i="3"/>
  <c r="BP11" i="3" s="1"/>
  <c r="AR10" i="3"/>
  <c r="AK11" i="3"/>
  <c r="BN11" i="3" s="1"/>
  <c r="AO10" i="3"/>
  <c r="AQ11" i="3"/>
  <c r="BT11" i="3" s="1"/>
  <c r="AQ10" i="3"/>
  <c r="AR11" i="3"/>
  <c r="BU11" i="3" s="1"/>
  <c r="AL11" i="3"/>
  <c r="BO11" i="3" s="1"/>
  <c r="DW6" i="6"/>
  <c r="AT11" i="3"/>
  <c r="BW11" i="3" s="1"/>
  <c r="AU10" i="3"/>
  <c r="AN11" i="3"/>
  <c r="BQ11" i="3" s="1"/>
  <c r="AP10" i="3"/>
  <c r="AJ10" i="3"/>
  <c r="AJ11" i="3"/>
  <c r="DM9" i="6"/>
  <c r="DY9" i="6" l="1"/>
  <c r="CL10" i="3"/>
  <c r="EO7" i="2"/>
  <c r="FR7" i="2" s="1"/>
  <c r="DY11" i="6"/>
  <c r="DY6" i="6"/>
  <c r="FB13" i="6"/>
  <c r="FB14" i="6"/>
  <c r="FB8" i="6"/>
  <c r="FB10" i="6"/>
  <c r="FB12" i="6"/>
  <c r="FB7" i="6"/>
  <c r="FB5" i="6"/>
  <c r="BY13" i="3"/>
  <c r="EB6" i="2"/>
  <c r="FE6" i="2" s="1"/>
  <c r="AK5" i="9"/>
  <c r="BN5" i="9" s="1"/>
  <c r="AQ5" i="9"/>
  <c r="AL5" i="9"/>
  <c r="BO5" i="9" s="1"/>
  <c r="AO5" i="9"/>
  <c r="BR5" i="9" s="1"/>
  <c r="AF5" i="9"/>
  <c r="BI5" i="9" s="1"/>
  <c r="AM5" i="9"/>
  <c r="BP5" i="9" s="1"/>
  <c r="AN5" i="9"/>
  <c r="BQ5" i="9" s="1"/>
  <c r="AJ5" i="9"/>
  <c r="BM5" i="9" s="1"/>
  <c r="AP5" i="9"/>
  <c r="BS5" i="9" s="1"/>
  <c r="AH5" i="9"/>
  <c r="BK5" i="9" s="1"/>
  <c r="AI5" i="9"/>
  <c r="BL5" i="9" s="1"/>
  <c r="AG5" i="9"/>
  <c r="BJ5" i="9" s="1"/>
  <c r="DP7" i="2"/>
  <c r="BS10" i="3"/>
  <c r="DV7" i="2"/>
  <c r="BQ10" i="3"/>
  <c r="DT7" i="2"/>
  <c r="BR10" i="3"/>
  <c r="DU7" i="2"/>
  <c r="BW10" i="3"/>
  <c r="DZ7" i="2"/>
  <c r="BV10" i="3"/>
  <c r="DY7" i="2"/>
  <c r="BO10" i="3"/>
  <c r="DR7" i="2"/>
  <c r="BX10" i="3"/>
  <c r="EA7" i="2"/>
  <c r="BP10" i="3"/>
  <c r="DS7" i="2"/>
  <c r="DQ7" i="2"/>
  <c r="BT10" i="3"/>
  <c r="DW7" i="2"/>
  <c r="BU10" i="3"/>
  <c r="DX7" i="2"/>
  <c r="BM10" i="3"/>
  <c r="AV10" i="3"/>
  <c r="BM11" i="3"/>
  <c r="AV11" i="3"/>
  <c r="BY11" i="3" s="1"/>
  <c r="BT5" i="9" l="1"/>
  <c r="FD7" i="2"/>
  <c r="EU7" i="2"/>
  <c r="EW7" i="2"/>
  <c r="EZ7" i="2"/>
  <c r="EX7" i="2"/>
  <c r="EY7" i="2"/>
  <c r="FB7" i="2"/>
  <c r="FA7" i="2"/>
  <c r="ET7" i="2"/>
  <c r="EV7" i="2"/>
  <c r="FC7" i="2"/>
  <c r="ES7" i="2"/>
  <c r="AR5" i="9"/>
  <c r="BY10" i="3"/>
  <c r="EB7" i="2"/>
  <c r="FE7" i="2" s="1"/>
  <c r="BU5" i="9" l="1"/>
</calcChain>
</file>

<file path=xl/comments1.xml><?xml version="1.0" encoding="utf-8"?>
<comments xmlns="http://schemas.openxmlformats.org/spreadsheetml/2006/main">
  <authors>
    <author>Morey, Scott</author>
  </authors>
  <commentList>
    <comment ref="I2" authorId="0">
      <text>
        <r>
          <rPr>
            <sz val="9"/>
            <color indexed="81"/>
            <rFont val="Tahoma"/>
            <family val="2"/>
          </rPr>
          <t xml:space="preserve">If a part volume is 100/month with EOP after 6 months, annualized volume is still 1200 - </t>
        </r>
        <r>
          <rPr>
            <b/>
            <sz val="9"/>
            <color indexed="81"/>
            <rFont val="Tahoma"/>
            <family val="2"/>
          </rPr>
          <t>NOT 600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R2" authorId="0">
      <text>
        <r>
          <rPr>
            <b/>
            <sz val="9"/>
            <color indexed="81"/>
            <rFont val="Tahoma"/>
            <family val="2"/>
          </rPr>
          <t xml:space="preserve">Parts Available:
</t>
        </r>
        <r>
          <rPr>
            <sz val="9"/>
            <color indexed="81"/>
            <rFont val="Tahoma"/>
            <family val="2"/>
          </rPr>
          <t xml:space="preserve">How many more of THIS part could the press support if NO NEW VOLUME is added to any other parts on this press
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PdVol = (AnnVol/AnnDaysAvail) * PdDaysAvail
          = DailyDemand * PdDaysAvail</t>
        </r>
      </text>
    </comment>
  </commentList>
</comments>
</file>

<file path=xl/sharedStrings.xml><?xml version="1.0" encoding="utf-8"?>
<sst xmlns="http://schemas.openxmlformats.org/spreadsheetml/2006/main" count="830" uniqueCount="476">
  <si>
    <t>PRESS</t>
  </si>
  <si>
    <t>OEE%</t>
  </si>
  <si>
    <t>Tonnage</t>
  </si>
  <si>
    <t>PressHrsAvail</t>
  </si>
  <si>
    <t>OperHrsPerDay</t>
  </si>
  <si>
    <t>= PartHrsUsed / PressHrsAvail</t>
  </si>
  <si>
    <t>PressUtilization</t>
  </si>
  <si>
    <t>Part Percent of Press Util</t>
  </si>
  <si>
    <t>Plainfield</t>
  </si>
  <si>
    <t>Bond</t>
  </si>
  <si>
    <t>Alpine</t>
  </si>
  <si>
    <t>Trenton</t>
  </si>
  <si>
    <t>Richmond</t>
  </si>
  <si>
    <t>ha2015.02</t>
  </si>
  <si>
    <t>ha2015.01</t>
  </si>
  <si>
    <t>ha2015.03</t>
  </si>
  <si>
    <t>2015.01</t>
  </si>
  <si>
    <t>2015.02</t>
  </si>
  <si>
    <t>2015.03</t>
  </si>
  <si>
    <t>Year1</t>
  </si>
  <si>
    <t>Year2</t>
  </si>
  <si>
    <t>Year3</t>
  </si>
  <si>
    <t>Year4</t>
  </si>
  <si>
    <t>Year5</t>
  </si>
  <si>
    <t>Variables</t>
  </si>
  <si>
    <t>Name</t>
  </si>
  <si>
    <t>Range Name</t>
  </si>
  <si>
    <t>Value</t>
  </si>
  <si>
    <t>Tonnage Range Bucket Size</t>
  </si>
  <si>
    <t>r_TRBS</t>
  </si>
  <si>
    <t>PressOEE</t>
  </si>
  <si>
    <t>Days Off</t>
  </si>
  <si>
    <t>Period Business Days</t>
  </si>
  <si>
    <t>Period Days Off</t>
  </si>
  <si>
    <t>Period DaysAvailable</t>
  </si>
  <si>
    <t>Period Hrs Avail</t>
  </si>
  <si>
    <t>PARTS</t>
  </si>
  <si>
    <t>Press</t>
  </si>
  <si>
    <t>Plant</t>
  </si>
  <si>
    <t>T Range</t>
  </si>
  <si>
    <t>pv2015.01</t>
  </si>
  <si>
    <t>pv2015.02</t>
  </si>
  <si>
    <t>pv2015.03</t>
  </si>
  <si>
    <t>ha2015.04</t>
  </si>
  <si>
    <t>ha2015.05</t>
  </si>
  <si>
    <t>ha2015.06</t>
  </si>
  <si>
    <t>ha2015.07</t>
  </si>
  <si>
    <t>ha2015.08</t>
  </si>
  <si>
    <t>ha2015.09</t>
  </si>
  <si>
    <t>ha2015.10</t>
  </si>
  <si>
    <t>ha2015.11</t>
  </si>
  <si>
    <t>ha2015.12</t>
  </si>
  <si>
    <t>ha2015.FY</t>
  </si>
  <si>
    <t>Days Avail</t>
  </si>
  <si>
    <t>Hrs Avail</t>
  </si>
  <si>
    <t>PRESS Hrs Avail (from Plant)</t>
  </si>
  <si>
    <t>PartOEE</t>
  </si>
  <si>
    <t>PlantOEE</t>
  </si>
  <si>
    <t>pv2015.04</t>
  </si>
  <si>
    <t>pv2015.05</t>
  </si>
  <si>
    <t>pv2015.06</t>
  </si>
  <si>
    <t>pv2015.07</t>
  </si>
  <si>
    <t>pv2015.08</t>
  </si>
  <si>
    <t>pv2015.09</t>
  </si>
  <si>
    <t>pv2015.10</t>
  </si>
  <si>
    <t>pv2015.11</t>
  </si>
  <si>
    <t>pv2015.12</t>
  </si>
  <si>
    <t>pv2015.FY</t>
  </si>
  <si>
    <t>PART Hours Planned</t>
  </si>
  <si>
    <t>hp2015.01</t>
  </si>
  <si>
    <t>hp2015.02</t>
  </si>
  <si>
    <t>hp2015.03</t>
  </si>
  <si>
    <t>hp2015.04</t>
  </si>
  <si>
    <t>hp2015.05</t>
  </si>
  <si>
    <t>hp2015.06</t>
  </si>
  <si>
    <t>hp2015.07</t>
  </si>
  <si>
    <t>hp2015.08</t>
  </si>
  <si>
    <t>hp2015.09</t>
  </si>
  <si>
    <t>hp2015.10</t>
  </si>
  <si>
    <t>hp2015.11</t>
  </si>
  <si>
    <t>hp2015.12</t>
  </si>
  <si>
    <t>hp2015.FY</t>
  </si>
  <si>
    <t>2015.FY</t>
  </si>
  <si>
    <t>2017</t>
  </si>
  <si>
    <t>2018</t>
  </si>
  <si>
    <t>2019</t>
  </si>
  <si>
    <t>2015.04</t>
  </si>
  <si>
    <t>2015.05</t>
  </si>
  <si>
    <t>2015.06</t>
  </si>
  <si>
    <t>2015.07</t>
  </si>
  <si>
    <t>2015.08</t>
  </si>
  <si>
    <t>2015.09</t>
  </si>
  <si>
    <t>2015.1</t>
  </si>
  <si>
    <t>2015.11</t>
  </si>
  <si>
    <t>2015.12</t>
  </si>
  <si>
    <t>UseOEE</t>
  </si>
  <si>
    <t>SOP</t>
  </si>
  <si>
    <t>EOP</t>
  </si>
  <si>
    <t>Plant Utilization</t>
  </si>
  <si>
    <t>2015.10</t>
  </si>
  <si>
    <t>Hrs Planned</t>
  </si>
  <si>
    <t>Period Hours Planned (totals for this plant)</t>
  </si>
  <si>
    <t>Annualized Volume</t>
  </si>
  <si>
    <t>Press Util</t>
  </si>
  <si>
    <t>CyclesPerHr</t>
  </si>
  <si>
    <t>SetupHrs</t>
  </si>
  <si>
    <t>SetupsPerMo</t>
  </si>
  <si>
    <t>UnitsPerCycle</t>
  </si>
  <si>
    <t>NetPPH</t>
  </si>
  <si>
    <t>SetupHrsPerMo</t>
  </si>
  <si>
    <t>ActTonnage</t>
  </si>
  <si>
    <t>FeedHt</t>
  </si>
  <si>
    <t>SteelPN</t>
  </si>
  <si>
    <t>BlankWt</t>
  </si>
  <si>
    <t>Routing</t>
  </si>
  <si>
    <t>SS</t>
  </si>
  <si>
    <t>SOS</t>
  </si>
  <si>
    <t>SMOS</t>
  </si>
  <si>
    <t>DieFB</t>
  </si>
  <si>
    <t>DieLR</t>
  </si>
  <si>
    <t>DieShutHt</t>
  </si>
  <si>
    <t>Part/</t>
  </si>
  <si>
    <t>Period Volume</t>
  </si>
  <si>
    <t>Production</t>
  </si>
  <si>
    <t>Pd Volume</t>
  </si>
  <si>
    <t>Type</t>
  </si>
  <si>
    <t>Prog</t>
  </si>
  <si>
    <t>Transfer</t>
  </si>
  <si>
    <t>PR 001</t>
  </si>
  <si>
    <t>PR 002</t>
  </si>
  <si>
    <t>PR 003</t>
  </si>
  <si>
    <t>PR 004</t>
  </si>
  <si>
    <t>PR 005</t>
  </si>
  <si>
    <t>PR 008</t>
  </si>
  <si>
    <t>PR 009</t>
  </si>
  <si>
    <t>PR 010</t>
  </si>
  <si>
    <t>PR 011</t>
  </si>
  <si>
    <t>PR 013</t>
  </si>
  <si>
    <t>PR 014</t>
  </si>
  <si>
    <t>PR 015</t>
  </si>
  <si>
    <t>PR 016</t>
  </si>
  <si>
    <t>PR 017</t>
  </si>
  <si>
    <t>PR 018</t>
  </si>
  <si>
    <t>PR 019</t>
  </si>
  <si>
    <t>PR 020</t>
  </si>
  <si>
    <t>PR 021</t>
  </si>
  <si>
    <t>PR 301</t>
  </si>
  <si>
    <t>PR 302</t>
  </si>
  <si>
    <t>PR 303</t>
  </si>
  <si>
    <t>PR 304</t>
  </si>
  <si>
    <t>PR 305</t>
  </si>
  <si>
    <t>PR 318</t>
  </si>
  <si>
    <t>PR 319</t>
  </si>
  <si>
    <t>PR 325</t>
  </si>
  <si>
    <t>PR 327</t>
  </si>
  <si>
    <t>PR 328</t>
  </si>
  <si>
    <t>PR 329</t>
  </si>
  <si>
    <t>PR 330</t>
  </si>
  <si>
    <t>PR 331</t>
  </si>
  <si>
    <t>PR 332</t>
  </si>
  <si>
    <t>TR200</t>
  </si>
  <si>
    <t>TR300</t>
  </si>
  <si>
    <t>TR400</t>
  </si>
  <si>
    <t>TR600M</t>
  </si>
  <si>
    <t>TR600P</t>
  </si>
  <si>
    <t>Bucket Size</t>
  </si>
  <si>
    <t>29161</t>
  </si>
  <si>
    <t>29162</t>
  </si>
  <si>
    <t>29181</t>
  </si>
  <si>
    <t>29201</t>
  </si>
  <si>
    <t>29163</t>
  </si>
  <si>
    <t>37960</t>
  </si>
  <si>
    <t>29191 L/R</t>
  </si>
  <si>
    <t>29165 L/R</t>
  </si>
  <si>
    <t>37103</t>
  </si>
  <si>
    <t>Press Util%</t>
  </si>
  <si>
    <t>Hrs Used</t>
  </si>
  <si>
    <t>PRESSES</t>
  </si>
  <si>
    <t>PLANTS</t>
  </si>
  <si>
    <t>Bond Sample Part</t>
  </si>
  <si>
    <t>Utilization Green Above</t>
  </si>
  <si>
    <t>Utilization Orange Above</t>
  </si>
  <si>
    <t>Utilization Red Above</t>
  </si>
  <si>
    <t>Group</t>
  </si>
  <si>
    <t>Tonnage Range</t>
  </si>
  <si>
    <t>TONNAGE RANGES</t>
  </si>
  <si>
    <t>Total Hours Available</t>
  </si>
  <si>
    <t>Hours Planned</t>
  </si>
  <si>
    <t>Tonnage Range Utilization</t>
  </si>
  <si>
    <t>Tonnage Util%</t>
  </si>
  <si>
    <t>Press Hrs Planned</t>
  </si>
  <si>
    <t>Die Info</t>
  </si>
  <si>
    <t>pv2016.01</t>
  </si>
  <si>
    <t>pv2016.02</t>
  </si>
  <si>
    <t>pv2016.03</t>
  </si>
  <si>
    <t>pv2016.04</t>
  </si>
  <si>
    <t>pv2016.05</t>
  </si>
  <si>
    <t>pv2016.06</t>
  </si>
  <si>
    <t>pv2016.07</t>
  </si>
  <si>
    <t>pv2016.08</t>
  </si>
  <si>
    <t>pv2016.09</t>
  </si>
  <si>
    <t>pv2016.10</t>
  </si>
  <si>
    <t>pv2016.11</t>
  </si>
  <si>
    <t>pv2016.12</t>
  </si>
  <si>
    <t>pv2016.FY</t>
  </si>
  <si>
    <t>pv2017</t>
  </si>
  <si>
    <t>pv2018</t>
  </si>
  <si>
    <t>pv2019</t>
  </si>
  <si>
    <t>d2015.01</t>
  </si>
  <si>
    <t>d2015.02</t>
  </si>
  <si>
    <t>d2015.03</t>
  </si>
  <si>
    <t>d2015.04</t>
  </si>
  <si>
    <t>d2015.05</t>
  </si>
  <si>
    <t>d2015.06</t>
  </si>
  <si>
    <t>d2015.07</t>
  </si>
  <si>
    <t>d2015.08</t>
  </si>
  <si>
    <t>d2015.09</t>
  </si>
  <si>
    <t>d2015.10</t>
  </si>
  <si>
    <t>d2015.11</t>
  </si>
  <si>
    <t>d2015.12</t>
  </si>
  <si>
    <t>d2015.FY</t>
  </si>
  <si>
    <t>d2016.01</t>
  </si>
  <si>
    <t>d2016.02</t>
  </si>
  <si>
    <t>d2016.03</t>
  </si>
  <si>
    <t>d2016.04</t>
  </si>
  <si>
    <t>d2016.05</t>
  </si>
  <si>
    <t>d2016.06</t>
  </si>
  <si>
    <t>d2016.07</t>
  </si>
  <si>
    <t>d2016.08</t>
  </si>
  <si>
    <t>d2016.09</t>
  </si>
  <si>
    <t>d2016.10</t>
  </si>
  <si>
    <t>d2016.11</t>
  </si>
  <si>
    <t>d2016.12</t>
  </si>
  <si>
    <t>d2016.FY</t>
  </si>
  <si>
    <t>d2017</t>
  </si>
  <si>
    <t>d2018</t>
  </si>
  <si>
    <t>d2019</t>
  </si>
  <si>
    <t>o2015.01</t>
  </si>
  <si>
    <t>o2015.02</t>
  </si>
  <si>
    <t>o2015.03</t>
  </si>
  <si>
    <t>o2015.04</t>
  </si>
  <si>
    <t>o2015.05</t>
  </si>
  <si>
    <t>o2015.06</t>
  </si>
  <si>
    <t>o2015.07</t>
  </si>
  <si>
    <t>o2015.08</t>
  </si>
  <si>
    <t>o2015.09</t>
  </si>
  <si>
    <t>o2015.10</t>
  </si>
  <si>
    <t>o2015.11</t>
  </si>
  <si>
    <t>o2015.12</t>
  </si>
  <si>
    <t>o2015.FY</t>
  </si>
  <si>
    <t>a2015.01</t>
  </si>
  <si>
    <t>a2015.02</t>
  </si>
  <si>
    <t>a2015.03</t>
  </si>
  <si>
    <t>a2015.04</t>
  </si>
  <si>
    <t>a2015.05</t>
  </si>
  <si>
    <t>a2015.06</t>
  </si>
  <si>
    <t>a2015.07</t>
  </si>
  <si>
    <t>a2015.08</t>
  </si>
  <si>
    <t>a2015.09</t>
  </si>
  <si>
    <t>a2015.10</t>
  </si>
  <si>
    <t>a2015.11</t>
  </si>
  <si>
    <t>a2015.12</t>
  </si>
  <si>
    <t>a2015.FY</t>
  </si>
  <si>
    <t>h2015.01</t>
  </si>
  <si>
    <t>h2015.02</t>
  </si>
  <si>
    <t>h2015.03</t>
  </si>
  <si>
    <t>h2015.04</t>
  </si>
  <si>
    <t>h2015.05</t>
  </si>
  <si>
    <t>h2015.06</t>
  </si>
  <si>
    <t>h2015.07</t>
  </si>
  <si>
    <t>h2015.08</t>
  </si>
  <si>
    <t>h2015.09</t>
  </si>
  <si>
    <t>h2015.10</t>
  </si>
  <si>
    <t>h2015.11</t>
  </si>
  <si>
    <t>h2015.12</t>
  </si>
  <si>
    <t>h2015.FY</t>
  </si>
  <si>
    <t>p2015.01</t>
  </si>
  <si>
    <t>p2015.02</t>
  </si>
  <si>
    <t>p2015.03</t>
  </si>
  <si>
    <t>p2015.04</t>
  </si>
  <si>
    <t>p2015.05</t>
  </si>
  <si>
    <t>p2015.06</t>
  </si>
  <si>
    <t>p2015.07</t>
  </si>
  <si>
    <t>p2015.08</t>
  </si>
  <si>
    <t>p2015.09</t>
  </si>
  <si>
    <t>p2015.10</t>
  </si>
  <si>
    <t>p2015.11</t>
  </si>
  <si>
    <t>p2015.12</t>
  </si>
  <si>
    <t>p2015.FY</t>
  </si>
  <si>
    <t>Range</t>
  </si>
  <si>
    <t>o2016.01</t>
  </si>
  <si>
    <t>o2016.02</t>
  </si>
  <si>
    <t>o2016.03</t>
  </si>
  <si>
    <t>o2016.04</t>
  </si>
  <si>
    <t>o2016.05</t>
  </si>
  <si>
    <t>o2016.06</t>
  </si>
  <si>
    <t>o2016.07</t>
  </si>
  <si>
    <t>o2016.08</t>
  </si>
  <si>
    <t>o2016.09</t>
  </si>
  <si>
    <t>o2016.10</t>
  </si>
  <si>
    <t>o2016.11</t>
  </si>
  <si>
    <t>o2016.12</t>
  </si>
  <si>
    <t>o2016.FY</t>
  </si>
  <si>
    <t>o2017</t>
  </si>
  <si>
    <t>o2019</t>
  </si>
  <si>
    <t>o2018</t>
  </si>
  <si>
    <t>a2016.01</t>
  </si>
  <si>
    <t>a2016.02</t>
  </si>
  <si>
    <t>a2016.03</t>
  </si>
  <si>
    <t>a2016.04</t>
  </si>
  <si>
    <t>a2016.05</t>
  </si>
  <si>
    <t>a2016.06</t>
  </si>
  <si>
    <t>a2016.07</t>
  </si>
  <si>
    <t>a2016.08</t>
  </si>
  <si>
    <t>a2016.09</t>
  </si>
  <si>
    <t>a2016.10</t>
  </si>
  <si>
    <t>a2016.11</t>
  </si>
  <si>
    <t>a2016.12</t>
  </si>
  <si>
    <t>a2016.FY</t>
  </si>
  <si>
    <t>a2017</t>
  </si>
  <si>
    <t>a2018</t>
  </si>
  <si>
    <t>a2019</t>
  </si>
  <si>
    <t>p2016.01</t>
  </si>
  <si>
    <t>p2016.02</t>
  </si>
  <si>
    <t>p2016.03</t>
  </si>
  <si>
    <t>p2016.04</t>
  </si>
  <si>
    <t>p2016.05</t>
  </si>
  <si>
    <t>p2016.06</t>
  </si>
  <si>
    <t>p2016.07</t>
  </si>
  <si>
    <t>p2016.08</t>
  </si>
  <si>
    <t>p2016.09</t>
  </si>
  <si>
    <t>p2016.10</t>
  </si>
  <si>
    <t>p2016.11</t>
  </si>
  <si>
    <t>p2016.12</t>
  </si>
  <si>
    <t>p2016.FY</t>
  </si>
  <si>
    <t>p2017</t>
  </si>
  <si>
    <t>p2018</t>
  </si>
  <si>
    <t>p2019</t>
  </si>
  <si>
    <t>2016.01</t>
  </si>
  <si>
    <t>2016.02</t>
  </si>
  <si>
    <t>2016.03</t>
  </si>
  <si>
    <t>2016.04</t>
  </si>
  <si>
    <t>2016.05</t>
  </si>
  <si>
    <t>2016.06</t>
  </si>
  <si>
    <t>2016.07</t>
  </si>
  <si>
    <t>2016.08</t>
  </si>
  <si>
    <t>2016.09</t>
  </si>
  <si>
    <t>2016.10</t>
  </si>
  <si>
    <t>2016.11</t>
  </si>
  <si>
    <t>2016.12</t>
  </si>
  <si>
    <t>2016.FY</t>
  </si>
  <si>
    <t>h2016.01</t>
  </si>
  <si>
    <t>h2016.02</t>
  </si>
  <si>
    <t>h2016.03</t>
  </si>
  <si>
    <t>h2016.04</t>
  </si>
  <si>
    <t>h2016.05</t>
  </si>
  <si>
    <t>h2016.06</t>
  </si>
  <si>
    <t>h2016.07</t>
  </si>
  <si>
    <t>h2016.08</t>
  </si>
  <si>
    <t>h2016.09</t>
  </si>
  <si>
    <t>h2016.10</t>
  </si>
  <si>
    <t>h2016.11</t>
  </si>
  <si>
    <t>h2016.12</t>
  </si>
  <si>
    <t>h2017</t>
  </si>
  <si>
    <t>h2018</t>
  </si>
  <si>
    <t>h2019</t>
  </si>
  <si>
    <t>h2016.FY</t>
  </si>
  <si>
    <t>2015vol</t>
  </si>
  <si>
    <t>2016vol</t>
  </si>
  <si>
    <t>2017vol</t>
  </si>
  <si>
    <t>2018vol</t>
  </si>
  <si>
    <t>2019vol</t>
  </si>
  <si>
    <t>Periods</t>
  </si>
  <si>
    <t>ha2016.01</t>
  </si>
  <si>
    <t>ha2016.02</t>
  </si>
  <si>
    <t>ha2016.03</t>
  </si>
  <si>
    <t>ha2016.04</t>
  </si>
  <si>
    <t>ha2016.05</t>
  </si>
  <si>
    <t>ha2016.06</t>
  </si>
  <si>
    <t>ha2016.07</t>
  </si>
  <si>
    <t>ha2016.08</t>
  </si>
  <si>
    <t>ha2016.09</t>
  </si>
  <si>
    <t>ha2016.10</t>
  </si>
  <si>
    <t>ha2016.11</t>
  </si>
  <si>
    <t>ha2016.12</t>
  </si>
  <si>
    <t>ha2016.FY</t>
  </si>
  <si>
    <t>ha2017</t>
  </si>
  <si>
    <t>ha2018</t>
  </si>
  <si>
    <t>hp2016.01</t>
  </si>
  <si>
    <t>hp2016.02</t>
  </si>
  <si>
    <t>hp2016.03</t>
  </si>
  <si>
    <t>hp2016.04</t>
  </si>
  <si>
    <t>hp2016.05</t>
  </si>
  <si>
    <t>hp2016.06</t>
  </si>
  <si>
    <t>hp2016.07</t>
  </si>
  <si>
    <t>hp2016.08</t>
  </si>
  <si>
    <t>hp2016.09</t>
  </si>
  <si>
    <t>hp2016.10</t>
  </si>
  <si>
    <t>hp2016.11</t>
  </si>
  <si>
    <t>hp2016.12</t>
  </si>
  <si>
    <t>hp2016.FY</t>
  </si>
  <si>
    <t>hp2017</t>
  </si>
  <si>
    <t>hp2018</t>
  </si>
  <si>
    <t>hp2019</t>
  </si>
  <si>
    <t>ha2019</t>
  </si>
  <si>
    <t>Calculations</t>
  </si>
  <si>
    <t>PartNo</t>
  </si>
  <si>
    <t>hr2015.01</t>
  </si>
  <si>
    <t>hr2015.02</t>
  </si>
  <si>
    <t>hr2015.03</t>
  </si>
  <si>
    <t>hr2015.04</t>
  </si>
  <si>
    <t>hr2015.05</t>
  </si>
  <si>
    <t>hr2015.06</t>
  </si>
  <si>
    <t>hr2015.07</t>
  </si>
  <si>
    <t>hr2015.08</t>
  </si>
  <si>
    <t>hr2015.09</t>
  </si>
  <si>
    <t>hr2015.10</t>
  </si>
  <si>
    <t>hr2015.11</t>
  </si>
  <si>
    <t>hr2015.12</t>
  </si>
  <si>
    <t>hr2015.FY</t>
  </si>
  <si>
    <t>hr2016.01</t>
  </si>
  <si>
    <t>hr2016.02</t>
  </si>
  <si>
    <t>hr2016.03</t>
  </si>
  <si>
    <t>hr2016.04</t>
  </si>
  <si>
    <t>hr2016.05</t>
  </si>
  <si>
    <t>hr2016.06</t>
  </si>
  <si>
    <t>hr2016.07</t>
  </si>
  <si>
    <t>hr2016.08</t>
  </si>
  <si>
    <t>hr2016.09</t>
  </si>
  <si>
    <t>hr2016.10</t>
  </si>
  <si>
    <t>hr2016.11</t>
  </si>
  <si>
    <t>hr2016.12</t>
  </si>
  <si>
    <t>hr2016.FY</t>
  </si>
  <si>
    <t>hr2017</t>
  </si>
  <si>
    <t>hr2018</t>
  </si>
  <si>
    <t>hr2019</t>
  </si>
  <si>
    <t>Hits Remaining</t>
  </si>
  <si>
    <t>2015FY</t>
  </si>
  <si>
    <t>2016FY</t>
  </si>
  <si>
    <t>Plant Util%</t>
  </si>
  <si>
    <t>To Do</t>
  </si>
  <si>
    <t>Finish Template</t>
  </si>
  <si>
    <t>Build Import Template.</t>
  </si>
  <si>
    <t>Test Import Template</t>
  </si>
  <si>
    <t>Send to Rader</t>
  </si>
  <si>
    <t>Create views needed</t>
  </si>
  <si>
    <t>Year 1 Periods</t>
  </si>
  <si>
    <t>Year 2 Periods</t>
  </si>
  <si>
    <t>ExpandAll</t>
  </si>
  <si>
    <t>Y1P.Hidden = NOT Y1P.Hidden</t>
  </si>
  <si>
    <t>Annual Only</t>
  </si>
  <si>
    <t>Start / End of Prod</t>
  </si>
  <si>
    <t>Parts Available</t>
  </si>
  <si>
    <t>P1=Show in Periods Yr1 View</t>
  </si>
  <si>
    <t>P2=Show in Periods Yr2 View</t>
  </si>
  <si>
    <t>Y=Show Annual View Only</t>
  </si>
  <si>
    <t>* One macro will unhide all columns</t>
  </si>
  <si>
    <t>A=Always Show (FY  columns will always be A)</t>
  </si>
  <si>
    <t>Die = Die Info</t>
  </si>
  <si>
    <t>Calc = Production Calculations</t>
  </si>
  <si>
    <t>All</t>
  </si>
  <si>
    <t>O = Periods in Year One</t>
  </si>
  <si>
    <t>T = Periods in Year Two</t>
  </si>
  <si>
    <t>Strategy: Hide ALL rows</t>
  </si>
  <si>
    <t>Plant Input Ranges</t>
  </si>
  <si>
    <t>Utilization - Annual</t>
  </si>
  <si>
    <t>Utilization - Year 2</t>
  </si>
  <si>
    <t>Utilization - Year 1</t>
  </si>
  <si>
    <t>View Columns</t>
  </si>
  <si>
    <t>2015</t>
  </si>
  <si>
    <t>2016</t>
  </si>
  <si>
    <t>Days Available</t>
  </si>
  <si>
    <t>Business Days</t>
  </si>
  <si>
    <t>Hours Available</t>
  </si>
  <si>
    <t>Period Details - Year 1</t>
  </si>
  <si>
    <t>Show All Columns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</si>
</sst>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0.0"/>
    <numFmt numFmtId="166" formatCode="0.000"/>
  </numFmts>
  <fonts count="2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color indexed="12"/>
      <name val="Wingdings 3"/>
      <family val="1"/>
      <charset val="2"/>
    </font>
    <font>
      <b/>
      <sz val="11"/>
      <color theme="1" tint="4.9989318521683403E-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1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2" applyNumberFormat="0" applyAlignment="0" applyProtection="0"/>
    <xf numFmtId="0" fontId="7" fillId="6" borderId="0" applyNumberFormat="0" applyBorder="0" applyAlignment="0" applyProtection="0"/>
    <xf numFmtId="9" fontId="9" fillId="0" borderId="0" applyFont="0" applyFill="0" applyBorder="0" applyAlignment="0" applyProtection="0"/>
    <xf numFmtId="0" fontId="10" fillId="7" borderId="1" applyNumberFormat="0" applyAlignment="0" applyProtection="0"/>
    <xf numFmtId="0" fontId="16" fillId="8" borderId="0" applyNumberFormat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17" fillId="0" borderId="0" applyNumberFormat="0" applyFill="0" applyBorder="0" applyAlignment="0" applyProtection="0"/>
    <xf numFmtId="43" fontId="9" fillId="0" borderId="0" applyFont="0" applyFill="0" applyBorder="0" applyAlignment="0" applyProtection="0"/>
  </cellStyleXfs>
  <cellXfs count="77">
    <xf numFmtId="0" fontId="0" fillId="0" borderId="0" xfId="0"/>
    <xf numFmtId="0" fontId="1" fillId="2" borderId="0" xfId="1"/>
    <xf numFmtId="0" fontId="3" fillId="4" borderId="0" xfId="3"/>
    <xf numFmtId="0" fontId="0" fillId="0" borderId="0" xfId="0" quotePrefix="1"/>
    <xf numFmtId="0" fontId="6" fillId="0" borderId="0" xfId="0" applyFont="1"/>
    <xf numFmtId="0" fontId="4" fillId="5" borderId="2" xfId="4"/>
    <xf numFmtId="0" fontId="7" fillId="6" borderId="0" xfId="5"/>
    <xf numFmtId="0" fontId="10" fillId="7" borderId="1" xfId="7"/>
    <xf numFmtId="0" fontId="12" fillId="12" borderId="0" xfId="1" applyFont="1" applyFill="1"/>
    <xf numFmtId="0" fontId="11" fillId="11" borderId="0" xfId="1" applyFont="1" applyFill="1"/>
    <xf numFmtId="0" fontId="13" fillId="13" borderId="0" xfId="2" applyFont="1" applyFill="1"/>
    <xf numFmtId="0" fontId="14" fillId="14" borderId="0" xfId="3" applyFont="1" applyFill="1"/>
    <xf numFmtId="0" fontId="5" fillId="15" borderId="0" xfId="5" applyFont="1" applyFill="1"/>
    <xf numFmtId="0" fontId="7" fillId="15" borderId="0" xfId="5" applyFont="1" applyFill="1"/>
    <xf numFmtId="0" fontId="0" fillId="0" borderId="0" xfId="0" applyFill="1"/>
    <xf numFmtId="164" fontId="0" fillId="0" borderId="0" xfId="6" applyNumberFormat="1" applyFont="1"/>
    <xf numFmtId="49" fontId="0" fillId="0" borderId="0" xfId="0" applyNumberFormat="1"/>
    <xf numFmtId="9" fontId="0" fillId="0" borderId="0" xfId="6" applyNumberFormat="1" applyFont="1"/>
    <xf numFmtId="0" fontId="0" fillId="0" borderId="0" xfId="0" applyNumberFormat="1"/>
    <xf numFmtId="0" fontId="7" fillId="9" borderId="0" xfId="9"/>
    <xf numFmtId="3" fontId="0" fillId="0" borderId="0" xfId="0" applyNumberFormat="1"/>
    <xf numFmtId="49" fontId="5" fillId="6" borderId="0" xfId="5" applyNumberFormat="1" applyFont="1"/>
    <xf numFmtId="49" fontId="7" fillId="6" borderId="0" xfId="5" applyNumberFormat="1"/>
    <xf numFmtId="2" fontId="16" fillId="8" borderId="0" xfId="8" applyNumberFormat="1"/>
    <xf numFmtId="0" fontId="14" fillId="14" borderId="0" xfId="3" applyFont="1" applyFill="1" applyAlignment="1">
      <alignment horizontal="right"/>
    </xf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0" fillId="7" borderId="1" xfId="7" applyAlignment="1">
      <alignment horizontal="right"/>
    </xf>
    <xf numFmtId="0" fontId="10" fillId="7" borderId="1" xfId="7" applyAlignment="1">
      <alignment horizontal="left"/>
    </xf>
    <xf numFmtId="49" fontId="7" fillId="10" borderId="0" xfId="10" applyNumberFormat="1"/>
    <xf numFmtId="0" fontId="7" fillId="10" borderId="0" xfId="10"/>
    <xf numFmtId="0" fontId="7" fillId="10" borderId="0" xfId="10" applyAlignment="1">
      <alignment horizontal="right"/>
    </xf>
    <xf numFmtId="49" fontId="7" fillId="9" borderId="0" xfId="9" applyNumberFormat="1"/>
    <xf numFmtId="0" fontId="7" fillId="9" borderId="0" xfId="9" applyAlignment="1">
      <alignment horizontal="right"/>
    </xf>
    <xf numFmtId="0" fontId="16" fillId="8" borderId="0" xfId="8"/>
    <xf numFmtId="49" fontId="5" fillId="15" borderId="0" xfId="5" applyNumberFormat="1" applyFont="1" applyFill="1"/>
    <xf numFmtId="49" fontId="10" fillId="7" borderId="1" xfId="7" applyNumberFormat="1"/>
    <xf numFmtId="0" fontId="17" fillId="6" borderId="0" xfId="11" applyFill="1"/>
    <xf numFmtId="0" fontId="0" fillId="0" borderId="0" xfId="0" applyAlignment="1">
      <alignment vertical="center"/>
    </xf>
    <xf numFmtId="0" fontId="18" fillId="6" borderId="0" xfId="5" applyFont="1" applyAlignment="1">
      <alignment vertical="center"/>
    </xf>
    <xf numFmtId="0" fontId="0" fillId="0" borderId="0" xfId="0" applyAlignment="1"/>
    <xf numFmtId="0" fontId="10" fillId="7" borderId="1" xfId="7" applyAlignment="1"/>
    <xf numFmtId="3" fontId="0" fillId="0" borderId="0" xfId="0" applyNumberFormat="1" applyFill="1"/>
    <xf numFmtId="0" fontId="0" fillId="0" borderId="0" xfId="0" applyNumberFormat="1" applyFill="1"/>
    <xf numFmtId="3" fontId="0" fillId="0" borderId="0" xfId="6" applyNumberFormat="1" applyFont="1"/>
    <xf numFmtId="2" fontId="0" fillId="0" borderId="0" xfId="6" applyNumberFormat="1" applyFont="1"/>
    <xf numFmtId="165" fontId="0" fillId="0" borderId="0" xfId="6" applyNumberFormat="1" applyFont="1"/>
    <xf numFmtId="49" fontId="0" fillId="0" borderId="0" xfId="6" applyNumberFormat="1" applyFont="1"/>
    <xf numFmtId="166" fontId="0" fillId="0" borderId="0" xfId="6" applyNumberFormat="1" applyFont="1"/>
    <xf numFmtId="0" fontId="3" fillId="4" borderId="0" xfId="3" quotePrefix="1"/>
    <xf numFmtId="49" fontId="3" fillId="4" borderId="0" xfId="3" applyNumberFormat="1"/>
    <xf numFmtId="3" fontId="0" fillId="0" borderId="0" xfId="12" applyNumberFormat="1" applyFont="1"/>
    <xf numFmtId="0" fontId="13" fillId="13" borderId="0" xfId="2" applyFont="1" applyFill="1" applyAlignment="1">
      <alignment horizontal="right"/>
    </xf>
    <xf numFmtId="0" fontId="1" fillId="2" borderId="0" xfId="1" applyAlignment="1">
      <alignment horizontal="right"/>
    </xf>
    <xf numFmtId="0" fontId="3" fillId="4" borderId="0" xfId="3" applyAlignment="1">
      <alignment horizontal="right"/>
    </xf>
    <xf numFmtId="164" fontId="19" fillId="0" borderId="0" xfId="6" applyNumberFormat="1" applyFont="1"/>
    <xf numFmtId="164" fontId="0" fillId="0" borderId="0" xfId="6" applyNumberFormat="1" applyFont="1" applyFill="1"/>
    <xf numFmtId="9" fontId="10" fillId="7" borderId="1" xfId="7" applyNumberFormat="1" applyAlignment="1"/>
    <xf numFmtId="0" fontId="0" fillId="0" borderId="0" xfId="0" quotePrefix="1" applyAlignment="1"/>
    <xf numFmtId="0" fontId="7" fillId="6" borderId="0" xfId="5" applyAlignment="1"/>
    <xf numFmtId="0" fontId="14" fillId="14" borderId="0" xfId="3" applyFont="1" applyFill="1" applyAlignment="1">
      <alignment horizontal="left"/>
    </xf>
    <xf numFmtId="0" fontId="20" fillId="0" borderId="0" xfId="0" applyFont="1"/>
    <xf numFmtId="49" fontId="18" fillId="6" borderId="0" xfId="5" applyNumberFormat="1" applyFont="1" applyAlignment="1">
      <alignment vertical="center"/>
    </xf>
    <xf numFmtId="49" fontId="0" fillId="0" borderId="0" xfId="0" applyNumberFormat="1" applyAlignment="1"/>
    <xf numFmtId="49" fontId="7" fillId="10" borderId="0" xfId="10" applyNumberFormat="1" applyAlignment="1">
      <alignment horizontal="right"/>
    </xf>
    <xf numFmtId="49" fontId="0" fillId="16" borderId="0" xfId="0" applyNumberFormat="1" applyFill="1"/>
    <xf numFmtId="0" fontId="0" fillId="16" borderId="0" xfId="0" applyFill="1"/>
    <xf numFmtId="38" fontId="0" fillId="0" borderId="0" xfId="0" applyNumberFormat="1" applyFill="1"/>
    <xf numFmtId="49" fontId="0" fillId="16" borderId="0" xfId="0" applyNumberFormat="1" applyFill="1" applyAlignment="1">
      <alignment horizontal="right"/>
    </xf>
    <xf numFmtId="0" fontId="11" fillId="11" borderId="0" xfId="1" applyFont="1" applyFill="1" applyAlignment="1">
      <alignment horizontal="right"/>
    </xf>
    <xf numFmtId="0" fontId="12" fillId="12" borderId="0" xfId="1" applyFont="1" applyFill="1" applyAlignment="1">
      <alignment horizontal="right"/>
    </xf>
    <xf numFmtId="0" fontId="21" fillId="0" borderId="0" xfId="0" applyFont="1"/>
    <xf numFmtId="0" fontId="0" fillId="0" borderId="0" xfId="0" applyProtection="1">
      <protection locked="0"/>
    </xf>
    <xf numFmtId="0" fontId="16" fillId="8" borderId="0" xfId="8" applyAlignment="1">
      <alignment vertical="top"/>
    </xf>
    <xf numFmtId="0" fontId="23" fillId="8" borderId="0" xfId="8" applyFont="1" applyAlignment="1">
      <alignment vertical="top"/>
    </xf>
    <xf numFmtId="164" fontId="0" fillId="0" borderId="0" xfId="6" applyNumberFormat="1" applyFont="1" applyProtection="1">
      <protection locked="0"/>
    </xf>
  </cellXfs>
  <cellStyles count="13">
    <cellStyle name="Accent1" xfId="5" builtinId="29"/>
    <cellStyle name="Accent3" xfId="9" builtinId="37"/>
    <cellStyle name="Accent4" xfId="10" builtinId="41"/>
    <cellStyle name="Bad" xfId="2" builtinId="27"/>
    <cellStyle name="Check Cell" xfId="8" builtinId="23" customBuiltin="1"/>
    <cellStyle name="Comma" xfId="12" builtinId="3"/>
    <cellStyle name="Good" xfId="1" builtinId="26"/>
    <cellStyle name="Hyperlink" xfId="11" builtinId="8"/>
    <cellStyle name="Input" xfId="7" builtinId="20"/>
    <cellStyle name="Neutral" xfId="3" builtinId="28"/>
    <cellStyle name="Normal" xfId="0" builtinId="0"/>
    <cellStyle name="Output" xfId="4" builtinId="21"/>
    <cellStyle name="Percent" xfId="6" builtinId="5"/>
  </cellStyles>
  <dxfs count="386">
    <dxf>
      <protection locked="0" hidden="0"/>
    </dxf>
    <dxf>
      <protection locked="0" hidden="0"/>
    </dxf>
    <dxf>
      <font>
        <color rgb="FF006100"/>
      </font>
      <fill>
        <patternFill>
          <bgColor rgb="FFC6EFCE"/>
        </patternFill>
      </fill>
    </dxf>
    <dxf>
      <font>
        <color theme="9" tint="-0.499984740745262"/>
      </font>
      <fill>
        <patternFill>
          <bgColor rgb="FFFFA86D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6" formatCode="#,##0_);[Red]\(#,##0\)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</dxf>
    <dxf>
      <numFmt numFmtId="2" formatCode="0.00"/>
    </dxf>
    <dxf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</dxf>
    <dxf>
      <numFmt numFmtId="164" formatCode="0.0%"/>
    </dxf>
    <dxf>
      <numFmt numFmtId="164" formatCode="0.0%"/>
    </dxf>
    <dxf>
      <numFmt numFmtId="3" formatCode="#,##0"/>
    </dxf>
    <dxf>
      <numFmt numFmtId="3" formatCode="#,##0"/>
    </dxf>
    <dxf>
      <numFmt numFmtId="3" formatCode="#,##0"/>
    </dxf>
    <dxf>
      <numFmt numFmtId="166" formatCode="0.000"/>
    </dxf>
    <dxf>
      <numFmt numFmtId="30" formatCode="@"/>
    </dxf>
    <dxf>
      <numFmt numFmtId="165" formatCode="0.0"/>
    </dxf>
    <dxf>
      <numFmt numFmtId="3" formatCode="#,##0"/>
    </dxf>
    <dxf>
      <numFmt numFmtId="2" formatCode="0.00"/>
    </dxf>
    <dxf>
      <numFmt numFmtId="3" formatCode="#,##0"/>
    </dxf>
    <dxf>
      <numFmt numFmtId="3" formatCode="#,##0"/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5" formatCode="0.0"/>
    </dxf>
    <dxf>
      <numFmt numFmtId="2" formatCode="0.00"/>
    </dxf>
    <dxf>
      <numFmt numFmtId="3" formatCode="#,##0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0691854609822"/>
          <bgColor rgb="FFE4E4E4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_Capacity" pivot="0" count="7">
      <tableStyleElement type="wholeTable" dxfId="385"/>
      <tableStyleElement type="headerRow" dxfId="384"/>
      <tableStyleElement type="totalRow" dxfId="383"/>
      <tableStyleElement type="firstColumn" dxfId="382"/>
      <tableStyleElement type="lastColumn" dxfId="381"/>
      <tableStyleElement type="firstRowStripe" dxfId="380"/>
      <tableStyleElement type="firstColumnStripe" dxfId="379"/>
    </tableStyle>
  </tableStyles>
  <colors>
    <mruColors>
      <color rgb="FF00FF00"/>
      <color rgb="FFE4E4E4"/>
      <color rgb="FFFFA86D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 Utilization by Month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Plants!$A$5</c:f>
              <c:strCache>
                <c:ptCount val="1"/>
                <c:pt idx="0">
                  <c:v>Alpine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Plants!$ES$5:$FE$5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1"/>
          <c:tx>
            <c:strRef>
              <c:f>Plants!$A$6</c:f>
              <c:strCache>
                <c:ptCount val="1"/>
                <c:pt idx="0">
                  <c:v>Bond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Plants!$ES$6:$FE$6</c:f>
              <c:numCache>
                <c:formatCode>0.0%</c:formatCode>
                <c:ptCount val="12"/>
                <c:pt idx="0">
                  <c:v>0.60562015503875977</c:v>
                </c:pt>
                <c:pt idx="1">
                  <c:v>0.60562015503875977</c:v>
                </c:pt>
                <c:pt idx="2">
                  <c:v>0.60562015503875966</c:v>
                </c:pt>
                <c:pt idx="3">
                  <c:v>0.60562015503875977</c:v>
                </c:pt>
                <c:pt idx="4">
                  <c:v>0.60562015503875977</c:v>
                </c:pt>
                <c:pt idx="5">
                  <c:v>0.60562015503875966</c:v>
                </c:pt>
                <c:pt idx="6">
                  <c:v>0.60562015503875977</c:v>
                </c:pt>
                <c:pt idx="7">
                  <c:v>0.60562015503875977</c:v>
                </c:pt>
                <c:pt idx="8">
                  <c:v>0.60562015503875966</c:v>
                </c:pt>
                <c:pt idx="9">
                  <c:v>0.60562015503875977</c:v>
                </c:pt>
                <c:pt idx="10">
                  <c:v>0.60562015503875977</c:v>
                </c:pt>
                <c:pt idx="11">
                  <c:v>0.60562015503875966</c:v>
                </c:pt>
              </c:numCache>
            </c:numRef>
          </c:val>
        </c:ser>
        <c:ser>
          <c:idx val="4"/>
          <c:order val="2"/>
          <c:tx>
            <c:strRef>
              <c:f>Plants!$A$7</c:f>
              <c:strCache>
                <c:ptCount val="1"/>
                <c:pt idx="0">
                  <c:v>Plainfield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Plants!$ES$7:$FE$7</c:f>
              <c:numCache>
                <c:formatCode>0.0%</c:formatCode>
                <c:ptCount val="12"/>
                <c:pt idx="0">
                  <c:v>0.3128317470927765</c:v>
                </c:pt>
                <c:pt idx="1">
                  <c:v>0.30929328555431496</c:v>
                </c:pt>
                <c:pt idx="2">
                  <c:v>0.28847880591630587</c:v>
                </c:pt>
                <c:pt idx="3">
                  <c:v>0.3128317470927765</c:v>
                </c:pt>
                <c:pt idx="4">
                  <c:v>0.30929328555431496</c:v>
                </c:pt>
                <c:pt idx="5">
                  <c:v>0.28847880591630587</c:v>
                </c:pt>
                <c:pt idx="6">
                  <c:v>0.3128317470927765</c:v>
                </c:pt>
                <c:pt idx="7">
                  <c:v>0.30929328555431496</c:v>
                </c:pt>
                <c:pt idx="8">
                  <c:v>0.28847880591630587</c:v>
                </c:pt>
                <c:pt idx="9">
                  <c:v>0.3128317470927765</c:v>
                </c:pt>
                <c:pt idx="10">
                  <c:v>0.30929328555431496</c:v>
                </c:pt>
                <c:pt idx="11">
                  <c:v>0.28847880591630587</c:v>
                </c:pt>
              </c:numCache>
            </c:numRef>
          </c:val>
        </c:ser>
        <c:ser>
          <c:idx val="5"/>
          <c:order val="3"/>
          <c:tx>
            <c:strRef>
              <c:f>Plants!$A$8</c:f>
              <c:strCache>
                <c:ptCount val="1"/>
                <c:pt idx="0">
                  <c:v>Richmond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Plants!$ES$8:$FE$8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6"/>
          <c:order val="4"/>
          <c:tx>
            <c:strRef>
              <c:f>Plants!$A$9</c:f>
              <c:strCache>
                <c:ptCount val="1"/>
                <c:pt idx="0">
                  <c:v>Trenton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Plants!$ES$9:$FE$9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675200"/>
        <c:axId val="42681088"/>
      </c:barChart>
      <c:catAx>
        <c:axId val="42675200"/>
        <c:scaling>
          <c:orientation val="minMax"/>
        </c:scaling>
        <c:delete val="0"/>
        <c:axPos val="b"/>
        <c:majorTickMark val="none"/>
        <c:minorTickMark val="none"/>
        <c:tickLblPos val="nextTo"/>
        <c:crossAx val="42681088"/>
        <c:crosses val="autoZero"/>
        <c:auto val="1"/>
        <c:lblAlgn val="ctr"/>
        <c:lblOffset val="100"/>
        <c:noMultiLvlLbl val="0"/>
      </c:catAx>
      <c:valAx>
        <c:axId val="426810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US" sz="1200" b="1"/>
                  <a:t>Utilization</a:t>
                </a:r>
                <a:r>
                  <a:rPr lang="en-US" sz="1200" b="1" baseline="0"/>
                  <a:t> = Hrs Planned / Hrs Available</a:t>
                </a:r>
                <a:endParaRPr lang="en-US" sz="1200" b="1"/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4267520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92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15" dropStyle="combo" dx="16" fmlaLink="A1" fmlaRange="r_PlantViews" noThreeD="1" sel="9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16" fmlaLink="$A$19" fmlaRange="$B$18:$B$21" sel="3" val="0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596338</xdr:colOff>
          <xdr:row>2</xdr:row>
          <xdr:rowOff>23607</xdr:rowOff>
        </xdr:from>
        <xdr:to>
          <xdr:col>0</xdr:col>
          <xdr:colOff>927642</xdr:colOff>
          <xdr:row>2</xdr:row>
          <xdr:rowOff>207066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15323</xdr:colOff>
          <xdr:row>1</xdr:row>
          <xdr:rowOff>57150</xdr:rowOff>
        </xdr:from>
        <xdr:to>
          <xdr:col>148</xdr:col>
          <xdr:colOff>551622</xdr:colOff>
          <xdr:row>1</xdr:row>
          <xdr:rowOff>314325</xdr:rowOff>
        </xdr:to>
        <xdr:sp macro="" textlink="">
          <xdr:nvSpPr>
            <xdr:cNvPr id="8197" name="DropDownPlantViews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2</xdr:row>
          <xdr:rowOff>28575</xdr:rowOff>
        </xdr:from>
        <xdr:to>
          <xdr:col>1</xdr:col>
          <xdr:colOff>1447800</xdr:colOff>
          <xdr:row>2</xdr:row>
          <xdr:rowOff>219075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16</xdr:row>
          <xdr:rowOff>9525</xdr:rowOff>
        </xdr:from>
        <xdr:to>
          <xdr:col>0</xdr:col>
          <xdr:colOff>981075</xdr:colOff>
          <xdr:row>17</xdr:row>
          <xdr:rowOff>19050</xdr:rowOff>
        </xdr:to>
        <xdr:sp macro="" textlink="">
          <xdr:nvSpPr>
            <xdr:cNvPr id="6155" name="Drop Down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8442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0.23182</cdr:x>
      <cdr:y>0.07738</cdr:y>
    </cdr:from>
    <cdr:to>
      <cdr:x>0.33735</cdr:x>
      <cdr:y>0.22279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08533" y="48660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tables/table1.xml><?xml version="1.0" encoding="utf-8"?>
<table xmlns="http://schemas.openxmlformats.org/spreadsheetml/2006/main" id="1" name="t_Plants" displayName="t_Plants" ref="A4:FU9" totalsRowShown="0" headerRowCellStyle="Bad">
  <autoFilter ref="A4:FU9"/>
  <sortState ref="A4:FU8">
    <sortCondition ref="A3:A8"/>
  </sortState>
  <tableColumns count="177">
    <tableColumn id="1" name="Plant"/>
    <tableColumn id="2" name="OperHrsPerDay" dataDxfId="1"/>
    <tableColumn id="4" name="OEE%" dataDxfId="0"/>
    <tableColumn id="5" name="d2015.01"/>
    <tableColumn id="6" name="d2015.02"/>
    <tableColumn id="7" name="d2015.03"/>
    <tableColumn id="17" name="d2015.04"/>
    <tableColumn id="18" name="d2015.05"/>
    <tableColumn id="19" name="d2015.06"/>
    <tableColumn id="20" name="d2015.07"/>
    <tableColumn id="21" name="d2015.08"/>
    <tableColumn id="22" name="d2015.09"/>
    <tableColumn id="23" name="d2015.10"/>
    <tableColumn id="24" name="d2015.11"/>
    <tableColumn id="25" name="d2015.12"/>
    <tableColumn id="26" name="d2015.FY" dataDxfId="378">
      <calculatedColumnFormula>SUM(t_Plants[[#This Row],[d2015.01]:[d2015.12]])</calculatedColumnFormula>
    </tableColumn>
    <tableColumn id="13" name="d2016.01"/>
    <tableColumn id="46" name="d2016.02"/>
    <tableColumn id="84" name="d2016.03"/>
    <tableColumn id="85" name="d2016.04"/>
    <tableColumn id="86" name="d2016.05"/>
    <tableColumn id="87" name="d2016.06"/>
    <tableColumn id="88" name="d2016.07"/>
    <tableColumn id="89" name="d2016.08"/>
    <tableColumn id="90" name="d2016.09"/>
    <tableColumn id="91" name="d2016.10"/>
    <tableColumn id="92" name="d2016.11"/>
    <tableColumn id="93" name="d2016.12"/>
    <tableColumn id="94" name="d2016.FY" dataDxfId="377">
      <calculatedColumnFormula>SUM(t_Plants[[#This Row],[d2016.01]:[d2016.12]])</calculatedColumnFormula>
    </tableColumn>
    <tableColumn id="95" name="d2017" dataDxfId="376">
      <calculatedColumnFormula>t_Plants[[#This Row],[d2016.FY]]</calculatedColumnFormula>
    </tableColumn>
    <tableColumn id="96" name="d2018" dataDxfId="375">
      <calculatedColumnFormula>t_Plants[[#This Row],[d2016.FY]]</calculatedColumnFormula>
    </tableColumn>
    <tableColumn id="97" name="d2019" dataDxfId="374">
      <calculatedColumnFormula>t_Plants[[#This Row],[d2016.FY]]</calculatedColumnFormula>
    </tableColumn>
    <tableColumn id="8" name="o2015.01"/>
    <tableColumn id="9" name="o2015.02"/>
    <tableColumn id="10" name="o2015.03"/>
    <tableColumn id="27" name="o2015.04"/>
    <tableColumn id="28" name="o2015.05"/>
    <tableColumn id="29" name="o2015.06"/>
    <tableColumn id="30" name="o2015.07"/>
    <tableColumn id="31" name="o2015.08"/>
    <tableColumn id="32" name="o2015.09"/>
    <tableColumn id="33" name="o2015.10"/>
    <tableColumn id="34" name="o2015.11"/>
    <tableColumn id="35" name="o2015.12"/>
    <tableColumn id="36" name="o2015.FY" dataDxfId="373">
      <calculatedColumnFormula>SUM(t_Plants[[#This Row],[o2015.01]:[o2015.12]])</calculatedColumnFormula>
    </tableColumn>
    <tableColumn id="98" name="o2016.01"/>
    <tableColumn id="99" name="o2016.02"/>
    <tableColumn id="100" name="o2016.03"/>
    <tableColumn id="101" name="o2016.04"/>
    <tableColumn id="102" name="o2016.05"/>
    <tableColumn id="103" name="o2016.06"/>
    <tableColumn id="104" name="o2016.07"/>
    <tableColumn id="105" name="o2016.08"/>
    <tableColumn id="106" name="o2016.09"/>
    <tableColumn id="107" name="o2016.10"/>
    <tableColumn id="108" name="o2016.11"/>
    <tableColumn id="109" name="o2016.12"/>
    <tableColumn id="110" name="o2016.FY" dataDxfId="372">
      <calculatedColumnFormula>SUM(t_Plants[[#This Row],[o2016.01]:[o2016.12]])</calculatedColumnFormula>
    </tableColumn>
    <tableColumn id="113" name="o2017" dataDxfId="371">
      <calculatedColumnFormula>t_Plants[[#This Row],[o2016.FY]]</calculatedColumnFormula>
    </tableColumn>
    <tableColumn id="114" name="o2018" dataDxfId="370">
      <calculatedColumnFormula>t_Plants[[#This Row],[o2016.FY]]</calculatedColumnFormula>
    </tableColumn>
    <tableColumn id="112" name="o2019" dataDxfId="369">
      <calculatedColumnFormula>t_Plants[[#This Row],[o2016.FY]]</calculatedColumnFormula>
    </tableColumn>
    <tableColumn id="3" name="a2015.01" dataDxfId="368">
      <calculatedColumnFormula>t_Plants[[#This Row],[d2015.01]]-t_Plants[[#This Row],[o2015.01]]</calculatedColumnFormula>
    </tableColumn>
    <tableColumn id="14" name="a2015.02">
      <calculatedColumnFormula>t_Plants[[#This Row],[d2015.02]]-t_Plants[[#This Row],[o2015.02]]</calculatedColumnFormula>
    </tableColumn>
    <tableColumn id="15" name="a2015.03">
      <calculatedColumnFormula>t_Plants[[#This Row],[d2015.03]]-t_Plants[[#This Row],[o2015.03]]</calculatedColumnFormula>
    </tableColumn>
    <tableColumn id="16" name="a2015.04">
      <calculatedColumnFormula>t_Plants[[#This Row],[d2015.04]]-t_Plants[[#This Row],[o2015.04]]</calculatedColumnFormula>
    </tableColumn>
    <tableColumn id="37" name="a2015.05">
      <calculatedColumnFormula>t_Plants[[#This Row],[d2015.05]]-t_Plants[[#This Row],[o2015.05]]</calculatedColumnFormula>
    </tableColumn>
    <tableColumn id="38" name="a2015.06">
      <calculatedColumnFormula>t_Plants[[#This Row],[d2015.06]]-t_Plants[[#This Row],[o2015.06]]</calculatedColumnFormula>
    </tableColumn>
    <tableColumn id="39" name="a2015.07">
      <calculatedColumnFormula>t_Plants[[#This Row],[d2015.07]]-t_Plants[[#This Row],[o2015.07]]</calculatedColumnFormula>
    </tableColumn>
    <tableColumn id="40" name="a2015.08">
      <calculatedColumnFormula>t_Plants[[#This Row],[d2015.08]]-t_Plants[[#This Row],[o2015.08]]</calculatedColumnFormula>
    </tableColumn>
    <tableColumn id="41" name="a2015.09">
      <calculatedColumnFormula>t_Plants[[#This Row],[d2015.09]]-t_Plants[[#This Row],[o2015.09]]</calculatedColumnFormula>
    </tableColumn>
    <tableColumn id="42" name="a2015.10">
      <calculatedColumnFormula>t_Plants[[#This Row],[d2015.10]]-t_Plants[[#This Row],[o2015.10]]</calculatedColumnFormula>
    </tableColumn>
    <tableColumn id="43" name="a2015.11">
      <calculatedColumnFormula>t_Plants[[#This Row],[d2015.11]]-t_Plants[[#This Row],[o2015.11]]</calculatedColumnFormula>
    </tableColumn>
    <tableColumn id="44" name="a2015.12">
      <calculatedColumnFormula>t_Plants[[#This Row],[d2015.12]]-t_Plants[[#This Row],[o2015.12]]</calculatedColumnFormula>
    </tableColumn>
    <tableColumn id="45" name="a2015.FY">
      <calculatedColumnFormula>t_Plants[[#This Row],[d2015.FY]]-t_Plants[[#This Row],[o2015.FY]]</calculatedColumnFormula>
    </tableColumn>
    <tableColumn id="115" name="a2016.01" dataDxfId="367">
      <calculatedColumnFormula>t_Plants[[#This Row],[d2016.01]]-t_Plants[[#This Row],[o2016.01]]</calculatedColumnFormula>
    </tableColumn>
    <tableColumn id="116" name="a2016.02">
      <calculatedColumnFormula>t_Plants[[#This Row],[d2016.02]]-t_Plants[[#This Row],[o2016.02]]</calculatedColumnFormula>
    </tableColumn>
    <tableColumn id="117" name="a2016.03">
      <calculatedColumnFormula>t_Plants[[#This Row],[d2016.03]]-t_Plants[[#This Row],[o2016.03]]</calculatedColumnFormula>
    </tableColumn>
    <tableColumn id="118" name="a2016.04">
      <calculatedColumnFormula>t_Plants[[#This Row],[d2016.04]]-t_Plants[[#This Row],[o2016.04]]</calculatedColumnFormula>
    </tableColumn>
    <tableColumn id="119" name="a2016.05">
      <calculatedColumnFormula>t_Plants[[#This Row],[d2016.05]]-t_Plants[[#This Row],[o2016.05]]</calculatedColumnFormula>
    </tableColumn>
    <tableColumn id="120" name="a2016.06">
      <calculatedColumnFormula>t_Plants[[#This Row],[d2016.06]]-t_Plants[[#This Row],[o2016.06]]</calculatedColumnFormula>
    </tableColumn>
    <tableColumn id="121" name="a2016.07">
      <calculatedColumnFormula>t_Plants[[#This Row],[d2016.07]]-t_Plants[[#This Row],[o2016.07]]</calculatedColumnFormula>
    </tableColumn>
    <tableColumn id="122" name="a2016.08">
      <calculatedColumnFormula>t_Plants[[#This Row],[d2016.08]]-t_Plants[[#This Row],[o2016.08]]</calculatedColumnFormula>
    </tableColumn>
    <tableColumn id="123" name="a2016.09">
      <calculatedColumnFormula>t_Plants[[#This Row],[d2016.09]]-t_Plants[[#This Row],[o2016.09]]</calculatedColumnFormula>
    </tableColumn>
    <tableColumn id="124" name="a2016.10">
      <calculatedColumnFormula>t_Plants[[#This Row],[d2016.10]]-t_Plants[[#This Row],[o2016.10]]</calculatedColumnFormula>
    </tableColumn>
    <tableColumn id="125" name="a2016.11">
      <calculatedColumnFormula>t_Plants[[#This Row],[d2016.11]]-t_Plants[[#This Row],[o2016.11]]</calculatedColumnFormula>
    </tableColumn>
    <tableColumn id="126" name="a2016.12">
      <calculatedColumnFormula>t_Plants[[#This Row],[d2016.12]]-t_Plants[[#This Row],[o2016.12]]</calculatedColumnFormula>
    </tableColumn>
    <tableColumn id="127" name="a2016.FY" dataDxfId="366">
      <calculatedColumnFormula>SUM(t_Plants[[#This Row],[a2016.01]:[a2016.12]])</calculatedColumnFormula>
    </tableColumn>
    <tableColumn id="128" name="a2017" dataDxfId="365">
      <calculatedColumnFormula>t_Plants[[#This Row],[a2016.FY]]</calculatedColumnFormula>
    </tableColumn>
    <tableColumn id="130" name="a2018" dataDxfId="364">
      <calculatedColumnFormula>t_Plants[[#This Row],[a2016.FY]]</calculatedColumnFormula>
    </tableColumn>
    <tableColumn id="129" name="a2019" dataDxfId="363">
      <calculatedColumnFormula>t_Plants[[#This Row],[a2016.FY]]</calculatedColumnFormula>
    </tableColumn>
    <tableColumn id="11" name="h2015.01" dataDxfId="362">
      <calculatedColumnFormula>t_Plants[[#This Row],[a2015.01]]*t_Plants[[OperHrsPerDay]:[OperHrsPerDay]]</calculatedColumnFormula>
    </tableColumn>
    <tableColumn id="12" name="h2015.02" dataDxfId="361">
      <calculatedColumnFormula>t_Plants[[#This Row],[a2015.02]]*t_Plants[[OperHrsPerDay]:[OperHrsPerDay]]</calculatedColumnFormula>
    </tableColumn>
    <tableColumn id="47" name="h2015.03" dataDxfId="360">
      <calculatedColumnFormula>t_Plants[[#This Row],[a2015.03]]*t_Plants[[OperHrsPerDay]:[OperHrsPerDay]]</calculatedColumnFormula>
    </tableColumn>
    <tableColumn id="48" name="h2015.04" dataDxfId="359">
      <calculatedColumnFormula>t_Plants[[#This Row],[a2015.04]]*t_Plants[[OperHrsPerDay]:[OperHrsPerDay]]</calculatedColumnFormula>
    </tableColumn>
    <tableColumn id="49" name="h2015.05" dataDxfId="358">
      <calculatedColumnFormula>t_Plants[[#This Row],[a2015.05]]*t_Plants[[OperHrsPerDay]:[OperHrsPerDay]]</calculatedColumnFormula>
    </tableColumn>
    <tableColumn id="50" name="h2015.06" dataDxfId="357">
      <calculatedColumnFormula>t_Plants[[#This Row],[a2015.06]]*t_Plants[[OperHrsPerDay]:[OperHrsPerDay]]</calculatedColumnFormula>
    </tableColumn>
    <tableColumn id="51" name="h2015.07" dataDxfId="356">
      <calculatedColumnFormula>t_Plants[[#This Row],[a2015.07]]*t_Plants[[OperHrsPerDay]:[OperHrsPerDay]]</calculatedColumnFormula>
    </tableColumn>
    <tableColumn id="52" name="h2015.08" dataDxfId="355">
      <calculatedColumnFormula>t_Plants[[#This Row],[a2015.08]]*t_Plants[[OperHrsPerDay]:[OperHrsPerDay]]</calculatedColumnFormula>
    </tableColumn>
    <tableColumn id="53" name="h2015.09" dataDxfId="354">
      <calculatedColumnFormula>t_Plants[[#This Row],[a2015.09]]*t_Plants[[OperHrsPerDay]:[OperHrsPerDay]]</calculatedColumnFormula>
    </tableColumn>
    <tableColumn id="54" name="h2015.10" dataDxfId="353">
      <calculatedColumnFormula>t_Plants[[#This Row],[a2015.10]]*t_Plants[[OperHrsPerDay]:[OperHrsPerDay]]</calculatedColumnFormula>
    </tableColumn>
    <tableColumn id="55" name="h2015.11" dataDxfId="352">
      <calculatedColumnFormula>t_Plants[[#This Row],[a2015.11]]*t_Plants[[OperHrsPerDay]:[OperHrsPerDay]]</calculatedColumnFormula>
    </tableColumn>
    <tableColumn id="56" name="h2015.12" dataDxfId="351">
      <calculatedColumnFormula>t_Plants[[#This Row],[a2015.12]]*t_Plants[[OperHrsPerDay]:[OperHrsPerDay]]</calculatedColumnFormula>
    </tableColumn>
    <tableColumn id="57" name="h2015.FY" dataDxfId="350">
      <calculatedColumnFormula>SUM(t_Plants[[#This Row],[h2015.01]:[h2015.12]])</calculatedColumnFormula>
    </tableColumn>
    <tableColumn id="162" name="h2016.01" dataDxfId="349">
      <calculatedColumnFormula>t_Plants[[#This Row],[a2016.01]]*t_Plants[[OperHrsPerDay]:[OperHrsPerDay]]</calculatedColumnFormula>
    </tableColumn>
    <tableColumn id="163" name="h2016.02">
      <calculatedColumnFormula>t_Plants[[#This Row],[a2016.02]]*t_Plants[[OperHrsPerDay]:[OperHrsPerDay]]</calculatedColumnFormula>
    </tableColumn>
    <tableColumn id="164" name="h2016.03">
      <calculatedColumnFormula>t_Plants[[#This Row],[a2016.03]]*t_Plants[[OperHrsPerDay]:[OperHrsPerDay]]</calculatedColumnFormula>
    </tableColumn>
    <tableColumn id="165" name="h2016.04">
      <calculatedColumnFormula>t_Plants[[#This Row],[a2016.04]]*t_Plants[[OperHrsPerDay]:[OperHrsPerDay]]</calculatedColumnFormula>
    </tableColumn>
    <tableColumn id="166" name="h2016.05">
      <calculatedColumnFormula>t_Plants[[#This Row],[a2016.05]]*t_Plants[[OperHrsPerDay]:[OperHrsPerDay]]</calculatedColumnFormula>
    </tableColumn>
    <tableColumn id="167" name="h2016.06">
      <calculatedColumnFormula>t_Plants[[#This Row],[a2016.06]]*t_Plants[[OperHrsPerDay]:[OperHrsPerDay]]</calculatedColumnFormula>
    </tableColumn>
    <tableColumn id="168" name="h2016.07">
      <calculatedColumnFormula>t_Plants[[#This Row],[a2016.07]]*t_Plants[[OperHrsPerDay]:[OperHrsPerDay]]</calculatedColumnFormula>
    </tableColumn>
    <tableColumn id="169" name="h2016.08">
      <calculatedColumnFormula>t_Plants[[#This Row],[a2016.08]]*t_Plants[[OperHrsPerDay]:[OperHrsPerDay]]</calculatedColumnFormula>
    </tableColumn>
    <tableColumn id="170" name="h2016.09">
      <calculatedColumnFormula>t_Plants[[#This Row],[a2016.09]]*t_Plants[[OperHrsPerDay]:[OperHrsPerDay]]</calculatedColumnFormula>
    </tableColumn>
    <tableColumn id="171" name="h2016.10">
      <calculatedColumnFormula>t_Plants[[#This Row],[a2016.10]]*t_Plants[[OperHrsPerDay]:[OperHrsPerDay]]</calculatedColumnFormula>
    </tableColumn>
    <tableColumn id="172" name="h2016.11">
      <calculatedColumnFormula>t_Plants[[#This Row],[a2016.11]]*t_Plants[[OperHrsPerDay]:[OperHrsPerDay]]</calculatedColumnFormula>
    </tableColumn>
    <tableColumn id="173" name="h2016.12">
      <calculatedColumnFormula>t_Plants[[#This Row],[a2016.12]]*t_Plants[[OperHrsPerDay]:[OperHrsPerDay]]</calculatedColumnFormula>
    </tableColumn>
    <tableColumn id="178" name="h2016.FY">
      <calculatedColumnFormula>t_Plants[[#This Row],[a2016.FY]]*t_Plants[[OperHrsPerDay]:[OperHrsPerDay]]</calculatedColumnFormula>
    </tableColumn>
    <tableColumn id="174" name="h2017">
      <calculatedColumnFormula>t_Plants[[#This Row],[a2017]]*t_Plants[[OperHrsPerDay]:[OperHrsPerDay]]</calculatedColumnFormula>
    </tableColumn>
    <tableColumn id="175" name="h2018">
      <calculatedColumnFormula>t_Plants[[#This Row],[a2018]]*t_Plants[[OperHrsPerDay]:[OperHrsPerDay]]</calculatedColumnFormula>
    </tableColumn>
    <tableColumn id="176" name="h2019">
      <calculatedColumnFormula>t_Plants[[#This Row],[a2019]]*t_Plants[[OperHrsPerDay]:[OperHrsPerDay]]</calculatedColumnFormula>
    </tableColumn>
    <tableColumn id="71" name="p2015.01" dataDxfId="348">
      <calculatedColumnFormula>SUMIF(r_Press_Plants,t_Plants[[Plant]:[Plant]],t_Presses[hp2015.01])</calculatedColumnFormula>
    </tableColumn>
    <tableColumn id="72" name="p2015.02">
      <calculatedColumnFormula>SUMIF(r_Press_Plants,t_Plants[[Plant]:[Plant]],t_Presses[hp2015.02])</calculatedColumnFormula>
    </tableColumn>
    <tableColumn id="73" name="p2015.03">
      <calculatedColumnFormula>SUMIF(r_Press_Plants,t_Plants[[Plant]:[Plant]],t_Presses[hp2015.03])</calculatedColumnFormula>
    </tableColumn>
    <tableColumn id="74" name="p2015.04">
      <calculatedColumnFormula>SUMIF(r_Press_Plants,t_Plants[[Plant]:[Plant]],t_Presses[hp2015.04])</calculatedColumnFormula>
    </tableColumn>
    <tableColumn id="75" name="p2015.05">
      <calculatedColumnFormula>SUMIF(r_Press_Plants,t_Plants[[Plant]:[Plant]],t_Presses[hp2015.05])</calculatedColumnFormula>
    </tableColumn>
    <tableColumn id="76" name="p2015.06">
      <calculatedColumnFormula>SUMIF(r_Press_Plants,t_Plants[[Plant]:[Plant]],t_Presses[hp2015.06])</calculatedColumnFormula>
    </tableColumn>
    <tableColumn id="77" name="p2015.07">
      <calculatedColumnFormula>SUMIF(r_Press_Plants,t_Plants[[Plant]:[Plant]],t_Presses[hp2015.07])</calculatedColumnFormula>
    </tableColumn>
    <tableColumn id="78" name="p2015.08">
      <calculatedColumnFormula>SUMIF(r_Press_Plants,t_Plants[[Plant]:[Plant]],t_Presses[hp2015.08])</calculatedColumnFormula>
    </tableColumn>
    <tableColumn id="79" name="p2015.09">
      <calculatedColumnFormula>SUMIF(r_Press_Plants,t_Plants[[Plant]:[Plant]],t_Presses[hp2015.09])</calculatedColumnFormula>
    </tableColumn>
    <tableColumn id="80" name="p2015.10">
      <calculatedColumnFormula>SUMIF(r_Press_Plants,t_Plants[[Plant]:[Plant]],t_Presses[hp2015.10])</calculatedColumnFormula>
    </tableColumn>
    <tableColumn id="81" name="p2015.11">
      <calculatedColumnFormula>SUMIF(r_Press_Plants,t_Plants[[Plant]:[Plant]],t_Presses[hp2015.11])</calculatedColumnFormula>
    </tableColumn>
    <tableColumn id="82" name="p2015.12">
      <calculatedColumnFormula>SUMIF(r_Press_Plants,t_Plants[[Plant]:[Plant]],t_Presses[hp2015.12])</calculatedColumnFormula>
    </tableColumn>
    <tableColumn id="83" name="p2015.FY">
      <calculatedColumnFormula>SUMIF(r_Press_Plants,t_Plants[[Plant]:[Plant]],t_Presses[hp2015.FY])</calculatedColumnFormula>
    </tableColumn>
    <tableColumn id="111" name="p2016.01" dataDxfId="347">
      <calculatedColumnFormula>SUMIF(r_Press_Plants,t_Plants[[Plant]:[Plant]],t_Presses[hp2016.01])</calculatedColumnFormula>
    </tableColumn>
    <tableColumn id="131" name="p2016.02" dataDxfId="346">
      <calculatedColumnFormula>SUMIF(r_Press_Plants,t_Plants[[Plant]:[Plant]],t_Presses[hp2016.02])</calculatedColumnFormula>
    </tableColumn>
    <tableColumn id="132" name="p2016.03" dataDxfId="345">
      <calculatedColumnFormula>SUMIF(r_Press_Plants,t_Plants[[Plant]:[Plant]],t_Presses[hp2016.03])</calculatedColumnFormula>
    </tableColumn>
    <tableColumn id="133" name="p2016.04" dataDxfId="344">
      <calculatedColumnFormula>SUMIF(r_Press_Plants,t_Plants[[Plant]:[Plant]],t_Presses[hp2016.04])</calculatedColumnFormula>
    </tableColumn>
    <tableColumn id="134" name="p2016.05" dataDxfId="343">
      <calculatedColumnFormula>SUMIF(r_Press_Plants,t_Plants[[Plant]:[Plant]],t_Presses[hp2016.05])</calculatedColumnFormula>
    </tableColumn>
    <tableColumn id="135" name="p2016.06" dataDxfId="342">
      <calculatedColumnFormula>SUMIF(r_Press_Plants,t_Plants[[Plant]:[Plant]],t_Presses[hp2016.06])</calculatedColumnFormula>
    </tableColumn>
    <tableColumn id="136" name="p2016.07" dataDxfId="341">
      <calculatedColumnFormula>SUMIF(r_Press_Plants,t_Plants[[Plant]:[Plant]],t_Presses[hp2016.07])</calculatedColumnFormula>
    </tableColumn>
    <tableColumn id="137" name="p2016.08" dataDxfId="340">
      <calculatedColumnFormula>SUMIF(r_Press_Plants,t_Plants[[Plant]:[Plant]],t_Presses[hp2016.08])</calculatedColumnFormula>
    </tableColumn>
    <tableColumn id="138" name="p2016.09" dataDxfId="339">
      <calculatedColumnFormula>SUMIF(r_Press_Plants,t_Plants[[Plant]:[Plant]],t_Presses[hp2016.09])</calculatedColumnFormula>
    </tableColumn>
    <tableColumn id="139" name="p2016.10" dataDxfId="338">
      <calculatedColumnFormula>SUMIF(r_Press_Plants,t_Plants[[Plant]:[Plant]],t_Presses[hp2016.10])</calculatedColumnFormula>
    </tableColumn>
    <tableColumn id="140" name="p2016.11" dataDxfId="337">
      <calculatedColumnFormula>SUMIF(r_Press_Plants,t_Plants[[Plant]:[Plant]],t_Presses[hp2016.11])</calculatedColumnFormula>
    </tableColumn>
    <tableColumn id="141" name="p2016.12" dataDxfId="336">
      <calculatedColumnFormula>SUMIF(r_Press_Plants,t_Plants[[Plant]:[Plant]],t_Presses[hp2016.12])</calculatedColumnFormula>
    </tableColumn>
    <tableColumn id="142" name="p2016.FY" dataDxfId="335">
      <calculatedColumnFormula>SUMIF(r_Press_Plants,t_Plants[[Plant]:[Plant]],t_Presses[hp2016.FY])</calculatedColumnFormula>
    </tableColumn>
    <tableColumn id="143" name="p2017" dataDxfId="334">
      <calculatedColumnFormula>SUMIF(r_Press_Plants,t_Plants[[Plant]:[Plant]],t_Presses[hp2017])</calculatedColumnFormula>
    </tableColumn>
    <tableColumn id="144" name="p2018" dataDxfId="333">
      <calculatedColumnFormula>SUMIF(r_Press_Plants,t_Plants[[Plant]:[Plant]],t_Presses[hp2018])</calculatedColumnFormula>
    </tableColumn>
    <tableColumn id="145" name="p2019" dataDxfId="332">
      <calculatedColumnFormula>SUMIF(r_Press_Plants,t_Plants[[Plant]:[Plant]],t_Presses[hp2019])</calculatedColumnFormula>
    </tableColumn>
    <tableColumn id="58" name="2015.01" dataDxfId="331">
      <calculatedColumnFormula>t_Plants[[#This Row],[p2015.01]]/t_Plants[[#This Row],[h2015.01]]</calculatedColumnFormula>
    </tableColumn>
    <tableColumn id="59" name="2015.02" dataDxfId="330" dataCellStyle="Percent">
      <calculatedColumnFormula>t_Plants[[#This Row],[p2015.02]]/t_Plants[[#This Row],[h2015.02]]</calculatedColumnFormula>
    </tableColumn>
    <tableColumn id="60" name="2015.03" dataDxfId="329" dataCellStyle="Percent">
      <calculatedColumnFormula>t_Plants[[#This Row],[p2015.03]]/t_Plants[[#This Row],[h2015.03]]</calculatedColumnFormula>
    </tableColumn>
    <tableColumn id="61" name="2015.04" dataDxfId="328" dataCellStyle="Percent">
      <calculatedColumnFormula>t_Plants[[#This Row],[p2015.04]]/t_Plants[[#This Row],[h2015.04]]</calculatedColumnFormula>
    </tableColumn>
    <tableColumn id="62" name="2015.05" dataDxfId="327" dataCellStyle="Percent">
      <calculatedColumnFormula>t_Plants[[#This Row],[p2015.05]]/t_Plants[[#This Row],[h2015.05]]</calculatedColumnFormula>
    </tableColumn>
    <tableColumn id="63" name="2015.06" dataDxfId="326" dataCellStyle="Percent">
      <calculatedColumnFormula>t_Plants[[#This Row],[p2015.06]]/t_Plants[[#This Row],[h2015.06]]</calculatedColumnFormula>
    </tableColumn>
    <tableColumn id="64" name="2015.07" dataDxfId="325" dataCellStyle="Percent">
      <calculatedColumnFormula>t_Plants[[#This Row],[p2015.07]]/t_Plants[[#This Row],[h2015.07]]</calculatedColumnFormula>
    </tableColumn>
    <tableColumn id="65" name="2015.08" dataDxfId="324" dataCellStyle="Percent">
      <calculatedColumnFormula>t_Plants[[#This Row],[p2015.08]]/t_Plants[[#This Row],[h2015.08]]</calculatedColumnFormula>
    </tableColumn>
    <tableColumn id="66" name="2015.09" dataDxfId="323" dataCellStyle="Percent">
      <calculatedColumnFormula>t_Plants[[#This Row],[p2015.09]]/t_Plants[[#This Row],[h2015.09]]</calculatedColumnFormula>
    </tableColumn>
    <tableColumn id="67" name="2015.10" dataDxfId="322" dataCellStyle="Percent">
      <calculatedColumnFormula>t_Plants[[#This Row],[p2015.10]]/t_Plants[[#This Row],[h2015.10]]</calculatedColumnFormula>
    </tableColumn>
    <tableColumn id="68" name="2015.11" dataDxfId="321" dataCellStyle="Percent">
      <calculatedColumnFormula>t_Plants[[#This Row],[p2015.11]]/t_Plants[[#This Row],[h2015.11]]</calculatedColumnFormula>
    </tableColumn>
    <tableColumn id="69" name="2015.12" dataDxfId="320" dataCellStyle="Percent">
      <calculatedColumnFormula>t_Plants[[#This Row],[p2015.12]]/t_Plants[[#This Row],[h2015.12]]</calculatedColumnFormula>
    </tableColumn>
    <tableColumn id="70" name="2015" dataDxfId="319" dataCellStyle="Percent">
      <calculatedColumnFormula>t_Plants[[#This Row],[p2015.FY]]/t_Plants[[#This Row],[h2015.FY]]</calculatedColumnFormula>
    </tableColumn>
    <tableColumn id="146" name="2016.01" dataDxfId="318" dataCellStyle="Percent">
      <calculatedColumnFormula>t_Plants[[#This Row],[p2016.01]]/t_Plants[[#This Row],[h2016.01]]</calculatedColumnFormula>
    </tableColumn>
    <tableColumn id="147" name="2016.02" dataDxfId="317" dataCellStyle="Percent">
      <calculatedColumnFormula>t_Plants[[#This Row],[p2016.02]]/t_Plants[[#This Row],[h2016.02]]</calculatedColumnFormula>
    </tableColumn>
    <tableColumn id="148" name="2016.03" dataDxfId="316" dataCellStyle="Percent">
      <calculatedColumnFormula>t_Plants[[#This Row],[p2016.03]]/t_Plants[[#This Row],[h2016.03]]</calculatedColumnFormula>
    </tableColumn>
    <tableColumn id="149" name="2016.04" dataDxfId="315" dataCellStyle="Percent">
      <calculatedColumnFormula>t_Plants[[#This Row],[p2016.04]]/t_Plants[[#This Row],[h2016.04]]</calculatedColumnFormula>
    </tableColumn>
    <tableColumn id="150" name="2016.05" dataDxfId="314" dataCellStyle="Percent">
      <calculatedColumnFormula>t_Plants[[#This Row],[p2016.05]]/t_Plants[[#This Row],[h2016.05]]</calculatedColumnFormula>
    </tableColumn>
    <tableColumn id="151" name="2016.06" dataDxfId="313" dataCellStyle="Percent">
      <calculatedColumnFormula>t_Plants[[#This Row],[p2016.06]]/t_Plants[[#This Row],[h2016.06]]</calculatedColumnFormula>
    </tableColumn>
    <tableColumn id="152" name="2016.07" dataDxfId="312" dataCellStyle="Percent">
      <calculatedColumnFormula>t_Plants[[#This Row],[p2016.07]]/t_Plants[[#This Row],[h2016.07]]</calculatedColumnFormula>
    </tableColumn>
    <tableColumn id="153" name="2016.08" dataDxfId="311" dataCellStyle="Percent">
      <calculatedColumnFormula>t_Plants[[#This Row],[p2016.08]]/t_Plants[[#This Row],[h2016.08]]</calculatedColumnFormula>
    </tableColumn>
    <tableColumn id="154" name="2016.09" dataDxfId="310" dataCellStyle="Percent">
      <calculatedColumnFormula>t_Plants[[#This Row],[p2016.09]]/t_Plants[[#This Row],[h2016.09]]</calculatedColumnFormula>
    </tableColumn>
    <tableColumn id="155" name="2016.10" dataDxfId="309" dataCellStyle="Percent">
      <calculatedColumnFormula>t_Plants[[#This Row],[p2016.10]]/t_Plants[[#This Row],[h2016.10]]</calculatedColumnFormula>
    </tableColumn>
    <tableColumn id="156" name="2016.11" dataDxfId="308" dataCellStyle="Percent">
      <calculatedColumnFormula>t_Plants[[#This Row],[p2016.11]]/t_Plants[[#This Row],[h2016.11]]</calculatedColumnFormula>
    </tableColumn>
    <tableColumn id="157" name="2016.12" dataDxfId="307" dataCellStyle="Percent">
      <calculatedColumnFormula>t_Plants[[#This Row],[p2016.12]]/t_Plants[[#This Row],[h2016.12]]</calculatedColumnFormula>
    </tableColumn>
    <tableColumn id="158" name="2016" dataDxfId="306" dataCellStyle="Percent">
      <calculatedColumnFormula>t_Plants[[#This Row],[p2016.FY]]/t_Plants[[#This Row],[h2016.FY]]</calculatedColumnFormula>
    </tableColumn>
    <tableColumn id="159" name="2017" dataDxfId="305" dataCellStyle="Percent">
      <calculatedColumnFormula>t_Plants[[#This Row],[p2017]]/t_Plants[[#This Row],[h2017]]</calculatedColumnFormula>
    </tableColumn>
    <tableColumn id="160" name="2018" dataDxfId="304" dataCellStyle="Percent">
      <calculatedColumnFormula>t_Plants[[#This Row],[p2018]]/t_Plants[[#This Row],[h2018]]</calculatedColumnFormula>
    </tableColumn>
    <tableColumn id="161" name="2019" dataDxfId="303" dataCellStyle="Percent">
      <calculatedColumnFormula>t_Plants[[#This Row],[p2019]]/t_Plants[[#This Row],[h2019]]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4:CK9" totalsRowShown="0" dataDxfId="302" headerRowCellStyle="Neutral" dataCellStyle="Percent">
  <autoFilter ref="A4:CK9"/>
  <tableColumns count="89">
    <tableColumn id="1" name="Group"/>
    <tableColumn id="2" name="Tonnage Range" dataDxfId="301"/>
    <tableColumn id="3" name="ha2015.01" dataDxfId="300">
      <calculatedColumnFormula>SUMIF(r_Press_Tonnage,Table4[[Tonnage Range]:[Tonnage Range]],t_Presses[ha2015.01])</calculatedColumnFormula>
    </tableColumn>
    <tableColumn id="4" name="ha2015.02"/>
    <tableColumn id="5" name="ha2015.03"/>
    <tableColumn id="6" name="ha2015.04"/>
    <tableColumn id="7" name="ha2015.05"/>
    <tableColumn id="8" name="ha2015.06"/>
    <tableColumn id="9" name="ha2015.07"/>
    <tableColumn id="10" name="ha2015.08"/>
    <tableColumn id="11" name="ha2015.09"/>
    <tableColumn id="12" name="ha2015.10"/>
    <tableColumn id="13" name="ha2015.11"/>
    <tableColumn id="14" name="ha2015.12"/>
    <tableColumn id="15" name="ha2015.FY" dataDxfId="299"/>
    <tableColumn id="42" name="ha2016.01" dataDxfId="298">
      <calculatedColumnFormula>SUMIF(r_Press_Tonnage,Table4[[Tonnage Range]:[Tonnage Range]],t_Presses[ha2016.01])</calculatedColumnFormula>
    </tableColumn>
    <tableColumn id="43" name="ha2016.02">
      <calculatedColumnFormula>SUMIF(r_Press_Tonnage,Table4[[Tonnage Range]:[Tonnage Range]],t_Presses[ha2016.02])</calculatedColumnFormula>
    </tableColumn>
    <tableColumn id="44" name="ha2016.03">
      <calculatedColumnFormula>SUMIF(r_Press_Tonnage,Table4[[Tonnage Range]:[Tonnage Range]],t_Presses[ha2016.03])</calculatedColumnFormula>
    </tableColumn>
    <tableColumn id="45" name="ha2016.04">
      <calculatedColumnFormula>SUMIF(r_Press_Tonnage,Table4[[Tonnage Range]:[Tonnage Range]],t_Presses[ha2016.04])</calculatedColumnFormula>
    </tableColumn>
    <tableColumn id="46" name="ha2016.05">
      <calculatedColumnFormula>SUMIF(r_Press_Tonnage,Table4[[Tonnage Range]:[Tonnage Range]],t_Presses[ha2016.05])</calculatedColumnFormula>
    </tableColumn>
    <tableColumn id="47" name="ha2016.06">
      <calculatedColumnFormula>SUMIF(r_Press_Tonnage,Table4[[Tonnage Range]:[Tonnage Range]],t_Presses[ha2016.06])</calculatedColumnFormula>
    </tableColumn>
    <tableColumn id="48" name="ha2016.07">
      <calculatedColumnFormula>SUMIF(r_Press_Tonnage,Table4[[Tonnage Range]:[Tonnage Range]],t_Presses[ha2016.07])</calculatedColumnFormula>
    </tableColumn>
    <tableColumn id="49" name="ha2016.08">
      <calculatedColumnFormula>SUMIF(r_Press_Tonnage,Table4[[Tonnage Range]:[Tonnage Range]],t_Presses[ha2016.08])</calculatedColumnFormula>
    </tableColumn>
    <tableColumn id="50" name="ha2016.09">
      <calculatedColumnFormula>SUMIF(r_Press_Tonnage,Table4[[Tonnage Range]:[Tonnage Range]],t_Presses[ha2016.09])</calculatedColumnFormula>
    </tableColumn>
    <tableColumn id="51" name="ha2016.10">
      <calculatedColumnFormula>SUMIF(r_Press_Tonnage,Table4[[Tonnage Range]:[Tonnage Range]],t_Presses[ha2016.10])</calculatedColumnFormula>
    </tableColumn>
    <tableColumn id="52" name="ha2016.11">
      <calculatedColumnFormula>SUMIF(r_Press_Tonnage,Table4[[Tonnage Range]:[Tonnage Range]],t_Presses[ha2016.11])</calculatedColumnFormula>
    </tableColumn>
    <tableColumn id="53" name="ha2016.12">
      <calculatedColumnFormula>SUMIF(r_Press_Tonnage,Table4[[Tonnage Range]:[Tonnage Range]],t_Presses[ha2016.12])</calculatedColumnFormula>
    </tableColumn>
    <tableColumn id="54" name="ha2016.FY">
      <calculatedColumnFormula>SUMIF(r_Press_Tonnage,Table4[[Tonnage Range]:[Tonnage Range]],t_Presses[ha2016.FY])</calculatedColumnFormula>
    </tableColumn>
    <tableColumn id="55" name="ha2017">
      <calculatedColumnFormula>SUMIF(r_Press_Tonnage,Table4[[Tonnage Range]:[Tonnage Range]],t_Presses[ha2017])</calculatedColumnFormula>
    </tableColumn>
    <tableColumn id="56" name="ha2018">
      <calculatedColumnFormula>SUMIF(r_Press_Tonnage,Table4[[Tonnage Range]:[Tonnage Range]],t_Presses[ha2018])</calculatedColumnFormula>
    </tableColumn>
    <tableColumn id="57" name="ha2019">
      <calculatedColumnFormula>SUMIF(r_Press_Tonnage,Table4[[Tonnage Range]:[Tonnage Range]],t_Presses[ha2019])</calculatedColumnFormula>
    </tableColumn>
    <tableColumn id="16" name="hp2015.01" dataDxfId="297" dataCellStyle="Comma">
      <calculatedColumnFormula>SUMIF(r_Press_Tonnage,Table4[[Tonnage Range]:[Tonnage Range]],t_Presses[hp2015.01])</calculatedColumnFormula>
    </tableColumn>
    <tableColumn id="17" name="hp2015.02" dataDxfId="296" dataCellStyle="Comma">
      <calculatedColumnFormula>SUMIF(r_Press_Tonnage,Table4[[Tonnage Range]:[Tonnage Range]],t_Presses[hp2015.02])</calculatedColumnFormula>
    </tableColumn>
    <tableColumn id="18" name="hp2015.03" dataDxfId="295" dataCellStyle="Comma">
      <calculatedColumnFormula>SUMIF(r_Press_Tonnage,Table4[[Tonnage Range]:[Tonnage Range]],t_Presses[hp2015.03])</calculatedColumnFormula>
    </tableColumn>
    <tableColumn id="19" name="hp2015.04" dataDxfId="294" dataCellStyle="Comma">
      <calculatedColumnFormula>SUMIF(r_Press_Tonnage,Table4[[Tonnage Range]:[Tonnage Range]],t_Presses[hp2015.04])</calculatedColumnFormula>
    </tableColumn>
    <tableColumn id="20" name="hp2015.05" dataDxfId="293" dataCellStyle="Comma">
      <calculatedColumnFormula>SUMIF(r_Press_Tonnage,Table4[[Tonnage Range]:[Tonnage Range]],t_Presses[hp2015.05])</calculatedColumnFormula>
    </tableColumn>
    <tableColumn id="21" name="hp2015.06" dataDxfId="292" dataCellStyle="Comma">
      <calculatedColumnFormula>SUMIF(r_Press_Tonnage,Table4[[Tonnage Range]:[Tonnage Range]],t_Presses[hp2015.06])</calculatedColumnFormula>
    </tableColumn>
    <tableColumn id="22" name="hp2015.07" dataDxfId="291" dataCellStyle="Comma">
      <calculatedColumnFormula>SUMIF(r_Press_Tonnage,Table4[[Tonnage Range]:[Tonnage Range]],t_Presses[hp2015.07])</calculatedColumnFormula>
    </tableColumn>
    <tableColumn id="23" name="hp2015.08" dataDxfId="290" dataCellStyle="Comma">
      <calculatedColumnFormula>SUMIF(r_Press_Tonnage,Table4[[Tonnage Range]:[Tonnage Range]],t_Presses[hp2015.08])</calculatedColumnFormula>
    </tableColumn>
    <tableColumn id="24" name="hp2015.09" dataDxfId="289" dataCellStyle="Comma">
      <calculatedColumnFormula>SUMIF(r_Press_Tonnage,Table4[[Tonnage Range]:[Tonnage Range]],t_Presses[hp2015.09])</calculatedColumnFormula>
    </tableColumn>
    <tableColumn id="25" name="hp2015.10" dataDxfId="288" dataCellStyle="Comma">
      <calculatedColumnFormula>SUMIF(r_Press_Tonnage,Table4[[Tonnage Range]:[Tonnage Range]],t_Presses[hp2015.10])</calculatedColumnFormula>
    </tableColumn>
    <tableColumn id="26" name="hp2015.11" dataDxfId="287" dataCellStyle="Comma">
      <calculatedColumnFormula>SUMIF(r_Press_Tonnage,Table4[[Tonnage Range]:[Tonnage Range]],t_Presses[hp2015.11])</calculatedColumnFormula>
    </tableColumn>
    <tableColumn id="27" name="hp2015.12" dataDxfId="286" dataCellStyle="Comma">
      <calculatedColumnFormula>SUMIF(r_Press_Tonnage,Table4[[Tonnage Range]:[Tonnage Range]],t_Presses[hp2015.12])</calculatedColumnFormula>
    </tableColumn>
    <tableColumn id="28" name="hp2015.FY" dataDxfId="285" dataCellStyle="Comma">
      <calculatedColumnFormula>SUM(Table4[[#This Row],[hp2015.01]:[hp2015.12]])</calculatedColumnFormula>
    </tableColumn>
    <tableColumn id="58" name="hp2016.01" dataDxfId="284" dataCellStyle="Comma">
      <calculatedColumnFormula>SUMIF(r_Press_Tonnage,Table4[[Tonnage Range]:[Tonnage Range]],t_Presses[hp2016.01])</calculatedColumnFormula>
    </tableColumn>
    <tableColumn id="59" name="hp2016.02" dataDxfId="283" dataCellStyle="Comma">
      <calculatedColumnFormula>SUMIF(r_Press_Tonnage,Table4[[Tonnage Range]:[Tonnage Range]],t_Presses[hp2016.02])</calculatedColumnFormula>
    </tableColumn>
    <tableColumn id="60" name="hp2016.03" dataDxfId="282" dataCellStyle="Comma">
      <calculatedColumnFormula>SUMIF(r_Press_Tonnage,Table4[[Tonnage Range]:[Tonnage Range]],t_Presses[hp2016.03])</calculatedColumnFormula>
    </tableColumn>
    <tableColumn id="61" name="hp2016.04" dataDxfId="281" dataCellStyle="Comma">
      <calculatedColumnFormula>SUMIF(r_Press_Tonnage,Table4[[Tonnage Range]:[Tonnage Range]],t_Presses[hp2016.04])</calculatedColumnFormula>
    </tableColumn>
    <tableColumn id="62" name="hp2016.05" dataDxfId="280" dataCellStyle="Comma">
      <calculatedColumnFormula>SUMIF(r_Press_Tonnage,Table4[[Tonnage Range]:[Tonnage Range]],t_Presses[hp2016.05])</calculatedColumnFormula>
    </tableColumn>
    <tableColumn id="63" name="hp2016.06" dataDxfId="279" dataCellStyle="Comma">
      <calculatedColumnFormula>SUMIF(r_Press_Tonnage,Table4[[Tonnage Range]:[Tonnage Range]],t_Presses[hp2016.06])</calculatedColumnFormula>
    </tableColumn>
    <tableColumn id="64" name="hp2016.07" dataDxfId="278" dataCellStyle="Comma">
      <calculatedColumnFormula>SUMIF(r_Press_Tonnage,Table4[[Tonnage Range]:[Tonnage Range]],t_Presses[hp2016.07])</calculatedColumnFormula>
    </tableColumn>
    <tableColumn id="65" name="hp2016.08" dataDxfId="277" dataCellStyle="Comma">
      <calculatedColumnFormula>SUMIF(r_Press_Tonnage,Table4[[Tonnage Range]:[Tonnage Range]],t_Presses[hp2016.08])</calculatedColumnFormula>
    </tableColumn>
    <tableColumn id="66" name="hp2016.09" dataDxfId="276" dataCellStyle="Comma">
      <calculatedColumnFormula>SUMIF(r_Press_Tonnage,Table4[[Tonnage Range]:[Tonnage Range]],t_Presses[hp2016.09])</calculatedColumnFormula>
    </tableColumn>
    <tableColumn id="67" name="hp2016.10" dataDxfId="275" dataCellStyle="Comma">
      <calculatedColumnFormula>SUMIF(r_Press_Tonnage,Table4[[Tonnage Range]:[Tonnage Range]],t_Presses[hp2016.10])</calculatedColumnFormula>
    </tableColumn>
    <tableColumn id="68" name="hp2016.11" dataDxfId="274" dataCellStyle="Comma">
      <calculatedColumnFormula>SUMIF(r_Press_Tonnage,Table4[[Tonnage Range]:[Tonnage Range]],t_Presses[hp2016.11])</calculatedColumnFormula>
    </tableColumn>
    <tableColumn id="69" name="hp2016.12" dataDxfId="273" dataCellStyle="Comma">
      <calculatedColumnFormula>SUMIF(r_Press_Tonnage,Table4[[Tonnage Range]:[Tonnage Range]],t_Presses[hp2016.12])</calculatedColumnFormula>
    </tableColumn>
    <tableColumn id="70" name="hp2016.FY" dataDxfId="272" dataCellStyle="Comma">
      <calculatedColumnFormula>SUMIF(r_Press_Tonnage,Table4[[Tonnage Range]:[Tonnage Range]],t_Presses[hp2016.FY])</calculatedColumnFormula>
    </tableColumn>
    <tableColumn id="71" name="hp2017" dataDxfId="271" dataCellStyle="Comma">
      <calculatedColumnFormula>SUMIF(r_Press_Tonnage,Table4[[Tonnage Range]:[Tonnage Range]],t_Presses[hp2017])</calculatedColumnFormula>
    </tableColumn>
    <tableColumn id="72" name="hp2018" dataDxfId="270" dataCellStyle="Comma">
      <calculatedColumnFormula>SUMIF(r_Press_Tonnage,Table4[[Tonnage Range]:[Tonnage Range]],t_Presses[hp2018])</calculatedColumnFormula>
    </tableColumn>
    <tableColumn id="73" name="hp2019" dataDxfId="269" dataCellStyle="Comma">
      <calculatedColumnFormula>SUMIF(r_Press_Tonnage,Table4[[Tonnage Range]:[Tonnage Range]],t_Presses[hp2019])</calculatedColumnFormula>
    </tableColumn>
    <tableColumn id="29" name="2015.01" dataDxfId="268" dataCellStyle="Percent">
      <calculatedColumnFormula>IF(Table4[[#This Row],[ha2015.01]]&gt;0,Table4[[#This Row],[hp2015.01]]/Table4[[#This Row],[ha2015.01]],0)</calculatedColumnFormula>
    </tableColumn>
    <tableColumn id="30" name="2015.02" dataDxfId="267" dataCellStyle="Percent">
      <calculatedColumnFormula>IF(Table4[[#This Row],[ha2015.02]]&gt;0,Table4[[#This Row],[hp2015.02]]/Table4[[#This Row],[ha2015.02]],0)</calculatedColumnFormula>
    </tableColumn>
    <tableColumn id="31" name="2015.03" dataDxfId="266" dataCellStyle="Percent">
      <calculatedColumnFormula>IF(Table4[[#This Row],[ha2015.03]]&gt;0,Table4[[#This Row],[hp2015.03]]/Table4[[#This Row],[ha2015.03]],0)</calculatedColumnFormula>
    </tableColumn>
    <tableColumn id="32" name="2015.04" dataDxfId="265" dataCellStyle="Percent">
      <calculatedColumnFormula>IF(Table4[[#This Row],[ha2015.04]]&gt;0,Table4[[#This Row],[hp2015.04]]/Table4[[#This Row],[ha2015.04]],0)</calculatedColumnFormula>
    </tableColumn>
    <tableColumn id="33" name="2015.05" dataDxfId="264" dataCellStyle="Percent">
      <calculatedColumnFormula>IF(Table4[[#This Row],[ha2015.05]]&gt;0,Table4[[#This Row],[hp2015.05]]/Table4[[#This Row],[ha2015.05]],0)</calculatedColumnFormula>
    </tableColumn>
    <tableColumn id="34" name="2015.06" dataDxfId="263" dataCellStyle="Percent">
      <calculatedColumnFormula>IF(Table4[[#This Row],[ha2015.06]]&gt;0,Table4[[#This Row],[hp2015.06]]/Table4[[#This Row],[ha2015.06]],0)</calculatedColumnFormula>
    </tableColumn>
    <tableColumn id="35" name="2015.07" dataDxfId="262" dataCellStyle="Percent">
      <calculatedColumnFormula>IF(Table4[[#This Row],[ha2015.07]]&gt;0,Table4[[#This Row],[hp2015.07]]/Table4[[#This Row],[ha2015.07]],0)</calculatedColumnFormula>
    </tableColumn>
    <tableColumn id="36" name="2015.08" dataDxfId="261" dataCellStyle="Percent">
      <calculatedColumnFormula>IF(Table4[[#This Row],[ha2015.08]]&gt;0,Table4[[#This Row],[hp2015.08]]/Table4[[#This Row],[ha2015.08]],0)</calculatedColumnFormula>
    </tableColumn>
    <tableColumn id="37" name="2015.09" dataDxfId="260" dataCellStyle="Percent">
      <calculatedColumnFormula>IF(Table4[[#This Row],[ha2015.09]]&gt;0,Table4[[#This Row],[hp2015.09]]/Table4[[#This Row],[ha2015.09]],0)</calculatedColumnFormula>
    </tableColumn>
    <tableColumn id="38" name="2015.10" dataDxfId="259" dataCellStyle="Percent">
      <calculatedColumnFormula>IF(Table4[[#This Row],[ha2015.10]]&gt;0,Table4[[#This Row],[hp2015.10]]/Table4[[#This Row],[ha2015.10]],0)</calculatedColumnFormula>
    </tableColumn>
    <tableColumn id="39" name="2015.11" dataDxfId="258" dataCellStyle="Percent">
      <calculatedColumnFormula>IF(Table4[[#This Row],[ha2015.11]]&gt;0,Table4[[#This Row],[hp2015.11]]/Table4[[#This Row],[ha2015.11]],0)</calculatedColumnFormula>
    </tableColumn>
    <tableColumn id="40" name="2015.12" dataDxfId="257" dataCellStyle="Percent">
      <calculatedColumnFormula>IF(Table4[[#This Row],[ha2015.12]]&gt;0,Table4[[#This Row],[hp2015.12]]/Table4[[#This Row],[ha2015.12]],0)</calculatedColumnFormula>
    </tableColumn>
    <tableColumn id="41" name="2015.FY" dataDxfId="256" dataCellStyle="Percent">
      <calculatedColumnFormula>IF(Table4[[#This Row],[ha2015.FY]]&gt;0,Table4[[#This Row],[hp2015.FY]]/Table4[[#This Row],[ha2015.FY]],0)</calculatedColumnFormula>
    </tableColumn>
    <tableColumn id="74" name="2016.01" dataDxfId="255" dataCellStyle="Percent">
      <calculatedColumnFormula>IF(Table4[[#This Row],[ha2016.01]]&gt;0,Table4[[#This Row],[hp2016.01]]/Table4[[#This Row],[ha2016.01]],0)</calculatedColumnFormula>
    </tableColumn>
    <tableColumn id="75" name="2016.02" dataDxfId="254" dataCellStyle="Percent">
      <calculatedColumnFormula>IF(Table4[[#This Row],[ha2016.02]]&gt;0,Table4[[#This Row],[hp2016.02]]/Table4[[#This Row],[ha2016.02]],0)</calculatedColumnFormula>
    </tableColumn>
    <tableColumn id="76" name="2016.03" dataDxfId="253" dataCellStyle="Percent">
      <calculatedColumnFormula>IF(Table4[[#This Row],[ha2016.03]]&gt;0,Table4[[#This Row],[hp2016.03]]/Table4[[#This Row],[ha2016.03]],0)</calculatedColumnFormula>
    </tableColumn>
    <tableColumn id="77" name="2016.04" dataDxfId="252" dataCellStyle="Percent">
      <calculatedColumnFormula>IF(Table4[[#This Row],[ha2016.04]]&gt;0,Table4[[#This Row],[hp2016.04]]/Table4[[#This Row],[ha2016.04]],0)</calculatedColumnFormula>
    </tableColumn>
    <tableColumn id="78" name="2016.05" dataDxfId="251" dataCellStyle="Percent">
      <calculatedColumnFormula>IF(Table4[[#This Row],[ha2016.05]]&gt;0,Table4[[#This Row],[hp2016.05]]/Table4[[#This Row],[ha2016.05]],0)</calculatedColumnFormula>
    </tableColumn>
    <tableColumn id="79" name="2016.06" dataDxfId="250" dataCellStyle="Percent">
      <calculatedColumnFormula>IF(Table4[[#This Row],[ha2016.06]]&gt;0,Table4[[#This Row],[hp2016.06]]/Table4[[#This Row],[ha2016.06]],0)</calculatedColumnFormula>
    </tableColumn>
    <tableColumn id="80" name="2016.07" dataDxfId="249" dataCellStyle="Percent">
      <calculatedColumnFormula>IF(Table4[[#This Row],[ha2016.07]]&gt;0,Table4[[#This Row],[hp2016.07]]/Table4[[#This Row],[ha2016.07]],0)</calculatedColumnFormula>
    </tableColumn>
    <tableColumn id="81" name="2016.08" dataDxfId="248" dataCellStyle="Percent">
      <calculatedColumnFormula>IF(Table4[[#This Row],[ha2016.08]]&gt;0,Table4[[#This Row],[hp2016.08]]/Table4[[#This Row],[ha2016.08]],0)</calculatedColumnFormula>
    </tableColumn>
    <tableColumn id="82" name="2016.09" dataDxfId="247" dataCellStyle="Percent">
      <calculatedColumnFormula>IF(Table4[[#This Row],[ha2016.09]]&gt;0,Table4[[#This Row],[hp2016.09]]/Table4[[#This Row],[ha2016.09]],0)</calculatedColumnFormula>
    </tableColumn>
    <tableColumn id="83" name="2016.10" dataDxfId="246" dataCellStyle="Percent">
      <calculatedColumnFormula>IF(Table4[[#This Row],[ha2016.10]]&gt;0,Table4[[#This Row],[hp2016.10]]/Table4[[#This Row],[ha2016.10]],0)</calculatedColumnFormula>
    </tableColumn>
    <tableColumn id="84" name="2016.11" dataDxfId="245" dataCellStyle="Percent">
      <calculatedColumnFormula>IF(Table4[[#This Row],[ha2016.11]]&gt;0,Table4[[#This Row],[hp2016.11]]/Table4[[#This Row],[ha2016.11]],0)</calculatedColumnFormula>
    </tableColumn>
    <tableColumn id="85" name="2016.12" dataDxfId="244" dataCellStyle="Percent">
      <calculatedColumnFormula>IF(Table4[[#This Row],[ha2016.12]]&gt;0,Table4[[#This Row],[hp2016.12]]/Table4[[#This Row],[ha2016.12]],0)</calculatedColumnFormula>
    </tableColumn>
    <tableColumn id="86" name="2016.FY" dataDxfId="243" dataCellStyle="Percent">
      <calculatedColumnFormula>IF(Table4[[#This Row],[ha2016.FY]]&gt;0,Table4[[#This Row],[hp2016.FY]]/Table4[[#This Row],[ha2016.FY]],0)</calculatedColumnFormula>
    </tableColumn>
    <tableColumn id="87" name="2017" dataDxfId="242" dataCellStyle="Percent">
      <calculatedColumnFormula>IF(Table4[[#This Row],[ha2017]]&gt;0,Table4[[#This Row],[hp2017]]/Table4[[#This Row],[ha2017]],0)</calculatedColumnFormula>
    </tableColumn>
    <tableColumn id="88" name="2018" dataDxfId="241" dataCellStyle="Percent">
      <calculatedColumnFormula>IF(Table4[[#This Row],[ha2018]]&gt;0,Table4[[#This Row],[hp2018]]/Table4[[#This Row],[ha2018]],0)</calculatedColumnFormula>
    </tableColumn>
    <tableColumn id="89" name="2019" dataDxfId="240" dataCellStyle="Percent">
      <calculatedColumnFormula>IF(Table4[[#This Row],[ha2019]]&gt;0,Table4[[#This Row],[hp2019]]/Table4[[#This Row],[ha2019]],0)</calculatedColumnFormula>
    </tableColumn>
  </tableColumns>
  <tableStyleInfo name="TableStyle_Capacity" showFirstColumn="0" showLastColumn="0" showRowStripes="1" showColumnStripes="0"/>
</table>
</file>

<file path=xl/tables/table3.xml><?xml version="1.0" encoding="utf-8"?>
<table xmlns="http://schemas.openxmlformats.org/spreadsheetml/2006/main" id="2" name="t_Presses" displayName="t_Presses" ref="A4:CO49" totalsRowShown="0" headerRowCellStyle="Neutral">
  <autoFilter ref="A4:CO49">
    <filterColumn colId="1">
      <filters>
        <filter val="Bond"/>
        <filter val="Plainfield"/>
      </filters>
    </filterColumn>
  </autoFilter>
  <tableColumns count="93">
    <tableColumn id="1" name="PRESS" dataDxfId="239"/>
    <tableColumn id="2" name="Plant"/>
    <tableColumn id="36" name="Type"/>
    <tableColumn id="3" name="Tonnage"/>
    <tableColumn id="4" name="Range" dataDxfId="238">
      <calculatedColumnFormula>CONCATENATE(FLOOR(D5,v_TRBS),"-",FLOOR(D5,v_TRBS)+v_TRBS-1)</calculatedColumnFormula>
    </tableColumn>
    <tableColumn id="5" name="PressOEE" dataDxfId="237" dataCellStyle="Percent"/>
    <tableColumn id="7" name="ha2015.01" dataDxfId="236">
      <calculatedColumnFormula>VLOOKUP(t_Presses[[Plant]:[Plant]],t_Plants[],Plants!CM$1,FALSE)</calculatedColumnFormula>
    </tableColumn>
    <tableColumn id="8" name="ha2015.02">
      <calculatedColumnFormula>VLOOKUP(t_Presses[[Plant]:[Plant]],t_Plants[],Plants!CN$1,FALSE)</calculatedColumnFormula>
    </tableColumn>
    <tableColumn id="9" name="ha2015.03" dataDxfId="235">
      <calculatedColumnFormula>VLOOKUP(t_Presses[[Plant]:[Plant]],t_Plants[],Plants!CO$1,FALSE)</calculatedColumnFormula>
    </tableColumn>
    <tableColumn id="16" name="ha2015.04" dataDxfId="234">
      <calculatedColumnFormula>VLOOKUP(t_Presses[[Plant]:[Plant]],t_Plants[],Plants!CP$1,FALSE)</calculatedColumnFormula>
    </tableColumn>
    <tableColumn id="17" name="ha2015.05" dataDxfId="233">
      <calculatedColumnFormula>VLOOKUP(t_Presses[[Plant]:[Plant]],t_Plants[],Plants!CQ$1,FALSE)</calculatedColumnFormula>
    </tableColumn>
    <tableColumn id="18" name="ha2015.06" dataDxfId="232">
      <calculatedColumnFormula>VLOOKUP(t_Presses[[Plant]:[Plant]],t_Plants[],Plants!CR$1,FALSE)</calculatedColumnFormula>
    </tableColumn>
    <tableColumn id="19" name="ha2015.07" dataDxfId="231">
      <calculatedColumnFormula>VLOOKUP(t_Presses[[Plant]:[Plant]],t_Plants[],Plants!CS$1,FALSE)</calculatedColumnFormula>
    </tableColumn>
    <tableColumn id="20" name="ha2015.08" dataDxfId="230">
      <calculatedColumnFormula>VLOOKUP(t_Presses[[Plant]:[Plant]],t_Plants[],Plants!CT$1,FALSE)</calculatedColumnFormula>
    </tableColumn>
    <tableColumn id="21" name="ha2015.09" dataDxfId="229">
      <calculatedColumnFormula>VLOOKUP(t_Presses[[Plant]:[Plant]],t_Plants[],Plants!CU$1,FALSE)</calculatedColumnFormula>
    </tableColumn>
    <tableColumn id="22" name="ha2015.10" dataDxfId="228">
      <calculatedColumnFormula>VLOOKUP(t_Presses[[Plant]:[Plant]],t_Plants[],Plants!CV$1,FALSE)</calculatedColumnFormula>
    </tableColumn>
    <tableColumn id="23" name="ha2015.11" dataDxfId="227">
      <calculatedColumnFormula>VLOOKUP(t_Presses[[Plant]:[Plant]],t_Plants[],Plants!CW$1,FALSE)</calculatedColumnFormula>
    </tableColumn>
    <tableColumn id="24" name="ha2015.12" dataDxfId="226">
      <calculatedColumnFormula>VLOOKUP(t_Presses[[Plant]:[Plant]],t_Plants[],Plants!CX$1,FALSE)</calculatedColumnFormula>
    </tableColumn>
    <tableColumn id="25" name="ha2015.FY" dataDxfId="225">
      <calculatedColumnFormula>SUM(t_Presses[[#This Row],[ha2015.01]:[ha2015.12]])</calculatedColumnFormula>
    </tableColumn>
    <tableColumn id="6" name="ha2016.01" dataDxfId="224"/>
    <tableColumn id="47" name="ha2016.02" dataDxfId="223"/>
    <tableColumn id="48" name="ha2016.03" dataDxfId="222"/>
    <tableColumn id="49" name="ha2016.04" dataDxfId="221"/>
    <tableColumn id="50" name="ha2016.05" dataDxfId="220"/>
    <tableColumn id="51" name="ha2016.06" dataDxfId="219"/>
    <tableColumn id="52" name="ha2016.07" dataDxfId="218"/>
    <tableColumn id="53" name="ha2016.08" dataDxfId="217"/>
    <tableColumn id="54" name="ha2016.09" dataDxfId="216"/>
    <tableColumn id="55" name="ha2016.10" dataDxfId="215"/>
    <tableColumn id="56" name="ha2016.11" dataDxfId="214"/>
    <tableColumn id="57" name="ha2016.12" dataDxfId="213"/>
    <tableColumn id="58" name="ha2016.FY" dataDxfId="212">
      <calculatedColumnFormula>SUM(t_Presses[[#This Row],[ha2016.01]:[ha2016.12]])</calculatedColumnFormula>
    </tableColumn>
    <tableColumn id="59" name="ha2017" dataDxfId="211"/>
    <tableColumn id="60" name="ha2018" dataDxfId="210"/>
    <tableColumn id="61" name="ha2019" dataDxfId="209"/>
    <tableColumn id="10" name="hp2015.01"/>
    <tableColumn id="11" name="hp2015.02"/>
    <tableColumn id="12" name="hp2015.03"/>
    <tableColumn id="26" name="hp2015.04"/>
    <tableColumn id="27" name="hp2015.05"/>
    <tableColumn id="28" name="hp2015.06"/>
    <tableColumn id="29" name="hp2015.07"/>
    <tableColumn id="30" name="hp2015.08"/>
    <tableColumn id="31" name="hp2015.09"/>
    <tableColumn id="32" name="hp2015.10"/>
    <tableColumn id="33" name="hp2015.11"/>
    <tableColumn id="34" name="hp2015.12"/>
    <tableColumn id="35" name="hp2015.FY" dataDxfId="208">
      <calculatedColumnFormula>SUM(t_Presses[[#This Row],[hp2015.01]:[hp2015.12]])</calculatedColumnFormula>
    </tableColumn>
    <tableColumn id="63" name="hp2016.01" dataDxfId="207" dataCellStyle="Comma">
      <calculatedColumnFormula>SUMIF(r_PartPresses,t_Presses[[PRESS]:[PRESS]],t_Parts[hp2016.01])</calculatedColumnFormula>
    </tableColumn>
    <tableColumn id="64" name="hp2016.02" dataDxfId="206" dataCellStyle="Comma"/>
    <tableColumn id="65" name="hp2016.03" dataDxfId="205" dataCellStyle="Comma"/>
    <tableColumn id="66" name="hp2016.04" dataDxfId="204" dataCellStyle="Comma"/>
    <tableColumn id="67" name="hp2016.05" dataDxfId="203" dataCellStyle="Comma"/>
    <tableColumn id="68" name="hp2016.06" dataDxfId="202" dataCellStyle="Comma"/>
    <tableColumn id="69" name="hp2016.07" dataDxfId="201" dataCellStyle="Comma"/>
    <tableColumn id="70" name="hp2016.08" dataDxfId="200" dataCellStyle="Comma"/>
    <tableColumn id="71" name="hp2016.09" dataDxfId="199" dataCellStyle="Comma"/>
    <tableColumn id="72" name="hp2016.10" dataDxfId="198" dataCellStyle="Comma"/>
    <tableColumn id="73" name="hp2016.11" dataDxfId="197" dataCellStyle="Comma"/>
    <tableColumn id="74" name="hp2016.12" dataDxfId="196" dataCellStyle="Comma"/>
    <tableColumn id="75" name="hp2016.FY" dataDxfId="195" dataCellStyle="Comma"/>
    <tableColumn id="76" name="hp2017" dataDxfId="194" dataCellStyle="Comma"/>
    <tableColumn id="77" name="hp2018" dataDxfId="193" dataCellStyle="Comma"/>
    <tableColumn id="78" name="hp2019" dataDxfId="192" dataCellStyle="Comma"/>
    <tableColumn id="13" name="2015.01" dataDxfId="191" dataCellStyle="Percent">
      <calculatedColumnFormula>t_Presses[[#This Row],[hp2015.01]]/t_Presses[[#This Row],[ha2015.01]]</calculatedColumnFormula>
    </tableColumn>
    <tableColumn id="14" name="2015.02" dataDxfId="190" dataCellStyle="Percent">
      <calculatedColumnFormula>t_Presses[[#This Row],[hp2015.02]]/t_Presses[[#This Row],[ha2015.02]]</calculatedColumnFormula>
    </tableColumn>
    <tableColumn id="15" name="2015.03" dataDxfId="189" dataCellStyle="Percent"/>
    <tableColumn id="37" name="2015.04" dataDxfId="188" dataCellStyle="Percent"/>
    <tableColumn id="38" name="2015.05" dataDxfId="187" dataCellStyle="Percent"/>
    <tableColumn id="39" name="2015.06" dataDxfId="186" dataCellStyle="Percent"/>
    <tableColumn id="40" name="2015.07" dataDxfId="185" dataCellStyle="Percent"/>
    <tableColumn id="41" name="2015.08" dataDxfId="184" dataCellStyle="Percent"/>
    <tableColumn id="42" name="2015.09" dataDxfId="183" dataCellStyle="Percent"/>
    <tableColumn id="43" name="2015.10" dataDxfId="182" dataCellStyle="Percent"/>
    <tableColumn id="44" name="2015.11" dataDxfId="181" dataCellStyle="Percent"/>
    <tableColumn id="45" name="2015.12" dataDxfId="180" dataCellStyle="Percent"/>
    <tableColumn id="46" name="2015.FY" dataDxfId="179" dataCellStyle="Percent"/>
    <tableColumn id="80" name="2016.01" dataDxfId="178" dataCellStyle="Percent">
      <calculatedColumnFormula>t_Presses[[#This Row],[hp2016.01]]/t_Presses[[#This Row],[ha2016.01]]</calculatedColumnFormula>
    </tableColumn>
    <tableColumn id="81" name="2016.02" dataDxfId="177" dataCellStyle="Percent"/>
    <tableColumn id="82" name="2016.03" dataDxfId="176" dataCellStyle="Percent"/>
    <tableColumn id="83" name="2016.04" dataDxfId="175" dataCellStyle="Percent"/>
    <tableColumn id="84" name="2016.05" dataDxfId="174" dataCellStyle="Percent"/>
    <tableColumn id="85" name="2016.06" dataDxfId="173" dataCellStyle="Percent"/>
    <tableColumn id="86" name="2016.07" dataDxfId="172" dataCellStyle="Percent"/>
    <tableColumn id="87" name="2016.08" dataDxfId="171" dataCellStyle="Percent"/>
    <tableColumn id="88" name="2016.09" dataDxfId="170" dataCellStyle="Percent"/>
    <tableColumn id="89" name="2016.10" dataDxfId="169" dataCellStyle="Percent"/>
    <tableColumn id="90" name="2016.11" dataDxfId="168" dataCellStyle="Percent"/>
    <tableColumn id="91" name="2016.12" dataDxfId="167" dataCellStyle="Percent"/>
    <tableColumn id="92" name="2016.FY" dataDxfId="166" dataCellStyle="Percent">
      <calculatedColumnFormula>t_Presses[[#This Row],[hp2016.FY]]/t_Presses[[#This Row],[ha2016.FY]]</calculatedColumnFormula>
    </tableColumn>
    <tableColumn id="93" name="2017" dataDxfId="165" dataCellStyle="Percent"/>
    <tableColumn id="94" name="2018" dataDxfId="164" dataCellStyle="Percent"/>
    <tableColumn id="95" name="2019" dataDxfId="163" dataCellStyle="Percent"/>
  </tableColumns>
  <tableStyleInfo name="TableStyle_Capacity" showFirstColumn="0" showLastColumn="0" showRowStripes="1" showColumnStripes="0"/>
</table>
</file>

<file path=xl/tables/table4.xml><?xml version="1.0" encoding="utf-8"?>
<table xmlns="http://schemas.openxmlformats.org/spreadsheetml/2006/main" id="3" name="t_Parts" displayName="t_Parts" ref="A4:FR15" totalsRowShown="0" dataDxfId="162" headerRowCellStyle="Neutral">
  <autoFilter ref="A4:FR15"/>
  <sortState ref="A5:CC12">
    <sortCondition ref="A4:A12"/>
  </sortState>
  <tableColumns count="174">
    <tableColumn id="1" name="PartNo" dataDxfId="161"/>
    <tableColumn id="2" name="Press" dataDxfId="160"/>
    <tableColumn id="9" name="UnitsPerCycle"/>
    <tableColumn id="10" name="CyclesPerHr" dataDxfId="159"/>
    <tableColumn id="71" name="SetupHrs" dataDxfId="158"/>
    <tableColumn id="72" name="SetupsPerMo" dataDxfId="157"/>
    <tableColumn id="12" name="SOP"/>
    <tableColumn id="13" name="EOP"/>
    <tableColumn id="14" name="2015vol" dataDxfId="156"/>
    <tableColumn id="15" name="2016vol" dataDxfId="155"/>
    <tableColumn id="16" name="2017vol" dataDxfId="154"/>
    <tableColumn id="17" name="2018vol" dataDxfId="153"/>
    <tableColumn id="18" name="2019vol" dataDxfId="152"/>
    <tableColumn id="79" name="DieFB" dataDxfId="151" dataCellStyle="Percent"/>
    <tableColumn id="80" name="DieLR" dataDxfId="150" dataCellStyle="Percent"/>
    <tableColumn id="81" name="DieShutHt" dataDxfId="149" dataCellStyle="Percent"/>
    <tableColumn id="74" name="ActTonnage" dataDxfId="148" dataCellStyle="Percent"/>
    <tableColumn id="75" name="FeedHt" dataDxfId="147" dataCellStyle="Percent"/>
    <tableColumn id="76" name="SteelPN" dataDxfId="146" dataCellStyle="Percent"/>
    <tableColumn id="77" name="BlankWt" dataDxfId="145" dataCellStyle="Percent"/>
    <tableColumn id="11" name="Routing" dataDxfId="144" dataCellStyle="Percent"/>
    <tableColumn id="3" name="Plant" dataDxfId="143">
      <calculatedColumnFormula>VLOOKUP(t_Parts[[#This Row],[Press]],t_Presses[],Press!B$1,FALSE)</calculatedColumnFormula>
    </tableColumn>
    <tableColumn id="4" name="T Range" dataDxfId="142">
      <calculatedColumnFormula>VLOOKUP(t_Parts[[#This Row],[Press]],t_Presses[],Press!E$1,FALSE)</calculatedColumnFormula>
    </tableColumn>
    <tableColumn id="6" name="PlantOEE" dataDxfId="141" dataCellStyle="Percent">
      <calculatedColumnFormula>VLOOKUP(t_Parts[[#This Row],[Plant]],t_Plants[],Plants!C$1,FALSE)</calculatedColumnFormula>
    </tableColumn>
    <tableColumn id="5" name="PressOEE" dataDxfId="140" dataCellStyle="Percent">
      <calculatedColumnFormula>VLOOKUP(t_Parts[[#This Row],[Press]],t_Presses[],Press!F$1,FALSE)</calculatedColumnFormula>
    </tableColumn>
    <tableColumn id="7" name="PartOEE" dataDxfId="139" dataCellStyle="Percent"/>
    <tableColumn id="8" name="UseOEE" dataDxfId="138" dataCellStyle="Percent">
      <calculatedColumnFormula>IF(ISBLANK(t_Parts[[#This Row],[PartOEE]])=FALSE,t_Parts[[#This Row],[PartOEE]], IF(t_Parts[[#This Row],[PressOEE]]&gt;0, t_Parts[[#This Row],[PressOEE]], t_Parts[[#This Row],[PlantOEE]] ))</calculatedColumnFormula>
    </tableColumn>
    <tableColumn id="78" name="SetupHrsPerMo" dataDxfId="137">
      <calculatedColumnFormula>t_Parts[[#This Row],[SetupsPerMo]]*t_Parts[[#This Row],[SetupHrs]]</calculatedColumnFormula>
    </tableColumn>
    <tableColumn id="73" name="NetPPH" dataDxfId="136">
      <calculatedColumnFormula>(t_Parts[[#This Row],[UnitsPerCycle]]*t_Parts[[#This Row],[CyclesPerHr]])*t_Parts[[#This Row],[UseOEE]]</calculatedColumnFormula>
    </tableColumn>
    <tableColumn id="19" name="pv2015.01" dataDxfId="135">
      <calculatedColumnFormula>IF(AND(AD$2&gt;=VALUE(t_Parts[[SOP]:[SOP]]),AD$2&lt;=VALUE(t_Parts[[EOP]:[EOP]])),  (t_Parts[[2015vol]:[2015vol]]/VLOOKUP(t_Parts[[Plant]:[Plant]],t_Plants[],Plants!$BV$1, FALSE))*VLOOKUP(t_Parts[[Plant]:[Plant]],t_Plants[],Plants!BJ$1,FALSE),0)</calculatedColumnFormula>
    </tableColumn>
    <tableColumn id="20" name="pv2015.02" dataDxfId="134">
      <calculatedColumnFormula>IF(AND(AE$2&gt;=VALUE(t_Parts[[SOP]:[SOP]]),AE$2&lt;=VALUE(t_Parts[[EOP]:[EOP]])),  (t_Parts[[2015vol]:[2015vol]]/VLOOKUP(t_Parts[[Plant]:[Plant]],t_Plants[],Plants!$BV$1, FALSE))*VLOOKUP(t_Parts[[Plant]:[Plant]],t_Plants[],Plants!BK$1,FALSE),0)</calculatedColumnFormula>
    </tableColumn>
    <tableColumn id="21" name="pv2015.03" dataDxfId="133">
      <calculatedColumnFormula>IF(AND(AF$2&gt;=VALUE(t_Parts[[SOP]:[SOP]]),AF$2&lt;=VALUE(t_Parts[[EOP]:[EOP]])),  (t_Parts[[2015vol]:[2015vol]]/VLOOKUP(t_Parts[[Plant]:[Plant]],t_Plants[],Plants!$BV$1, FALSE))*VLOOKUP(t_Parts[[Plant]:[Plant]],t_Plants[],Plants!BL$1,FALSE),0)</calculatedColumnFormula>
    </tableColumn>
    <tableColumn id="22" name="pv2015.04" dataDxfId="132">
      <calculatedColumnFormula>IF(AND(AG$2&gt;=VALUE(t_Parts[[SOP]:[SOP]]),AG$2&lt;=VALUE(t_Parts[[EOP]:[EOP]])),  (t_Parts[[2015vol]:[2015vol]]/VLOOKUP(t_Parts[[Plant]:[Plant]],t_Plants[],Plants!$BV$1, FALSE))*VLOOKUP(t_Parts[[Plant]:[Plant]],t_Plants[],Plants!BM$1,FALSE),0)</calculatedColumnFormula>
    </tableColumn>
    <tableColumn id="23" name="pv2015.05" dataDxfId="131">
      <calculatedColumnFormula>IF(AND(AH$2&gt;=VALUE(t_Parts[[SOP]:[SOP]]),AH$2&lt;=VALUE(t_Parts[[EOP]:[EOP]])),  (t_Parts[[2015vol]:[2015vol]]/VLOOKUP(t_Parts[[Plant]:[Plant]],t_Plants[],Plants!$BV$1, FALSE))*VLOOKUP(t_Parts[[Plant]:[Plant]],t_Plants[],Plants!BN$1,FALSE),0)</calculatedColumnFormula>
    </tableColumn>
    <tableColumn id="24" name="pv2015.06" dataDxfId="130">
      <calculatedColumnFormula>IF(AND(AI$2&gt;=VALUE(t_Parts[[SOP]:[SOP]]),AI$2&lt;=VALUE(t_Parts[[EOP]:[EOP]])),  (t_Parts[[2015vol]:[2015vol]]/VLOOKUP(t_Parts[[Plant]:[Plant]],t_Plants[],Plants!$BV$1, FALSE))*VLOOKUP(t_Parts[[Plant]:[Plant]],t_Plants[],Plants!BO$1,FALSE),0)</calculatedColumnFormula>
    </tableColumn>
    <tableColumn id="25" name="pv2015.07" dataDxfId="129">
      <calculatedColumnFormula>IF(AND(AJ$2&gt;=VALUE(t_Parts[[SOP]:[SOP]]),AJ$2&lt;=VALUE(t_Parts[[EOP]:[EOP]])),  (t_Parts[[2015vol]:[2015vol]]/VLOOKUP(t_Parts[[Plant]:[Plant]],t_Plants[],Plants!$BV$1, FALSE))*VLOOKUP(t_Parts[[Plant]:[Plant]],t_Plants[],Plants!BP$1,FALSE),0)</calculatedColumnFormula>
    </tableColumn>
    <tableColumn id="26" name="pv2015.08" dataDxfId="128">
      <calculatedColumnFormula>IF(AND(AK$2&gt;=VALUE(t_Parts[[SOP]:[SOP]]),AK$2&lt;=VALUE(t_Parts[[EOP]:[EOP]])),  (t_Parts[[2015vol]:[2015vol]]/VLOOKUP(t_Parts[[Plant]:[Plant]],t_Plants[],Plants!$BV$1, FALSE))*VLOOKUP(t_Parts[[Plant]:[Plant]],t_Plants[],Plants!BQ$1,FALSE),0)</calculatedColumnFormula>
    </tableColumn>
    <tableColumn id="27" name="pv2015.09" dataDxfId="127">
      <calculatedColumnFormula>IF(AND(AL$2&gt;=VALUE(t_Parts[[SOP]:[SOP]]),AL$2&lt;=VALUE(t_Parts[[EOP]:[EOP]])),  (t_Parts[[2015vol]:[2015vol]]/VLOOKUP(t_Parts[[Plant]:[Plant]],t_Plants[],Plants!$BV$1, FALSE))*VLOOKUP(t_Parts[[Plant]:[Plant]],t_Plants[],Plants!BR$1,FALSE),0)</calculatedColumnFormula>
    </tableColumn>
    <tableColumn id="28" name="pv2015.10" dataDxfId="126">
      <calculatedColumnFormula>IF(AND(AM$2&gt;=VALUE(t_Parts[[SOP]:[SOP]]),AM$2&lt;=VALUE(t_Parts[[EOP]:[EOP]])),  (t_Parts[[2015vol]:[2015vol]]/VLOOKUP(t_Parts[[Plant]:[Plant]],t_Plants[],Plants!$BV$1, FALSE))*VLOOKUP(t_Parts[[Plant]:[Plant]],t_Plants[],Plants!BS$1,FALSE),0)</calculatedColumnFormula>
    </tableColumn>
    <tableColumn id="29" name="pv2015.11" dataDxfId="125">
      <calculatedColumnFormula>IF(AND(AN$2&gt;=VALUE(t_Parts[[SOP]:[SOP]]),AN$2&lt;=VALUE(t_Parts[[EOP]:[EOP]])),  (t_Parts[[2015vol]:[2015vol]]/VLOOKUP(t_Parts[[Plant]:[Plant]],t_Plants[],Plants!$BV$1, FALSE))*VLOOKUP(t_Parts[[Plant]:[Plant]],t_Plants[],Plants!BT$1,FALSE),0)</calculatedColumnFormula>
    </tableColumn>
    <tableColumn id="30" name="pv2015.12" dataDxfId="124">
      <calculatedColumnFormula>IF(AND(AO$2&gt;=VALUE(t_Parts[[SOP]:[SOP]]),AO$2&lt;=VALUE(t_Parts[[EOP]:[EOP]])),  (t_Parts[[2015vol]:[2015vol]]/VLOOKUP(t_Parts[[Plant]:[Plant]],t_Plants[],Plants!$BV$1, FALSE))*VLOOKUP(t_Parts[[Plant]:[Plant]],t_Plants[],Plants!BU$1,FALSE),0)</calculatedColumnFormula>
    </tableColumn>
    <tableColumn id="31" name="pv2015.FY" dataDxfId="123">
      <calculatedColumnFormula>SUM(t_Parts[[#This Row],[pv2015.01]:[pv2015.12]])</calculatedColumnFormula>
    </tableColumn>
    <tableColumn id="82" name="pv2016.01" dataDxfId="122">
      <calculatedColumnFormula>IF(AND(AQ$2&gt;=VALUE(t_Parts[[SOP]:[SOP]]),AQ$2&lt;=VALUE(t_Parts[[EOP]:[EOP]])),  (t_Parts[[2016vol]:[2016vol]]/VLOOKUP(t_Parts[[Plant]:[Plant]],t_Plants[],Plants!$CI$1, FALSE))*VLOOKUP(t_Parts[[Plant]:[Plant]],t_Plants[],Plants!BW$1,FALSE),0)</calculatedColumnFormula>
    </tableColumn>
    <tableColumn id="83" name="pv2016.02" dataDxfId="121">
      <calculatedColumnFormula>IF(AND(AR$2&gt;=VALUE(t_Parts[[SOP]:[SOP]]),AR$2&lt;=VALUE(t_Parts[[EOP]:[EOP]])),  (t_Parts[[2016vol]:[2016vol]]/VLOOKUP(t_Parts[[Plant]:[Plant]],t_Plants[],Plants!$CI$1, FALSE))*VLOOKUP(t_Parts[[Plant]:[Plant]],t_Plants[],Plants!BX$1,FALSE),0)</calculatedColumnFormula>
    </tableColumn>
    <tableColumn id="84" name="pv2016.03" dataDxfId="120">
      <calculatedColumnFormula>IF(AND(AS$2&gt;=VALUE(t_Parts[[SOP]:[SOP]]),AS$2&lt;=VALUE(t_Parts[[EOP]:[EOP]])),  (t_Parts[[2016vol]:[2016vol]]/VLOOKUP(t_Parts[[Plant]:[Plant]],t_Plants[],Plants!$CI$1, FALSE))*VLOOKUP(t_Parts[[Plant]:[Plant]],t_Plants[],Plants!BY$1,FALSE),0)</calculatedColumnFormula>
    </tableColumn>
    <tableColumn id="85" name="pv2016.04" dataDxfId="119">
      <calculatedColumnFormula>IF(AND(AT$2&gt;=VALUE(t_Parts[[SOP]:[SOP]]),AT$2&lt;=VALUE(t_Parts[[EOP]:[EOP]])),  (t_Parts[[2016vol]:[2016vol]]/VLOOKUP(t_Parts[[Plant]:[Plant]],t_Plants[],Plants!$CI$1, FALSE))*VLOOKUP(t_Parts[[Plant]:[Plant]],t_Plants[],Plants!BZ$1,FALSE),0)</calculatedColumnFormula>
    </tableColumn>
    <tableColumn id="86" name="pv2016.05" dataDxfId="118">
      <calculatedColumnFormula>IF(AND(AU$2&gt;=VALUE(t_Parts[[SOP]:[SOP]]),AU$2&lt;=VALUE(t_Parts[[EOP]:[EOP]])),  (t_Parts[[2016vol]:[2016vol]]/VLOOKUP(t_Parts[[Plant]:[Plant]],t_Plants[],Plants!$CI$1, FALSE))*VLOOKUP(t_Parts[[Plant]:[Plant]],t_Plants[],Plants!CA$1,FALSE),0)</calculatedColumnFormula>
    </tableColumn>
    <tableColumn id="87" name="pv2016.06" dataDxfId="117">
      <calculatedColumnFormula>IF(AND(AV$2&gt;=VALUE(t_Parts[[SOP]:[SOP]]),AV$2&lt;=VALUE(t_Parts[[EOP]:[EOP]])),  (t_Parts[[2016vol]:[2016vol]]/VLOOKUP(t_Parts[[Plant]:[Plant]],t_Plants[],Plants!$CI$1, FALSE))*VLOOKUP(t_Parts[[Plant]:[Plant]],t_Plants[],Plants!CB$1,FALSE),0)</calculatedColumnFormula>
    </tableColumn>
    <tableColumn id="88" name="pv2016.07" dataDxfId="116">
      <calculatedColumnFormula>IF(AND(AW$2&gt;=VALUE(t_Parts[[SOP]:[SOP]]),AW$2&lt;=VALUE(t_Parts[[EOP]:[EOP]])),  (t_Parts[[2016vol]:[2016vol]]/VLOOKUP(t_Parts[[Plant]:[Plant]],t_Plants[],Plants!$CI$1, FALSE))*VLOOKUP(t_Parts[[Plant]:[Plant]],t_Plants[],Plants!CC$1,FALSE),0)</calculatedColumnFormula>
    </tableColumn>
    <tableColumn id="89" name="pv2016.08" dataDxfId="115">
      <calculatedColumnFormula>IF(AND(AX$2&gt;=VALUE(t_Parts[[SOP]:[SOP]]),AX$2&lt;=VALUE(t_Parts[[EOP]:[EOP]])),  (t_Parts[[2016vol]:[2016vol]]/VLOOKUP(t_Parts[[Plant]:[Plant]],t_Plants[],Plants!$CI$1, FALSE))*VLOOKUP(t_Parts[[Plant]:[Plant]],t_Plants[],Plants!CD$1,FALSE),0)</calculatedColumnFormula>
    </tableColumn>
    <tableColumn id="90" name="pv2016.09" dataDxfId="114">
      <calculatedColumnFormula>IF(AND(AY$2&gt;=VALUE(t_Parts[[SOP]:[SOP]]),AY$2&lt;=VALUE(t_Parts[[EOP]:[EOP]])),  (t_Parts[[2016vol]:[2016vol]]/VLOOKUP(t_Parts[[Plant]:[Plant]],t_Plants[],Plants!$CI$1, FALSE))*VLOOKUP(t_Parts[[Plant]:[Plant]],t_Plants[],Plants!CE$1,FALSE),0)</calculatedColumnFormula>
    </tableColumn>
    <tableColumn id="91" name="pv2016.10" dataDxfId="113">
      <calculatedColumnFormula>IF(AND(AZ$2&gt;=VALUE(t_Parts[[SOP]:[SOP]]),AZ$2&lt;=VALUE(t_Parts[[EOP]:[EOP]])),  (t_Parts[[2016vol]:[2016vol]]/VLOOKUP(t_Parts[[Plant]:[Plant]],t_Plants[],Plants!$CI$1, FALSE))*VLOOKUP(t_Parts[[Plant]:[Plant]],t_Plants[],Plants!CF$1,FALSE),0)</calculatedColumnFormula>
    </tableColumn>
    <tableColumn id="92" name="pv2016.11" dataDxfId="112">
      <calculatedColumnFormula>IF(AND(BA$2&gt;=VALUE(t_Parts[[SOP]:[SOP]]),BA$2&lt;=VALUE(t_Parts[[EOP]:[EOP]])),  (t_Parts[[2016vol]:[2016vol]]/VLOOKUP(t_Parts[[Plant]:[Plant]],t_Plants[],Plants!$CI$1, FALSE))*VLOOKUP(t_Parts[[Plant]:[Plant]],t_Plants[],Plants!CG$1,FALSE),0)</calculatedColumnFormula>
    </tableColumn>
    <tableColumn id="93" name="pv2016.12" dataDxfId="111">
      <calculatedColumnFormula>IF(AND(BB$2&gt;=VALUE(t_Parts[[SOP]:[SOP]]),BB$2&lt;=VALUE(t_Parts[[EOP]:[EOP]])),  (t_Parts[[2016vol]:[2016vol]]/VLOOKUP(t_Parts[[Plant]:[Plant]],t_Plants[],Plants!$CI$1, FALSE))*VLOOKUP(t_Parts[[Plant]:[Plant]],t_Plants[],Plants!CH$1,FALSE),0)</calculatedColumnFormula>
    </tableColumn>
    <tableColumn id="94" name="pv2016.FY" dataDxfId="110">
      <calculatedColumnFormula>SUM(t_Parts[[#This Row],[pv2016.01]:[pv2016.12]])</calculatedColumnFormula>
    </tableColumn>
    <tableColumn id="95" name="pv2017" dataDxfId="109">
      <calculatedColumnFormula>t_Parts[[#This Row],[2017vol]]</calculatedColumnFormula>
    </tableColumn>
    <tableColumn id="97" name="pv2018" dataDxfId="108">
      <calculatedColumnFormula>t_Parts[[#This Row],[2018vol]]</calculatedColumnFormula>
    </tableColumn>
    <tableColumn id="96" name="pv2019" dataDxfId="107">
      <calculatedColumnFormula>t_Parts[[#This Row],[2019vol]]</calculatedColumnFormula>
    </tableColumn>
    <tableColumn id="32" name="ha2015.01" dataDxfId="106">
      <calculatedColumnFormula>VLOOKUP(t_Parts[[Plant]:[Plant]],t_Plants[],Plants!CM$1,FALSE)</calculatedColumnFormula>
    </tableColumn>
    <tableColumn id="33" name="ha2015.02" dataDxfId="105">
      <calculatedColumnFormula>VLOOKUP(t_Parts[[Plant]:[Plant]],t_Plants[],Plants!CN$1,FALSE)</calculatedColumnFormula>
    </tableColumn>
    <tableColumn id="34" name="ha2015.03" dataDxfId="104">
      <calculatedColumnFormula>VLOOKUP(t_Parts[[Plant]:[Plant]],t_Plants[],Plants!CO$1,FALSE)</calculatedColumnFormula>
    </tableColumn>
    <tableColumn id="35" name="ha2015.04" dataDxfId="103">
      <calculatedColumnFormula>VLOOKUP(t_Parts[[Plant]:[Plant]],t_Plants[],Plants!CP$1,FALSE)</calculatedColumnFormula>
    </tableColumn>
    <tableColumn id="36" name="ha2015.05" dataDxfId="102">
      <calculatedColumnFormula>VLOOKUP(t_Parts[[Plant]:[Plant]],t_Plants[],Plants!CQ$1,FALSE)</calculatedColumnFormula>
    </tableColumn>
    <tableColumn id="37" name="ha2015.06" dataDxfId="101">
      <calculatedColumnFormula>VLOOKUP(t_Parts[[Plant]:[Plant]],t_Plants[],Plants!CR$1,FALSE)</calculatedColumnFormula>
    </tableColumn>
    <tableColumn id="38" name="ha2015.07" dataDxfId="100">
      <calculatedColumnFormula>VLOOKUP(t_Parts[[Plant]:[Plant]],t_Plants[],Plants!CS$1,FALSE)</calculatedColumnFormula>
    </tableColumn>
    <tableColumn id="39" name="ha2015.08" dataDxfId="99">
      <calculatedColumnFormula>VLOOKUP(t_Parts[[Plant]:[Plant]],t_Plants[],Plants!CT$1,FALSE)</calculatedColumnFormula>
    </tableColumn>
    <tableColumn id="40" name="ha2015.09" dataDxfId="98">
      <calculatedColumnFormula>VLOOKUP(t_Parts[[Plant]:[Plant]],t_Plants[],Plants!CU$1,FALSE)</calculatedColumnFormula>
    </tableColumn>
    <tableColumn id="41" name="ha2015.10" dataDxfId="97">
      <calculatedColumnFormula>VLOOKUP(t_Parts[[Plant]:[Plant]],t_Plants[],Plants!CV$1,FALSE)</calculatedColumnFormula>
    </tableColumn>
    <tableColumn id="42" name="ha2015.11" dataDxfId="96">
      <calculatedColumnFormula>VLOOKUP(t_Parts[[Plant]:[Plant]],t_Plants[],Plants!CW$1,FALSE)</calculatedColumnFormula>
    </tableColumn>
    <tableColumn id="43" name="ha2015.12" dataDxfId="95">
      <calculatedColumnFormula>VLOOKUP(t_Parts[[Plant]:[Plant]],t_Plants[],Plants!CX$1,FALSE)</calculatedColumnFormula>
    </tableColumn>
    <tableColumn id="44" name="ha2015.FY" dataDxfId="94">
      <calculatedColumnFormula>SUM(t_Parts[[#This Row],[ha2015.01]:[ha2015.12]])</calculatedColumnFormula>
    </tableColumn>
    <tableColumn id="98" name="ha2016.01" dataDxfId="93">
      <calculatedColumnFormula>VLOOKUP(t_Parts[[Plant]:[Plant]],t_Plants[],Plants!CZ$1,FALSE)</calculatedColumnFormula>
    </tableColumn>
    <tableColumn id="99" name="ha2016.02">
      <calculatedColumnFormula>VLOOKUP(t_Parts[[Plant]:[Plant]],t_Plants[],Plants!DA$1,FALSE)</calculatedColumnFormula>
    </tableColumn>
    <tableColumn id="100" name="ha2016.03">
      <calculatedColumnFormula>VLOOKUP(t_Parts[[Plant]:[Plant]],t_Plants[],Plants!DB$1,FALSE)</calculatedColumnFormula>
    </tableColumn>
    <tableColumn id="101" name="ha2016.04">
      <calculatedColumnFormula>VLOOKUP(t_Parts[[Plant]:[Plant]],t_Plants[],Plants!DC$1,FALSE)</calculatedColumnFormula>
    </tableColumn>
    <tableColumn id="102" name="ha2016.05">
      <calculatedColumnFormula>VLOOKUP(t_Parts[[Plant]:[Plant]],t_Plants[],Plants!DD$1,FALSE)</calculatedColumnFormula>
    </tableColumn>
    <tableColumn id="103" name="ha2016.06">
      <calculatedColumnFormula>VLOOKUP(t_Parts[[Plant]:[Plant]],t_Plants[],Plants!DE$1,FALSE)</calculatedColumnFormula>
    </tableColumn>
    <tableColumn id="104" name="ha2016.07">
      <calculatedColumnFormula>VLOOKUP(t_Parts[[Plant]:[Plant]],t_Plants[],Plants!DF$1,FALSE)</calculatedColumnFormula>
    </tableColumn>
    <tableColumn id="105" name="ha2016.08">
      <calculatedColumnFormula>VLOOKUP(t_Parts[[Plant]:[Plant]],t_Plants[],Plants!DG$1,FALSE)</calculatedColumnFormula>
    </tableColumn>
    <tableColumn id="106" name="ha2016.09">
      <calculatedColumnFormula>VLOOKUP(t_Parts[[Plant]:[Plant]],t_Plants[],Plants!DH$1,FALSE)</calculatedColumnFormula>
    </tableColumn>
    <tableColumn id="107" name="ha2016.10">
      <calculatedColumnFormula>VLOOKUP(t_Parts[[Plant]:[Plant]],t_Plants[],Plants!DI$1,FALSE)</calculatedColumnFormula>
    </tableColumn>
    <tableColumn id="108" name="ha2016.11">
      <calculatedColumnFormula>VLOOKUP(t_Parts[[Plant]:[Plant]],t_Plants[],Plants!DJ$1,FALSE)</calculatedColumnFormula>
    </tableColumn>
    <tableColumn id="109" name="ha2016.12">
      <calculatedColumnFormula>VLOOKUP(t_Parts[[Plant]:[Plant]],t_Plants[],Plants!DK$1,FALSE)</calculatedColumnFormula>
    </tableColumn>
    <tableColumn id="110" name="ha2016.FY">
      <calculatedColumnFormula>VLOOKUP(t_Parts[[Plant]:[Plant]],t_Plants[],Plants!DL$1,FALSE)</calculatedColumnFormula>
    </tableColumn>
    <tableColumn id="111" name="ha2017">
      <calculatedColumnFormula>VLOOKUP(t_Parts[[Plant]:[Plant]],t_Plants[],Plants!DM$1,FALSE)</calculatedColumnFormula>
    </tableColumn>
    <tableColumn id="112" name="ha2018">
      <calculatedColumnFormula>VLOOKUP(t_Parts[[Plant]:[Plant]],t_Plants[],Plants!DN$1,FALSE)</calculatedColumnFormula>
    </tableColumn>
    <tableColumn id="145" name="ha2019">
      <calculatedColumnFormula>VLOOKUP(t_Parts[[Plant]:[Plant]],t_Plants[],Plants!DO$1,FALSE)</calculatedColumnFormula>
    </tableColumn>
    <tableColumn id="45" name="hp2015.01" dataDxfId="92">
      <calculatedColumnFormula>IF(AND(AD$2&gt;=VALUE(t_Parts[[SOP]:[SOP]]),AD$2&lt;=VALUE(t_Parts[[EOP]:[EOP]])), t_Parts[[SetupHrsPerMo]:[SetupHrsPerMo]]+(t_Parts[[#This Row],[pv2015.01]]/t_Parts[[NetPPH]:[NetPPH]]),0)</calculatedColumnFormula>
    </tableColumn>
    <tableColumn id="46" name="hp2015.02" dataDxfId="91">
      <calculatedColumnFormula>IF(AND(AE$2&gt;=VALUE(t_Parts[[SOP]:[SOP]]),AE$2&lt;=VALUE(t_Parts[[EOP]:[EOP]])), t_Parts[[SetupHrsPerMo]:[SetupHrsPerMo]]+(t_Parts[[#This Row],[pv2015.02]]/t_Parts[[NetPPH]:[NetPPH]]),0)</calculatedColumnFormula>
    </tableColumn>
    <tableColumn id="47" name="hp2015.03" dataDxfId="90">
      <calculatedColumnFormula>IF(AND(AF$2&gt;=VALUE(t_Parts[[SOP]:[SOP]]),AF$2&lt;=VALUE(t_Parts[[EOP]:[EOP]])), t_Parts[[SetupHrsPerMo]:[SetupHrsPerMo]]+(t_Parts[[#This Row],[pv2015.03]]/t_Parts[[NetPPH]:[NetPPH]]),0)</calculatedColumnFormula>
    </tableColumn>
    <tableColumn id="48" name="hp2015.04" dataDxfId="89">
      <calculatedColumnFormula>IF(AND(AG$2&gt;=VALUE(t_Parts[[SOP]:[SOP]]),AG$2&lt;=VALUE(t_Parts[[EOP]:[EOP]])), t_Parts[[SetupHrsPerMo]:[SetupHrsPerMo]]+(t_Parts[[#This Row],[pv2015.04]]/t_Parts[[NetPPH]:[NetPPH]]),0)</calculatedColumnFormula>
    </tableColumn>
    <tableColumn id="49" name="hp2015.05" dataDxfId="88">
      <calculatedColumnFormula>IF(AND(AH$2&gt;=VALUE(t_Parts[[SOP]:[SOP]]),AH$2&lt;=VALUE(t_Parts[[EOP]:[EOP]])), t_Parts[[SetupHrsPerMo]:[SetupHrsPerMo]]+(t_Parts[[#This Row],[pv2015.05]]/t_Parts[[NetPPH]:[NetPPH]]),0)</calculatedColumnFormula>
    </tableColumn>
    <tableColumn id="50" name="hp2015.06" dataDxfId="87">
      <calculatedColumnFormula>IF(AND(AI$2&gt;=VALUE(t_Parts[[SOP]:[SOP]]),AI$2&lt;=VALUE(t_Parts[[EOP]:[EOP]])), t_Parts[[SetupHrsPerMo]:[SetupHrsPerMo]]+(t_Parts[[#This Row],[pv2015.06]]/t_Parts[[NetPPH]:[NetPPH]]),0)</calculatedColumnFormula>
    </tableColumn>
    <tableColumn id="51" name="hp2015.07" dataDxfId="86">
      <calculatedColumnFormula>IF(AND(AJ$2&gt;=VALUE(t_Parts[[SOP]:[SOP]]),AJ$2&lt;=VALUE(t_Parts[[EOP]:[EOP]])), t_Parts[[SetupHrsPerMo]:[SetupHrsPerMo]]+(t_Parts[[#This Row],[pv2015.07]]/t_Parts[[NetPPH]:[NetPPH]]),0)</calculatedColumnFormula>
    </tableColumn>
    <tableColumn id="52" name="hp2015.08" dataDxfId="85">
      <calculatedColumnFormula>IF(AND(AK$2&gt;=VALUE(t_Parts[[SOP]:[SOP]]),AK$2&lt;=VALUE(t_Parts[[EOP]:[EOP]])), t_Parts[[SetupHrsPerMo]:[SetupHrsPerMo]]+(t_Parts[[#This Row],[pv2015.08]]/t_Parts[[NetPPH]:[NetPPH]]),0)</calculatedColumnFormula>
    </tableColumn>
    <tableColumn id="53" name="hp2015.09" dataDxfId="84">
      <calculatedColumnFormula>IF(AND(AL$2&gt;=VALUE(t_Parts[[SOP]:[SOP]]),AL$2&lt;=VALUE(t_Parts[[EOP]:[EOP]])), t_Parts[[SetupHrsPerMo]:[SetupHrsPerMo]]+(t_Parts[[#This Row],[pv2015.09]]/t_Parts[[NetPPH]:[NetPPH]]),0)</calculatedColumnFormula>
    </tableColumn>
    <tableColumn id="54" name="hp2015.10" dataDxfId="83">
      <calculatedColumnFormula>IF(AND(AM$2&gt;=VALUE(t_Parts[[SOP]:[SOP]]),AM$2&lt;=VALUE(t_Parts[[EOP]:[EOP]])), t_Parts[[SetupHrsPerMo]:[SetupHrsPerMo]]+(t_Parts[[#This Row],[pv2015.10]]/t_Parts[[NetPPH]:[NetPPH]]),0)</calculatedColumnFormula>
    </tableColumn>
    <tableColumn id="55" name="hp2015.11" dataDxfId="82">
      <calculatedColumnFormula>IF(AND(AN$2&gt;=VALUE(t_Parts[[SOP]:[SOP]]),AN$2&lt;=VALUE(t_Parts[[EOP]:[EOP]])), t_Parts[[SetupHrsPerMo]:[SetupHrsPerMo]]+(t_Parts[[#This Row],[pv2015.11]]/t_Parts[[NetPPH]:[NetPPH]]),0)</calculatedColumnFormula>
    </tableColumn>
    <tableColumn id="56" name="hp2015.12" dataDxfId="81">
      <calculatedColumnFormula>IF(AND(AO$2&gt;=VALUE(t_Parts[[SOP]:[SOP]]),AO$2&lt;=VALUE(t_Parts[[EOP]:[EOP]])), t_Parts[[SetupHrsPerMo]:[SetupHrsPerMo]]+(t_Parts[[#This Row],[pv2015.12]]/t_Parts[[NetPPH]:[NetPPH]]),0)</calculatedColumnFormula>
    </tableColumn>
    <tableColumn id="57" name="hp2015.FY" dataDxfId="80">
      <calculatedColumnFormula>SUM(t_Parts[[#This Row],[hp2015.01]:[hp2015.12]])</calculatedColumnFormula>
    </tableColumn>
    <tableColumn id="113" name="hp2016.01" dataDxfId="79">
      <calculatedColumnFormula>IF(AND(AQ$2&gt;=VALUE(t_Parts[[SOP]:[SOP]]),AQ$2&lt;=VALUE(t_Parts[[EOP]:[EOP]])), t_Parts[[SetupHrsPerMo]:[SetupHrsPerMo]]+(t_Parts[[#This Row],[pv2016.01]]/t_Parts[[NetPPH]:[NetPPH]]),0)</calculatedColumnFormula>
    </tableColumn>
    <tableColumn id="114" name="hp2016.02" dataDxfId="78">
      <calculatedColumnFormula>IF(AND(AR$2&gt;=VALUE(t_Parts[[SOP]:[SOP]]),AR$2&lt;=VALUE(t_Parts[[EOP]:[EOP]])), t_Parts[[SetupHrsPerMo]:[SetupHrsPerMo]]+(t_Parts[[#This Row],[pv2016.02]]/t_Parts[[NetPPH]:[NetPPH]]),0)</calculatedColumnFormula>
    </tableColumn>
    <tableColumn id="115" name="hp2016.03" dataDxfId="77">
      <calculatedColumnFormula>IF(AND(AS$2&gt;=VALUE(t_Parts[[SOP]:[SOP]]),AS$2&lt;=VALUE(t_Parts[[EOP]:[EOP]])), t_Parts[[SetupHrsPerMo]:[SetupHrsPerMo]]+(t_Parts[[#This Row],[pv2016.03]]/t_Parts[[NetPPH]:[NetPPH]]),0)</calculatedColumnFormula>
    </tableColumn>
    <tableColumn id="116" name="hp2016.04" dataDxfId="76">
      <calculatedColumnFormula>IF(AND(AT$2&gt;=VALUE(t_Parts[[SOP]:[SOP]]),AT$2&lt;=VALUE(t_Parts[[EOP]:[EOP]])), t_Parts[[SetupHrsPerMo]:[SetupHrsPerMo]]+(t_Parts[[#This Row],[pv2016.04]]/t_Parts[[NetPPH]:[NetPPH]]),0)</calculatedColumnFormula>
    </tableColumn>
    <tableColumn id="117" name="hp2016.05" dataDxfId="75">
      <calculatedColumnFormula>IF(AND(AU$2&gt;=VALUE(t_Parts[[SOP]:[SOP]]),AU$2&lt;=VALUE(t_Parts[[EOP]:[EOP]])), t_Parts[[SetupHrsPerMo]:[SetupHrsPerMo]]+(t_Parts[[#This Row],[pv2016.05]]/t_Parts[[NetPPH]:[NetPPH]]),0)</calculatedColumnFormula>
    </tableColumn>
    <tableColumn id="118" name="hp2016.06" dataDxfId="74">
      <calculatedColumnFormula>IF(AND(AV$2&gt;=VALUE(t_Parts[[SOP]:[SOP]]),AV$2&lt;=VALUE(t_Parts[[EOP]:[EOP]])), t_Parts[[SetupHrsPerMo]:[SetupHrsPerMo]]+(t_Parts[[#This Row],[pv2016.06]]/t_Parts[[NetPPH]:[NetPPH]]),0)</calculatedColumnFormula>
    </tableColumn>
    <tableColumn id="119" name="hp2016.07" dataDxfId="73">
      <calculatedColumnFormula>IF(AND(AW$2&gt;=VALUE(t_Parts[[SOP]:[SOP]]),AW$2&lt;=VALUE(t_Parts[[EOP]:[EOP]])), t_Parts[[SetupHrsPerMo]:[SetupHrsPerMo]]+(t_Parts[[#This Row],[pv2016.07]]/t_Parts[[NetPPH]:[NetPPH]]),0)</calculatedColumnFormula>
    </tableColumn>
    <tableColumn id="120" name="hp2016.08" dataDxfId="72">
      <calculatedColumnFormula>IF(AND(AX$2&gt;=VALUE(t_Parts[[SOP]:[SOP]]),AX$2&lt;=VALUE(t_Parts[[EOP]:[EOP]])), t_Parts[[SetupHrsPerMo]:[SetupHrsPerMo]]+(t_Parts[[#This Row],[pv2016.08]]/t_Parts[[NetPPH]:[NetPPH]]),0)</calculatedColumnFormula>
    </tableColumn>
    <tableColumn id="121" name="hp2016.09" dataDxfId="71">
      <calculatedColumnFormula>IF(AND(AY$2&gt;=VALUE(t_Parts[[SOP]:[SOP]]),AY$2&lt;=VALUE(t_Parts[[EOP]:[EOP]])), t_Parts[[SetupHrsPerMo]:[SetupHrsPerMo]]+(t_Parts[[#This Row],[pv2016.09]]/t_Parts[[NetPPH]:[NetPPH]]),0)</calculatedColumnFormula>
    </tableColumn>
    <tableColumn id="122" name="hp2016.10" dataDxfId="70">
      <calculatedColumnFormula>IF(AND(AZ$2&gt;=VALUE(t_Parts[[SOP]:[SOP]]),AZ$2&lt;=VALUE(t_Parts[[EOP]:[EOP]])), t_Parts[[SetupHrsPerMo]:[SetupHrsPerMo]]+(t_Parts[[#This Row],[pv2016.10]]/t_Parts[[NetPPH]:[NetPPH]]),0)</calculatedColumnFormula>
    </tableColumn>
    <tableColumn id="123" name="hp2016.11" dataDxfId="69">
      <calculatedColumnFormula>IF(AND(BA$2&gt;=VALUE(t_Parts[[SOP]:[SOP]]),BA$2&lt;=VALUE(t_Parts[[EOP]:[EOP]])), t_Parts[[SetupHrsPerMo]:[SetupHrsPerMo]]+(t_Parts[[#This Row],[pv2016.11]]/t_Parts[[NetPPH]:[NetPPH]]),0)</calculatedColumnFormula>
    </tableColumn>
    <tableColumn id="124" name="hp2016.12" dataDxfId="68">
      <calculatedColumnFormula>IF(AND(BB$2&gt;=VALUE(t_Parts[[SOP]:[SOP]]),BB$2&lt;=VALUE(t_Parts[[EOP]:[EOP]])), t_Parts[[SetupHrsPerMo]:[SetupHrsPerMo]]+(t_Parts[[#This Row],[pv2016.12]]/t_Parts[[NetPPH]:[NetPPH]]),0)</calculatedColumnFormula>
    </tableColumn>
    <tableColumn id="127" name="hp2016.FY" dataDxfId="67">
      <calculatedColumnFormula>SUM(t_Parts[[#This Row],[hp2016.01]:[hp2016.12]])</calculatedColumnFormula>
    </tableColumn>
    <tableColumn id="126" name="hp2017" dataDxfId="66">
      <calculatedColumnFormula>IF(AND(BD$2&gt;=VALUE(t_Parts[[SOP]:[SOP]]),BD$2&lt;=VALUE(t_Parts[[EOP]:[EOP]])), 12*t_Parts[[SetupHrsPerMo]:[SetupHrsPerMo]]+(t_Parts[[#This Row],[pv2017]]/t_Parts[[NetPPH]:[NetPPH]]),0)</calculatedColumnFormula>
    </tableColumn>
    <tableColumn id="125" name="hp2018" dataDxfId="65">
      <calculatedColumnFormula>IF(AND(BE$2&gt;=VALUE(t_Parts[[SOP]:[SOP]]),BE$2&lt;=VALUE(t_Parts[[EOP]:[EOP]])), 12*t_Parts[[SetupHrsPerMo]:[SetupHrsPerMo]]+(t_Parts[[#This Row],[pv2018]]/t_Parts[[NetPPH]:[NetPPH]]),0)</calculatedColumnFormula>
    </tableColumn>
    <tableColumn id="128" name="hp2019" dataDxfId="64">
      <calculatedColumnFormula>IF(AND(BF$2&gt;=VALUE(t_Parts[[SOP]:[SOP]]),BF$2&lt;=VALUE(t_Parts[[EOP]:[EOP]])), 12*t_Parts[[SetupHrsPerMo]:[SetupHrsPerMo]]+(t_Parts[[#This Row],[pv2019]]/t_Parts[[NetPPH]:[NetPPH]]),0)</calculatedColumnFormula>
    </tableColumn>
    <tableColumn id="58" name="2015.01" dataDxfId="63">
      <calculatedColumnFormula>t_Parts[[#This Row],[hp2015.01]]/t_Parts[[#This Row],[ha2015.01]]</calculatedColumnFormula>
    </tableColumn>
    <tableColumn id="59" name="2015.02" dataDxfId="62">
      <calculatedColumnFormula>t_Parts[[#This Row],[hp2015.02]]/t_Parts[[#This Row],[ha2015.02]]</calculatedColumnFormula>
    </tableColumn>
    <tableColumn id="60" name="2015.03" dataDxfId="61">
      <calculatedColumnFormula>t_Parts[[#This Row],[hp2015.03]]/t_Parts[[#This Row],[ha2015.03]]</calculatedColumnFormula>
    </tableColumn>
    <tableColumn id="61" name="2015.04" dataDxfId="60">
      <calculatedColumnFormula>t_Parts[[#This Row],[hp2015.04]]/t_Parts[[#This Row],[ha2015.04]]</calculatedColumnFormula>
    </tableColumn>
    <tableColumn id="62" name="2015.05" dataDxfId="59">
      <calculatedColumnFormula>t_Parts[[#This Row],[hp2015.05]]/t_Parts[[#This Row],[ha2015.05]]</calculatedColumnFormula>
    </tableColumn>
    <tableColumn id="63" name="2015.06" dataDxfId="58">
      <calculatedColumnFormula>t_Parts[[#This Row],[hp2015.06]]/t_Parts[[#This Row],[ha2015.06]]</calculatedColumnFormula>
    </tableColumn>
    <tableColumn id="64" name="2015.07" dataDxfId="57">
      <calculatedColumnFormula>t_Parts[[#This Row],[hp2015.07]]/t_Parts[[#This Row],[ha2015.07]]</calculatedColumnFormula>
    </tableColumn>
    <tableColumn id="65" name="2015.08" dataDxfId="56">
      <calculatedColumnFormula>t_Parts[[#This Row],[hp2015.08]]/t_Parts[[#This Row],[ha2015.08]]</calculatedColumnFormula>
    </tableColumn>
    <tableColumn id="66" name="2015.09" dataDxfId="55">
      <calculatedColumnFormula>t_Parts[[#This Row],[hp2015.09]]/t_Parts[[#This Row],[ha2015.09]]</calculatedColumnFormula>
    </tableColumn>
    <tableColumn id="67" name="2015.1" dataDxfId="54">
      <calculatedColumnFormula>t_Parts[[#This Row],[hp2015.10]]/t_Parts[[#This Row],[ha2015.10]]</calculatedColumnFormula>
    </tableColumn>
    <tableColumn id="68" name="2015.11" dataDxfId="53">
      <calculatedColumnFormula>t_Parts[[#This Row],[hp2015.11]]/t_Parts[[#This Row],[ha2015.11]]</calculatedColumnFormula>
    </tableColumn>
    <tableColumn id="69" name="2015.12" dataDxfId="52">
      <calculatedColumnFormula>t_Parts[[#This Row],[hp2015.12]]/t_Parts[[#This Row],[ha2015.12]]</calculatedColumnFormula>
    </tableColumn>
    <tableColumn id="70" name="2015.FY" dataDxfId="51">
      <calculatedColumnFormula>t_Parts[[#This Row],[hp2015.FY]]/t_Parts[[#This Row],[ha2015.FY]]</calculatedColumnFormula>
    </tableColumn>
    <tableColumn id="129" name="2016.01" dataDxfId="50">
      <calculatedColumnFormula>t_Parts[[#This Row],[hp2016.01]]/t_Parts[[#This Row],[ha2016.01]]</calculatedColumnFormula>
    </tableColumn>
    <tableColumn id="130" name="2016.02" dataDxfId="49">
      <calculatedColumnFormula>t_Parts[[#This Row],[hp2016.02]]/t_Parts[[#This Row],[ha2016.02]]</calculatedColumnFormula>
    </tableColumn>
    <tableColumn id="131" name="2016.03" dataDxfId="48">
      <calculatedColumnFormula>t_Parts[[#This Row],[hp2016.03]]/t_Parts[[#This Row],[ha2016.03]]</calculatedColumnFormula>
    </tableColumn>
    <tableColumn id="132" name="2016.04" dataDxfId="47">
      <calculatedColumnFormula>t_Parts[[#This Row],[hp2016.04]]/t_Parts[[#This Row],[ha2016.04]]</calculatedColumnFormula>
    </tableColumn>
    <tableColumn id="133" name="2016.05" dataDxfId="46">
      <calculatedColumnFormula>t_Parts[[#This Row],[hp2016.05]]/t_Parts[[#This Row],[ha2016.05]]</calculatedColumnFormula>
    </tableColumn>
    <tableColumn id="134" name="2016.06" dataDxfId="45">
      <calculatedColumnFormula>t_Parts[[#This Row],[hp2016.06]]/t_Parts[[#This Row],[ha2016.06]]</calculatedColumnFormula>
    </tableColumn>
    <tableColumn id="135" name="2016.07" dataDxfId="44">
      <calculatedColumnFormula>t_Parts[[#This Row],[hp2016.07]]/t_Parts[[#This Row],[ha2016.07]]</calculatedColumnFormula>
    </tableColumn>
    <tableColumn id="136" name="2016.08" dataDxfId="43">
      <calculatedColumnFormula>t_Parts[[#This Row],[hp2016.08]]/t_Parts[[#This Row],[ha2016.08]]</calculatedColumnFormula>
    </tableColumn>
    <tableColumn id="137" name="2016.09" dataDxfId="42">
      <calculatedColumnFormula>t_Parts[[#This Row],[hp2016.09]]/t_Parts[[#This Row],[ha2016.09]]</calculatedColumnFormula>
    </tableColumn>
    <tableColumn id="138" name="2016.10" dataDxfId="41">
      <calculatedColumnFormula>t_Parts[[#This Row],[hp2016.10]]/t_Parts[[#This Row],[ha2016.10]]</calculatedColumnFormula>
    </tableColumn>
    <tableColumn id="139" name="2016.11" dataDxfId="40">
      <calculatedColumnFormula>t_Parts[[#This Row],[hp2016.11]]/t_Parts[[#This Row],[ha2016.11]]</calculatedColumnFormula>
    </tableColumn>
    <tableColumn id="140" name="2016.12" dataDxfId="39">
      <calculatedColumnFormula>t_Parts[[#This Row],[hp2016.12]]/t_Parts[[#This Row],[ha2016.12]]</calculatedColumnFormula>
    </tableColumn>
    <tableColumn id="141" name="2016.FY" dataDxfId="38">
      <calculatedColumnFormula>t_Parts[[#This Row],[hp2016.FY]]/t_Parts[[#This Row],[ha2016.FY]]</calculatedColumnFormula>
    </tableColumn>
    <tableColumn id="142" name="2017" dataDxfId="37">
      <calculatedColumnFormula>t_Parts[[#This Row],[hp2017]]/t_Parts[[#This Row],[ha2017]]</calculatedColumnFormula>
    </tableColumn>
    <tableColumn id="143" name="2018" dataDxfId="36">
      <calculatedColumnFormula>t_Parts[[#This Row],[hp2018]]/t_Parts[[#This Row],[ha2018]]</calculatedColumnFormula>
    </tableColumn>
    <tableColumn id="144" name="2019" dataDxfId="35">
      <calculatedColumnFormula>t_Parts[[#This Row],[hp2019]]/t_Parts[[#This Row],[hp2015.01]]</calculatedColumnFormula>
    </tableColumn>
    <tableColumn id="146" name="hr2015.01" dataDxfId="34">
      <calculatedColumnFormula>(t_Parts[[#This Row],[ha2015.01]]-t_Parts[[#This Row],[hp2015.01]])*t_Parts[[NetPPH]:[NetPPH]]</calculatedColumnFormula>
    </tableColumn>
    <tableColumn id="147" name="hr2015.02" dataDxfId="33">
      <calculatedColumnFormula>(t_Parts[[#This Row],[ha2015.02]]-t_Parts[[#This Row],[hp2015.02]])*t_Parts[[NetPPH]:[NetPPH]]</calculatedColumnFormula>
    </tableColumn>
    <tableColumn id="148" name="hr2015.03" dataDxfId="32">
      <calculatedColumnFormula>(t_Parts[[#This Row],[ha2015.03]]-t_Parts[[#This Row],[hp2015.03]])*t_Parts[[NetPPH]:[NetPPH]]</calculatedColumnFormula>
    </tableColumn>
    <tableColumn id="149" name="hr2015.04" dataDxfId="31">
      <calculatedColumnFormula>(t_Parts[[#This Row],[ha2015.04]]-t_Parts[[#This Row],[hp2015.04]])*t_Parts[[NetPPH]:[NetPPH]]</calculatedColumnFormula>
    </tableColumn>
    <tableColumn id="150" name="hr2015.05" dataDxfId="30">
      <calculatedColumnFormula>(t_Parts[[#This Row],[ha2015.05]]-t_Parts[[#This Row],[hp2015.05]])*t_Parts[[NetPPH]:[NetPPH]]</calculatedColumnFormula>
    </tableColumn>
    <tableColumn id="151" name="hr2015.06" dataDxfId="29">
      <calculatedColumnFormula>(t_Parts[[#This Row],[ha2015.06]]-t_Parts[[#This Row],[hp2015.06]])*t_Parts[[NetPPH]:[NetPPH]]</calculatedColumnFormula>
    </tableColumn>
    <tableColumn id="152" name="hr2015.07" dataDxfId="28">
      <calculatedColumnFormula>(t_Parts[[#This Row],[ha2015.07]]-t_Parts[[#This Row],[hp2015.07]])*t_Parts[[NetPPH]:[NetPPH]]</calculatedColumnFormula>
    </tableColumn>
    <tableColumn id="153" name="hr2015.08" dataDxfId="27">
      <calculatedColumnFormula>(t_Parts[[#This Row],[ha2015.08]]-t_Parts[[#This Row],[hp2015.08]])*t_Parts[[NetPPH]:[NetPPH]]</calculatedColumnFormula>
    </tableColumn>
    <tableColumn id="154" name="hr2015.09" dataDxfId="26">
      <calculatedColumnFormula>(t_Parts[[#This Row],[ha2015.09]]-t_Parts[[#This Row],[hp2015.09]])*t_Parts[[NetPPH]:[NetPPH]]</calculatedColumnFormula>
    </tableColumn>
    <tableColumn id="155" name="hr2015.10" dataDxfId="25">
      <calculatedColumnFormula>(t_Parts[[#This Row],[ha2015.10]]-t_Parts[[#This Row],[hp2015.10]])*t_Parts[[NetPPH]:[NetPPH]]</calculatedColumnFormula>
    </tableColumn>
    <tableColumn id="156" name="hr2015.11" dataDxfId="24">
      <calculatedColumnFormula>(t_Parts[[#This Row],[ha2015.11]]-t_Parts[[#This Row],[hp2015.11]])*t_Parts[[NetPPH]:[NetPPH]]</calculatedColumnFormula>
    </tableColumn>
    <tableColumn id="157" name="hr2015.12" dataDxfId="23">
      <calculatedColumnFormula>(t_Parts[[#This Row],[ha2015.12]]-t_Parts[[#This Row],[hp2015.12]])*t_Parts[[NetPPH]:[NetPPH]]</calculatedColumnFormula>
    </tableColumn>
    <tableColumn id="158" name="hr2015.FY" dataDxfId="22">
      <calculatedColumnFormula>(t_Parts[[#This Row],[ha2015.FY]]-t_Parts[[#This Row],[hp2015.FY]])*t_Parts[[NetPPH]:[NetPPH]]</calculatedColumnFormula>
    </tableColumn>
    <tableColumn id="159" name="hr2016.01" dataDxfId="21">
      <calculatedColumnFormula>(t_Parts[[#This Row],[ha2016.01]]-t_Parts[[#This Row],[hp2016.01]])*t_Parts[[NetPPH]:[NetPPH]]</calculatedColumnFormula>
    </tableColumn>
    <tableColumn id="160" name="hr2016.02" dataDxfId="20">
      <calculatedColumnFormula>(t_Parts[[#This Row],[ha2016.02]]-t_Parts[[#This Row],[hp2016.02]])*t_Parts[[NetPPH]:[NetPPH]]</calculatedColumnFormula>
    </tableColumn>
    <tableColumn id="161" name="hr2016.03" dataDxfId="19">
      <calculatedColumnFormula>(t_Parts[[#This Row],[ha2016.03]]-t_Parts[[#This Row],[hp2016.03]])*t_Parts[[NetPPH]:[NetPPH]]</calculatedColumnFormula>
    </tableColumn>
    <tableColumn id="162" name="hr2016.04" dataDxfId="18">
      <calculatedColumnFormula>(t_Parts[[#This Row],[ha2016.04]]-t_Parts[[#This Row],[hp2016.04]])*t_Parts[[NetPPH]:[NetPPH]]</calculatedColumnFormula>
    </tableColumn>
    <tableColumn id="163" name="hr2016.05" dataDxfId="17">
      <calculatedColumnFormula>(t_Parts[[#This Row],[ha2016.05]]-t_Parts[[#This Row],[hp2016.05]])*t_Parts[[NetPPH]:[NetPPH]]</calculatedColumnFormula>
    </tableColumn>
    <tableColumn id="164" name="hr2016.06" dataDxfId="16">
      <calculatedColumnFormula>(t_Parts[[#This Row],[ha2016.06]]-t_Parts[[#This Row],[hp2016.06]])*t_Parts[[NetPPH]:[NetPPH]]</calculatedColumnFormula>
    </tableColumn>
    <tableColumn id="165" name="hr2016.07" dataDxfId="15">
      <calculatedColumnFormula>(t_Parts[[#This Row],[ha2016.07]]-t_Parts[[#This Row],[hp2016.07]])*t_Parts[[NetPPH]:[NetPPH]]</calculatedColumnFormula>
    </tableColumn>
    <tableColumn id="166" name="hr2016.08" dataDxfId="14">
      <calculatedColumnFormula>(t_Parts[[#This Row],[ha2016.08]]-t_Parts[[#This Row],[hp2016.08]])*t_Parts[[NetPPH]:[NetPPH]]</calculatedColumnFormula>
    </tableColumn>
    <tableColumn id="167" name="hr2016.09" dataDxfId="13">
      <calculatedColumnFormula>(t_Parts[[#This Row],[ha2016.09]]-t_Parts[[#This Row],[hp2016.09]])*t_Parts[[NetPPH]:[NetPPH]]</calculatedColumnFormula>
    </tableColumn>
    <tableColumn id="168" name="hr2016.10" dataDxfId="12">
      <calculatedColumnFormula>(t_Parts[[#This Row],[ha2016.10]]-t_Parts[[#This Row],[hp2016.10]])*t_Parts[[NetPPH]:[NetPPH]]</calculatedColumnFormula>
    </tableColumn>
    <tableColumn id="169" name="hr2016.11" dataDxfId="11">
      <calculatedColumnFormula>(t_Parts[[#This Row],[ha2016.11]]-t_Parts[[#This Row],[hp2016.11]])*t_Parts[[NetPPH]:[NetPPH]]</calculatedColumnFormula>
    </tableColumn>
    <tableColumn id="170" name="hr2016.12" dataDxfId="10">
      <calculatedColumnFormula>(t_Parts[[#This Row],[ha2016.12]]-t_Parts[[#This Row],[hp2016.12]])*t_Parts[[NetPPH]:[NetPPH]]</calculatedColumnFormula>
    </tableColumn>
    <tableColumn id="171" name="hr2016.FY" dataDxfId="9">
      <calculatedColumnFormula>(t_Parts[[#This Row],[ha2016.FY]]-t_Parts[[#This Row],[hp2016.FY]])*t_Parts[[NetPPH]:[NetPPH]]</calculatedColumnFormula>
    </tableColumn>
    <tableColumn id="172" name="hr2017" dataDxfId="8">
      <calculatedColumnFormula>(t_Parts[[#This Row],[ha2017]]-t_Parts[[#This Row],[hp2017]])*t_Parts[[NetPPH]:[NetPPH]]</calculatedColumnFormula>
    </tableColumn>
    <tableColumn id="173" name="hr2018" dataDxfId="7">
      <calculatedColumnFormula>(t_Parts[[#This Row],[ha2018]]-t_Parts[[#This Row],[hp2018]])*t_Parts[[NetPPH]:[NetPPH]]</calculatedColumnFormula>
    </tableColumn>
    <tableColumn id="174" name="hr2019" dataDxfId="6">
      <calculatedColumnFormula>(t_Parts[[#This Row],[ha2019]]-t_Parts[[#This Row],[hp2019]])*t_Parts[[NetPPH]:[NetPPH]]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5" name="t_PlantViews" displayName="t_PlantViews" ref="A1:A11" totalsRowShown="0">
  <autoFilter ref="A1:A11"/>
  <sortState ref="A2:A11">
    <sortCondition ref="A1:A11"/>
  </sortState>
  <tableColumns count="1">
    <tableColumn id="1" name="Plant Input Ranges" dataDxfId="5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6" name="t_TonnageViews" displayName="t_TonnageViews" ref="A14:A20" totalsRowShown="0">
  <autoFilter ref="A14:A20"/>
  <tableColumns count="1">
    <tableColumn id="2" name="Range Name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U12"/>
  <sheetViews>
    <sheetView tabSelected="1" topLeftCell="A2" zoomScale="115" zoomScaleNormal="115" workbookViewId="0">
      <selection activeCell="EU2" sqref="EU2"/>
    </sheetView>
  </sheetViews>
  <sheetFormatPr defaultRowHeight="15" outlineLevelCol="1" x14ac:dyDescent="0.25"/>
  <cols>
    <col min="1" max="1" width="13.85546875" customWidth="1"/>
    <col min="2" max="2" width="17.140625" customWidth="1"/>
    <col min="3" max="3" width="9.85546875" customWidth="1"/>
    <col min="4" max="31" width="13" hidden="1" customWidth="1" outlineLevel="1"/>
    <col min="32" max="32" width="13" hidden="1" customWidth="1"/>
    <col min="33" max="60" width="13" hidden="1" customWidth="1" outlineLevel="1"/>
    <col min="61" max="61" width="11" hidden="1" customWidth="1"/>
    <col min="62" max="62" width="11.85546875" hidden="1" customWidth="1" outlineLevel="1"/>
    <col min="63" max="89" width="13" hidden="1" customWidth="1" outlineLevel="1"/>
    <col min="90" max="90" width="13" hidden="1" customWidth="1"/>
    <col min="91" max="91" width="15.42578125" hidden="1" customWidth="1" outlineLevel="1"/>
    <col min="92" max="92" width="13" hidden="1" customWidth="1" outlineLevel="1"/>
    <col min="93" max="93" width="13" hidden="1" customWidth="1" outlineLevel="1" collapsed="1"/>
    <col min="94" max="118" width="13" hidden="1" customWidth="1" outlineLevel="1"/>
    <col min="119" max="119" width="13" hidden="1" customWidth="1"/>
    <col min="120" max="147" width="13" hidden="1" customWidth="1" outlineLevel="1"/>
    <col min="148" max="148" width="13" hidden="1" customWidth="1"/>
    <col min="149" max="150" width="13" customWidth="1" outlineLevel="1"/>
    <col min="151" max="151" width="10.5703125" customWidth="1" outlineLevel="1"/>
    <col min="152" max="160" width="9.85546875" customWidth="1" outlineLevel="1"/>
    <col min="161" max="161" width="9.85546875" hidden="1" customWidth="1"/>
    <col min="162" max="173" width="10.42578125" hidden="1" customWidth="1" outlineLevel="1"/>
    <col min="174" max="176" width="9.85546875" hidden="1" customWidth="1" outlineLevel="1"/>
    <col min="177" max="177" width="12.5703125" hidden="1" customWidth="1"/>
    <col min="178" max="178" width="9.85546875" customWidth="1"/>
    <col min="179" max="179" width="11.5703125" customWidth="1"/>
  </cols>
  <sheetData>
    <row r="1" spans="1:177" s="35" customFormat="1" hidden="1" x14ac:dyDescent="0.25">
      <c r="A1" s="35">
        <v>9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T1" s="35">
        <f>COLUMN()</f>
        <v>20</v>
      </c>
      <c r="U1" s="35">
        <f>COLUMN()</f>
        <v>21</v>
      </c>
      <c r="V1" s="35">
        <f>COLUMN()</f>
        <v>22</v>
      </c>
      <c r="W1" s="35">
        <f>COLUMN()</f>
        <v>23</v>
      </c>
      <c r="X1" s="35">
        <f>COLUMN()</f>
        <v>24</v>
      </c>
      <c r="Y1" s="35">
        <f>COLUMN()</f>
        <v>25</v>
      </c>
      <c r="Z1" s="35">
        <f>COLUMN()</f>
        <v>26</v>
      </c>
      <c r="AA1" s="35">
        <f>COLUMN()</f>
        <v>27</v>
      </c>
      <c r="AB1" s="35">
        <f>COLUMN()</f>
        <v>28</v>
      </c>
      <c r="AC1" s="35">
        <f>COLUMN()</f>
        <v>29</v>
      </c>
      <c r="AD1" s="35">
        <f>COLUMN()</f>
        <v>30</v>
      </c>
      <c r="AE1" s="35">
        <f>COLUMN()</f>
        <v>31</v>
      </c>
      <c r="AF1" s="35">
        <f>COLUMN()</f>
        <v>32</v>
      </c>
      <c r="AG1" s="35">
        <f>COLUMN()</f>
        <v>33</v>
      </c>
      <c r="AH1" s="35">
        <f>COLUMN()</f>
        <v>34</v>
      </c>
      <c r="AI1" s="35">
        <f>COLUMN()</f>
        <v>35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AW1" s="35">
        <f>COLUMN()</f>
        <v>49</v>
      </c>
      <c r="AX1" s="35">
        <f>COLUMN()</f>
        <v>50</v>
      </c>
      <c r="AY1" s="35">
        <f>COLUMN()</f>
        <v>51</v>
      </c>
      <c r="AZ1" s="35">
        <f>COLUMN()</f>
        <v>52</v>
      </c>
      <c r="BA1" s="35">
        <f>COLUMN()</f>
        <v>53</v>
      </c>
      <c r="BB1" s="35">
        <f>COLUMN()</f>
        <v>54</v>
      </c>
      <c r="BC1" s="35">
        <f>COLUMN()</f>
        <v>55</v>
      </c>
      <c r="BD1" s="35">
        <f>COLUMN()</f>
        <v>56</v>
      </c>
      <c r="BE1" s="35">
        <f>COLUMN()</f>
        <v>57</v>
      </c>
      <c r="BF1" s="35">
        <f>COLUMN()</f>
        <v>58</v>
      </c>
      <c r="BG1" s="35">
        <f>COLUMN()</f>
        <v>59</v>
      </c>
      <c r="BH1" s="35">
        <f>COLUMN()</f>
        <v>60</v>
      </c>
      <c r="BI1" s="35">
        <f>COLUMN()</f>
        <v>61</v>
      </c>
      <c r="BJ1" s="35">
        <f>COLUMN()</f>
        <v>62</v>
      </c>
      <c r="BK1" s="35">
        <f>COLUMN()</f>
        <v>63</v>
      </c>
      <c r="BL1" s="35">
        <f>COLUMN()</f>
        <v>64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  <c r="BZ1" s="35">
        <f>COLUMN()</f>
        <v>78</v>
      </c>
      <c r="CA1" s="35">
        <f>COLUMN()</f>
        <v>79</v>
      </c>
      <c r="CB1" s="35">
        <f>COLUMN()</f>
        <v>80</v>
      </c>
      <c r="CC1" s="35">
        <f>COLUMN()</f>
        <v>81</v>
      </c>
      <c r="CD1" s="35">
        <f>COLUMN()</f>
        <v>82</v>
      </c>
      <c r="CE1" s="35">
        <f>COLUMN()</f>
        <v>83</v>
      </c>
      <c r="CF1" s="35">
        <f>COLUMN()</f>
        <v>84</v>
      </c>
      <c r="CG1" s="35">
        <f>COLUMN()</f>
        <v>85</v>
      </c>
      <c r="CH1" s="35">
        <f>COLUMN()</f>
        <v>86</v>
      </c>
      <c r="CI1" s="35">
        <f>COLUMN()</f>
        <v>87</v>
      </c>
      <c r="CJ1" s="35">
        <f>COLUMN()</f>
        <v>88</v>
      </c>
      <c r="CK1" s="35">
        <f>COLUMN()</f>
        <v>89</v>
      </c>
      <c r="CL1" s="35">
        <f>COLUMN()</f>
        <v>90</v>
      </c>
      <c r="CM1" s="35">
        <f>COLUMN()</f>
        <v>91</v>
      </c>
      <c r="CN1" s="35">
        <f>COLUMN()</f>
        <v>92</v>
      </c>
      <c r="CO1" s="35">
        <f>COLUMN()</f>
        <v>93</v>
      </c>
      <c r="CP1" s="35">
        <f>COLUMN()</f>
        <v>94</v>
      </c>
      <c r="CQ1" s="35">
        <f>COLUMN()</f>
        <v>95</v>
      </c>
      <c r="CR1" s="35">
        <f>COLUMN()</f>
        <v>96</v>
      </c>
      <c r="CS1" s="35">
        <f>COLUMN()</f>
        <v>97</v>
      </c>
      <c r="CT1" s="35">
        <f>COLUMN()</f>
        <v>98</v>
      </c>
      <c r="CU1" s="35">
        <f>COLUMN()</f>
        <v>99</v>
      </c>
      <c r="CV1" s="35">
        <f>COLUMN()</f>
        <v>100</v>
      </c>
      <c r="CW1" s="35">
        <f>COLUMN()</f>
        <v>101</v>
      </c>
      <c r="CX1" s="35">
        <f>COLUMN()</f>
        <v>102</v>
      </c>
      <c r="CY1" s="35">
        <f>COLUMN()</f>
        <v>103</v>
      </c>
      <c r="CZ1" s="35">
        <f>COLUMN()</f>
        <v>104</v>
      </c>
      <c r="DA1" s="35">
        <f>COLUMN()</f>
        <v>105</v>
      </c>
      <c r="DB1" s="35">
        <f>COLUMN()</f>
        <v>106</v>
      </c>
      <c r="DC1" s="35">
        <f>COLUMN()</f>
        <v>107</v>
      </c>
      <c r="DD1" s="35">
        <f>COLUMN()</f>
        <v>108</v>
      </c>
      <c r="DE1" s="35">
        <f>COLUMN()</f>
        <v>109</v>
      </c>
      <c r="DF1" s="35">
        <f>COLUMN()</f>
        <v>110</v>
      </c>
      <c r="DG1" s="35">
        <f>COLUMN()</f>
        <v>111</v>
      </c>
      <c r="DH1" s="35">
        <f>COLUMN()</f>
        <v>112</v>
      </c>
      <c r="DI1" s="35">
        <f>COLUMN()</f>
        <v>113</v>
      </c>
      <c r="DJ1" s="35">
        <f>COLUMN()</f>
        <v>114</v>
      </c>
      <c r="DK1" s="35">
        <f>COLUMN()</f>
        <v>115</v>
      </c>
      <c r="DL1" s="35">
        <f>COLUMN()</f>
        <v>116</v>
      </c>
      <c r="DM1" s="35">
        <f>COLUMN()</f>
        <v>117</v>
      </c>
      <c r="DN1" s="35">
        <f>COLUMN()</f>
        <v>118</v>
      </c>
      <c r="DO1" s="35">
        <f>COLUMN()</f>
        <v>119</v>
      </c>
      <c r="DP1" s="35">
        <f>COLUMN()</f>
        <v>120</v>
      </c>
      <c r="DQ1" s="35">
        <f>COLUMN()</f>
        <v>121</v>
      </c>
      <c r="DR1" s="35">
        <f>COLUMN()</f>
        <v>122</v>
      </c>
      <c r="DS1" s="35">
        <f>COLUMN()</f>
        <v>123</v>
      </c>
      <c r="DT1" s="35">
        <f>COLUMN()</f>
        <v>124</v>
      </c>
      <c r="DU1" s="35">
        <f>COLUMN()</f>
        <v>125</v>
      </c>
      <c r="DV1" s="35">
        <f>COLUMN()</f>
        <v>126</v>
      </c>
      <c r="DW1" s="35">
        <f>COLUMN()</f>
        <v>127</v>
      </c>
      <c r="DX1" s="35">
        <f>COLUMN()</f>
        <v>128</v>
      </c>
      <c r="DY1" s="35">
        <f>COLUMN()</f>
        <v>129</v>
      </c>
      <c r="DZ1" s="35">
        <f>COLUMN()</f>
        <v>130</v>
      </c>
      <c r="EA1" s="35">
        <f>COLUMN()</f>
        <v>131</v>
      </c>
      <c r="EB1" s="35">
        <f>COLUMN()</f>
        <v>132</v>
      </c>
      <c r="EC1" s="35">
        <f>COLUMN()</f>
        <v>133</v>
      </c>
      <c r="ED1" s="35">
        <f>COLUMN()</f>
        <v>134</v>
      </c>
      <c r="EE1" s="35">
        <f>COLUMN()</f>
        <v>135</v>
      </c>
      <c r="EF1" s="35">
        <f>COLUMN()</f>
        <v>136</v>
      </c>
      <c r="EG1" s="35">
        <f>COLUMN()</f>
        <v>137</v>
      </c>
      <c r="EH1" s="35">
        <f>COLUMN()</f>
        <v>138</v>
      </c>
      <c r="EI1" s="35">
        <f>COLUMN()</f>
        <v>139</v>
      </c>
      <c r="EJ1" s="35">
        <f>COLUMN()</f>
        <v>140</v>
      </c>
      <c r="EK1" s="35">
        <f>COLUMN()</f>
        <v>141</v>
      </c>
      <c r="EL1" s="35">
        <f>COLUMN()</f>
        <v>142</v>
      </c>
      <c r="EM1" s="35">
        <f>COLUMN()</f>
        <v>143</v>
      </c>
      <c r="EN1" s="35">
        <f>COLUMN()</f>
        <v>144</v>
      </c>
      <c r="EO1" s="35">
        <f>COLUMN()</f>
        <v>145</v>
      </c>
      <c r="EP1" s="35">
        <f>COLUMN()</f>
        <v>146</v>
      </c>
      <c r="EQ1" s="35">
        <f>COLUMN()</f>
        <v>147</v>
      </c>
      <c r="ER1" s="35">
        <f>COLUMN()</f>
        <v>148</v>
      </c>
      <c r="ES1" s="35">
        <f>COLUMN()</f>
        <v>149</v>
      </c>
      <c r="ET1" s="35">
        <f>COLUMN()</f>
        <v>150</v>
      </c>
      <c r="EU1" s="35">
        <f>COLUMN()</f>
        <v>151</v>
      </c>
      <c r="EV1" s="35">
        <f>COLUMN()</f>
        <v>152</v>
      </c>
      <c r="EW1" s="35">
        <f>COLUMN()</f>
        <v>153</v>
      </c>
      <c r="EX1" s="35">
        <f>COLUMN()</f>
        <v>154</v>
      </c>
      <c r="EY1" s="35">
        <f>COLUMN()</f>
        <v>155</v>
      </c>
      <c r="EZ1" s="35">
        <f>COLUMN()</f>
        <v>156</v>
      </c>
      <c r="FA1" s="35">
        <f>COLUMN()</f>
        <v>157</v>
      </c>
      <c r="FB1" s="35">
        <f>COLUMN()</f>
        <v>158</v>
      </c>
      <c r="FC1" s="35">
        <f>COLUMN()</f>
        <v>159</v>
      </c>
      <c r="FD1" s="35">
        <f>COLUMN()</f>
        <v>160</v>
      </c>
      <c r="FE1" s="35">
        <f>COLUMN()</f>
        <v>161</v>
      </c>
      <c r="FF1" s="35">
        <f>COLUMN()</f>
        <v>162</v>
      </c>
      <c r="FG1" s="35">
        <f>COLUMN()</f>
        <v>163</v>
      </c>
      <c r="FH1" s="35">
        <f>COLUMN()</f>
        <v>164</v>
      </c>
      <c r="FI1" s="35">
        <f>COLUMN()</f>
        <v>165</v>
      </c>
      <c r="FJ1" s="35">
        <f>COLUMN()</f>
        <v>166</v>
      </c>
      <c r="FK1" s="35">
        <f>COLUMN()</f>
        <v>167</v>
      </c>
      <c r="FL1" s="35">
        <f>COLUMN()</f>
        <v>168</v>
      </c>
      <c r="FM1" s="35">
        <f>COLUMN()</f>
        <v>169</v>
      </c>
      <c r="FN1" s="35">
        <f>COLUMN()</f>
        <v>170</v>
      </c>
      <c r="FO1" s="35">
        <f>COLUMN()</f>
        <v>171</v>
      </c>
      <c r="FP1" s="35">
        <f>COLUMN()</f>
        <v>172</v>
      </c>
      <c r="FQ1" s="35">
        <f>COLUMN()</f>
        <v>173</v>
      </c>
      <c r="FR1" s="35">
        <f>COLUMN()</f>
        <v>174</v>
      </c>
      <c r="FS1" s="35">
        <f>COLUMN()</f>
        <v>175</v>
      </c>
      <c r="FT1" s="35">
        <f>COLUMN()</f>
        <v>176</v>
      </c>
      <c r="FU1" s="35">
        <f>COLUMN()</f>
        <v>177</v>
      </c>
    </row>
    <row r="2" spans="1:177" s="35" customFormat="1" ht="99.95" customHeight="1" x14ac:dyDescent="0.25">
      <c r="A2" s="75" t="s">
        <v>468</v>
      </c>
      <c r="B2" s="74">
        <v>1</v>
      </c>
    </row>
    <row r="3" spans="1:177" ht="18" customHeight="1" x14ac:dyDescent="0.25">
      <c r="A3" s="12" t="s">
        <v>178</v>
      </c>
      <c r="B3" s="13"/>
      <c r="C3" s="13"/>
      <c r="D3" s="11" t="s">
        <v>32</v>
      </c>
      <c r="E3" s="11"/>
      <c r="F3" s="61"/>
      <c r="G3" s="61"/>
      <c r="H3" s="61"/>
      <c r="I3" s="61"/>
      <c r="J3" s="61"/>
      <c r="K3" s="61"/>
      <c r="L3" s="61"/>
      <c r="M3" s="61"/>
      <c r="N3" s="61"/>
      <c r="O3" s="6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24" t="s">
        <v>32</v>
      </c>
      <c r="AG3" s="9" t="s">
        <v>33</v>
      </c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 t="s">
        <v>31</v>
      </c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70" t="s">
        <v>31</v>
      </c>
      <c r="BJ3" s="8" t="s">
        <v>34</v>
      </c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71" t="s">
        <v>53</v>
      </c>
      <c r="CM3" s="10" t="s">
        <v>35</v>
      </c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53" t="s">
        <v>54</v>
      </c>
      <c r="DP3" s="19" t="s">
        <v>101</v>
      </c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 t="s">
        <v>100</v>
      </c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34" t="s">
        <v>100</v>
      </c>
      <c r="ES3" s="2" t="s">
        <v>98</v>
      </c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55" t="s">
        <v>439</v>
      </c>
    </row>
    <row r="4" spans="1:177" x14ac:dyDescent="0.25">
      <c r="A4" s="73" t="s">
        <v>38</v>
      </c>
      <c r="B4" s="7" t="s">
        <v>4</v>
      </c>
      <c r="C4" s="7" t="s">
        <v>1</v>
      </c>
      <c r="D4" s="7" t="s">
        <v>208</v>
      </c>
      <c r="E4" s="7" t="s">
        <v>209</v>
      </c>
      <c r="F4" s="7" t="s">
        <v>210</v>
      </c>
      <c r="G4" s="7" t="s">
        <v>211</v>
      </c>
      <c r="H4" s="7" t="s">
        <v>212</v>
      </c>
      <c r="I4" s="7" t="s">
        <v>213</v>
      </c>
      <c r="J4" s="7" t="s">
        <v>214</v>
      </c>
      <c r="K4" s="7" t="s">
        <v>215</v>
      </c>
      <c r="L4" s="7" t="s">
        <v>216</v>
      </c>
      <c r="M4" s="7" t="s">
        <v>217</v>
      </c>
      <c r="N4" s="7" t="s">
        <v>218</v>
      </c>
      <c r="O4" s="7" t="s">
        <v>219</v>
      </c>
      <c r="P4" s="7" t="s">
        <v>220</v>
      </c>
      <c r="Q4" s="7" t="s">
        <v>221</v>
      </c>
      <c r="R4" s="7" t="s">
        <v>222</v>
      </c>
      <c r="S4" s="7" t="s">
        <v>223</v>
      </c>
      <c r="T4" s="7" t="s">
        <v>224</v>
      </c>
      <c r="U4" s="7" t="s">
        <v>225</v>
      </c>
      <c r="V4" s="7" t="s">
        <v>226</v>
      </c>
      <c r="W4" s="7" t="s">
        <v>227</v>
      </c>
      <c r="X4" s="7" t="s">
        <v>228</v>
      </c>
      <c r="Y4" s="7" t="s">
        <v>229</v>
      </c>
      <c r="Z4" s="7" t="s">
        <v>230</v>
      </c>
      <c r="AA4" s="7" t="s">
        <v>231</v>
      </c>
      <c r="AB4" s="7" t="s">
        <v>232</v>
      </c>
      <c r="AC4" s="7" t="s">
        <v>233</v>
      </c>
      <c r="AD4" s="7" t="s">
        <v>234</v>
      </c>
      <c r="AE4" s="7" t="s">
        <v>235</v>
      </c>
      <c r="AF4" s="7" t="s">
        <v>236</v>
      </c>
      <c r="AG4" s="7" t="s">
        <v>237</v>
      </c>
      <c r="AH4" s="7" t="s">
        <v>238</v>
      </c>
      <c r="AI4" s="7" t="s">
        <v>239</v>
      </c>
      <c r="AJ4" s="7" t="s">
        <v>240</v>
      </c>
      <c r="AK4" s="7" t="s">
        <v>241</v>
      </c>
      <c r="AL4" s="7" t="s">
        <v>242</v>
      </c>
      <c r="AM4" s="7" t="s">
        <v>243</v>
      </c>
      <c r="AN4" s="7" t="s">
        <v>244</v>
      </c>
      <c r="AO4" s="7" t="s">
        <v>245</v>
      </c>
      <c r="AP4" s="7" t="s">
        <v>246</v>
      </c>
      <c r="AQ4" s="7" t="s">
        <v>247</v>
      </c>
      <c r="AR4" s="7" t="s">
        <v>248</v>
      </c>
      <c r="AS4" s="7" t="s">
        <v>249</v>
      </c>
      <c r="AT4" s="7" t="s">
        <v>290</v>
      </c>
      <c r="AU4" s="7" t="s">
        <v>291</v>
      </c>
      <c r="AV4" s="7" t="s">
        <v>292</v>
      </c>
      <c r="AW4" s="7" t="s">
        <v>293</v>
      </c>
      <c r="AX4" s="7" t="s">
        <v>294</v>
      </c>
      <c r="AY4" s="7" t="s">
        <v>295</v>
      </c>
      <c r="AZ4" s="7" t="s">
        <v>296</v>
      </c>
      <c r="BA4" s="7" t="s">
        <v>297</v>
      </c>
      <c r="BB4" s="7" t="s">
        <v>298</v>
      </c>
      <c r="BC4" s="7" t="s">
        <v>299</v>
      </c>
      <c r="BD4" s="7" t="s">
        <v>300</v>
      </c>
      <c r="BE4" s="7" t="s">
        <v>301</v>
      </c>
      <c r="BF4" s="7" t="s">
        <v>302</v>
      </c>
      <c r="BG4" s="7" t="s">
        <v>303</v>
      </c>
      <c r="BH4" s="7" t="s">
        <v>305</v>
      </c>
      <c r="BI4" s="7" t="s">
        <v>304</v>
      </c>
      <c r="BJ4" s="8" t="s">
        <v>250</v>
      </c>
      <c r="BK4" s="8" t="s">
        <v>251</v>
      </c>
      <c r="BL4" s="8" t="s">
        <v>252</v>
      </c>
      <c r="BM4" s="8" t="s">
        <v>253</v>
      </c>
      <c r="BN4" s="8" t="s">
        <v>254</v>
      </c>
      <c r="BO4" s="8" t="s">
        <v>255</v>
      </c>
      <c r="BP4" s="8" t="s">
        <v>256</v>
      </c>
      <c r="BQ4" s="8" t="s">
        <v>257</v>
      </c>
      <c r="BR4" s="8" t="s">
        <v>258</v>
      </c>
      <c r="BS4" s="8" t="s">
        <v>259</v>
      </c>
      <c r="BT4" s="8" t="s">
        <v>260</v>
      </c>
      <c r="BU4" s="8" t="s">
        <v>261</v>
      </c>
      <c r="BV4" s="8" t="s">
        <v>262</v>
      </c>
      <c r="BW4" s="8" t="s">
        <v>306</v>
      </c>
      <c r="BX4" s="8" t="s">
        <v>307</v>
      </c>
      <c r="BY4" s="8" t="s">
        <v>308</v>
      </c>
      <c r="BZ4" s="8" t="s">
        <v>309</v>
      </c>
      <c r="CA4" s="8" t="s">
        <v>310</v>
      </c>
      <c r="CB4" s="8" t="s">
        <v>311</v>
      </c>
      <c r="CC4" s="8" t="s">
        <v>312</v>
      </c>
      <c r="CD4" s="8" t="s">
        <v>313</v>
      </c>
      <c r="CE4" s="8" t="s">
        <v>314</v>
      </c>
      <c r="CF4" s="8" t="s">
        <v>315</v>
      </c>
      <c r="CG4" s="8" t="s">
        <v>316</v>
      </c>
      <c r="CH4" s="8" t="s">
        <v>317</v>
      </c>
      <c r="CI4" s="8" t="s">
        <v>318</v>
      </c>
      <c r="CJ4" s="8" t="s">
        <v>319</v>
      </c>
      <c r="CK4" s="8" t="s">
        <v>320</v>
      </c>
      <c r="CL4" s="8" t="s">
        <v>321</v>
      </c>
      <c r="CM4" s="10" t="s">
        <v>263</v>
      </c>
      <c r="CN4" s="10" t="s">
        <v>264</v>
      </c>
      <c r="CO4" s="10" t="s">
        <v>265</v>
      </c>
      <c r="CP4" s="10" t="s">
        <v>266</v>
      </c>
      <c r="CQ4" s="10" t="s">
        <v>267</v>
      </c>
      <c r="CR4" s="10" t="s">
        <v>268</v>
      </c>
      <c r="CS4" s="10" t="s">
        <v>269</v>
      </c>
      <c r="CT4" s="10" t="s">
        <v>270</v>
      </c>
      <c r="CU4" s="10" t="s">
        <v>271</v>
      </c>
      <c r="CV4" s="10" t="s">
        <v>272</v>
      </c>
      <c r="CW4" s="10" t="s">
        <v>273</v>
      </c>
      <c r="CX4" s="10" t="s">
        <v>274</v>
      </c>
      <c r="CY4" s="10" t="s">
        <v>275</v>
      </c>
      <c r="CZ4" s="10" t="s">
        <v>351</v>
      </c>
      <c r="DA4" s="10" t="s">
        <v>352</v>
      </c>
      <c r="DB4" s="10" t="s">
        <v>353</v>
      </c>
      <c r="DC4" s="10" t="s">
        <v>354</v>
      </c>
      <c r="DD4" s="10" t="s">
        <v>355</v>
      </c>
      <c r="DE4" s="10" t="s">
        <v>356</v>
      </c>
      <c r="DF4" s="10" t="s">
        <v>357</v>
      </c>
      <c r="DG4" s="10" t="s">
        <v>358</v>
      </c>
      <c r="DH4" s="10" t="s">
        <v>359</v>
      </c>
      <c r="DI4" s="10" t="s">
        <v>360</v>
      </c>
      <c r="DJ4" s="10" t="s">
        <v>361</v>
      </c>
      <c r="DK4" s="10" t="s">
        <v>362</v>
      </c>
      <c r="DL4" s="10" t="s">
        <v>366</v>
      </c>
      <c r="DM4" s="10" t="s">
        <v>363</v>
      </c>
      <c r="DN4" s="10" t="s">
        <v>364</v>
      </c>
      <c r="DO4" s="10" t="s">
        <v>365</v>
      </c>
      <c r="DP4" s="19" t="s">
        <v>276</v>
      </c>
      <c r="DQ4" s="19" t="s">
        <v>277</v>
      </c>
      <c r="DR4" s="19" t="s">
        <v>278</v>
      </c>
      <c r="DS4" s="19" t="s">
        <v>279</v>
      </c>
      <c r="DT4" s="19" t="s">
        <v>280</v>
      </c>
      <c r="DU4" s="19" t="s">
        <v>281</v>
      </c>
      <c r="DV4" s="19" t="s">
        <v>282</v>
      </c>
      <c r="DW4" s="19" t="s">
        <v>283</v>
      </c>
      <c r="DX4" s="19" t="s">
        <v>284</v>
      </c>
      <c r="DY4" s="19" t="s">
        <v>285</v>
      </c>
      <c r="DZ4" s="19" t="s">
        <v>286</v>
      </c>
      <c r="EA4" s="19" t="s">
        <v>287</v>
      </c>
      <c r="EB4" s="19" t="s">
        <v>288</v>
      </c>
      <c r="EC4" s="19" t="s">
        <v>322</v>
      </c>
      <c r="ED4" s="19" t="s">
        <v>323</v>
      </c>
      <c r="EE4" s="19" t="s">
        <v>324</v>
      </c>
      <c r="EF4" s="19" t="s">
        <v>325</v>
      </c>
      <c r="EG4" s="19" t="s">
        <v>326</v>
      </c>
      <c r="EH4" s="19" t="s">
        <v>327</v>
      </c>
      <c r="EI4" s="19" t="s">
        <v>328</v>
      </c>
      <c r="EJ4" s="19" t="s">
        <v>329</v>
      </c>
      <c r="EK4" s="19" t="s">
        <v>330</v>
      </c>
      <c r="EL4" s="19" t="s">
        <v>331</v>
      </c>
      <c r="EM4" s="19" t="s">
        <v>332</v>
      </c>
      <c r="EN4" s="19" t="s">
        <v>333</v>
      </c>
      <c r="EO4" s="19" t="s">
        <v>334</v>
      </c>
      <c r="EP4" s="19" t="s">
        <v>335</v>
      </c>
      <c r="EQ4" s="19" t="s">
        <v>336</v>
      </c>
      <c r="ER4" s="19" t="s">
        <v>337</v>
      </c>
      <c r="ES4" s="2" t="s">
        <v>16</v>
      </c>
      <c r="ET4" s="2" t="s">
        <v>17</v>
      </c>
      <c r="EU4" s="2" t="s">
        <v>18</v>
      </c>
      <c r="EV4" s="2" t="s">
        <v>86</v>
      </c>
      <c r="EW4" s="2" t="s">
        <v>87</v>
      </c>
      <c r="EX4" s="2" t="s">
        <v>88</v>
      </c>
      <c r="EY4" s="2" t="s">
        <v>89</v>
      </c>
      <c r="EZ4" s="2" t="s">
        <v>90</v>
      </c>
      <c r="FA4" s="2" t="s">
        <v>91</v>
      </c>
      <c r="FB4" s="2" t="s">
        <v>99</v>
      </c>
      <c r="FC4" s="2" t="s">
        <v>93</v>
      </c>
      <c r="FD4" s="2" t="s">
        <v>94</v>
      </c>
      <c r="FE4" s="2" t="s">
        <v>469</v>
      </c>
      <c r="FF4" s="2" t="s">
        <v>338</v>
      </c>
      <c r="FG4" s="2" t="s">
        <v>339</v>
      </c>
      <c r="FH4" s="2" t="s">
        <v>340</v>
      </c>
      <c r="FI4" s="2" t="s">
        <v>341</v>
      </c>
      <c r="FJ4" s="2" t="s">
        <v>342</v>
      </c>
      <c r="FK4" s="2" t="s">
        <v>343</v>
      </c>
      <c r="FL4" s="2" t="s">
        <v>344</v>
      </c>
      <c r="FM4" s="2" t="s">
        <v>345</v>
      </c>
      <c r="FN4" s="2" t="s">
        <v>346</v>
      </c>
      <c r="FO4" s="2" t="s">
        <v>347</v>
      </c>
      <c r="FP4" s="2" t="s">
        <v>348</v>
      </c>
      <c r="FQ4" s="2" t="s">
        <v>349</v>
      </c>
      <c r="FR4" s="2" t="s">
        <v>470</v>
      </c>
      <c r="FS4" s="2" t="s">
        <v>83</v>
      </c>
      <c r="FT4" s="2" t="s">
        <v>84</v>
      </c>
      <c r="FU4" s="2" t="s">
        <v>85</v>
      </c>
    </row>
    <row r="5" spans="1:177" x14ac:dyDescent="0.25">
      <c r="A5" t="s">
        <v>10</v>
      </c>
      <c r="B5" s="73">
        <v>10</v>
      </c>
      <c r="C5" s="76">
        <v>0.77</v>
      </c>
      <c r="D5">
        <v>4</v>
      </c>
      <c r="E5">
        <v>3</v>
      </c>
      <c r="F5">
        <v>2</v>
      </c>
      <c r="G5">
        <v>4</v>
      </c>
      <c r="H5">
        <v>3</v>
      </c>
      <c r="I5">
        <v>2</v>
      </c>
      <c r="J5">
        <v>4</v>
      </c>
      <c r="K5">
        <v>3</v>
      </c>
      <c r="L5">
        <v>2</v>
      </c>
      <c r="M5">
        <v>4</v>
      </c>
      <c r="N5">
        <v>3</v>
      </c>
      <c r="O5">
        <v>2</v>
      </c>
      <c r="P5">
        <f>SUM(t_Plants[[#This Row],[d2015.01]:[d2015.12]])</f>
        <v>36</v>
      </c>
      <c r="Q5">
        <v>4</v>
      </c>
      <c r="R5">
        <v>3</v>
      </c>
      <c r="S5">
        <v>2</v>
      </c>
      <c r="T5">
        <v>4</v>
      </c>
      <c r="U5">
        <v>3</v>
      </c>
      <c r="V5">
        <v>2</v>
      </c>
      <c r="W5">
        <v>4</v>
      </c>
      <c r="X5">
        <v>3</v>
      </c>
      <c r="Y5">
        <v>2</v>
      </c>
      <c r="Z5">
        <v>4</v>
      </c>
      <c r="AA5">
        <v>3</v>
      </c>
      <c r="AB5">
        <v>2</v>
      </c>
      <c r="AC5">
        <f>SUM(t_Plants[[#This Row],[d2016.01]:[d2016.12]])</f>
        <v>36</v>
      </c>
      <c r="AD5">
        <f>t_Plants[[#This Row],[d2016.FY]]</f>
        <v>36</v>
      </c>
      <c r="AE5">
        <f>t_Plants[[#This Row],[d2016.FY]]</f>
        <v>36</v>
      </c>
      <c r="AF5">
        <f>t_Plants[[#This Row],[d2016.FY]]</f>
        <v>36</v>
      </c>
      <c r="AG5">
        <v>3</v>
      </c>
      <c r="AH5">
        <v>2</v>
      </c>
      <c r="AI5">
        <v>1</v>
      </c>
      <c r="AJ5">
        <v>3</v>
      </c>
      <c r="AK5">
        <v>2</v>
      </c>
      <c r="AL5">
        <v>1</v>
      </c>
      <c r="AM5">
        <v>3</v>
      </c>
      <c r="AN5">
        <v>2</v>
      </c>
      <c r="AO5">
        <v>1</v>
      </c>
      <c r="AP5">
        <v>3</v>
      </c>
      <c r="AQ5">
        <v>2</v>
      </c>
      <c r="AR5">
        <v>1</v>
      </c>
      <c r="AS5">
        <f>SUM(t_Plants[[#This Row],[o2015.01]:[o2015.12]])</f>
        <v>24</v>
      </c>
      <c r="AT5">
        <v>3</v>
      </c>
      <c r="AU5">
        <v>2</v>
      </c>
      <c r="AV5">
        <v>1</v>
      </c>
      <c r="AW5">
        <v>3</v>
      </c>
      <c r="AX5">
        <v>2</v>
      </c>
      <c r="AY5">
        <v>1</v>
      </c>
      <c r="AZ5">
        <v>3</v>
      </c>
      <c r="BA5">
        <v>2</v>
      </c>
      <c r="BB5">
        <v>1</v>
      </c>
      <c r="BC5">
        <v>3</v>
      </c>
      <c r="BD5">
        <v>2</v>
      </c>
      <c r="BE5">
        <v>1</v>
      </c>
      <c r="BF5">
        <f>SUM(t_Plants[[#This Row],[o2016.01]:[o2016.12]])</f>
        <v>24</v>
      </c>
      <c r="BG5">
        <f>t_Plants[[#This Row],[o2016.FY]]</f>
        <v>24</v>
      </c>
      <c r="BH5">
        <f>t_Plants[[#This Row],[o2016.FY]]</f>
        <v>24</v>
      </c>
      <c r="BI5">
        <f>t_Plants[[#This Row],[o2016.FY]]</f>
        <v>24</v>
      </c>
      <c r="BJ5">
        <f>t_Plants[[#This Row],[d2015.01]]-t_Plants[[#This Row],[o2015.01]]</f>
        <v>1</v>
      </c>
      <c r="BK5">
        <f>t_Plants[[#This Row],[d2015.02]]-t_Plants[[#This Row],[o2015.02]]</f>
        <v>1</v>
      </c>
      <c r="BL5">
        <f>t_Plants[[#This Row],[d2015.03]]-t_Plants[[#This Row],[o2015.03]]</f>
        <v>1</v>
      </c>
      <c r="BM5">
        <f>t_Plants[[#This Row],[d2015.04]]-t_Plants[[#This Row],[o2015.04]]</f>
        <v>1</v>
      </c>
      <c r="BN5">
        <f>t_Plants[[#This Row],[d2015.05]]-t_Plants[[#This Row],[o2015.05]]</f>
        <v>1</v>
      </c>
      <c r="BO5">
        <f>t_Plants[[#This Row],[d2015.06]]-t_Plants[[#This Row],[o2015.06]]</f>
        <v>1</v>
      </c>
      <c r="BP5">
        <f>t_Plants[[#This Row],[d2015.07]]-t_Plants[[#This Row],[o2015.07]]</f>
        <v>1</v>
      </c>
      <c r="BQ5">
        <f>t_Plants[[#This Row],[d2015.08]]-t_Plants[[#This Row],[o2015.08]]</f>
        <v>1</v>
      </c>
      <c r="BR5">
        <f>t_Plants[[#This Row],[d2015.09]]-t_Plants[[#This Row],[o2015.09]]</f>
        <v>1</v>
      </c>
      <c r="BS5">
        <f>t_Plants[[#This Row],[d2015.10]]-t_Plants[[#This Row],[o2015.10]]</f>
        <v>1</v>
      </c>
      <c r="BT5">
        <f>t_Plants[[#This Row],[d2015.11]]-t_Plants[[#This Row],[o2015.11]]</f>
        <v>1</v>
      </c>
      <c r="BU5">
        <f>t_Plants[[#This Row],[d2015.12]]-t_Plants[[#This Row],[o2015.12]]</f>
        <v>1</v>
      </c>
      <c r="BV5">
        <f>t_Plants[[#This Row],[d2015.FY]]-t_Plants[[#This Row],[o2015.FY]]</f>
        <v>12</v>
      </c>
      <c r="BW5">
        <f>t_Plants[[#This Row],[d2016.01]]-t_Plants[[#This Row],[o2016.01]]</f>
        <v>1</v>
      </c>
      <c r="BX5">
        <f>t_Plants[[#This Row],[d2016.02]]-t_Plants[[#This Row],[o2016.02]]</f>
        <v>1</v>
      </c>
      <c r="BY5">
        <f>t_Plants[[#This Row],[d2016.03]]-t_Plants[[#This Row],[o2016.03]]</f>
        <v>1</v>
      </c>
      <c r="BZ5">
        <f>t_Plants[[#This Row],[d2016.04]]-t_Plants[[#This Row],[o2016.04]]</f>
        <v>1</v>
      </c>
      <c r="CA5">
        <f>t_Plants[[#This Row],[d2016.05]]-t_Plants[[#This Row],[o2016.05]]</f>
        <v>1</v>
      </c>
      <c r="CB5">
        <f>t_Plants[[#This Row],[d2016.06]]-t_Plants[[#This Row],[o2016.06]]</f>
        <v>1</v>
      </c>
      <c r="CC5">
        <f>t_Plants[[#This Row],[d2016.07]]-t_Plants[[#This Row],[o2016.07]]</f>
        <v>1</v>
      </c>
      <c r="CD5">
        <f>t_Plants[[#This Row],[d2016.08]]-t_Plants[[#This Row],[o2016.08]]</f>
        <v>1</v>
      </c>
      <c r="CE5">
        <f>t_Plants[[#This Row],[d2016.09]]-t_Plants[[#This Row],[o2016.09]]</f>
        <v>1</v>
      </c>
      <c r="CF5">
        <f>t_Plants[[#This Row],[d2016.10]]-t_Plants[[#This Row],[o2016.10]]</f>
        <v>1</v>
      </c>
      <c r="CG5">
        <f>t_Plants[[#This Row],[d2016.11]]-t_Plants[[#This Row],[o2016.11]]</f>
        <v>1</v>
      </c>
      <c r="CH5">
        <f>t_Plants[[#This Row],[d2016.12]]-t_Plants[[#This Row],[o2016.12]]</f>
        <v>1</v>
      </c>
      <c r="CI5">
        <f>SUM(t_Plants[[#This Row],[a2016.01]:[a2016.12]])</f>
        <v>12</v>
      </c>
      <c r="CJ5">
        <f>t_Plants[[#This Row],[a2016.FY]]</f>
        <v>12</v>
      </c>
      <c r="CK5">
        <f>t_Plants[[#This Row],[a2016.FY]]</f>
        <v>12</v>
      </c>
      <c r="CL5">
        <f>t_Plants[[#This Row],[a2016.FY]]</f>
        <v>12</v>
      </c>
      <c r="CM5">
        <f>t_Plants[[#This Row],[a2015.01]]*t_Plants[[OperHrsPerDay]:[OperHrsPerDay]]</f>
        <v>10</v>
      </c>
      <c r="CN5">
        <f>t_Plants[[#This Row],[a2015.02]]*t_Plants[[OperHrsPerDay]:[OperHrsPerDay]]</f>
        <v>10</v>
      </c>
      <c r="CO5">
        <f>t_Plants[[#This Row],[a2015.03]]*t_Plants[[OperHrsPerDay]:[OperHrsPerDay]]</f>
        <v>10</v>
      </c>
      <c r="CP5">
        <f>t_Plants[[#This Row],[a2015.04]]*t_Plants[[OperHrsPerDay]:[OperHrsPerDay]]</f>
        <v>10</v>
      </c>
      <c r="CQ5">
        <f>t_Plants[[#This Row],[a2015.05]]*t_Plants[[OperHrsPerDay]:[OperHrsPerDay]]</f>
        <v>10</v>
      </c>
      <c r="CR5">
        <f>t_Plants[[#This Row],[a2015.06]]*t_Plants[[OperHrsPerDay]:[OperHrsPerDay]]</f>
        <v>10</v>
      </c>
      <c r="CS5">
        <f>t_Plants[[#This Row],[a2015.07]]*t_Plants[[OperHrsPerDay]:[OperHrsPerDay]]</f>
        <v>10</v>
      </c>
      <c r="CT5">
        <f>t_Plants[[#This Row],[a2015.08]]*t_Plants[[OperHrsPerDay]:[OperHrsPerDay]]</f>
        <v>10</v>
      </c>
      <c r="CU5">
        <f>t_Plants[[#This Row],[a2015.09]]*t_Plants[[OperHrsPerDay]:[OperHrsPerDay]]</f>
        <v>10</v>
      </c>
      <c r="CV5">
        <f>t_Plants[[#This Row],[a2015.10]]*t_Plants[[OperHrsPerDay]:[OperHrsPerDay]]</f>
        <v>10</v>
      </c>
      <c r="CW5">
        <f>t_Plants[[#This Row],[a2015.11]]*t_Plants[[OperHrsPerDay]:[OperHrsPerDay]]</f>
        <v>10</v>
      </c>
      <c r="CX5">
        <f>t_Plants[[#This Row],[a2015.12]]*t_Plants[[OperHrsPerDay]:[OperHrsPerDay]]</f>
        <v>10</v>
      </c>
      <c r="CY5">
        <f>SUM(t_Plants[[#This Row],[h2015.01]:[h2015.12]])</f>
        <v>120</v>
      </c>
      <c r="CZ5">
        <f>t_Plants[[#This Row],[a2016.01]]*t_Plants[[OperHrsPerDay]:[OperHrsPerDay]]</f>
        <v>10</v>
      </c>
      <c r="DA5">
        <f>t_Plants[[#This Row],[a2016.02]]*t_Plants[[OperHrsPerDay]:[OperHrsPerDay]]</f>
        <v>10</v>
      </c>
      <c r="DB5">
        <f>t_Plants[[#This Row],[a2016.03]]*t_Plants[[OperHrsPerDay]:[OperHrsPerDay]]</f>
        <v>10</v>
      </c>
      <c r="DC5">
        <f>t_Plants[[#This Row],[a2016.04]]*t_Plants[[OperHrsPerDay]:[OperHrsPerDay]]</f>
        <v>10</v>
      </c>
      <c r="DD5">
        <f>t_Plants[[#This Row],[a2016.05]]*t_Plants[[OperHrsPerDay]:[OperHrsPerDay]]</f>
        <v>10</v>
      </c>
      <c r="DE5">
        <f>t_Plants[[#This Row],[a2016.06]]*t_Plants[[OperHrsPerDay]:[OperHrsPerDay]]</f>
        <v>10</v>
      </c>
      <c r="DF5">
        <f>t_Plants[[#This Row],[a2016.07]]*t_Plants[[OperHrsPerDay]:[OperHrsPerDay]]</f>
        <v>10</v>
      </c>
      <c r="DG5">
        <f>t_Plants[[#This Row],[a2016.08]]*t_Plants[[OperHrsPerDay]:[OperHrsPerDay]]</f>
        <v>10</v>
      </c>
      <c r="DH5">
        <f>t_Plants[[#This Row],[a2016.09]]*t_Plants[[OperHrsPerDay]:[OperHrsPerDay]]</f>
        <v>10</v>
      </c>
      <c r="DI5">
        <f>t_Plants[[#This Row],[a2016.10]]*t_Plants[[OperHrsPerDay]:[OperHrsPerDay]]</f>
        <v>10</v>
      </c>
      <c r="DJ5">
        <f>t_Plants[[#This Row],[a2016.11]]*t_Plants[[OperHrsPerDay]:[OperHrsPerDay]]</f>
        <v>10</v>
      </c>
      <c r="DK5">
        <f>t_Plants[[#This Row],[a2016.12]]*t_Plants[[OperHrsPerDay]:[OperHrsPerDay]]</f>
        <v>10</v>
      </c>
      <c r="DL5">
        <f>t_Plants[[#This Row],[a2016.FY]]*t_Plants[[OperHrsPerDay]:[OperHrsPerDay]]</f>
        <v>120</v>
      </c>
      <c r="DM5">
        <f>t_Plants[[#This Row],[a2017]]*t_Plants[[OperHrsPerDay]:[OperHrsPerDay]]</f>
        <v>120</v>
      </c>
      <c r="DN5">
        <f>t_Plants[[#This Row],[a2018]]*t_Plants[[OperHrsPerDay]:[OperHrsPerDay]]</f>
        <v>120</v>
      </c>
      <c r="DO5">
        <f>t_Plants[[#This Row],[a2019]]*t_Plants[[OperHrsPerDay]:[OperHrsPerDay]]</f>
        <v>120</v>
      </c>
      <c r="DP5" s="20">
        <f>SUMIF(r_Press_Plants,t_Plants[[Plant]:[Plant]],t_Presses[hp2015.01])</f>
        <v>0</v>
      </c>
      <c r="DQ5" s="20">
        <f>SUMIF(r_Press_Plants,t_Plants[[Plant]:[Plant]],t_Presses[hp2015.02])</f>
        <v>0</v>
      </c>
      <c r="DR5" s="20">
        <f>SUMIF(r_Press_Plants,t_Plants[[Plant]:[Plant]],t_Presses[hp2015.03])</f>
        <v>0</v>
      </c>
      <c r="DS5" s="20">
        <f>SUMIF(r_Press_Plants,t_Plants[[Plant]:[Plant]],t_Presses[hp2015.04])</f>
        <v>0</v>
      </c>
      <c r="DT5" s="20">
        <f>SUMIF(r_Press_Plants,t_Plants[[Plant]:[Plant]],t_Presses[hp2015.05])</f>
        <v>0</v>
      </c>
      <c r="DU5" s="20">
        <f>SUMIF(r_Press_Plants,t_Plants[[Plant]:[Plant]],t_Presses[hp2015.06])</f>
        <v>0</v>
      </c>
      <c r="DV5" s="20">
        <f>SUMIF(r_Press_Plants,t_Plants[[Plant]:[Plant]],t_Presses[hp2015.07])</f>
        <v>0</v>
      </c>
      <c r="DW5" s="20">
        <f>SUMIF(r_Press_Plants,t_Plants[[Plant]:[Plant]],t_Presses[hp2015.08])</f>
        <v>0</v>
      </c>
      <c r="DX5" s="20">
        <f>SUMIF(r_Press_Plants,t_Plants[[Plant]:[Plant]],t_Presses[hp2015.09])</f>
        <v>0</v>
      </c>
      <c r="DY5" s="20">
        <f>SUMIF(r_Press_Plants,t_Plants[[Plant]:[Plant]],t_Presses[hp2015.10])</f>
        <v>0</v>
      </c>
      <c r="DZ5" s="20">
        <f>SUMIF(r_Press_Plants,t_Plants[[Plant]:[Plant]],t_Presses[hp2015.11])</f>
        <v>0</v>
      </c>
      <c r="EA5" s="20">
        <f>SUMIF(r_Press_Plants,t_Plants[[Plant]:[Plant]],t_Presses[hp2015.12])</f>
        <v>0</v>
      </c>
      <c r="EB5" s="20">
        <f>SUMIF(r_Press_Plants,t_Plants[[Plant]:[Plant]],t_Presses[hp2015.FY])</f>
        <v>0</v>
      </c>
      <c r="EC5" s="20">
        <f>SUMIF(r_Press_Plants,t_Plants[[Plant]:[Plant]],t_Presses[hp2016.01])</f>
        <v>0</v>
      </c>
      <c r="ED5" s="20">
        <f>SUMIF(r_Press_Plants,t_Plants[[Plant]:[Plant]],t_Presses[hp2016.02])</f>
        <v>0</v>
      </c>
      <c r="EE5" s="20">
        <f>SUMIF(r_Press_Plants,t_Plants[[Plant]:[Plant]],t_Presses[hp2016.03])</f>
        <v>0</v>
      </c>
      <c r="EF5" s="20">
        <f>SUMIF(r_Press_Plants,t_Plants[[Plant]:[Plant]],t_Presses[hp2016.04])</f>
        <v>0</v>
      </c>
      <c r="EG5" s="20">
        <f>SUMIF(r_Press_Plants,t_Plants[[Plant]:[Plant]],t_Presses[hp2016.05])</f>
        <v>0</v>
      </c>
      <c r="EH5" s="20">
        <f>SUMIF(r_Press_Plants,t_Plants[[Plant]:[Plant]],t_Presses[hp2016.06])</f>
        <v>0</v>
      </c>
      <c r="EI5" s="20">
        <f>SUMIF(r_Press_Plants,t_Plants[[Plant]:[Plant]],t_Presses[hp2016.07])</f>
        <v>0</v>
      </c>
      <c r="EJ5" s="20">
        <f>SUMIF(r_Press_Plants,t_Plants[[Plant]:[Plant]],t_Presses[hp2016.08])</f>
        <v>0</v>
      </c>
      <c r="EK5" s="20">
        <f>SUMIF(r_Press_Plants,t_Plants[[Plant]:[Plant]],t_Presses[hp2016.09])</f>
        <v>0</v>
      </c>
      <c r="EL5" s="20">
        <f>SUMIF(r_Press_Plants,t_Plants[[Plant]:[Plant]],t_Presses[hp2016.10])</f>
        <v>0</v>
      </c>
      <c r="EM5" s="20">
        <f>SUMIF(r_Press_Plants,t_Plants[[Plant]:[Plant]],t_Presses[hp2016.11])</f>
        <v>0</v>
      </c>
      <c r="EN5" s="20">
        <f>SUMIF(r_Press_Plants,t_Plants[[Plant]:[Plant]],t_Presses[hp2016.12])</f>
        <v>0</v>
      </c>
      <c r="EO5" s="20">
        <f>SUMIF(r_Press_Plants,t_Plants[[Plant]:[Plant]],t_Presses[hp2016.FY])</f>
        <v>0</v>
      </c>
      <c r="EP5" s="20">
        <f>SUMIF(r_Press_Plants,t_Plants[[Plant]:[Plant]],t_Presses[hp2017])</f>
        <v>0</v>
      </c>
      <c r="EQ5" s="20">
        <f>SUMIF(r_Press_Plants,t_Plants[[Plant]:[Plant]],t_Presses[hp2018])</f>
        <v>0</v>
      </c>
      <c r="ER5" s="20">
        <f>SUMIF(r_Press_Plants,t_Plants[[Plant]:[Plant]],t_Presses[hp2019])</f>
        <v>0</v>
      </c>
      <c r="ES5" s="15">
        <f>t_Plants[[#This Row],[p2015.01]]/t_Plants[[#This Row],[h2015.01]]</f>
        <v>0</v>
      </c>
      <c r="ET5" s="15">
        <f>t_Plants[[#This Row],[p2015.02]]/t_Plants[[#This Row],[h2015.02]]</f>
        <v>0</v>
      </c>
      <c r="EU5" s="15">
        <f>t_Plants[[#This Row],[p2015.03]]/t_Plants[[#This Row],[h2015.03]]</f>
        <v>0</v>
      </c>
      <c r="EV5" s="15">
        <f>t_Plants[[#This Row],[p2015.04]]/t_Plants[[#This Row],[h2015.04]]</f>
        <v>0</v>
      </c>
      <c r="EW5" s="15">
        <f>t_Plants[[#This Row],[p2015.05]]/t_Plants[[#This Row],[h2015.05]]</f>
        <v>0</v>
      </c>
      <c r="EX5" s="15">
        <f>t_Plants[[#This Row],[p2015.06]]/t_Plants[[#This Row],[h2015.06]]</f>
        <v>0</v>
      </c>
      <c r="EY5" s="15">
        <f>t_Plants[[#This Row],[p2015.07]]/t_Plants[[#This Row],[h2015.07]]</f>
        <v>0</v>
      </c>
      <c r="EZ5" s="15">
        <f>t_Plants[[#This Row],[p2015.08]]/t_Plants[[#This Row],[h2015.08]]</f>
        <v>0</v>
      </c>
      <c r="FA5" s="15">
        <f>t_Plants[[#This Row],[p2015.09]]/t_Plants[[#This Row],[h2015.09]]</f>
        <v>0</v>
      </c>
      <c r="FB5" s="15">
        <f>t_Plants[[#This Row],[p2015.10]]/t_Plants[[#This Row],[h2015.10]]</f>
        <v>0</v>
      </c>
      <c r="FC5" s="15">
        <f>t_Plants[[#This Row],[p2015.11]]/t_Plants[[#This Row],[h2015.11]]</f>
        <v>0</v>
      </c>
      <c r="FD5" s="15">
        <f>t_Plants[[#This Row],[p2015.12]]/t_Plants[[#This Row],[h2015.12]]</f>
        <v>0</v>
      </c>
      <c r="FE5" s="15">
        <f>t_Plants[[#This Row],[p2015.FY]]/t_Plants[[#This Row],[h2015.FY]]</f>
        <v>0</v>
      </c>
      <c r="FF5" s="15">
        <f>t_Plants[[#This Row],[p2016.01]]/t_Plants[[#This Row],[h2016.01]]</f>
        <v>0</v>
      </c>
      <c r="FG5" s="15">
        <f>t_Plants[[#This Row],[p2016.02]]/t_Plants[[#This Row],[h2016.02]]</f>
        <v>0</v>
      </c>
      <c r="FH5" s="15">
        <f>t_Plants[[#This Row],[p2016.03]]/t_Plants[[#This Row],[h2016.03]]</f>
        <v>0</v>
      </c>
      <c r="FI5" s="15">
        <f>t_Plants[[#This Row],[p2016.04]]/t_Plants[[#This Row],[h2016.04]]</f>
        <v>0</v>
      </c>
      <c r="FJ5" s="15">
        <f>t_Plants[[#This Row],[p2016.05]]/t_Plants[[#This Row],[h2016.05]]</f>
        <v>0</v>
      </c>
      <c r="FK5" s="15">
        <f>t_Plants[[#This Row],[p2016.06]]/t_Plants[[#This Row],[h2016.06]]</f>
        <v>0</v>
      </c>
      <c r="FL5" s="15">
        <f>t_Plants[[#This Row],[p2016.07]]/t_Plants[[#This Row],[h2016.07]]</f>
        <v>0</v>
      </c>
      <c r="FM5" s="15">
        <f>t_Plants[[#This Row],[p2016.08]]/t_Plants[[#This Row],[h2016.08]]</f>
        <v>0</v>
      </c>
      <c r="FN5" s="15">
        <f>t_Plants[[#This Row],[p2016.09]]/t_Plants[[#This Row],[h2016.09]]</f>
        <v>0</v>
      </c>
      <c r="FO5" s="15">
        <f>t_Plants[[#This Row],[p2016.10]]/t_Plants[[#This Row],[h2016.10]]</f>
        <v>0</v>
      </c>
      <c r="FP5" s="15">
        <f>t_Plants[[#This Row],[p2016.11]]/t_Plants[[#This Row],[h2016.11]]</f>
        <v>0</v>
      </c>
      <c r="FQ5" s="15">
        <f>t_Plants[[#This Row],[p2016.12]]/t_Plants[[#This Row],[h2016.12]]</f>
        <v>0</v>
      </c>
      <c r="FR5" s="15">
        <f>t_Plants[[#This Row],[p2016.FY]]/t_Plants[[#This Row],[h2016.FY]]</f>
        <v>0</v>
      </c>
      <c r="FS5" s="15">
        <f>t_Plants[[#This Row],[p2017]]/t_Plants[[#This Row],[h2017]]</f>
        <v>0</v>
      </c>
      <c r="FT5" s="15">
        <f>t_Plants[[#This Row],[p2018]]/t_Plants[[#This Row],[h2018]]</f>
        <v>0</v>
      </c>
      <c r="FU5" s="15">
        <f>t_Plants[[#This Row],[p2019]]/t_Plants[[#This Row],[h2019]]</f>
        <v>0</v>
      </c>
    </row>
    <row r="6" spans="1:177" x14ac:dyDescent="0.25">
      <c r="A6" t="s">
        <v>9</v>
      </c>
      <c r="B6" s="73">
        <v>8</v>
      </c>
      <c r="C6" s="76">
        <v>0.76</v>
      </c>
      <c r="D6">
        <v>28</v>
      </c>
      <c r="E6">
        <v>28</v>
      </c>
      <c r="F6">
        <v>35</v>
      </c>
      <c r="G6">
        <v>28</v>
      </c>
      <c r="H6">
        <v>28</v>
      </c>
      <c r="I6">
        <v>35</v>
      </c>
      <c r="J6">
        <v>28</v>
      </c>
      <c r="K6">
        <v>28</v>
      </c>
      <c r="L6">
        <v>35</v>
      </c>
      <c r="M6">
        <v>28</v>
      </c>
      <c r="N6">
        <v>28</v>
      </c>
      <c r="O6">
        <v>35</v>
      </c>
      <c r="P6">
        <f>SUM(t_Plants[[#This Row],[d2015.01]:[d2015.12]])</f>
        <v>364</v>
      </c>
      <c r="Q6">
        <v>28</v>
      </c>
      <c r="R6">
        <v>28</v>
      </c>
      <c r="S6">
        <v>35</v>
      </c>
      <c r="T6">
        <v>28</v>
      </c>
      <c r="U6">
        <v>28</v>
      </c>
      <c r="V6">
        <v>35</v>
      </c>
      <c r="W6">
        <v>28</v>
      </c>
      <c r="X6">
        <v>28</v>
      </c>
      <c r="Y6">
        <v>35</v>
      </c>
      <c r="Z6">
        <v>28</v>
      </c>
      <c r="AA6">
        <v>28</v>
      </c>
      <c r="AB6">
        <v>35</v>
      </c>
      <c r="AC6">
        <f>SUM(t_Plants[[#This Row],[d2016.01]:[d2016.12]])</f>
        <v>364</v>
      </c>
      <c r="AD6">
        <f>t_Plants[[#This Row],[d2016.FY]]</f>
        <v>364</v>
      </c>
      <c r="AE6">
        <f>t_Plants[[#This Row],[d2016.FY]]</f>
        <v>364</v>
      </c>
      <c r="AF6">
        <f>t_Plants[[#This Row],[d2016.FY]]</f>
        <v>364</v>
      </c>
      <c r="AG6">
        <v>2</v>
      </c>
      <c r="AH6">
        <v>2</v>
      </c>
      <c r="AI6">
        <v>1</v>
      </c>
      <c r="AJ6">
        <v>2</v>
      </c>
      <c r="AK6">
        <v>2</v>
      </c>
      <c r="AL6">
        <v>1</v>
      </c>
      <c r="AM6">
        <v>2</v>
      </c>
      <c r="AN6">
        <v>2</v>
      </c>
      <c r="AO6">
        <v>1</v>
      </c>
      <c r="AP6">
        <v>2</v>
      </c>
      <c r="AQ6">
        <v>2</v>
      </c>
      <c r="AR6">
        <v>1</v>
      </c>
      <c r="AS6">
        <f>SUM(t_Plants[[#This Row],[o2015.01]:[o2015.12]])</f>
        <v>20</v>
      </c>
      <c r="AT6">
        <v>2</v>
      </c>
      <c r="AU6">
        <v>2</v>
      </c>
      <c r="AV6">
        <v>1</v>
      </c>
      <c r="AW6">
        <v>2</v>
      </c>
      <c r="AX6">
        <v>2</v>
      </c>
      <c r="AY6">
        <v>1</v>
      </c>
      <c r="AZ6">
        <v>2</v>
      </c>
      <c r="BA6">
        <v>2</v>
      </c>
      <c r="BB6">
        <v>1</v>
      </c>
      <c r="BC6">
        <v>2</v>
      </c>
      <c r="BD6">
        <v>2</v>
      </c>
      <c r="BE6">
        <v>1</v>
      </c>
      <c r="BF6">
        <f>SUM(t_Plants[[#This Row],[o2016.01]:[o2016.12]])</f>
        <v>20</v>
      </c>
      <c r="BG6">
        <f>t_Plants[[#This Row],[o2016.FY]]</f>
        <v>20</v>
      </c>
      <c r="BH6">
        <f>t_Plants[[#This Row],[o2016.FY]]</f>
        <v>20</v>
      </c>
      <c r="BI6">
        <f>t_Plants[[#This Row],[o2016.FY]]</f>
        <v>20</v>
      </c>
      <c r="BJ6">
        <f>t_Plants[[#This Row],[d2015.01]]-t_Plants[[#This Row],[o2015.01]]</f>
        <v>26</v>
      </c>
      <c r="BK6">
        <f>t_Plants[[#This Row],[d2015.02]]-t_Plants[[#This Row],[o2015.02]]</f>
        <v>26</v>
      </c>
      <c r="BL6">
        <f>t_Plants[[#This Row],[d2015.03]]-t_Plants[[#This Row],[o2015.03]]</f>
        <v>34</v>
      </c>
      <c r="BM6">
        <f>t_Plants[[#This Row],[d2015.04]]-t_Plants[[#This Row],[o2015.04]]</f>
        <v>26</v>
      </c>
      <c r="BN6">
        <f>t_Plants[[#This Row],[d2015.05]]-t_Plants[[#This Row],[o2015.05]]</f>
        <v>26</v>
      </c>
      <c r="BO6">
        <f>t_Plants[[#This Row],[d2015.06]]-t_Plants[[#This Row],[o2015.06]]</f>
        <v>34</v>
      </c>
      <c r="BP6">
        <f>t_Plants[[#This Row],[d2015.07]]-t_Plants[[#This Row],[o2015.07]]</f>
        <v>26</v>
      </c>
      <c r="BQ6">
        <f>t_Plants[[#This Row],[d2015.08]]-t_Plants[[#This Row],[o2015.08]]</f>
        <v>26</v>
      </c>
      <c r="BR6">
        <f>t_Plants[[#This Row],[d2015.09]]-t_Plants[[#This Row],[o2015.09]]</f>
        <v>34</v>
      </c>
      <c r="BS6">
        <f>t_Plants[[#This Row],[d2015.10]]-t_Plants[[#This Row],[o2015.10]]</f>
        <v>26</v>
      </c>
      <c r="BT6">
        <f>t_Plants[[#This Row],[d2015.11]]-t_Plants[[#This Row],[o2015.11]]</f>
        <v>26</v>
      </c>
      <c r="BU6">
        <f>t_Plants[[#This Row],[d2015.12]]-t_Plants[[#This Row],[o2015.12]]</f>
        <v>34</v>
      </c>
      <c r="BV6">
        <f>t_Plants[[#This Row],[d2015.FY]]-t_Plants[[#This Row],[o2015.FY]]</f>
        <v>344</v>
      </c>
      <c r="BW6">
        <f>t_Plants[[#This Row],[d2016.01]]-t_Plants[[#This Row],[o2016.01]]</f>
        <v>26</v>
      </c>
      <c r="BX6">
        <f>t_Plants[[#This Row],[d2016.02]]-t_Plants[[#This Row],[o2016.02]]</f>
        <v>26</v>
      </c>
      <c r="BY6">
        <f>t_Plants[[#This Row],[d2016.03]]-t_Plants[[#This Row],[o2016.03]]</f>
        <v>34</v>
      </c>
      <c r="BZ6">
        <f>t_Plants[[#This Row],[d2016.04]]-t_Plants[[#This Row],[o2016.04]]</f>
        <v>26</v>
      </c>
      <c r="CA6">
        <f>t_Plants[[#This Row],[d2016.05]]-t_Plants[[#This Row],[o2016.05]]</f>
        <v>26</v>
      </c>
      <c r="CB6">
        <f>t_Plants[[#This Row],[d2016.06]]-t_Plants[[#This Row],[o2016.06]]</f>
        <v>34</v>
      </c>
      <c r="CC6">
        <f>t_Plants[[#This Row],[d2016.07]]-t_Plants[[#This Row],[o2016.07]]</f>
        <v>26</v>
      </c>
      <c r="CD6">
        <f>t_Plants[[#This Row],[d2016.08]]-t_Plants[[#This Row],[o2016.08]]</f>
        <v>26</v>
      </c>
      <c r="CE6">
        <f>t_Plants[[#This Row],[d2016.09]]-t_Plants[[#This Row],[o2016.09]]</f>
        <v>34</v>
      </c>
      <c r="CF6">
        <f>t_Plants[[#This Row],[d2016.10]]-t_Plants[[#This Row],[o2016.10]]</f>
        <v>26</v>
      </c>
      <c r="CG6">
        <f>t_Plants[[#This Row],[d2016.11]]-t_Plants[[#This Row],[o2016.11]]</f>
        <v>26</v>
      </c>
      <c r="CH6">
        <f>t_Plants[[#This Row],[d2016.12]]-t_Plants[[#This Row],[o2016.12]]</f>
        <v>34</v>
      </c>
      <c r="CI6">
        <f>SUM(t_Plants[[#This Row],[a2016.01]:[a2016.12]])</f>
        <v>344</v>
      </c>
      <c r="CJ6">
        <f>t_Plants[[#This Row],[a2016.FY]]</f>
        <v>344</v>
      </c>
      <c r="CK6">
        <f>t_Plants[[#This Row],[a2016.FY]]</f>
        <v>344</v>
      </c>
      <c r="CL6">
        <f>t_Plants[[#This Row],[a2016.FY]]</f>
        <v>344</v>
      </c>
      <c r="CM6">
        <f>t_Plants[[#This Row],[a2015.01]]*t_Plants[[OperHrsPerDay]:[OperHrsPerDay]]</f>
        <v>208</v>
      </c>
      <c r="CN6">
        <f>t_Plants[[#This Row],[a2015.02]]*t_Plants[[OperHrsPerDay]:[OperHrsPerDay]]</f>
        <v>208</v>
      </c>
      <c r="CO6">
        <f>t_Plants[[#This Row],[a2015.03]]*t_Plants[[OperHrsPerDay]:[OperHrsPerDay]]</f>
        <v>272</v>
      </c>
      <c r="CP6">
        <f>t_Plants[[#This Row],[a2015.04]]*t_Plants[[OperHrsPerDay]:[OperHrsPerDay]]</f>
        <v>208</v>
      </c>
      <c r="CQ6">
        <f>t_Plants[[#This Row],[a2015.05]]*t_Plants[[OperHrsPerDay]:[OperHrsPerDay]]</f>
        <v>208</v>
      </c>
      <c r="CR6">
        <f>t_Plants[[#This Row],[a2015.06]]*t_Plants[[OperHrsPerDay]:[OperHrsPerDay]]</f>
        <v>272</v>
      </c>
      <c r="CS6">
        <f>t_Plants[[#This Row],[a2015.07]]*t_Plants[[OperHrsPerDay]:[OperHrsPerDay]]</f>
        <v>208</v>
      </c>
      <c r="CT6">
        <f>t_Plants[[#This Row],[a2015.08]]*t_Plants[[OperHrsPerDay]:[OperHrsPerDay]]</f>
        <v>208</v>
      </c>
      <c r="CU6">
        <f>t_Plants[[#This Row],[a2015.09]]*t_Plants[[OperHrsPerDay]:[OperHrsPerDay]]</f>
        <v>272</v>
      </c>
      <c r="CV6">
        <f>t_Plants[[#This Row],[a2015.10]]*t_Plants[[OperHrsPerDay]:[OperHrsPerDay]]</f>
        <v>208</v>
      </c>
      <c r="CW6">
        <f>t_Plants[[#This Row],[a2015.11]]*t_Plants[[OperHrsPerDay]:[OperHrsPerDay]]</f>
        <v>208</v>
      </c>
      <c r="CX6">
        <f>t_Plants[[#This Row],[a2015.12]]*t_Plants[[OperHrsPerDay]:[OperHrsPerDay]]</f>
        <v>272</v>
      </c>
      <c r="CY6">
        <f>SUM(t_Plants[[#This Row],[h2015.01]:[h2015.12]])</f>
        <v>2752</v>
      </c>
      <c r="CZ6">
        <f>t_Plants[[#This Row],[a2016.01]]*t_Plants[[OperHrsPerDay]:[OperHrsPerDay]]</f>
        <v>208</v>
      </c>
      <c r="DA6">
        <f>t_Plants[[#This Row],[a2016.02]]*t_Plants[[OperHrsPerDay]:[OperHrsPerDay]]</f>
        <v>208</v>
      </c>
      <c r="DB6">
        <f>t_Plants[[#This Row],[a2016.03]]*t_Plants[[OperHrsPerDay]:[OperHrsPerDay]]</f>
        <v>272</v>
      </c>
      <c r="DC6">
        <f>t_Plants[[#This Row],[a2016.04]]*t_Plants[[OperHrsPerDay]:[OperHrsPerDay]]</f>
        <v>208</v>
      </c>
      <c r="DD6">
        <f>t_Plants[[#This Row],[a2016.05]]*t_Plants[[OperHrsPerDay]:[OperHrsPerDay]]</f>
        <v>208</v>
      </c>
      <c r="DE6">
        <f>t_Plants[[#This Row],[a2016.06]]*t_Plants[[OperHrsPerDay]:[OperHrsPerDay]]</f>
        <v>272</v>
      </c>
      <c r="DF6">
        <f>t_Plants[[#This Row],[a2016.07]]*t_Plants[[OperHrsPerDay]:[OperHrsPerDay]]</f>
        <v>208</v>
      </c>
      <c r="DG6">
        <f>t_Plants[[#This Row],[a2016.08]]*t_Plants[[OperHrsPerDay]:[OperHrsPerDay]]</f>
        <v>208</v>
      </c>
      <c r="DH6">
        <f>t_Plants[[#This Row],[a2016.09]]*t_Plants[[OperHrsPerDay]:[OperHrsPerDay]]</f>
        <v>272</v>
      </c>
      <c r="DI6">
        <f>t_Plants[[#This Row],[a2016.10]]*t_Plants[[OperHrsPerDay]:[OperHrsPerDay]]</f>
        <v>208</v>
      </c>
      <c r="DJ6">
        <f>t_Plants[[#This Row],[a2016.11]]*t_Plants[[OperHrsPerDay]:[OperHrsPerDay]]</f>
        <v>208</v>
      </c>
      <c r="DK6">
        <f>t_Plants[[#This Row],[a2016.12]]*t_Plants[[OperHrsPerDay]:[OperHrsPerDay]]</f>
        <v>272</v>
      </c>
      <c r="DL6">
        <f>t_Plants[[#This Row],[a2016.FY]]*t_Plants[[OperHrsPerDay]:[OperHrsPerDay]]</f>
        <v>2752</v>
      </c>
      <c r="DM6">
        <f>t_Plants[[#This Row],[a2017]]*t_Plants[[OperHrsPerDay]:[OperHrsPerDay]]</f>
        <v>2752</v>
      </c>
      <c r="DN6">
        <f>t_Plants[[#This Row],[a2018]]*t_Plants[[OperHrsPerDay]:[OperHrsPerDay]]</f>
        <v>2752</v>
      </c>
      <c r="DO6">
        <f>t_Plants[[#This Row],[a2019]]*t_Plants[[OperHrsPerDay]:[OperHrsPerDay]]</f>
        <v>2752</v>
      </c>
      <c r="DP6" s="20">
        <f>SUMIF(r_Press_Plants,t_Plants[[Plant]:[Plant]],t_Presses[hp2015.01])</f>
        <v>125.96899224806202</v>
      </c>
      <c r="DQ6" s="20">
        <f>SUMIF(r_Press_Plants,t_Plants[[Plant]:[Plant]],t_Presses[hp2015.02])</f>
        <v>125.96899224806202</v>
      </c>
      <c r="DR6" s="20">
        <f>SUMIF(r_Press_Plants,t_Plants[[Plant]:[Plant]],t_Presses[hp2015.03])</f>
        <v>164.72868217054264</v>
      </c>
      <c r="DS6" s="20">
        <f>SUMIF(r_Press_Plants,t_Plants[[Plant]:[Plant]],t_Presses[hp2015.04])</f>
        <v>125.96899224806202</v>
      </c>
      <c r="DT6" s="20">
        <f>SUMIF(r_Press_Plants,t_Plants[[Plant]:[Plant]],t_Presses[hp2015.05])</f>
        <v>125.96899224806202</v>
      </c>
      <c r="DU6" s="20">
        <f>SUMIF(r_Press_Plants,t_Plants[[Plant]:[Plant]],t_Presses[hp2015.06])</f>
        <v>164.72868217054264</v>
      </c>
      <c r="DV6" s="20">
        <f>SUMIF(r_Press_Plants,t_Plants[[Plant]:[Plant]],t_Presses[hp2015.07])</f>
        <v>125.96899224806202</v>
      </c>
      <c r="DW6" s="20">
        <f>SUMIF(r_Press_Plants,t_Plants[[Plant]:[Plant]],t_Presses[hp2015.08])</f>
        <v>125.96899224806202</v>
      </c>
      <c r="DX6" s="20">
        <f>SUMIF(r_Press_Plants,t_Plants[[Plant]:[Plant]],t_Presses[hp2015.09])</f>
        <v>164.72868217054264</v>
      </c>
      <c r="DY6" s="20">
        <f>SUMIF(r_Press_Plants,t_Plants[[Plant]:[Plant]],t_Presses[hp2015.10])</f>
        <v>125.96899224806202</v>
      </c>
      <c r="DZ6" s="20">
        <f>SUMIF(r_Press_Plants,t_Plants[[Plant]:[Plant]],t_Presses[hp2015.11])</f>
        <v>125.96899224806202</v>
      </c>
      <c r="EA6" s="20">
        <f>SUMIF(r_Press_Plants,t_Plants[[Plant]:[Plant]],t_Presses[hp2015.12])</f>
        <v>164.72868217054264</v>
      </c>
      <c r="EB6" s="20">
        <f>SUMIF(r_Press_Plants,t_Plants[[Plant]:[Plant]],t_Presses[hp2015.FY])</f>
        <v>1666.666666666667</v>
      </c>
      <c r="EC6" s="20">
        <f>SUMIF(r_Press_Plants,t_Plants[[Plant]:[Plant]],t_Presses[hp2016.01])</f>
        <v>0</v>
      </c>
      <c r="ED6" s="20">
        <f>SUMIF(r_Press_Plants,t_Plants[[Plant]:[Plant]],t_Presses[hp2016.02])</f>
        <v>0</v>
      </c>
      <c r="EE6" s="20">
        <f>SUMIF(r_Press_Plants,t_Plants[[Plant]:[Plant]],t_Presses[hp2016.03])</f>
        <v>0</v>
      </c>
      <c r="EF6" s="20">
        <f>SUMIF(r_Press_Plants,t_Plants[[Plant]:[Plant]],t_Presses[hp2016.04])</f>
        <v>0</v>
      </c>
      <c r="EG6" s="20">
        <f>SUMIF(r_Press_Plants,t_Plants[[Plant]:[Plant]],t_Presses[hp2016.05])</f>
        <v>0</v>
      </c>
      <c r="EH6" s="20">
        <f>SUMIF(r_Press_Plants,t_Plants[[Plant]:[Plant]],t_Presses[hp2016.06])</f>
        <v>0</v>
      </c>
      <c r="EI6" s="20">
        <f>SUMIF(r_Press_Plants,t_Plants[[Plant]:[Plant]],t_Presses[hp2016.07])</f>
        <v>0</v>
      </c>
      <c r="EJ6" s="20">
        <f>SUMIF(r_Press_Plants,t_Plants[[Plant]:[Plant]],t_Presses[hp2016.08])</f>
        <v>0</v>
      </c>
      <c r="EK6" s="20">
        <f>SUMIF(r_Press_Plants,t_Plants[[Plant]:[Plant]],t_Presses[hp2016.09])</f>
        <v>0</v>
      </c>
      <c r="EL6" s="20">
        <f>SUMIF(r_Press_Plants,t_Plants[[Plant]:[Plant]],t_Presses[hp2016.10])</f>
        <v>0</v>
      </c>
      <c r="EM6" s="20">
        <f>SUMIF(r_Press_Plants,t_Plants[[Plant]:[Plant]],t_Presses[hp2016.11])</f>
        <v>0</v>
      </c>
      <c r="EN6" s="20">
        <f>SUMIF(r_Press_Plants,t_Plants[[Plant]:[Plant]],t_Presses[hp2016.12])</f>
        <v>0</v>
      </c>
      <c r="EO6" s="20">
        <f>SUMIF(r_Press_Plants,t_Plants[[Plant]:[Plant]],t_Presses[hp2016.FY])</f>
        <v>0</v>
      </c>
      <c r="EP6" s="20">
        <f>SUMIF(r_Press_Plants,t_Plants[[Plant]:[Plant]],t_Presses[hp2017])</f>
        <v>0</v>
      </c>
      <c r="EQ6" s="20">
        <f>SUMIF(r_Press_Plants,t_Plants[[Plant]:[Plant]],t_Presses[hp2018])</f>
        <v>0</v>
      </c>
      <c r="ER6" s="20">
        <f>SUMIF(r_Press_Plants,t_Plants[[Plant]:[Plant]],t_Presses[hp2019])</f>
        <v>0</v>
      </c>
      <c r="ES6" s="15">
        <f>t_Plants[[#This Row],[p2015.01]]/t_Plants[[#This Row],[h2015.01]]</f>
        <v>0.60562015503875977</v>
      </c>
      <c r="ET6" s="15">
        <f>t_Plants[[#This Row],[p2015.02]]/t_Plants[[#This Row],[h2015.02]]</f>
        <v>0.60562015503875977</v>
      </c>
      <c r="EU6" s="15">
        <f>t_Plants[[#This Row],[p2015.03]]/t_Plants[[#This Row],[h2015.03]]</f>
        <v>0.60562015503875966</v>
      </c>
      <c r="EV6" s="15">
        <f>t_Plants[[#This Row],[p2015.04]]/t_Plants[[#This Row],[h2015.04]]</f>
        <v>0.60562015503875977</v>
      </c>
      <c r="EW6" s="15">
        <f>t_Plants[[#This Row],[p2015.05]]/t_Plants[[#This Row],[h2015.05]]</f>
        <v>0.60562015503875977</v>
      </c>
      <c r="EX6" s="15">
        <f>t_Plants[[#This Row],[p2015.06]]/t_Plants[[#This Row],[h2015.06]]</f>
        <v>0.60562015503875966</v>
      </c>
      <c r="EY6" s="15">
        <f>t_Plants[[#This Row],[p2015.07]]/t_Plants[[#This Row],[h2015.07]]</f>
        <v>0.60562015503875977</v>
      </c>
      <c r="EZ6" s="15">
        <f>t_Plants[[#This Row],[p2015.08]]/t_Plants[[#This Row],[h2015.08]]</f>
        <v>0.60562015503875977</v>
      </c>
      <c r="FA6" s="15">
        <f>t_Plants[[#This Row],[p2015.09]]/t_Plants[[#This Row],[h2015.09]]</f>
        <v>0.60562015503875966</v>
      </c>
      <c r="FB6" s="15">
        <f>t_Plants[[#This Row],[p2015.10]]/t_Plants[[#This Row],[h2015.10]]</f>
        <v>0.60562015503875977</v>
      </c>
      <c r="FC6" s="15">
        <f>t_Plants[[#This Row],[p2015.11]]/t_Plants[[#This Row],[h2015.11]]</f>
        <v>0.60562015503875977</v>
      </c>
      <c r="FD6" s="15">
        <f>t_Plants[[#This Row],[p2015.12]]/t_Plants[[#This Row],[h2015.12]]</f>
        <v>0.60562015503875966</v>
      </c>
      <c r="FE6" s="15">
        <f>t_Plants[[#This Row],[p2015.FY]]/t_Plants[[#This Row],[h2015.FY]]</f>
        <v>0.60562015503875977</v>
      </c>
      <c r="FF6" s="15">
        <f>t_Plants[[#This Row],[p2016.01]]/t_Plants[[#This Row],[h2016.01]]</f>
        <v>0</v>
      </c>
      <c r="FG6" s="15">
        <f>t_Plants[[#This Row],[p2016.02]]/t_Plants[[#This Row],[h2016.02]]</f>
        <v>0</v>
      </c>
      <c r="FH6" s="15">
        <f>t_Plants[[#This Row],[p2016.03]]/t_Plants[[#This Row],[h2016.03]]</f>
        <v>0</v>
      </c>
      <c r="FI6" s="15">
        <f>t_Plants[[#This Row],[p2016.04]]/t_Plants[[#This Row],[h2016.04]]</f>
        <v>0</v>
      </c>
      <c r="FJ6" s="15">
        <f>t_Plants[[#This Row],[p2016.05]]/t_Plants[[#This Row],[h2016.05]]</f>
        <v>0</v>
      </c>
      <c r="FK6" s="15">
        <f>t_Plants[[#This Row],[p2016.06]]/t_Plants[[#This Row],[h2016.06]]</f>
        <v>0</v>
      </c>
      <c r="FL6" s="15">
        <f>t_Plants[[#This Row],[p2016.07]]/t_Plants[[#This Row],[h2016.07]]</f>
        <v>0</v>
      </c>
      <c r="FM6" s="15">
        <f>t_Plants[[#This Row],[p2016.08]]/t_Plants[[#This Row],[h2016.08]]</f>
        <v>0</v>
      </c>
      <c r="FN6" s="15">
        <f>t_Plants[[#This Row],[p2016.09]]/t_Plants[[#This Row],[h2016.09]]</f>
        <v>0</v>
      </c>
      <c r="FO6" s="15">
        <f>t_Plants[[#This Row],[p2016.10]]/t_Plants[[#This Row],[h2016.10]]</f>
        <v>0</v>
      </c>
      <c r="FP6" s="15">
        <f>t_Plants[[#This Row],[p2016.11]]/t_Plants[[#This Row],[h2016.11]]</f>
        <v>0</v>
      </c>
      <c r="FQ6" s="15">
        <f>t_Plants[[#This Row],[p2016.12]]/t_Plants[[#This Row],[h2016.12]]</f>
        <v>0</v>
      </c>
      <c r="FR6" s="15">
        <f>t_Plants[[#This Row],[p2016.FY]]/t_Plants[[#This Row],[h2016.FY]]</f>
        <v>0</v>
      </c>
      <c r="FS6" s="15">
        <f>t_Plants[[#This Row],[p2017]]/t_Plants[[#This Row],[h2017]]</f>
        <v>0</v>
      </c>
      <c r="FT6" s="15">
        <f>t_Plants[[#This Row],[p2018]]/t_Plants[[#This Row],[h2018]]</f>
        <v>0</v>
      </c>
      <c r="FU6" s="15">
        <f>t_Plants[[#This Row],[p2019]]/t_Plants[[#This Row],[h2019]]</f>
        <v>0</v>
      </c>
    </row>
    <row r="7" spans="1:177" x14ac:dyDescent="0.25">
      <c r="A7" t="s">
        <v>8</v>
      </c>
      <c r="B7" s="73">
        <v>10</v>
      </c>
      <c r="C7" s="76">
        <v>0.55000000000000004</v>
      </c>
      <c r="D7">
        <v>28</v>
      </c>
      <c r="E7">
        <v>28</v>
      </c>
      <c r="F7">
        <v>35</v>
      </c>
      <c r="G7">
        <v>28</v>
      </c>
      <c r="H7">
        <v>28</v>
      </c>
      <c r="I7">
        <v>35</v>
      </c>
      <c r="J7">
        <v>28</v>
      </c>
      <c r="K7">
        <v>28</v>
      </c>
      <c r="L7">
        <v>35</v>
      </c>
      <c r="M7">
        <v>28</v>
      </c>
      <c r="N7">
        <v>28</v>
      </c>
      <c r="O7">
        <v>35</v>
      </c>
      <c r="P7">
        <f>SUM(t_Plants[[#This Row],[d2015.01]:[d2015.12]])</f>
        <v>364</v>
      </c>
      <c r="Q7">
        <v>28</v>
      </c>
      <c r="R7">
        <v>28</v>
      </c>
      <c r="S7">
        <v>35</v>
      </c>
      <c r="T7">
        <v>28</v>
      </c>
      <c r="U7">
        <v>28</v>
      </c>
      <c r="V7">
        <v>35</v>
      </c>
      <c r="W7">
        <v>28</v>
      </c>
      <c r="X7">
        <v>28</v>
      </c>
      <c r="Y7">
        <v>35</v>
      </c>
      <c r="Z7">
        <v>28</v>
      </c>
      <c r="AA7">
        <v>28</v>
      </c>
      <c r="AB7">
        <v>35</v>
      </c>
      <c r="AC7">
        <f>SUM(t_Plants[[#This Row],[d2016.01]:[d2016.12]])</f>
        <v>364</v>
      </c>
      <c r="AD7">
        <f>t_Plants[[#This Row],[d2016.FY]]</f>
        <v>364</v>
      </c>
      <c r="AE7">
        <f>t_Plants[[#This Row],[d2016.FY]]</f>
        <v>364</v>
      </c>
      <c r="AF7">
        <f>t_Plants[[#This Row],[d2016.FY]]</f>
        <v>364</v>
      </c>
      <c r="AG7">
        <v>3</v>
      </c>
      <c r="AH7">
        <v>2</v>
      </c>
      <c r="AI7">
        <v>1</v>
      </c>
      <c r="AJ7">
        <v>3</v>
      </c>
      <c r="AK7">
        <v>2</v>
      </c>
      <c r="AL7">
        <v>1</v>
      </c>
      <c r="AM7">
        <v>3</v>
      </c>
      <c r="AN7">
        <v>2</v>
      </c>
      <c r="AO7">
        <v>1</v>
      </c>
      <c r="AP7">
        <v>3</v>
      </c>
      <c r="AQ7">
        <v>2</v>
      </c>
      <c r="AR7">
        <v>1</v>
      </c>
      <c r="AS7">
        <f>SUM(t_Plants[[#This Row],[o2015.01]:[o2015.12]])</f>
        <v>24</v>
      </c>
      <c r="AT7">
        <v>3</v>
      </c>
      <c r="AU7">
        <v>4</v>
      </c>
      <c r="AV7">
        <v>1</v>
      </c>
      <c r="AW7">
        <v>3</v>
      </c>
      <c r="AX7">
        <v>2</v>
      </c>
      <c r="AY7">
        <v>1</v>
      </c>
      <c r="AZ7">
        <v>3</v>
      </c>
      <c r="BA7">
        <v>2</v>
      </c>
      <c r="BB7">
        <v>1</v>
      </c>
      <c r="BC7">
        <v>3</v>
      </c>
      <c r="BD7">
        <v>6</v>
      </c>
      <c r="BE7">
        <v>5</v>
      </c>
      <c r="BF7">
        <f>SUM(t_Plants[[#This Row],[o2016.01]:[o2016.12]])</f>
        <v>34</v>
      </c>
      <c r="BG7">
        <f>t_Plants[[#This Row],[o2016.FY]]</f>
        <v>34</v>
      </c>
      <c r="BH7">
        <f>t_Plants[[#This Row],[o2016.FY]]</f>
        <v>34</v>
      </c>
      <c r="BI7">
        <f>t_Plants[[#This Row],[o2016.FY]]</f>
        <v>34</v>
      </c>
      <c r="BJ7">
        <f>t_Plants[[#This Row],[d2015.01]]-t_Plants[[#This Row],[o2015.01]]</f>
        <v>25</v>
      </c>
      <c r="BK7">
        <f>t_Plants[[#This Row],[d2015.02]]-t_Plants[[#This Row],[o2015.02]]</f>
        <v>26</v>
      </c>
      <c r="BL7">
        <f>t_Plants[[#This Row],[d2015.03]]-t_Plants[[#This Row],[o2015.03]]</f>
        <v>34</v>
      </c>
      <c r="BM7">
        <f>t_Plants[[#This Row],[d2015.04]]-t_Plants[[#This Row],[o2015.04]]</f>
        <v>25</v>
      </c>
      <c r="BN7">
        <f>t_Plants[[#This Row],[d2015.05]]-t_Plants[[#This Row],[o2015.05]]</f>
        <v>26</v>
      </c>
      <c r="BO7">
        <f>t_Plants[[#This Row],[d2015.06]]-t_Plants[[#This Row],[o2015.06]]</f>
        <v>34</v>
      </c>
      <c r="BP7">
        <f>t_Plants[[#This Row],[d2015.07]]-t_Plants[[#This Row],[o2015.07]]</f>
        <v>25</v>
      </c>
      <c r="BQ7">
        <f>t_Plants[[#This Row],[d2015.08]]-t_Plants[[#This Row],[o2015.08]]</f>
        <v>26</v>
      </c>
      <c r="BR7">
        <f>t_Plants[[#This Row],[d2015.09]]-t_Plants[[#This Row],[o2015.09]]</f>
        <v>34</v>
      </c>
      <c r="BS7">
        <f>t_Plants[[#This Row],[d2015.10]]-t_Plants[[#This Row],[o2015.10]]</f>
        <v>25</v>
      </c>
      <c r="BT7">
        <f>t_Plants[[#This Row],[d2015.11]]-t_Plants[[#This Row],[o2015.11]]</f>
        <v>26</v>
      </c>
      <c r="BU7">
        <f>t_Plants[[#This Row],[d2015.12]]-t_Plants[[#This Row],[o2015.12]]</f>
        <v>34</v>
      </c>
      <c r="BV7">
        <f>t_Plants[[#This Row],[d2015.FY]]-t_Plants[[#This Row],[o2015.FY]]</f>
        <v>340</v>
      </c>
      <c r="BW7">
        <f>t_Plants[[#This Row],[d2016.01]]-t_Plants[[#This Row],[o2016.01]]</f>
        <v>25</v>
      </c>
      <c r="BX7">
        <f>t_Plants[[#This Row],[d2016.02]]-t_Plants[[#This Row],[o2016.02]]</f>
        <v>24</v>
      </c>
      <c r="BY7">
        <f>t_Plants[[#This Row],[d2016.03]]-t_Plants[[#This Row],[o2016.03]]</f>
        <v>34</v>
      </c>
      <c r="BZ7">
        <f>t_Plants[[#This Row],[d2016.04]]-t_Plants[[#This Row],[o2016.04]]</f>
        <v>25</v>
      </c>
      <c r="CA7">
        <f>t_Plants[[#This Row],[d2016.05]]-t_Plants[[#This Row],[o2016.05]]</f>
        <v>26</v>
      </c>
      <c r="CB7">
        <f>t_Plants[[#This Row],[d2016.06]]-t_Plants[[#This Row],[o2016.06]]</f>
        <v>34</v>
      </c>
      <c r="CC7">
        <f>t_Plants[[#This Row],[d2016.07]]-t_Plants[[#This Row],[o2016.07]]</f>
        <v>25</v>
      </c>
      <c r="CD7">
        <f>t_Plants[[#This Row],[d2016.08]]-t_Plants[[#This Row],[o2016.08]]</f>
        <v>26</v>
      </c>
      <c r="CE7">
        <f>t_Plants[[#This Row],[d2016.09]]-t_Plants[[#This Row],[o2016.09]]</f>
        <v>34</v>
      </c>
      <c r="CF7">
        <f>t_Plants[[#This Row],[d2016.10]]-t_Plants[[#This Row],[o2016.10]]</f>
        <v>25</v>
      </c>
      <c r="CG7">
        <f>t_Plants[[#This Row],[d2016.11]]-t_Plants[[#This Row],[o2016.11]]</f>
        <v>22</v>
      </c>
      <c r="CH7">
        <f>t_Plants[[#This Row],[d2016.12]]-t_Plants[[#This Row],[o2016.12]]</f>
        <v>30</v>
      </c>
      <c r="CI7">
        <f>SUM(t_Plants[[#This Row],[a2016.01]:[a2016.12]])</f>
        <v>330</v>
      </c>
      <c r="CJ7">
        <f>t_Plants[[#This Row],[a2016.FY]]</f>
        <v>330</v>
      </c>
      <c r="CK7">
        <f>t_Plants[[#This Row],[a2016.FY]]</f>
        <v>330</v>
      </c>
      <c r="CL7">
        <f>t_Plants[[#This Row],[a2016.FY]]</f>
        <v>330</v>
      </c>
      <c r="CM7">
        <f>t_Plants[[#This Row],[a2015.01]]*t_Plants[[OperHrsPerDay]:[OperHrsPerDay]]</f>
        <v>250</v>
      </c>
      <c r="CN7">
        <f>t_Plants[[#This Row],[a2015.02]]*t_Plants[[OperHrsPerDay]:[OperHrsPerDay]]</f>
        <v>260</v>
      </c>
      <c r="CO7">
        <f>t_Plants[[#This Row],[a2015.03]]*t_Plants[[OperHrsPerDay]:[OperHrsPerDay]]</f>
        <v>340</v>
      </c>
      <c r="CP7">
        <f>t_Plants[[#This Row],[a2015.04]]*t_Plants[[OperHrsPerDay]:[OperHrsPerDay]]</f>
        <v>250</v>
      </c>
      <c r="CQ7">
        <f>t_Plants[[#This Row],[a2015.05]]*t_Plants[[OperHrsPerDay]:[OperHrsPerDay]]</f>
        <v>260</v>
      </c>
      <c r="CR7">
        <f>t_Plants[[#This Row],[a2015.06]]*t_Plants[[OperHrsPerDay]:[OperHrsPerDay]]</f>
        <v>340</v>
      </c>
      <c r="CS7">
        <f>t_Plants[[#This Row],[a2015.07]]*t_Plants[[OperHrsPerDay]:[OperHrsPerDay]]</f>
        <v>250</v>
      </c>
      <c r="CT7">
        <f>t_Plants[[#This Row],[a2015.08]]*t_Plants[[OperHrsPerDay]:[OperHrsPerDay]]</f>
        <v>260</v>
      </c>
      <c r="CU7">
        <f>t_Plants[[#This Row],[a2015.09]]*t_Plants[[OperHrsPerDay]:[OperHrsPerDay]]</f>
        <v>340</v>
      </c>
      <c r="CV7">
        <f>t_Plants[[#This Row],[a2015.10]]*t_Plants[[OperHrsPerDay]:[OperHrsPerDay]]</f>
        <v>250</v>
      </c>
      <c r="CW7">
        <f>t_Plants[[#This Row],[a2015.11]]*t_Plants[[OperHrsPerDay]:[OperHrsPerDay]]</f>
        <v>260</v>
      </c>
      <c r="CX7">
        <f>t_Plants[[#This Row],[a2015.12]]*t_Plants[[OperHrsPerDay]:[OperHrsPerDay]]</f>
        <v>340</v>
      </c>
      <c r="CY7">
        <f>SUM(t_Plants[[#This Row],[h2015.01]:[h2015.12]])</f>
        <v>3400</v>
      </c>
      <c r="CZ7">
        <f>t_Plants[[#This Row],[a2016.01]]*t_Plants[[OperHrsPerDay]:[OperHrsPerDay]]</f>
        <v>250</v>
      </c>
      <c r="DA7">
        <f>t_Plants[[#This Row],[a2016.02]]*t_Plants[[OperHrsPerDay]:[OperHrsPerDay]]</f>
        <v>240</v>
      </c>
      <c r="DB7">
        <f>t_Plants[[#This Row],[a2016.03]]*t_Plants[[OperHrsPerDay]:[OperHrsPerDay]]</f>
        <v>340</v>
      </c>
      <c r="DC7">
        <f>t_Plants[[#This Row],[a2016.04]]*t_Plants[[OperHrsPerDay]:[OperHrsPerDay]]</f>
        <v>250</v>
      </c>
      <c r="DD7">
        <f>t_Plants[[#This Row],[a2016.05]]*t_Plants[[OperHrsPerDay]:[OperHrsPerDay]]</f>
        <v>260</v>
      </c>
      <c r="DE7">
        <f>t_Plants[[#This Row],[a2016.06]]*t_Plants[[OperHrsPerDay]:[OperHrsPerDay]]</f>
        <v>340</v>
      </c>
      <c r="DF7">
        <f>t_Plants[[#This Row],[a2016.07]]*t_Plants[[OperHrsPerDay]:[OperHrsPerDay]]</f>
        <v>250</v>
      </c>
      <c r="DG7">
        <f>t_Plants[[#This Row],[a2016.08]]*t_Plants[[OperHrsPerDay]:[OperHrsPerDay]]</f>
        <v>260</v>
      </c>
      <c r="DH7">
        <f>t_Plants[[#This Row],[a2016.09]]*t_Plants[[OperHrsPerDay]:[OperHrsPerDay]]</f>
        <v>340</v>
      </c>
      <c r="DI7">
        <f>t_Plants[[#This Row],[a2016.10]]*t_Plants[[OperHrsPerDay]:[OperHrsPerDay]]</f>
        <v>250</v>
      </c>
      <c r="DJ7">
        <f>t_Plants[[#This Row],[a2016.11]]*t_Plants[[OperHrsPerDay]:[OperHrsPerDay]]</f>
        <v>220</v>
      </c>
      <c r="DK7">
        <f>t_Plants[[#This Row],[a2016.12]]*t_Plants[[OperHrsPerDay]:[OperHrsPerDay]]</f>
        <v>300</v>
      </c>
      <c r="DL7">
        <f>t_Plants[[#This Row],[a2016.FY]]*t_Plants[[OperHrsPerDay]:[OperHrsPerDay]]</f>
        <v>3300</v>
      </c>
      <c r="DM7">
        <f>t_Plants[[#This Row],[a2017]]*t_Plants[[OperHrsPerDay]:[OperHrsPerDay]]</f>
        <v>3300</v>
      </c>
      <c r="DN7">
        <f>t_Plants[[#This Row],[a2018]]*t_Plants[[OperHrsPerDay]:[OperHrsPerDay]]</f>
        <v>3300</v>
      </c>
      <c r="DO7">
        <f>t_Plants[[#This Row],[a2019]]*t_Plants[[OperHrsPerDay]:[OperHrsPerDay]]</f>
        <v>3300</v>
      </c>
      <c r="DP7" s="20">
        <f>SUMIF(r_Press_Plants,t_Plants[[Plant]:[Plant]],t_Presses[hp2015.01])</f>
        <v>78.20793677319412</v>
      </c>
      <c r="DQ7" s="20">
        <f>SUMIF(r_Press_Plants,t_Plants[[Plant]:[Plant]],t_Presses[hp2015.02])</f>
        <v>80.416254244121887</v>
      </c>
      <c r="DR7" s="20">
        <f>SUMIF(r_Press_Plants,t_Plants[[Plant]:[Plant]],t_Presses[hp2015.03])</f>
        <v>98.082794011543996</v>
      </c>
      <c r="DS7" s="20">
        <f>SUMIF(r_Press_Plants,t_Plants[[Plant]:[Plant]],t_Presses[hp2015.04])</f>
        <v>78.20793677319412</v>
      </c>
      <c r="DT7" s="20">
        <f>SUMIF(r_Press_Plants,t_Plants[[Plant]:[Plant]],t_Presses[hp2015.05])</f>
        <v>80.416254244121887</v>
      </c>
      <c r="DU7" s="20">
        <f>SUMIF(r_Press_Plants,t_Plants[[Plant]:[Plant]],t_Presses[hp2015.06])</f>
        <v>98.082794011543996</v>
      </c>
      <c r="DV7" s="20">
        <f>SUMIF(r_Press_Plants,t_Plants[[Plant]:[Plant]],t_Presses[hp2015.07])</f>
        <v>78.20793677319412</v>
      </c>
      <c r="DW7" s="20">
        <f>SUMIF(r_Press_Plants,t_Plants[[Plant]:[Plant]],t_Presses[hp2015.08])</f>
        <v>80.416254244121887</v>
      </c>
      <c r="DX7" s="20">
        <f>SUMIF(r_Press_Plants,t_Plants[[Plant]:[Plant]],t_Presses[hp2015.09])</f>
        <v>98.082794011543996</v>
      </c>
      <c r="DY7" s="20">
        <f>SUMIF(r_Press_Plants,t_Plants[[Plant]:[Plant]],t_Presses[hp2015.10])</f>
        <v>78.20793677319412</v>
      </c>
      <c r="DZ7" s="20">
        <f>SUMIF(r_Press_Plants,t_Plants[[Plant]:[Plant]],t_Presses[hp2015.11])</f>
        <v>80.416254244121887</v>
      </c>
      <c r="EA7" s="20">
        <f>SUMIF(r_Press_Plants,t_Plants[[Plant]:[Plant]],t_Presses[hp2015.12])</f>
        <v>98.082794011543996</v>
      </c>
      <c r="EB7" s="20">
        <f>SUMIF(r_Press_Plants,t_Plants[[Plant]:[Plant]],t_Presses[hp2015.FY])</f>
        <v>1026.82794011544</v>
      </c>
      <c r="EC7" s="20">
        <f>SUMIF(r_Press_Plants,t_Plants[[Plant]:[Plant]],t_Presses[hp2016.01])</f>
        <v>0.59523809523809523</v>
      </c>
      <c r="ED7" s="20">
        <f>SUMIF(r_Press_Plants,t_Plants[[Plant]:[Plant]],t_Presses[hp2016.02])</f>
        <v>0.5714285714285714</v>
      </c>
      <c r="EE7" s="20">
        <f>SUMIF(r_Press_Plants,t_Plants[[Plant]:[Plant]],t_Presses[hp2016.03])</f>
        <v>0.80952380952380953</v>
      </c>
      <c r="EF7" s="20">
        <f>SUMIF(r_Press_Plants,t_Plants[[Plant]:[Plant]],t_Presses[hp2016.04])</f>
        <v>0.59523809523809523</v>
      </c>
      <c r="EG7" s="20">
        <f>SUMIF(r_Press_Plants,t_Plants[[Plant]:[Plant]],t_Presses[hp2016.05])</f>
        <v>0.61904761904761907</v>
      </c>
      <c r="EH7" s="20">
        <f>SUMIF(r_Press_Plants,t_Plants[[Plant]:[Plant]],t_Presses[hp2016.06])</f>
        <v>0.80952380952380953</v>
      </c>
      <c r="EI7" s="20">
        <f>SUMIF(r_Press_Plants,t_Plants[[Plant]:[Plant]],t_Presses[hp2016.07])</f>
        <v>0.59523809523809523</v>
      </c>
      <c r="EJ7" s="20">
        <f>SUMIF(r_Press_Plants,t_Plants[[Plant]:[Plant]],t_Presses[hp2016.08])</f>
        <v>0.61904761904761907</v>
      </c>
      <c r="EK7" s="20">
        <f>SUMIF(r_Press_Plants,t_Plants[[Plant]:[Plant]],t_Presses[hp2016.09])</f>
        <v>0.80952380952380953</v>
      </c>
      <c r="EL7" s="20">
        <f>SUMIF(r_Press_Plants,t_Plants[[Plant]:[Plant]],t_Presses[hp2016.10])</f>
        <v>0.59523809523809523</v>
      </c>
      <c r="EM7" s="20">
        <f>SUMIF(r_Press_Plants,t_Plants[[Plant]:[Plant]],t_Presses[hp2016.11])</f>
        <v>0.52380952380952384</v>
      </c>
      <c r="EN7" s="20">
        <f>SUMIF(r_Press_Plants,t_Plants[[Plant]:[Plant]],t_Presses[hp2016.12])</f>
        <v>0.7142857142857143</v>
      </c>
      <c r="EO7" s="20">
        <f>SUMIF(r_Press_Plants,t_Plants[[Plant]:[Plant]],t_Presses[hp2016.FY])</f>
        <v>7.8571428571428559</v>
      </c>
      <c r="EP7" s="20">
        <f>SUMIF(r_Press_Plants,t_Plants[[Plant]:[Plant]],t_Presses[hp2017])</f>
        <v>40.476190476190474</v>
      </c>
      <c r="EQ7" s="20">
        <f>SUMIF(r_Press_Plants,t_Plants[[Plant]:[Plant]],t_Presses[hp2018])</f>
        <v>42.857142857142854</v>
      </c>
      <c r="ER7" s="20">
        <f>SUMIF(r_Press_Plants,t_Plants[[Plant]:[Plant]],t_Presses[hp2019])</f>
        <v>45.238095238095241</v>
      </c>
      <c r="ES7" s="15">
        <f>t_Plants[[#This Row],[p2015.01]]/t_Plants[[#This Row],[h2015.01]]</f>
        <v>0.3128317470927765</v>
      </c>
      <c r="ET7" s="15">
        <f>t_Plants[[#This Row],[p2015.02]]/t_Plants[[#This Row],[h2015.02]]</f>
        <v>0.30929328555431496</v>
      </c>
      <c r="EU7" s="15">
        <f>t_Plants[[#This Row],[p2015.03]]/t_Plants[[#This Row],[h2015.03]]</f>
        <v>0.28847880591630587</v>
      </c>
      <c r="EV7" s="15">
        <f>t_Plants[[#This Row],[p2015.04]]/t_Plants[[#This Row],[h2015.04]]</f>
        <v>0.3128317470927765</v>
      </c>
      <c r="EW7" s="15">
        <f>t_Plants[[#This Row],[p2015.05]]/t_Plants[[#This Row],[h2015.05]]</f>
        <v>0.30929328555431496</v>
      </c>
      <c r="EX7" s="15">
        <f>t_Plants[[#This Row],[p2015.06]]/t_Plants[[#This Row],[h2015.06]]</f>
        <v>0.28847880591630587</v>
      </c>
      <c r="EY7" s="15">
        <f>t_Plants[[#This Row],[p2015.07]]/t_Plants[[#This Row],[h2015.07]]</f>
        <v>0.3128317470927765</v>
      </c>
      <c r="EZ7" s="15">
        <f>t_Plants[[#This Row],[p2015.08]]/t_Plants[[#This Row],[h2015.08]]</f>
        <v>0.30929328555431496</v>
      </c>
      <c r="FA7" s="15">
        <f>t_Plants[[#This Row],[p2015.09]]/t_Plants[[#This Row],[h2015.09]]</f>
        <v>0.28847880591630587</v>
      </c>
      <c r="FB7" s="15">
        <f>t_Plants[[#This Row],[p2015.10]]/t_Plants[[#This Row],[h2015.10]]</f>
        <v>0.3128317470927765</v>
      </c>
      <c r="FC7" s="15">
        <f>t_Plants[[#This Row],[p2015.11]]/t_Plants[[#This Row],[h2015.11]]</f>
        <v>0.30929328555431496</v>
      </c>
      <c r="FD7" s="15">
        <f>t_Plants[[#This Row],[p2015.12]]/t_Plants[[#This Row],[h2015.12]]</f>
        <v>0.28847880591630587</v>
      </c>
      <c r="FE7" s="15">
        <f>t_Plants[[#This Row],[p2015.FY]]/t_Plants[[#This Row],[h2015.FY]]</f>
        <v>0.30200821768101177</v>
      </c>
      <c r="FF7" s="15">
        <f>t_Plants[[#This Row],[p2016.01]]/t_Plants[[#This Row],[h2016.01]]</f>
        <v>2.3809523809523807E-3</v>
      </c>
      <c r="FG7" s="15">
        <f>t_Plants[[#This Row],[p2016.02]]/t_Plants[[#This Row],[h2016.02]]</f>
        <v>2.3809523809523807E-3</v>
      </c>
      <c r="FH7" s="15">
        <f>t_Plants[[#This Row],[p2016.03]]/t_Plants[[#This Row],[h2016.03]]</f>
        <v>2.3809523809523812E-3</v>
      </c>
      <c r="FI7" s="15">
        <f>t_Plants[[#This Row],[p2016.04]]/t_Plants[[#This Row],[h2016.04]]</f>
        <v>2.3809523809523807E-3</v>
      </c>
      <c r="FJ7" s="15">
        <f>t_Plants[[#This Row],[p2016.05]]/t_Plants[[#This Row],[h2016.05]]</f>
        <v>2.3809523809523812E-3</v>
      </c>
      <c r="FK7" s="15">
        <f>t_Plants[[#This Row],[p2016.06]]/t_Plants[[#This Row],[h2016.06]]</f>
        <v>2.3809523809523812E-3</v>
      </c>
      <c r="FL7" s="15">
        <f>t_Plants[[#This Row],[p2016.07]]/t_Plants[[#This Row],[h2016.07]]</f>
        <v>2.3809523809523807E-3</v>
      </c>
      <c r="FM7" s="15">
        <f>t_Plants[[#This Row],[p2016.08]]/t_Plants[[#This Row],[h2016.08]]</f>
        <v>2.3809523809523812E-3</v>
      </c>
      <c r="FN7" s="15">
        <f>t_Plants[[#This Row],[p2016.09]]/t_Plants[[#This Row],[h2016.09]]</f>
        <v>2.3809523809523812E-3</v>
      </c>
      <c r="FO7" s="15">
        <f>t_Plants[[#This Row],[p2016.10]]/t_Plants[[#This Row],[h2016.10]]</f>
        <v>2.3809523809523807E-3</v>
      </c>
      <c r="FP7" s="15">
        <f>t_Plants[[#This Row],[p2016.11]]/t_Plants[[#This Row],[h2016.11]]</f>
        <v>2.3809523809523812E-3</v>
      </c>
      <c r="FQ7" s="15">
        <f>t_Plants[[#This Row],[p2016.12]]/t_Plants[[#This Row],[h2016.12]]</f>
        <v>2.3809523809523812E-3</v>
      </c>
      <c r="FR7" s="15">
        <f>t_Plants[[#This Row],[p2016.FY]]/t_Plants[[#This Row],[h2016.FY]]</f>
        <v>2.3809523809523807E-3</v>
      </c>
      <c r="FS7" s="15">
        <f>t_Plants[[#This Row],[p2017]]/t_Plants[[#This Row],[h2017]]</f>
        <v>1.2265512265512264E-2</v>
      </c>
      <c r="FT7" s="15">
        <f>t_Plants[[#This Row],[p2018]]/t_Plants[[#This Row],[h2018]]</f>
        <v>1.2987012987012986E-2</v>
      </c>
      <c r="FU7" s="15">
        <f>t_Plants[[#This Row],[p2019]]/t_Plants[[#This Row],[h2019]]</f>
        <v>1.370851370851371E-2</v>
      </c>
    </row>
    <row r="8" spans="1:177" x14ac:dyDescent="0.25">
      <c r="A8" t="s">
        <v>12</v>
      </c>
      <c r="B8" s="73">
        <v>10</v>
      </c>
      <c r="C8" s="76">
        <v>0.79</v>
      </c>
      <c r="D8">
        <v>28</v>
      </c>
      <c r="E8">
        <v>28</v>
      </c>
      <c r="F8">
        <v>35</v>
      </c>
      <c r="G8">
        <v>28</v>
      </c>
      <c r="H8">
        <v>28</v>
      </c>
      <c r="I8">
        <v>35</v>
      </c>
      <c r="J8">
        <v>28</v>
      </c>
      <c r="K8">
        <v>28</v>
      </c>
      <c r="L8">
        <v>35</v>
      </c>
      <c r="M8">
        <v>28</v>
      </c>
      <c r="N8">
        <v>28</v>
      </c>
      <c r="O8">
        <v>35</v>
      </c>
      <c r="P8">
        <f>SUM(t_Plants[[#This Row],[d2015.01]:[d2015.12]])</f>
        <v>364</v>
      </c>
      <c r="Q8">
        <v>28</v>
      </c>
      <c r="R8">
        <v>28</v>
      </c>
      <c r="S8">
        <v>35</v>
      </c>
      <c r="T8">
        <v>28</v>
      </c>
      <c r="U8">
        <v>28</v>
      </c>
      <c r="V8">
        <v>35</v>
      </c>
      <c r="W8">
        <v>28</v>
      </c>
      <c r="X8">
        <v>28</v>
      </c>
      <c r="Y8">
        <v>35</v>
      </c>
      <c r="Z8">
        <v>28</v>
      </c>
      <c r="AA8">
        <v>28</v>
      </c>
      <c r="AB8">
        <v>35</v>
      </c>
      <c r="AC8">
        <f>SUM(t_Plants[[#This Row],[d2016.01]:[d2016.12]])</f>
        <v>364</v>
      </c>
      <c r="AD8">
        <f>t_Plants[[#This Row],[d2016.FY]]</f>
        <v>364</v>
      </c>
      <c r="AE8">
        <f>t_Plants[[#This Row],[d2016.FY]]</f>
        <v>364</v>
      </c>
      <c r="AF8">
        <f>t_Plants[[#This Row],[d2016.FY]]</f>
        <v>364</v>
      </c>
      <c r="AG8">
        <v>3</v>
      </c>
      <c r="AH8">
        <v>2</v>
      </c>
      <c r="AI8">
        <v>1</v>
      </c>
      <c r="AJ8">
        <v>3</v>
      </c>
      <c r="AK8">
        <v>2</v>
      </c>
      <c r="AL8">
        <v>1</v>
      </c>
      <c r="AM8">
        <v>3</v>
      </c>
      <c r="AN8">
        <v>2</v>
      </c>
      <c r="AO8">
        <v>1</v>
      </c>
      <c r="AP8">
        <v>3</v>
      </c>
      <c r="AQ8">
        <v>2</v>
      </c>
      <c r="AR8">
        <v>1</v>
      </c>
      <c r="AS8">
        <f>SUM(t_Plants[[#This Row],[o2015.01]:[o2015.12]])</f>
        <v>24</v>
      </c>
      <c r="AT8">
        <v>3</v>
      </c>
      <c r="AU8">
        <v>2</v>
      </c>
      <c r="AV8">
        <v>1</v>
      </c>
      <c r="AW8">
        <v>3</v>
      </c>
      <c r="AX8">
        <v>2</v>
      </c>
      <c r="AY8">
        <v>1</v>
      </c>
      <c r="AZ8">
        <v>3</v>
      </c>
      <c r="BA8">
        <v>2</v>
      </c>
      <c r="BB8">
        <v>1</v>
      </c>
      <c r="BC8">
        <v>3</v>
      </c>
      <c r="BD8">
        <v>2</v>
      </c>
      <c r="BE8">
        <v>1</v>
      </c>
      <c r="BF8">
        <f>SUM(t_Plants[[#This Row],[o2016.01]:[o2016.12]])</f>
        <v>24</v>
      </c>
      <c r="BG8">
        <f>t_Plants[[#This Row],[o2016.FY]]</f>
        <v>24</v>
      </c>
      <c r="BH8">
        <f>t_Plants[[#This Row],[o2016.FY]]</f>
        <v>24</v>
      </c>
      <c r="BI8">
        <f>t_Plants[[#This Row],[o2016.FY]]</f>
        <v>24</v>
      </c>
      <c r="BJ8">
        <f>t_Plants[[#This Row],[d2015.01]]-t_Plants[[#This Row],[o2015.01]]</f>
        <v>25</v>
      </c>
      <c r="BK8">
        <f>t_Plants[[#This Row],[d2015.02]]-t_Plants[[#This Row],[o2015.02]]</f>
        <v>26</v>
      </c>
      <c r="BL8">
        <f>t_Plants[[#This Row],[d2015.03]]-t_Plants[[#This Row],[o2015.03]]</f>
        <v>34</v>
      </c>
      <c r="BM8">
        <f>t_Plants[[#This Row],[d2015.04]]-t_Plants[[#This Row],[o2015.04]]</f>
        <v>25</v>
      </c>
      <c r="BN8">
        <f>t_Plants[[#This Row],[d2015.05]]-t_Plants[[#This Row],[o2015.05]]</f>
        <v>26</v>
      </c>
      <c r="BO8">
        <f>t_Plants[[#This Row],[d2015.06]]-t_Plants[[#This Row],[o2015.06]]</f>
        <v>34</v>
      </c>
      <c r="BP8">
        <f>t_Plants[[#This Row],[d2015.07]]-t_Plants[[#This Row],[o2015.07]]</f>
        <v>25</v>
      </c>
      <c r="BQ8">
        <f>t_Plants[[#This Row],[d2015.08]]-t_Plants[[#This Row],[o2015.08]]</f>
        <v>26</v>
      </c>
      <c r="BR8">
        <f>t_Plants[[#This Row],[d2015.09]]-t_Plants[[#This Row],[o2015.09]]</f>
        <v>34</v>
      </c>
      <c r="BS8">
        <f>t_Plants[[#This Row],[d2015.10]]-t_Plants[[#This Row],[o2015.10]]</f>
        <v>25</v>
      </c>
      <c r="BT8">
        <f>t_Plants[[#This Row],[d2015.11]]-t_Plants[[#This Row],[o2015.11]]</f>
        <v>26</v>
      </c>
      <c r="BU8">
        <f>t_Plants[[#This Row],[d2015.12]]-t_Plants[[#This Row],[o2015.12]]</f>
        <v>34</v>
      </c>
      <c r="BV8">
        <f>t_Plants[[#This Row],[d2015.FY]]-t_Plants[[#This Row],[o2015.FY]]</f>
        <v>340</v>
      </c>
      <c r="BW8">
        <f>t_Plants[[#This Row],[d2016.01]]-t_Plants[[#This Row],[o2016.01]]</f>
        <v>25</v>
      </c>
      <c r="BX8">
        <f>t_Plants[[#This Row],[d2016.02]]-t_Plants[[#This Row],[o2016.02]]</f>
        <v>26</v>
      </c>
      <c r="BY8">
        <f>t_Plants[[#This Row],[d2016.03]]-t_Plants[[#This Row],[o2016.03]]</f>
        <v>34</v>
      </c>
      <c r="BZ8">
        <f>t_Plants[[#This Row],[d2016.04]]-t_Plants[[#This Row],[o2016.04]]</f>
        <v>25</v>
      </c>
      <c r="CA8">
        <f>t_Plants[[#This Row],[d2016.05]]-t_Plants[[#This Row],[o2016.05]]</f>
        <v>26</v>
      </c>
      <c r="CB8">
        <f>t_Plants[[#This Row],[d2016.06]]-t_Plants[[#This Row],[o2016.06]]</f>
        <v>34</v>
      </c>
      <c r="CC8">
        <f>t_Plants[[#This Row],[d2016.07]]-t_Plants[[#This Row],[o2016.07]]</f>
        <v>25</v>
      </c>
      <c r="CD8">
        <f>t_Plants[[#This Row],[d2016.08]]-t_Plants[[#This Row],[o2016.08]]</f>
        <v>26</v>
      </c>
      <c r="CE8">
        <f>t_Plants[[#This Row],[d2016.09]]-t_Plants[[#This Row],[o2016.09]]</f>
        <v>34</v>
      </c>
      <c r="CF8">
        <f>t_Plants[[#This Row],[d2016.10]]-t_Plants[[#This Row],[o2016.10]]</f>
        <v>25</v>
      </c>
      <c r="CG8">
        <f>t_Plants[[#This Row],[d2016.11]]-t_Plants[[#This Row],[o2016.11]]</f>
        <v>26</v>
      </c>
      <c r="CH8">
        <f>t_Plants[[#This Row],[d2016.12]]-t_Plants[[#This Row],[o2016.12]]</f>
        <v>34</v>
      </c>
      <c r="CI8">
        <f>SUM(t_Plants[[#This Row],[a2016.01]:[a2016.12]])</f>
        <v>340</v>
      </c>
      <c r="CJ8">
        <f>t_Plants[[#This Row],[a2016.FY]]</f>
        <v>340</v>
      </c>
      <c r="CK8">
        <f>t_Plants[[#This Row],[a2016.FY]]</f>
        <v>340</v>
      </c>
      <c r="CL8">
        <f>t_Plants[[#This Row],[a2016.FY]]</f>
        <v>340</v>
      </c>
      <c r="CM8">
        <f>t_Plants[[#This Row],[a2015.01]]*t_Plants[[OperHrsPerDay]:[OperHrsPerDay]]</f>
        <v>250</v>
      </c>
      <c r="CN8">
        <f>t_Plants[[#This Row],[a2015.02]]*t_Plants[[OperHrsPerDay]:[OperHrsPerDay]]</f>
        <v>260</v>
      </c>
      <c r="CO8">
        <f>t_Plants[[#This Row],[a2015.03]]*t_Plants[[OperHrsPerDay]:[OperHrsPerDay]]</f>
        <v>340</v>
      </c>
      <c r="CP8">
        <f>t_Plants[[#This Row],[a2015.04]]*t_Plants[[OperHrsPerDay]:[OperHrsPerDay]]</f>
        <v>250</v>
      </c>
      <c r="CQ8">
        <f>t_Plants[[#This Row],[a2015.05]]*t_Plants[[OperHrsPerDay]:[OperHrsPerDay]]</f>
        <v>260</v>
      </c>
      <c r="CR8">
        <f>t_Plants[[#This Row],[a2015.06]]*t_Plants[[OperHrsPerDay]:[OperHrsPerDay]]</f>
        <v>340</v>
      </c>
      <c r="CS8">
        <f>t_Plants[[#This Row],[a2015.07]]*t_Plants[[OperHrsPerDay]:[OperHrsPerDay]]</f>
        <v>250</v>
      </c>
      <c r="CT8">
        <f>t_Plants[[#This Row],[a2015.08]]*t_Plants[[OperHrsPerDay]:[OperHrsPerDay]]</f>
        <v>260</v>
      </c>
      <c r="CU8">
        <f>t_Plants[[#This Row],[a2015.09]]*t_Plants[[OperHrsPerDay]:[OperHrsPerDay]]</f>
        <v>340</v>
      </c>
      <c r="CV8">
        <f>t_Plants[[#This Row],[a2015.10]]*t_Plants[[OperHrsPerDay]:[OperHrsPerDay]]</f>
        <v>250</v>
      </c>
      <c r="CW8">
        <f>t_Plants[[#This Row],[a2015.11]]*t_Plants[[OperHrsPerDay]:[OperHrsPerDay]]</f>
        <v>260</v>
      </c>
      <c r="CX8">
        <f>t_Plants[[#This Row],[a2015.12]]*t_Plants[[OperHrsPerDay]:[OperHrsPerDay]]</f>
        <v>340</v>
      </c>
      <c r="CY8">
        <f>SUM(t_Plants[[#This Row],[h2015.01]:[h2015.12]])</f>
        <v>3400</v>
      </c>
      <c r="CZ8">
        <f>t_Plants[[#This Row],[a2016.01]]*t_Plants[[OperHrsPerDay]:[OperHrsPerDay]]</f>
        <v>250</v>
      </c>
      <c r="DA8">
        <f>t_Plants[[#This Row],[a2016.02]]*t_Plants[[OperHrsPerDay]:[OperHrsPerDay]]</f>
        <v>260</v>
      </c>
      <c r="DB8">
        <f>t_Plants[[#This Row],[a2016.03]]*t_Plants[[OperHrsPerDay]:[OperHrsPerDay]]</f>
        <v>340</v>
      </c>
      <c r="DC8">
        <f>t_Plants[[#This Row],[a2016.04]]*t_Plants[[OperHrsPerDay]:[OperHrsPerDay]]</f>
        <v>250</v>
      </c>
      <c r="DD8">
        <f>t_Plants[[#This Row],[a2016.05]]*t_Plants[[OperHrsPerDay]:[OperHrsPerDay]]</f>
        <v>260</v>
      </c>
      <c r="DE8">
        <f>t_Plants[[#This Row],[a2016.06]]*t_Plants[[OperHrsPerDay]:[OperHrsPerDay]]</f>
        <v>340</v>
      </c>
      <c r="DF8">
        <f>t_Plants[[#This Row],[a2016.07]]*t_Plants[[OperHrsPerDay]:[OperHrsPerDay]]</f>
        <v>250</v>
      </c>
      <c r="DG8">
        <f>t_Plants[[#This Row],[a2016.08]]*t_Plants[[OperHrsPerDay]:[OperHrsPerDay]]</f>
        <v>260</v>
      </c>
      <c r="DH8">
        <f>t_Plants[[#This Row],[a2016.09]]*t_Plants[[OperHrsPerDay]:[OperHrsPerDay]]</f>
        <v>340</v>
      </c>
      <c r="DI8">
        <f>t_Plants[[#This Row],[a2016.10]]*t_Plants[[OperHrsPerDay]:[OperHrsPerDay]]</f>
        <v>250</v>
      </c>
      <c r="DJ8">
        <f>t_Plants[[#This Row],[a2016.11]]*t_Plants[[OperHrsPerDay]:[OperHrsPerDay]]</f>
        <v>260</v>
      </c>
      <c r="DK8">
        <f>t_Plants[[#This Row],[a2016.12]]*t_Plants[[OperHrsPerDay]:[OperHrsPerDay]]</f>
        <v>340</v>
      </c>
      <c r="DL8">
        <f>t_Plants[[#This Row],[a2016.FY]]*t_Plants[[OperHrsPerDay]:[OperHrsPerDay]]</f>
        <v>3400</v>
      </c>
      <c r="DM8">
        <f>t_Plants[[#This Row],[a2017]]*t_Plants[[OperHrsPerDay]:[OperHrsPerDay]]</f>
        <v>3400</v>
      </c>
      <c r="DN8">
        <f>t_Plants[[#This Row],[a2018]]*t_Plants[[OperHrsPerDay]:[OperHrsPerDay]]</f>
        <v>3400</v>
      </c>
      <c r="DO8">
        <f>t_Plants[[#This Row],[a2019]]*t_Plants[[OperHrsPerDay]:[OperHrsPerDay]]</f>
        <v>3400</v>
      </c>
      <c r="DP8" s="20">
        <f>SUMIF(r_Press_Plants,t_Plants[[Plant]:[Plant]],t_Presses[hp2015.01])</f>
        <v>0</v>
      </c>
      <c r="DQ8" s="20">
        <f>SUMIF(r_Press_Plants,t_Plants[[Plant]:[Plant]],t_Presses[hp2015.02])</f>
        <v>0</v>
      </c>
      <c r="DR8" s="20">
        <f>SUMIF(r_Press_Plants,t_Plants[[Plant]:[Plant]],t_Presses[hp2015.03])</f>
        <v>0</v>
      </c>
      <c r="DS8" s="20">
        <f>SUMIF(r_Press_Plants,t_Plants[[Plant]:[Plant]],t_Presses[hp2015.04])</f>
        <v>0</v>
      </c>
      <c r="DT8" s="20">
        <f>SUMIF(r_Press_Plants,t_Plants[[Plant]:[Plant]],t_Presses[hp2015.05])</f>
        <v>0</v>
      </c>
      <c r="DU8" s="20">
        <f>SUMIF(r_Press_Plants,t_Plants[[Plant]:[Plant]],t_Presses[hp2015.06])</f>
        <v>0</v>
      </c>
      <c r="DV8" s="20">
        <f>SUMIF(r_Press_Plants,t_Plants[[Plant]:[Plant]],t_Presses[hp2015.07])</f>
        <v>0</v>
      </c>
      <c r="DW8" s="20">
        <f>SUMIF(r_Press_Plants,t_Plants[[Plant]:[Plant]],t_Presses[hp2015.08])</f>
        <v>0</v>
      </c>
      <c r="DX8" s="20">
        <f>SUMIF(r_Press_Plants,t_Plants[[Plant]:[Plant]],t_Presses[hp2015.09])</f>
        <v>0</v>
      </c>
      <c r="DY8" s="20">
        <f>SUMIF(r_Press_Plants,t_Plants[[Plant]:[Plant]],t_Presses[hp2015.10])</f>
        <v>0</v>
      </c>
      <c r="DZ8" s="20">
        <f>SUMIF(r_Press_Plants,t_Plants[[Plant]:[Plant]],t_Presses[hp2015.11])</f>
        <v>0</v>
      </c>
      <c r="EA8" s="20">
        <f>SUMIF(r_Press_Plants,t_Plants[[Plant]:[Plant]],t_Presses[hp2015.12])</f>
        <v>0</v>
      </c>
      <c r="EB8" s="20">
        <f>SUMIF(r_Press_Plants,t_Plants[[Plant]:[Plant]],t_Presses[hp2015.FY])</f>
        <v>0</v>
      </c>
      <c r="EC8" s="20">
        <f>SUMIF(r_Press_Plants,t_Plants[[Plant]:[Plant]],t_Presses[hp2016.01])</f>
        <v>0</v>
      </c>
      <c r="ED8" s="20">
        <f>SUMIF(r_Press_Plants,t_Plants[[Plant]:[Plant]],t_Presses[hp2016.02])</f>
        <v>0</v>
      </c>
      <c r="EE8" s="20">
        <f>SUMIF(r_Press_Plants,t_Plants[[Plant]:[Plant]],t_Presses[hp2016.03])</f>
        <v>0</v>
      </c>
      <c r="EF8" s="20">
        <f>SUMIF(r_Press_Plants,t_Plants[[Plant]:[Plant]],t_Presses[hp2016.04])</f>
        <v>0</v>
      </c>
      <c r="EG8" s="20">
        <f>SUMIF(r_Press_Plants,t_Plants[[Plant]:[Plant]],t_Presses[hp2016.05])</f>
        <v>0</v>
      </c>
      <c r="EH8" s="20">
        <f>SUMIF(r_Press_Plants,t_Plants[[Plant]:[Plant]],t_Presses[hp2016.06])</f>
        <v>0</v>
      </c>
      <c r="EI8" s="20">
        <f>SUMIF(r_Press_Plants,t_Plants[[Plant]:[Plant]],t_Presses[hp2016.07])</f>
        <v>0</v>
      </c>
      <c r="EJ8" s="20">
        <f>SUMIF(r_Press_Plants,t_Plants[[Plant]:[Plant]],t_Presses[hp2016.08])</f>
        <v>0</v>
      </c>
      <c r="EK8" s="20">
        <f>SUMIF(r_Press_Plants,t_Plants[[Plant]:[Plant]],t_Presses[hp2016.09])</f>
        <v>0</v>
      </c>
      <c r="EL8" s="20">
        <f>SUMIF(r_Press_Plants,t_Plants[[Plant]:[Plant]],t_Presses[hp2016.10])</f>
        <v>0</v>
      </c>
      <c r="EM8" s="20">
        <f>SUMIF(r_Press_Plants,t_Plants[[Plant]:[Plant]],t_Presses[hp2016.11])</f>
        <v>0</v>
      </c>
      <c r="EN8" s="20">
        <f>SUMIF(r_Press_Plants,t_Plants[[Plant]:[Plant]],t_Presses[hp2016.12])</f>
        <v>0</v>
      </c>
      <c r="EO8" s="20">
        <f>SUMIF(r_Press_Plants,t_Plants[[Plant]:[Plant]],t_Presses[hp2016.FY])</f>
        <v>0</v>
      </c>
      <c r="EP8" s="20">
        <f>SUMIF(r_Press_Plants,t_Plants[[Plant]:[Plant]],t_Presses[hp2017])</f>
        <v>0</v>
      </c>
      <c r="EQ8" s="20">
        <f>SUMIF(r_Press_Plants,t_Plants[[Plant]:[Plant]],t_Presses[hp2018])</f>
        <v>0</v>
      </c>
      <c r="ER8" s="20">
        <f>SUMIF(r_Press_Plants,t_Plants[[Plant]:[Plant]],t_Presses[hp2019])</f>
        <v>0</v>
      </c>
      <c r="ES8" s="15">
        <f>t_Plants[[#This Row],[p2015.01]]/t_Plants[[#This Row],[h2015.01]]</f>
        <v>0</v>
      </c>
      <c r="ET8" s="15">
        <f>t_Plants[[#This Row],[p2015.02]]/t_Plants[[#This Row],[h2015.02]]</f>
        <v>0</v>
      </c>
      <c r="EU8" s="15">
        <f>t_Plants[[#This Row],[p2015.03]]/t_Plants[[#This Row],[h2015.03]]</f>
        <v>0</v>
      </c>
      <c r="EV8" s="15">
        <f>t_Plants[[#This Row],[p2015.04]]/t_Plants[[#This Row],[h2015.04]]</f>
        <v>0</v>
      </c>
      <c r="EW8" s="15">
        <f>t_Plants[[#This Row],[p2015.05]]/t_Plants[[#This Row],[h2015.05]]</f>
        <v>0</v>
      </c>
      <c r="EX8" s="15">
        <f>t_Plants[[#This Row],[p2015.06]]/t_Plants[[#This Row],[h2015.06]]</f>
        <v>0</v>
      </c>
      <c r="EY8" s="15">
        <f>t_Plants[[#This Row],[p2015.07]]/t_Plants[[#This Row],[h2015.07]]</f>
        <v>0</v>
      </c>
      <c r="EZ8" s="15">
        <f>t_Plants[[#This Row],[p2015.08]]/t_Plants[[#This Row],[h2015.08]]</f>
        <v>0</v>
      </c>
      <c r="FA8" s="15">
        <f>t_Plants[[#This Row],[p2015.09]]/t_Plants[[#This Row],[h2015.09]]</f>
        <v>0</v>
      </c>
      <c r="FB8" s="15">
        <f>t_Plants[[#This Row],[p2015.10]]/t_Plants[[#This Row],[h2015.10]]</f>
        <v>0</v>
      </c>
      <c r="FC8" s="15">
        <f>t_Plants[[#This Row],[p2015.11]]/t_Plants[[#This Row],[h2015.11]]</f>
        <v>0</v>
      </c>
      <c r="FD8" s="15">
        <f>t_Plants[[#This Row],[p2015.12]]/t_Plants[[#This Row],[h2015.12]]</f>
        <v>0</v>
      </c>
      <c r="FE8" s="15">
        <f>t_Plants[[#This Row],[p2015.FY]]/t_Plants[[#This Row],[h2015.FY]]</f>
        <v>0</v>
      </c>
      <c r="FF8" s="15">
        <f>t_Plants[[#This Row],[p2016.01]]/t_Plants[[#This Row],[h2016.01]]</f>
        <v>0</v>
      </c>
      <c r="FG8" s="15">
        <f>t_Plants[[#This Row],[p2016.02]]/t_Plants[[#This Row],[h2016.02]]</f>
        <v>0</v>
      </c>
      <c r="FH8" s="15">
        <f>t_Plants[[#This Row],[p2016.03]]/t_Plants[[#This Row],[h2016.03]]</f>
        <v>0</v>
      </c>
      <c r="FI8" s="15">
        <f>t_Plants[[#This Row],[p2016.04]]/t_Plants[[#This Row],[h2016.04]]</f>
        <v>0</v>
      </c>
      <c r="FJ8" s="15">
        <f>t_Plants[[#This Row],[p2016.05]]/t_Plants[[#This Row],[h2016.05]]</f>
        <v>0</v>
      </c>
      <c r="FK8" s="15">
        <f>t_Plants[[#This Row],[p2016.06]]/t_Plants[[#This Row],[h2016.06]]</f>
        <v>0</v>
      </c>
      <c r="FL8" s="15">
        <f>t_Plants[[#This Row],[p2016.07]]/t_Plants[[#This Row],[h2016.07]]</f>
        <v>0</v>
      </c>
      <c r="FM8" s="15">
        <f>t_Plants[[#This Row],[p2016.08]]/t_Plants[[#This Row],[h2016.08]]</f>
        <v>0</v>
      </c>
      <c r="FN8" s="15">
        <f>t_Plants[[#This Row],[p2016.09]]/t_Plants[[#This Row],[h2016.09]]</f>
        <v>0</v>
      </c>
      <c r="FO8" s="15">
        <f>t_Plants[[#This Row],[p2016.10]]/t_Plants[[#This Row],[h2016.10]]</f>
        <v>0</v>
      </c>
      <c r="FP8" s="15">
        <f>t_Plants[[#This Row],[p2016.11]]/t_Plants[[#This Row],[h2016.11]]</f>
        <v>0</v>
      </c>
      <c r="FQ8" s="15">
        <f>t_Plants[[#This Row],[p2016.12]]/t_Plants[[#This Row],[h2016.12]]</f>
        <v>0</v>
      </c>
      <c r="FR8" s="15">
        <f>t_Plants[[#This Row],[p2016.FY]]/t_Plants[[#This Row],[h2016.FY]]</f>
        <v>0</v>
      </c>
      <c r="FS8" s="15">
        <f>t_Plants[[#This Row],[p2017]]/t_Plants[[#This Row],[h2017]]</f>
        <v>0</v>
      </c>
      <c r="FT8" s="15">
        <f>t_Plants[[#This Row],[p2018]]/t_Plants[[#This Row],[h2018]]</f>
        <v>0</v>
      </c>
      <c r="FU8" s="15">
        <f>t_Plants[[#This Row],[p2019]]/t_Plants[[#This Row],[h2019]]</f>
        <v>0</v>
      </c>
    </row>
    <row r="9" spans="1:177" x14ac:dyDescent="0.25">
      <c r="A9" t="s">
        <v>11</v>
      </c>
      <c r="B9" s="73">
        <v>12</v>
      </c>
      <c r="C9" s="76">
        <v>0.78</v>
      </c>
      <c r="D9">
        <v>28</v>
      </c>
      <c r="E9">
        <v>28</v>
      </c>
      <c r="F9">
        <v>35</v>
      </c>
      <c r="G9">
        <v>28</v>
      </c>
      <c r="H9">
        <v>28</v>
      </c>
      <c r="I9">
        <v>35</v>
      </c>
      <c r="J9">
        <v>28</v>
      </c>
      <c r="K9">
        <v>28</v>
      </c>
      <c r="L9">
        <v>35</v>
      </c>
      <c r="M9">
        <v>28</v>
      </c>
      <c r="N9">
        <v>28</v>
      </c>
      <c r="O9">
        <v>35</v>
      </c>
      <c r="P9">
        <f>SUM(t_Plants[[#This Row],[d2015.01]:[d2015.12]])</f>
        <v>364</v>
      </c>
      <c r="Q9">
        <v>28</v>
      </c>
      <c r="R9">
        <v>28</v>
      </c>
      <c r="S9">
        <v>35</v>
      </c>
      <c r="T9">
        <v>28</v>
      </c>
      <c r="U9">
        <v>28</v>
      </c>
      <c r="V9">
        <v>35</v>
      </c>
      <c r="W9">
        <v>28</v>
      </c>
      <c r="X9">
        <v>28</v>
      </c>
      <c r="Y9">
        <v>35</v>
      </c>
      <c r="Z9">
        <v>28</v>
      </c>
      <c r="AA9">
        <v>28</v>
      </c>
      <c r="AB9">
        <v>35</v>
      </c>
      <c r="AC9">
        <f>SUM(t_Plants[[#This Row],[d2016.01]:[d2016.12]])</f>
        <v>364</v>
      </c>
      <c r="AD9">
        <f>t_Plants[[#This Row],[d2016.FY]]</f>
        <v>364</v>
      </c>
      <c r="AE9">
        <f>t_Plants[[#This Row],[d2016.FY]]</f>
        <v>364</v>
      </c>
      <c r="AF9">
        <f>t_Plants[[#This Row],[d2016.FY]]</f>
        <v>364</v>
      </c>
      <c r="AG9">
        <v>3</v>
      </c>
      <c r="AH9">
        <v>2</v>
      </c>
      <c r="AI9">
        <v>1</v>
      </c>
      <c r="AJ9">
        <v>3</v>
      </c>
      <c r="AK9">
        <v>2</v>
      </c>
      <c r="AL9">
        <v>1</v>
      </c>
      <c r="AM9">
        <v>3</v>
      </c>
      <c r="AN9">
        <v>2</v>
      </c>
      <c r="AO9">
        <v>1</v>
      </c>
      <c r="AP9">
        <v>3</v>
      </c>
      <c r="AQ9">
        <v>2</v>
      </c>
      <c r="AR9">
        <v>1</v>
      </c>
      <c r="AS9">
        <f>SUM(t_Plants[[#This Row],[o2015.01]:[o2015.12]])</f>
        <v>24</v>
      </c>
      <c r="AT9">
        <v>3</v>
      </c>
      <c r="AU9">
        <v>2</v>
      </c>
      <c r="AV9">
        <v>1</v>
      </c>
      <c r="AW9">
        <v>3</v>
      </c>
      <c r="AX9">
        <v>2</v>
      </c>
      <c r="AY9">
        <v>1</v>
      </c>
      <c r="AZ9">
        <v>3</v>
      </c>
      <c r="BA9">
        <v>2</v>
      </c>
      <c r="BB9">
        <v>1</v>
      </c>
      <c r="BC9">
        <v>3</v>
      </c>
      <c r="BD9">
        <v>2</v>
      </c>
      <c r="BE9">
        <v>1</v>
      </c>
      <c r="BF9">
        <f>SUM(t_Plants[[#This Row],[o2016.01]:[o2016.12]])</f>
        <v>24</v>
      </c>
      <c r="BG9">
        <f>t_Plants[[#This Row],[o2016.FY]]</f>
        <v>24</v>
      </c>
      <c r="BH9">
        <f>t_Plants[[#This Row],[o2016.FY]]</f>
        <v>24</v>
      </c>
      <c r="BI9">
        <f>t_Plants[[#This Row],[o2016.FY]]</f>
        <v>24</v>
      </c>
      <c r="BJ9">
        <f>t_Plants[[#This Row],[d2015.01]]-t_Plants[[#This Row],[o2015.01]]</f>
        <v>25</v>
      </c>
      <c r="BK9">
        <f>t_Plants[[#This Row],[d2015.02]]-t_Plants[[#This Row],[o2015.02]]</f>
        <v>26</v>
      </c>
      <c r="BL9">
        <f>t_Plants[[#This Row],[d2015.03]]-t_Plants[[#This Row],[o2015.03]]</f>
        <v>34</v>
      </c>
      <c r="BM9">
        <f>t_Plants[[#This Row],[d2015.04]]-t_Plants[[#This Row],[o2015.04]]</f>
        <v>25</v>
      </c>
      <c r="BN9">
        <f>t_Plants[[#This Row],[d2015.05]]-t_Plants[[#This Row],[o2015.05]]</f>
        <v>26</v>
      </c>
      <c r="BO9">
        <f>t_Plants[[#This Row],[d2015.06]]-t_Plants[[#This Row],[o2015.06]]</f>
        <v>34</v>
      </c>
      <c r="BP9">
        <f>t_Plants[[#This Row],[d2015.07]]-t_Plants[[#This Row],[o2015.07]]</f>
        <v>25</v>
      </c>
      <c r="BQ9">
        <f>t_Plants[[#This Row],[d2015.08]]-t_Plants[[#This Row],[o2015.08]]</f>
        <v>26</v>
      </c>
      <c r="BR9">
        <f>t_Plants[[#This Row],[d2015.09]]-t_Plants[[#This Row],[o2015.09]]</f>
        <v>34</v>
      </c>
      <c r="BS9">
        <f>t_Plants[[#This Row],[d2015.10]]-t_Plants[[#This Row],[o2015.10]]</f>
        <v>25</v>
      </c>
      <c r="BT9">
        <f>t_Plants[[#This Row],[d2015.11]]-t_Plants[[#This Row],[o2015.11]]</f>
        <v>26</v>
      </c>
      <c r="BU9">
        <f>t_Plants[[#This Row],[d2015.12]]-t_Plants[[#This Row],[o2015.12]]</f>
        <v>34</v>
      </c>
      <c r="BV9">
        <f>t_Plants[[#This Row],[d2015.FY]]-t_Plants[[#This Row],[o2015.FY]]</f>
        <v>340</v>
      </c>
      <c r="BW9">
        <f>t_Plants[[#This Row],[d2016.01]]-t_Plants[[#This Row],[o2016.01]]</f>
        <v>25</v>
      </c>
      <c r="BX9">
        <f>t_Plants[[#This Row],[d2016.02]]-t_Plants[[#This Row],[o2016.02]]</f>
        <v>26</v>
      </c>
      <c r="BY9">
        <f>t_Plants[[#This Row],[d2016.03]]-t_Plants[[#This Row],[o2016.03]]</f>
        <v>34</v>
      </c>
      <c r="BZ9">
        <f>t_Plants[[#This Row],[d2016.04]]-t_Plants[[#This Row],[o2016.04]]</f>
        <v>25</v>
      </c>
      <c r="CA9">
        <f>t_Plants[[#This Row],[d2016.05]]-t_Plants[[#This Row],[o2016.05]]</f>
        <v>26</v>
      </c>
      <c r="CB9">
        <f>t_Plants[[#This Row],[d2016.06]]-t_Plants[[#This Row],[o2016.06]]</f>
        <v>34</v>
      </c>
      <c r="CC9">
        <f>t_Plants[[#This Row],[d2016.07]]-t_Plants[[#This Row],[o2016.07]]</f>
        <v>25</v>
      </c>
      <c r="CD9">
        <f>t_Plants[[#This Row],[d2016.08]]-t_Plants[[#This Row],[o2016.08]]</f>
        <v>26</v>
      </c>
      <c r="CE9">
        <f>t_Plants[[#This Row],[d2016.09]]-t_Plants[[#This Row],[o2016.09]]</f>
        <v>34</v>
      </c>
      <c r="CF9">
        <f>t_Plants[[#This Row],[d2016.10]]-t_Plants[[#This Row],[o2016.10]]</f>
        <v>25</v>
      </c>
      <c r="CG9">
        <f>t_Plants[[#This Row],[d2016.11]]-t_Plants[[#This Row],[o2016.11]]</f>
        <v>26</v>
      </c>
      <c r="CH9">
        <f>t_Plants[[#This Row],[d2016.12]]-t_Plants[[#This Row],[o2016.12]]</f>
        <v>34</v>
      </c>
      <c r="CI9">
        <f>SUM(t_Plants[[#This Row],[a2016.01]:[a2016.12]])</f>
        <v>340</v>
      </c>
      <c r="CJ9">
        <f>t_Plants[[#This Row],[a2016.FY]]</f>
        <v>340</v>
      </c>
      <c r="CK9">
        <f>t_Plants[[#This Row],[a2016.FY]]</f>
        <v>340</v>
      </c>
      <c r="CL9">
        <f>t_Plants[[#This Row],[a2016.FY]]</f>
        <v>340</v>
      </c>
      <c r="CM9">
        <f>t_Plants[[#This Row],[a2015.01]]*t_Plants[[OperHrsPerDay]:[OperHrsPerDay]]</f>
        <v>300</v>
      </c>
      <c r="CN9">
        <f>t_Plants[[#This Row],[a2015.02]]*t_Plants[[OperHrsPerDay]:[OperHrsPerDay]]</f>
        <v>312</v>
      </c>
      <c r="CO9">
        <f>t_Plants[[#This Row],[a2015.03]]*t_Plants[[OperHrsPerDay]:[OperHrsPerDay]]</f>
        <v>408</v>
      </c>
      <c r="CP9">
        <f>t_Plants[[#This Row],[a2015.04]]*t_Plants[[OperHrsPerDay]:[OperHrsPerDay]]</f>
        <v>300</v>
      </c>
      <c r="CQ9">
        <f>t_Plants[[#This Row],[a2015.05]]*t_Plants[[OperHrsPerDay]:[OperHrsPerDay]]</f>
        <v>312</v>
      </c>
      <c r="CR9">
        <f>t_Plants[[#This Row],[a2015.06]]*t_Plants[[OperHrsPerDay]:[OperHrsPerDay]]</f>
        <v>408</v>
      </c>
      <c r="CS9">
        <f>t_Plants[[#This Row],[a2015.07]]*t_Plants[[OperHrsPerDay]:[OperHrsPerDay]]</f>
        <v>300</v>
      </c>
      <c r="CT9">
        <f>t_Plants[[#This Row],[a2015.08]]*t_Plants[[OperHrsPerDay]:[OperHrsPerDay]]</f>
        <v>312</v>
      </c>
      <c r="CU9">
        <f>t_Plants[[#This Row],[a2015.09]]*t_Plants[[OperHrsPerDay]:[OperHrsPerDay]]</f>
        <v>408</v>
      </c>
      <c r="CV9">
        <f>t_Plants[[#This Row],[a2015.10]]*t_Plants[[OperHrsPerDay]:[OperHrsPerDay]]</f>
        <v>300</v>
      </c>
      <c r="CW9">
        <f>t_Plants[[#This Row],[a2015.11]]*t_Plants[[OperHrsPerDay]:[OperHrsPerDay]]</f>
        <v>312</v>
      </c>
      <c r="CX9">
        <f>t_Plants[[#This Row],[a2015.12]]*t_Plants[[OperHrsPerDay]:[OperHrsPerDay]]</f>
        <v>408</v>
      </c>
      <c r="CY9">
        <f>SUM(t_Plants[[#This Row],[h2015.01]:[h2015.12]])</f>
        <v>4080</v>
      </c>
      <c r="CZ9">
        <f>t_Plants[[#This Row],[a2016.01]]*t_Plants[[OperHrsPerDay]:[OperHrsPerDay]]</f>
        <v>300</v>
      </c>
      <c r="DA9">
        <f>t_Plants[[#This Row],[a2016.02]]*t_Plants[[OperHrsPerDay]:[OperHrsPerDay]]</f>
        <v>312</v>
      </c>
      <c r="DB9">
        <f>t_Plants[[#This Row],[a2016.03]]*t_Plants[[OperHrsPerDay]:[OperHrsPerDay]]</f>
        <v>408</v>
      </c>
      <c r="DC9">
        <f>t_Plants[[#This Row],[a2016.04]]*t_Plants[[OperHrsPerDay]:[OperHrsPerDay]]</f>
        <v>300</v>
      </c>
      <c r="DD9">
        <f>t_Plants[[#This Row],[a2016.05]]*t_Plants[[OperHrsPerDay]:[OperHrsPerDay]]</f>
        <v>312</v>
      </c>
      <c r="DE9">
        <f>t_Plants[[#This Row],[a2016.06]]*t_Plants[[OperHrsPerDay]:[OperHrsPerDay]]</f>
        <v>408</v>
      </c>
      <c r="DF9">
        <f>t_Plants[[#This Row],[a2016.07]]*t_Plants[[OperHrsPerDay]:[OperHrsPerDay]]</f>
        <v>300</v>
      </c>
      <c r="DG9">
        <f>t_Plants[[#This Row],[a2016.08]]*t_Plants[[OperHrsPerDay]:[OperHrsPerDay]]</f>
        <v>312</v>
      </c>
      <c r="DH9">
        <f>t_Plants[[#This Row],[a2016.09]]*t_Plants[[OperHrsPerDay]:[OperHrsPerDay]]</f>
        <v>408</v>
      </c>
      <c r="DI9">
        <f>t_Plants[[#This Row],[a2016.10]]*t_Plants[[OperHrsPerDay]:[OperHrsPerDay]]</f>
        <v>300</v>
      </c>
      <c r="DJ9">
        <f>t_Plants[[#This Row],[a2016.11]]*t_Plants[[OperHrsPerDay]:[OperHrsPerDay]]</f>
        <v>312</v>
      </c>
      <c r="DK9">
        <f>t_Plants[[#This Row],[a2016.12]]*t_Plants[[OperHrsPerDay]:[OperHrsPerDay]]</f>
        <v>408</v>
      </c>
      <c r="DL9">
        <f>t_Plants[[#This Row],[a2016.FY]]*t_Plants[[OperHrsPerDay]:[OperHrsPerDay]]</f>
        <v>4080</v>
      </c>
      <c r="DM9">
        <f>t_Plants[[#This Row],[a2017]]*t_Plants[[OperHrsPerDay]:[OperHrsPerDay]]</f>
        <v>4080</v>
      </c>
      <c r="DN9">
        <f>t_Plants[[#This Row],[a2018]]*t_Plants[[OperHrsPerDay]:[OperHrsPerDay]]</f>
        <v>4080</v>
      </c>
      <c r="DO9">
        <f>t_Plants[[#This Row],[a2019]]*t_Plants[[OperHrsPerDay]:[OperHrsPerDay]]</f>
        <v>4080</v>
      </c>
      <c r="DP9" s="20">
        <f>SUMIF(r_Press_Plants,t_Plants[[Plant]:[Plant]],t_Presses[hp2015.01])</f>
        <v>0</v>
      </c>
      <c r="DQ9" s="20">
        <f>SUMIF(r_Press_Plants,t_Plants[[Plant]:[Plant]],t_Presses[hp2015.02])</f>
        <v>0</v>
      </c>
      <c r="DR9" s="20">
        <f>SUMIF(r_Press_Plants,t_Plants[[Plant]:[Plant]],t_Presses[hp2015.03])</f>
        <v>0</v>
      </c>
      <c r="DS9" s="20">
        <f>SUMIF(r_Press_Plants,t_Plants[[Plant]:[Plant]],t_Presses[hp2015.04])</f>
        <v>0</v>
      </c>
      <c r="DT9" s="20">
        <f>SUMIF(r_Press_Plants,t_Plants[[Plant]:[Plant]],t_Presses[hp2015.05])</f>
        <v>0</v>
      </c>
      <c r="DU9" s="20">
        <f>SUMIF(r_Press_Plants,t_Plants[[Plant]:[Plant]],t_Presses[hp2015.06])</f>
        <v>0</v>
      </c>
      <c r="DV9" s="20">
        <f>SUMIF(r_Press_Plants,t_Plants[[Plant]:[Plant]],t_Presses[hp2015.07])</f>
        <v>0</v>
      </c>
      <c r="DW9" s="20">
        <f>SUMIF(r_Press_Plants,t_Plants[[Plant]:[Plant]],t_Presses[hp2015.08])</f>
        <v>0</v>
      </c>
      <c r="DX9" s="20">
        <f>SUMIF(r_Press_Plants,t_Plants[[Plant]:[Plant]],t_Presses[hp2015.09])</f>
        <v>0</v>
      </c>
      <c r="DY9" s="20">
        <f>SUMIF(r_Press_Plants,t_Plants[[Plant]:[Plant]],t_Presses[hp2015.10])</f>
        <v>0</v>
      </c>
      <c r="DZ9" s="20">
        <f>SUMIF(r_Press_Plants,t_Plants[[Plant]:[Plant]],t_Presses[hp2015.11])</f>
        <v>0</v>
      </c>
      <c r="EA9" s="20">
        <f>SUMIF(r_Press_Plants,t_Plants[[Plant]:[Plant]],t_Presses[hp2015.12])</f>
        <v>0</v>
      </c>
      <c r="EB9" s="20">
        <f>SUMIF(r_Press_Plants,t_Plants[[Plant]:[Plant]],t_Presses[hp2015.FY])</f>
        <v>0</v>
      </c>
      <c r="EC9" s="20">
        <f>SUMIF(r_Press_Plants,t_Plants[[Plant]:[Plant]],t_Presses[hp2016.01])</f>
        <v>0</v>
      </c>
      <c r="ED9" s="20">
        <f>SUMIF(r_Press_Plants,t_Plants[[Plant]:[Plant]],t_Presses[hp2016.02])</f>
        <v>0</v>
      </c>
      <c r="EE9" s="20">
        <f>SUMIF(r_Press_Plants,t_Plants[[Plant]:[Plant]],t_Presses[hp2016.03])</f>
        <v>0</v>
      </c>
      <c r="EF9" s="20">
        <f>SUMIF(r_Press_Plants,t_Plants[[Plant]:[Plant]],t_Presses[hp2016.04])</f>
        <v>0</v>
      </c>
      <c r="EG9" s="20">
        <f>SUMIF(r_Press_Plants,t_Plants[[Plant]:[Plant]],t_Presses[hp2016.05])</f>
        <v>0</v>
      </c>
      <c r="EH9" s="20">
        <f>SUMIF(r_Press_Plants,t_Plants[[Plant]:[Plant]],t_Presses[hp2016.06])</f>
        <v>0</v>
      </c>
      <c r="EI9" s="20">
        <f>SUMIF(r_Press_Plants,t_Plants[[Plant]:[Plant]],t_Presses[hp2016.07])</f>
        <v>0</v>
      </c>
      <c r="EJ9" s="20">
        <f>SUMIF(r_Press_Plants,t_Plants[[Plant]:[Plant]],t_Presses[hp2016.08])</f>
        <v>0</v>
      </c>
      <c r="EK9" s="20">
        <f>SUMIF(r_Press_Plants,t_Plants[[Plant]:[Plant]],t_Presses[hp2016.09])</f>
        <v>0</v>
      </c>
      <c r="EL9" s="20">
        <f>SUMIF(r_Press_Plants,t_Plants[[Plant]:[Plant]],t_Presses[hp2016.10])</f>
        <v>0</v>
      </c>
      <c r="EM9" s="20">
        <f>SUMIF(r_Press_Plants,t_Plants[[Plant]:[Plant]],t_Presses[hp2016.11])</f>
        <v>0</v>
      </c>
      <c r="EN9" s="20">
        <f>SUMIF(r_Press_Plants,t_Plants[[Plant]:[Plant]],t_Presses[hp2016.12])</f>
        <v>0</v>
      </c>
      <c r="EO9" s="20">
        <f>SUMIF(r_Press_Plants,t_Plants[[Plant]:[Plant]],t_Presses[hp2016.FY])</f>
        <v>0</v>
      </c>
      <c r="EP9" s="20">
        <f>SUMIF(r_Press_Plants,t_Plants[[Plant]:[Plant]],t_Presses[hp2017])</f>
        <v>0</v>
      </c>
      <c r="EQ9" s="20">
        <f>SUMIF(r_Press_Plants,t_Plants[[Plant]:[Plant]],t_Presses[hp2018])</f>
        <v>0</v>
      </c>
      <c r="ER9" s="20">
        <f>SUMIF(r_Press_Plants,t_Plants[[Plant]:[Plant]],t_Presses[hp2019])</f>
        <v>0</v>
      </c>
      <c r="ES9" s="15">
        <f>t_Plants[[#This Row],[p2015.01]]/t_Plants[[#This Row],[h2015.01]]</f>
        <v>0</v>
      </c>
      <c r="ET9" s="15">
        <f>t_Plants[[#This Row],[p2015.02]]/t_Plants[[#This Row],[h2015.02]]</f>
        <v>0</v>
      </c>
      <c r="EU9" s="15">
        <f>t_Plants[[#This Row],[p2015.03]]/t_Plants[[#This Row],[h2015.03]]</f>
        <v>0</v>
      </c>
      <c r="EV9" s="15">
        <f>t_Plants[[#This Row],[p2015.04]]/t_Plants[[#This Row],[h2015.04]]</f>
        <v>0</v>
      </c>
      <c r="EW9" s="15">
        <f>t_Plants[[#This Row],[p2015.05]]/t_Plants[[#This Row],[h2015.05]]</f>
        <v>0</v>
      </c>
      <c r="EX9" s="15">
        <f>t_Plants[[#This Row],[p2015.06]]/t_Plants[[#This Row],[h2015.06]]</f>
        <v>0</v>
      </c>
      <c r="EY9" s="15">
        <f>t_Plants[[#This Row],[p2015.07]]/t_Plants[[#This Row],[h2015.07]]</f>
        <v>0</v>
      </c>
      <c r="EZ9" s="15">
        <f>t_Plants[[#This Row],[p2015.08]]/t_Plants[[#This Row],[h2015.08]]</f>
        <v>0</v>
      </c>
      <c r="FA9" s="15">
        <f>t_Plants[[#This Row],[p2015.09]]/t_Plants[[#This Row],[h2015.09]]</f>
        <v>0</v>
      </c>
      <c r="FB9" s="15">
        <f>t_Plants[[#This Row],[p2015.10]]/t_Plants[[#This Row],[h2015.10]]</f>
        <v>0</v>
      </c>
      <c r="FC9" s="15">
        <f>t_Plants[[#This Row],[p2015.11]]/t_Plants[[#This Row],[h2015.11]]</f>
        <v>0</v>
      </c>
      <c r="FD9" s="15">
        <f>t_Plants[[#This Row],[p2015.12]]/t_Plants[[#This Row],[h2015.12]]</f>
        <v>0</v>
      </c>
      <c r="FE9" s="15">
        <f>t_Plants[[#This Row],[p2015.FY]]/t_Plants[[#This Row],[h2015.FY]]</f>
        <v>0</v>
      </c>
      <c r="FF9" s="15">
        <f>t_Plants[[#This Row],[p2016.01]]/t_Plants[[#This Row],[h2016.01]]</f>
        <v>0</v>
      </c>
      <c r="FG9" s="15">
        <f>t_Plants[[#This Row],[p2016.02]]/t_Plants[[#This Row],[h2016.02]]</f>
        <v>0</v>
      </c>
      <c r="FH9" s="15">
        <f>t_Plants[[#This Row],[p2016.03]]/t_Plants[[#This Row],[h2016.03]]</f>
        <v>0</v>
      </c>
      <c r="FI9" s="15">
        <f>t_Plants[[#This Row],[p2016.04]]/t_Plants[[#This Row],[h2016.04]]</f>
        <v>0</v>
      </c>
      <c r="FJ9" s="15">
        <f>t_Plants[[#This Row],[p2016.05]]/t_Plants[[#This Row],[h2016.05]]</f>
        <v>0</v>
      </c>
      <c r="FK9" s="15">
        <f>t_Plants[[#This Row],[p2016.06]]/t_Plants[[#This Row],[h2016.06]]</f>
        <v>0</v>
      </c>
      <c r="FL9" s="15">
        <f>t_Plants[[#This Row],[p2016.07]]/t_Plants[[#This Row],[h2016.07]]</f>
        <v>0</v>
      </c>
      <c r="FM9" s="15">
        <f>t_Plants[[#This Row],[p2016.08]]/t_Plants[[#This Row],[h2016.08]]</f>
        <v>0</v>
      </c>
      <c r="FN9" s="15">
        <f>t_Plants[[#This Row],[p2016.09]]/t_Plants[[#This Row],[h2016.09]]</f>
        <v>0</v>
      </c>
      <c r="FO9" s="15">
        <f>t_Plants[[#This Row],[p2016.10]]/t_Plants[[#This Row],[h2016.10]]</f>
        <v>0</v>
      </c>
      <c r="FP9" s="15">
        <f>t_Plants[[#This Row],[p2016.11]]/t_Plants[[#This Row],[h2016.11]]</f>
        <v>0</v>
      </c>
      <c r="FQ9" s="15">
        <f>t_Plants[[#This Row],[p2016.12]]/t_Plants[[#This Row],[h2016.12]]</f>
        <v>0</v>
      </c>
      <c r="FR9" s="15">
        <f>t_Plants[[#This Row],[p2016.FY]]/t_Plants[[#This Row],[h2016.FY]]</f>
        <v>0</v>
      </c>
      <c r="FS9" s="15">
        <f>t_Plants[[#This Row],[p2017]]/t_Plants[[#This Row],[h2017]]</f>
        <v>0</v>
      </c>
      <c r="FT9" s="15">
        <f>t_Plants[[#This Row],[p2018]]/t_Plants[[#This Row],[h2018]]</f>
        <v>0</v>
      </c>
      <c r="FU9" s="15">
        <f>t_Plants[[#This Row],[p2019]]/t_Plants[[#This Row],[h2019]]</f>
        <v>0</v>
      </c>
    </row>
    <row r="12" spans="1:177" x14ac:dyDescent="0.25">
      <c r="DS12" s="62"/>
    </row>
  </sheetData>
  <sheetProtection password="C7DA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tnMenuToggle">
                <anchor moveWithCells="1">
                  <from>
                    <xdr:col>0</xdr:col>
                    <xdr:colOff>600075</xdr:colOff>
                    <xdr:row>2</xdr:row>
                    <xdr:rowOff>19050</xdr:rowOff>
                  </from>
                  <to>
                    <xdr:col>0</xdr:col>
                    <xdr:colOff>923925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DropDownPlantViews">
              <controlPr defaultSize="0" print="0" autoLine="0" autoPict="0" macro="[0]!DropDownPlantViews_Change">
                <anchor moveWithCells="1">
                  <from>
                    <xdr:col>1</xdr:col>
                    <xdr:colOff>19050</xdr:colOff>
                    <xdr:row>1</xdr:row>
                    <xdr:rowOff>57150</xdr:rowOff>
                  </from>
                  <to>
                    <xdr:col>148</xdr:col>
                    <xdr:colOff>552450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55F586EA-42EE-40DA-A34E-B460CC708D23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ES5:FU9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K53"/>
  <sheetViews>
    <sheetView topLeftCell="A3" workbookViewId="0">
      <selection activeCell="B10" sqref="B10"/>
    </sheetView>
  </sheetViews>
  <sheetFormatPr defaultRowHeight="15" outlineLevelCol="1" x14ac:dyDescent="0.25"/>
  <cols>
    <col min="1" max="1" width="8.5703125" customWidth="1"/>
    <col min="2" max="2" width="22.140625" customWidth="1"/>
    <col min="3" max="30" width="11.85546875" hidden="1" customWidth="1" outlineLevel="1"/>
    <col min="31" max="31" width="11.85546875" customWidth="1" collapsed="1"/>
    <col min="32" max="59" width="12" hidden="1" customWidth="1" outlineLevel="1"/>
    <col min="60" max="60" width="12" customWidth="1" collapsed="1"/>
    <col min="61" max="72" width="10.28515625" hidden="1" customWidth="1" outlineLevel="1"/>
    <col min="73" max="73" width="10.28515625" customWidth="1" collapsed="1"/>
    <col min="74" max="88" width="0" hidden="1" customWidth="1" outlineLevel="1"/>
    <col min="89" max="89" width="10.42578125" customWidth="1" collapsed="1"/>
  </cols>
  <sheetData>
    <row r="1" spans="1:89" hidden="1" x14ac:dyDescent="0.25"/>
    <row r="2" spans="1:89" ht="99.95" hidden="1" customHeight="1" x14ac:dyDescent="0.2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</row>
    <row r="3" spans="1:89" ht="18" customHeight="1" x14ac:dyDescent="0.25">
      <c r="A3" s="12" t="s">
        <v>185</v>
      </c>
      <c r="B3" s="12"/>
      <c r="C3" s="10" t="s">
        <v>186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53" t="s">
        <v>54</v>
      </c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 t="s">
        <v>54</v>
      </c>
      <c r="AF3" s="1" t="s">
        <v>187</v>
      </c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54" t="s">
        <v>100</v>
      </c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 t="s">
        <v>100</v>
      </c>
      <c r="BI3" s="2" t="s">
        <v>188</v>
      </c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55" t="s">
        <v>437</v>
      </c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55" t="s">
        <v>189</v>
      </c>
    </row>
    <row r="4" spans="1:89" x14ac:dyDescent="0.25">
      <c r="A4" s="60" t="s">
        <v>183</v>
      </c>
      <c r="B4" s="60" t="s">
        <v>184</v>
      </c>
      <c r="C4" s="10" t="s">
        <v>14</v>
      </c>
      <c r="D4" s="10" t="s">
        <v>13</v>
      </c>
      <c r="E4" s="10" t="s">
        <v>15</v>
      </c>
      <c r="F4" s="10" t="s">
        <v>43</v>
      </c>
      <c r="G4" s="10" t="s">
        <v>44</v>
      </c>
      <c r="H4" s="10" t="s">
        <v>45</v>
      </c>
      <c r="I4" s="10" t="s">
        <v>46</v>
      </c>
      <c r="J4" s="10" t="s">
        <v>47</v>
      </c>
      <c r="K4" s="10" t="s">
        <v>48</v>
      </c>
      <c r="L4" s="10" t="s">
        <v>49</v>
      </c>
      <c r="M4" s="10" t="s">
        <v>50</v>
      </c>
      <c r="N4" s="10" t="s">
        <v>51</v>
      </c>
      <c r="O4" s="10" t="s">
        <v>52</v>
      </c>
      <c r="P4" s="10" t="s">
        <v>373</v>
      </c>
      <c r="Q4" s="10" t="s">
        <v>374</v>
      </c>
      <c r="R4" s="10" t="s">
        <v>375</v>
      </c>
      <c r="S4" s="10" t="s">
        <v>376</v>
      </c>
      <c r="T4" s="10" t="s">
        <v>377</v>
      </c>
      <c r="U4" s="10" t="s">
        <v>378</v>
      </c>
      <c r="V4" s="10" t="s">
        <v>379</v>
      </c>
      <c r="W4" s="10" t="s">
        <v>380</v>
      </c>
      <c r="X4" s="10" t="s">
        <v>381</v>
      </c>
      <c r="Y4" s="10" t="s">
        <v>382</v>
      </c>
      <c r="Z4" s="10" t="s">
        <v>383</v>
      </c>
      <c r="AA4" s="10" t="s">
        <v>384</v>
      </c>
      <c r="AB4" s="10" t="s">
        <v>385</v>
      </c>
      <c r="AC4" s="10" t="s">
        <v>386</v>
      </c>
      <c r="AD4" s="10" t="s">
        <v>387</v>
      </c>
      <c r="AE4" s="10" t="s">
        <v>404</v>
      </c>
      <c r="AF4" s="1" t="s">
        <v>69</v>
      </c>
      <c r="AG4" s="1" t="s">
        <v>70</v>
      </c>
      <c r="AH4" s="1" t="s">
        <v>71</v>
      </c>
      <c r="AI4" s="1" t="s">
        <v>72</v>
      </c>
      <c r="AJ4" s="1" t="s">
        <v>73</v>
      </c>
      <c r="AK4" s="1" t="s">
        <v>74</v>
      </c>
      <c r="AL4" s="1" t="s">
        <v>75</v>
      </c>
      <c r="AM4" s="1" t="s">
        <v>76</v>
      </c>
      <c r="AN4" s="1" t="s">
        <v>77</v>
      </c>
      <c r="AO4" s="1" t="s">
        <v>78</v>
      </c>
      <c r="AP4" s="1" t="s">
        <v>79</v>
      </c>
      <c r="AQ4" s="1" t="s">
        <v>80</v>
      </c>
      <c r="AR4" s="1" t="s">
        <v>81</v>
      </c>
      <c r="AS4" s="1" t="s">
        <v>388</v>
      </c>
      <c r="AT4" s="1" t="s">
        <v>389</v>
      </c>
      <c r="AU4" s="1" t="s">
        <v>390</v>
      </c>
      <c r="AV4" s="1" t="s">
        <v>391</v>
      </c>
      <c r="AW4" s="1" t="s">
        <v>392</v>
      </c>
      <c r="AX4" s="1" t="s">
        <v>393</v>
      </c>
      <c r="AY4" s="1" t="s">
        <v>394</v>
      </c>
      <c r="AZ4" s="1" t="s">
        <v>395</v>
      </c>
      <c r="BA4" s="1" t="s">
        <v>396</v>
      </c>
      <c r="BB4" s="1" t="s">
        <v>397</v>
      </c>
      <c r="BC4" s="1" t="s">
        <v>398</v>
      </c>
      <c r="BD4" s="1" t="s">
        <v>399</v>
      </c>
      <c r="BE4" s="1" t="s">
        <v>400</v>
      </c>
      <c r="BF4" s="1" t="s">
        <v>401</v>
      </c>
      <c r="BG4" s="1" t="s">
        <v>402</v>
      </c>
      <c r="BH4" s="1" t="s">
        <v>403</v>
      </c>
      <c r="BI4" s="2" t="s">
        <v>16</v>
      </c>
      <c r="BJ4" s="2" t="s">
        <v>17</v>
      </c>
      <c r="BK4" s="2" t="s">
        <v>18</v>
      </c>
      <c r="BL4" s="2" t="s">
        <v>86</v>
      </c>
      <c r="BM4" s="2" t="s">
        <v>87</v>
      </c>
      <c r="BN4" s="2" t="s">
        <v>88</v>
      </c>
      <c r="BO4" s="2" t="s">
        <v>89</v>
      </c>
      <c r="BP4" s="2" t="s">
        <v>90</v>
      </c>
      <c r="BQ4" s="2" t="s">
        <v>91</v>
      </c>
      <c r="BR4" s="2" t="s">
        <v>99</v>
      </c>
      <c r="BS4" s="2" t="s">
        <v>93</v>
      </c>
      <c r="BT4" s="2" t="s">
        <v>94</v>
      </c>
      <c r="BU4" s="2" t="s">
        <v>82</v>
      </c>
      <c r="BV4" s="2" t="s">
        <v>338</v>
      </c>
      <c r="BW4" s="2" t="s">
        <v>339</v>
      </c>
      <c r="BX4" s="2" t="s">
        <v>340</v>
      </c>
      <c r="BY4" s="2" t="s">
        <v>341</v>
      </c>
      <c r="BZ4" s="2" t="s">
        <v>342</v>
      </c>
      <c r="CA4" s="2" t="s">
        <v>343</v>
      </c>
      <c r="CB4" s="2" t="s">
        <v>344</v>
      </c>
      <c r="CC4" s="2" t="s">
        <v>345</v>
      </c>
      <c r="CD4" s="2" t="s">
        <v>346</v>
      </c>
      <c r="CE4" s="2" t="s">
        <v>347</v>
      </c>
      <c r="CF4" s="2" t="s">
        <v>348</v>
      </c>
      <c r="CG4" s="2" t="s">
        <v>349</v>
      </c>
      <c r="CH4" s="2" t="s">
        <v>350</v>
      </c>
      <c r="CI4" s="2" t="s">
        <v>83</v>
      </c>
      <c r="CJ4" s="2" t="s">
        <v>84</v>
      </c>
      <c r="CK4" s="2" t="s">
        <v>85</v>
      </c>
    </row>
    <row r="5" spans="1:89" x14ac:dyDescent="0.25">
      <c r="A5" s="41">
        <v>1</v>
      </c>
      <c r="B5" s="41" t="str">
        <f>CONCATENATE(FLOOR(v_TRBS*(A5-1),v_TRBS),"-",FLOOR(v_TRBS*(A5-1),v_TRBS)+v_TRBS-1)</f>
        <v>0-299</v>
      </c>
      <c r="C5" s="52">
        <f>SUMIF(r_Press_Tonnage,Table4[[Tonnage Range]:[Tonnage Range]],t_Presses[ha2015.01])</f>
        <v>3872</v>
      </c>
      <c r="D5" s="52">
        <f>SUMIF(r_Press_Tonnage,Table4[[Tonnage Range]:[Tonnage Range]],t_Presses[ha2015.02])</f>
        <v>3952</v>
      </c>
      <c r="E5" s="52">
        <f>SUMIF(r_Press_Tonnage,Table4[[Tonnage Range]:[Tonnage Range]],t_Presses[ha2015.03])</f>
        <v>5168</v>
      </c>
      <c r="F5" s="52">
        <f>SUMIF(r_Press_Tonnage,Table4[[Tonnage Range]:[Tonnage Range]],t_Presses[ha2015.04])</f>
        <v>3872</v>
      </c>
      <c r="G5" s="52">
        <f>SUMIF(r_Press_Tonnage,Table4[[Tonnage Range]:[Tonnage Range]],t_Presses[ha2015.05])</f>
        <v>3952</v>
      </c>
      <c r="H5" s="52">
        <f>SUMIF(r_Press_Tonnage,Table4[[Tonnage Range]:[Tonnage Range]],t_Presses[ha2015.06])</f>
        <v>5168</v>
      </c>
      <c r="I5" s="52">
        <f>SUMIF(r_Press_Tonnage,Table4[[Tonnage Range]:[Tonnage Range]],t_Presses[ha2015.07])</f>
        <v>3872</v>
      </c>
      <c r="J5" s="52">
        <f>SUMIF(r_Press_Tonnage,Table4[[Tonnage Range]:[Tonnage Range]],t_Presses[ha2015.08])</f>
        <v>3952</v>
      </c>
      <c r="K5" s="52">
        <f>SUMIF(r_Press_Tonnage,Table4[[Tonnage Range]:[Tonnage Range]],t_Presses[ha2015.09])</f>
        <v>5168</v>
      </c>
      <c r="L5" s="52">
        <f>SUMIF(r_Press_Tonnage,Table4[[Tonnage Range]:[Tonnage Range]],t_Presses[ha2015.10])</f>
        <v>3872</v>
      </c>
      <c r="M5" s="52">
        <f>SUMIF(r_Press_Tonnage,Table4[[Tonnage Range]:[Tonnage Range]],t_Presses[ha2015.11])</f>
        <v>3952</v>
      </c>
      <c r="N5" s="52">
        <f>SUMIF(r_Press_Tonnage,Table4[[Tonnage Range]:[Tonnage Range]],t_Presses[ha2015.12])</f>
        <v>5168</v>
      </c>
      <c r="O5" s="52">
        <f>SUMIF(r_Press_Tonnage,Table4[[Tonnage Range]:[Tonnage Range]],t_Presses[ha2015.FY])</f>
        <v>51968</v>
      </c>
      <c r="P5" s="52">
        <f>SUMIF(r_Press_Tonnage,Table4[[Tonnage Range]:[Tonnage Range]],t_Presses[ha2016.01])</f>
        <v>3372</v>
      </c>
      <c r="Q5" s="52">
        <f>SUMIF(r_Press_Tonnage,Table4[[Tonnage Range]:[Tonnage Range]],t_Presses[ha2016.02])</f>
        <v>3312</v>
      </c>
      <c r="R5" s="52">
        <f>SUMIF(r_Press_Tonnage,Table4[[Tonnage Range]:[Tonnage Range]],t_Presses[ha2016.03])</f>
        <v>4488</v>
      </c>
      <c r="S5" s="52">
        <f>SUMIF(r_Press_Tonnage,Table4[[Tonnage Range]:[Tonnage Range]],t_Presses[ha2016.04])</f>
        <v>3372</v>
      </c>
      <c r="T5" s="52">
        <f>SUMIF(r_Press_Tonnage,Table4[[Tonnage Range]:[Tonnage Range]],t_Presses[ha2016.05])</f>
        <v>3432</v>
      </c>
      <c r="U5" s="52">
        <f>SUMIF(r_Press_Tonnage,Table4[[Tonnage Range]:[Tonnage Range]],t_Presses[ha2016.06])</f>
        <v>4488</v>
      </c>
      <c r="V5" s="52">
        <f>SUMIF(r_Press_Tonnage,Table4[[Tonnage Range]:[Tonnage Range]],t_Presses[ha2016.07])</f>
        <v>3372</v>
      </c>
      <c r="W5" s="52">
        <f>SUMIF(r_Press_Tonnage,Table4[[Tonnage Range]:[Tonnage Range]],t_Presses[ha2016.08])</f>
        <v>3432</v>
      </c>
      <c r="X5" s="52">
        <f>SUMIF(r_Press_Tonnage,Table4[[Tonnage Range]:[Tonnage Range]],t_Presses[ha2016.09])</f>
        <v>4488</v>
      </c>
      <c r="Y5" s="52">
        <f>SUMIF(r_Press_Tonnage,Table4[[Tonnage Range]:[Tonnage Range]],t_Presses[ha2016.10])</f>
        <v>3372</v>
      </c>
      <c r="Z5" s="52">
        <f>SUMIF(r_Press_Tonnage,Table4[[Tonnage Range]:[Tonnage Range]],t_Presses[ha2016.11])</f>
        <v>3192</v>
      </c>
      <c r="AA5" s="52">
        <f>SUMIF(r_Press_Tonnage,Table4[[Tonnage Range]:[Tonnage Range]],t_Presses[ha2016.12])</f>
        <v>4248</v>
      </c>
      <c r="AB5" s="52">
        <f>SUMIF(r_Press_Tonnage,Table4[[Tonnage Range]:[Tonnage Range]],t_Presses[ha2016.FY])</f>
        <v>44568</v>
      </c>
      <c r="AC5" s="52">
        <f>SUMIF(r_Press_Tonnage,Table4[[Tonnage Range]:[Tonnage Range]],t_Presses[ha2017])</f>
        <v>44568</v>
      </c>
      <c r="AD5" s="52">
        <f>SUMIF(r_Press_Tonnage,Table4[[Tonnage Range]:[Tonnage Range]],t_Presses[ha2018])</f>
        <v>44568</v>
      </c>
      <c r="AE5" s="52">
        <f>SUMIF(r_Press_Tonnage,Table4[[Tonnage Range]:[Tonnage Range]],t_Presses[ha2019])</f>
        <v>44568</v>
      </c>
      <c r="AF5" s="52">
        <f>SUMIF(r_Press_Tonnage,Table4[[Tonnage Range]:[Tonnage Range]],t_Presses[hp2015.01])</f>
        <v>204.17692902125614</v>
      </c>
      <c r="AG5" s="52">
        <f>SUMIF(r_Press_Tonnage,Table4[[Tonnage Range]:[Tonnage Range]],t_Presses[hp2015.02])</f>
        <v>206.38524649218391</v>
      </c>
      <c r="AH5" s="52">
        <f>SUMIF(r_Press_Tonnage,Table4[[Tonnage Range]:[Tonnage Range]],t_Presses[hp2015.03])</f>
        <v>262.81147618208661</v>
      </c>
      <c r="AI5" s="52">
        <f>SUMIF(r_Press_Tonnage,Table4[[Tonnage Range]:[Tonnage Range]],t_Presses[hp2015.04])</f>
        <v>204.17692902125614</v>
      </c>
      <c r="AJ5" s="52">
        <f>SUMIF(r_Press_Tonnage,Table4[[Tonnage Range]:[Tonnage Range]],t_Presses[hp2015.05])</f>
        <v>206.38524649218391</v>
      </c>
      <c r="AK5" s="52">
        <f>SUMIF(r_Press_Tonnage,Table4[[Tonnage Range]:[Tonnage Range]],t_Presses[hp2015.06])</f>
        <v>262.81147618208661</v>
      </c>
      <c r="AL5" s="52">
        <f>SUMIF(r_Press_Tonnage,Table4[[Tonnage Range]:[Tonnage Range]],t_Presses[hp2015.07])</f>
        <v>204.17692902125614</v>
      </c>
      <c r="AM5" s="52">
        <f>SUMIF(r_Press_Tonnage,Table4[[Tonnage Range]:[Tonnage Range]],t_Presses[hp2015.08])</f>
        <v>206.38524649218391</v>
      </c>
      <c r="AN5" s="52">
        <f>SUMIF(r_Press_Tonnage,Table4[[Tonnage Range]:[Tonnage Range]],t_Presses[hp2015.09])</f>
        <v>262.81147618208661</v>
      </c>
      <c r="AO5" s="52">
        <f>SUMIF(r_Press_Tonnage,Table4[[Tonnage Range]:[Tonnage Range]],t_Presses[hp2015.10])</f>
        <v>204.17692902125614</v>
      </c>
      <c r="AP5" s="52">
        <f>SUMIF(r_Press_Tonnage,Table4[[Tonnage Range]:[Tonnage Range]],t_Presses[hp2015.11])</f>
        <v>206.38524649218391</v>
      </c>
      <c r="AQ5" s="52">
        <f>SUMIF(r_Press_Tonnage,Table4[[Tonnage Range]:[Tonnage Range]],t_Presses[hp2015.12])</f>
        <v>262.81147618208661</v>
      </c>
      <c r="AR5" s="52">
        <f>SUM(Table4[[#This Row],[hp2015.01]:[hp2015.12]])</f>
        <v>2693.4946067821065</v>
      </c>
      <c r="AS5" s="52">
        <f>SUMIF(r_Press_Tonnage,Table4[[Tonnage Range]:[Tonnage Range]],t_Presses[hp2016.01])</f>
        <v>0.59523809523809523</v>
      </c>
      <c r="AT5" s="52">
        <f>SUMIF(r_Press_Tonnage,Table4[[Tonnage Range]:[Tonnage Range]],t_Presses[hp2016.02])</f>
        <v>0.5714285714285714</v>
      </c>
      <c r="AU5" s="52">
        <f>SUMIF(r_Press_Tonnage,Table4[[Tonnage Range]:[Tonnage Range]],t_Presses[hp2016.03])</f>
        <v>0.80952380952380953</v>
      </c>
      <c r="AV5" s="52">
        <f>SUMIF(r_Press_Tonnage,Table4[[Tonnage Range]:[Tonnage Range]],t_Presses[hp2016.04])</f>
        <v>0.59523809523809523</v>
      </c>
      <c r="AW5" s="52">
        <f>SUMIF(r_Press_Tonnage,Table4[[Tonnage Range]:[Tonnage Range]],t_Presses[hp2016.05])</f>
        <v>0.61904761904761907</v>
      </c>
      <c r="AX5" s="52">
        <f>SUMIF(r_Press_Tonnage,Table4[[Tonnage Range]:[Tonnage Range]],t_Presses[hp2016.06])</f>
        <v>0.80952380952380953</v>
      </c>
      <c r="AY5" s="52">
        <f>SUMIF(r_Press_Tonnage,Table4[[Tonnage Range]:[Tonnage Range]],t_Presses[hp2016.07])</f>
        <v>0.59523809523809523</v>
      </c>
      <c r="AZ5" s="52">
        <f>SUMIF(r_Press_Tonnage,Table4[[Tonnage Range]:[Tonnage Range]],t_Presses[hp2016.08])</f>
        <v>0.61904761904761907</v>
      </c>
      <c r="BA5" s="52">
        <f>SUMIF(r_Press_Tonnage,Table4[[Tonnage Range]:[Tonnage Range]],t_Presses[hp2016.09])</f>
        <v>0.80952380952380953</v>
      </c>
      <c r="BB5" s="52">
        <f>SUMIF(r_Press_Tonnage,Table4[[Tonnage Range]:[Tonnage Range]],t_Presses[hp2016.10])</f>
        <v>0.59523809523809523</v>
      </c>
      <c r="BC5" s="52">
        <f>SUMIF(r_Press_Tonnage,Table4[[Tonnage Range]:[Tonnage Range]],t_Presses[hp2016.11])</f>
        <v>0.52380952380952384</v>
      </c>
      <c r="BD5" s="52">
        <f>SUMIF(r_Press_Tonnage,Table4[[Tonnage Range]:[Tonnage Range]],t_Presses[hp2016.12])</f>
        <v>0.7142857142857143</v>
      </c>
      <c r="BE5" s="52">
        <f>SUMIF(r_Press_Tonnage,Table4[[Tonnage Range]:[Tonnage Range]],t_Presses[hp2016.FY])</f>
        <v>7.8571428571428559</v>
      </c>
      <c r="BF5" s="52">
        <f>SUMIF(r_Press_Tonnage,Table4[[Tonnage Range]:[Tonnage Range]],t_Presses[hp2017])</f>
        <v>40.476190476190474</v>
      </c>
      <c r="BG5" s="52">
        <f>SUMIF(r_Press_Tonnage,Table4[[Tonnage Range]:[Tonnage Range]],t_Presses[hp2018])</f>
        <v>42.857142857142854</v>
      </c>
      <c r="BH5" s="52">
        <f>SUMIF(r_Press_Tonnage,Table4[[Tonnage Range]:[Tonnage Range]],t_Presses[hp2019])</f>
        <v>45.238095238095241</v>
      </c>
      <c r="BI5" s="15">
        <f>IF(Table4[[#This Row],[ha2015.01]]&gt;0,Table4[[#This Row],[hp2015.01]]/Table4[[#This Row],[ha2015.01]],0)</f>
        <v>5.2731644891853342E-2</v>
      </c>
      <c r="BJ5" s="17">
        <f>IF(Table4[[#This Row],[ha2015.02]]&gt;0,Table4[[#This Row],[hp2015.02]]/Table4[[#This Row],[ha2015.02]],0)</f>
        <v>5.2222987472718599E-2</v>
      </c>
      <c r="BK5" s="17">
        <f>IF(Table4[[#This Row],[ha2015.03]]&gt;0,Table4[[#This Row],[hp2015.03]]/Table4[[#This Row],[ha2015.03]],0)</f>
        <v>5.0853613812323263E-2</v>
      </c>
      <c r="BL5" s="17">
        <f>IF(Table4[[#This Row],[ha2015.04]]&gt;0,Table4[[#This Row],[hp2015.04]]/Table4[[#This Row],[ha2015.04]],0)</f>
        <v>5.2731644891853342E-2</v>
      </c>
      <c r="BM5" s="17">
        <f>IF(Table4[[#This Row],[ha2015.05]]&gt;0,Table4[[#This Row],[hp2015.05]]/Table4[[#This Row],[ha2015.05]],0)</f>
        <v>5.2222987472718599E-2</v>
      </c>
      <c r="BN5" s="17">
        <f>IF(Table4[[#This Row],[ha2015.06]]&gt;0,Table4[[#This Row],[hp2015.06]]/Table4[[#This Row],[ha2015.06]],0)</f>
        <v>5.0853613812323263E-2</v>
      </c>
      <c r="BO5" s="17">
        <f>IF(Table4[[#This Row],[ha2015.07]]&gt;0,Table4[[#This Row],[hp2015.07]]/Table4[[#This Row],[ha2015.07]],0)</f>
        <v>5.2731644891853342E-2</v>
      </c>
      <c r="BP5" s="17">
        <f>IF(Table4[[#This Row],[ha2015.08]]&gt;0,Table4[[#This Row],[hp2015.08]]/Table4[[#This Row],[ha2015.08]],0)</f>
        <v>5.2222987472718599E-2</v>
      </c>
      <c r="BQ5" s="17">
        <f>IF(Table4[[#This Row],[ha2015.09]]&gt;0,Table4[[#This Row],[hp2015.09]]/Table4[[#This Row],[ha2015.09]],0)</f>
        <v>5.0853613812323263E-2</v>
      </c>
      <c r="BR5" s="17">
        <f>IF(Table4[[#This Row],[ha2015.10]]&gt;0,Table4[[#This Row],[hp2015.10]]/Table4[[#This Row],[ha2015.10]],0)</f>
        <v>5.2731644891853342E-2</v>
      </c>
      <c r="BS5" s="17">
        <f>IF(Table4[[#This Row],[ha2015.11]]&gt;0,Table4[[#This Row],[hp2015.11]]/Table4[[#This Row],[ha2015.11]],0)</f>
        <v>5.2222987472718599E-2</v>
      </c>
      <c r="BT5" s="17">
        <f>IF(Table4[[#This Row],[ha2015.12]]&gt;0,Table4[[#This Row],[hp2015.12]]/Table4[[#This Row],[ha2015.12]],0)</f>
        <v>5.0853613812323263E-2</v>
      </c>
      <c r="BU5" s="17">
        <f>IF(Table4[[#This Row],[ha2015.FY]]&gt;0,Table4[[#This Row],[hp2015.FY]]/Table4[[#This Row],[ha2015.FY]],0)</f>
        <v>5.182986851104731E-2</v>
      </c>
      <c r="BV5" s="17">
        <f>IF(Table4[[#This Row],[ha2016.01]]&gt;0,Table4[[#This Row],[hp2016.01]]/Table4[[#This Row],[ha2016.01]],0)</f>
        <v>1.7652375303620855E-4</v>
      </c>
      <c r="BW5" s="17">
        <f>IF(Table4[[#This Row],[ha2016.02]]&gt;0,Table4[[#This Row],[hp2016.02]]/Table4[[#This Row],[ha2016.02]],0)</f>
        <v>1.7253278122843341E-4</v>
      </c>
      <c r="BX5" s="17">
        <f>IF(Table4[[#This Row],[ha2016.03]]&gt;0,Table4[[#This Row],[hp2016.03]]/Table4[[#This Row],[ha2016.03]],0)</f>
        <v>1.8037518037518038E-4</v>
      </c>
      <c r="BY5" s="17">
        <f>IF(Table4[[#This Row],[ha2016.04]]&gt;0,Table4[[#This Row],[hp2016.04]]/Table4[[#This Row],[ha2016.04]],0)</f>
        <v>1.7652375303620855E-4</v>
      </c>
      <c r="BZ5" s="17">
        <f>IF(Table4[[#This Row],[ha2016.05]]&gt;0,Table4[[#This Row],[hp2016.05]]/Table4[[#This Row],[ha2016.05]],0)</f>
        <v>1.8037518037518038E-4</v>
      </c>
      <c r="CA5" s="17">
        <f>IF(Table4[[#This Row],[ha2016.06]]&gt;0,Table4[[#This Row],[hp2016.06]]/Table4[[#This Row],[ha2016.06]],0)</f>
        <v>1.8037518037518038E-4</v>
      </c>
      <c r="CB5" s="17">
        <f>IF(Table4[[#This Row],[ha2016.07]]&gt;0,Table4[[#This Row],[hp2016.07]]/Table4[[#This Row],[ha2016.07]],0)</f>
        <v>1.7652375303620855E-4</v>
      </c>
      <c r="CC5" s="17">
        <f>IF(Table4[[#This Row],[ha2016.08]]&gt;0,Table4[[#This Row],[hp2016.08]]/Table4[[#This Row],[ha2016.08]],0)</f>
        <v>1.8037518037518038E-4</v>
      </c>
      <c r="CD5" s="17">
        <f>IF(Table4[[#This Row],[ha2016.09]]&gt;0,Table4[[#This Row],[hp2016.09]]/Table4[[#This Row],[ha2016.09]],0)</f>
        <v>1.8037518037518038E-4</v>
      </c>
      <c r="CE5" s="17">
        <f>IF(Table4[[#This Row],[ha2016.10]]&gt;0,Table4[[#This Row],[hp2016.10]]/Table4[[#This Row],[ha2016.10]],0)</f>
        <v>1.7652375303620855E-4</v>
      </c>
      <c r="CF5" s="17">
        <f>IF(Table4[[#This Row],[ha2016.11]]&gt;0,Table4[[#This Row],[hp2016.11]]/Table4[[#This Row],[ha2016.11]],0)</f>
        <v>1.6410072801050245E-4</v>
      </c>
      <c r="CG5" s="17">
        <f>IF(Table4[[#This Row],[ha2016.12]]&gt;0,Table4[[#This Row],[hp2016.12]]/Table4[[#This Row],[ha2016.12]],0)</f>
        <v>1.6814635458703255E-4</v>
      </c>
      <c r="CH5" s="17">
        <f>IF(Table4[[#This Row],[ha2016.FY]]&gt;0,Table4[[#This Row],[hp2016.FY]]/Table4[[#This Row],[ha2016.FY]],0)</f>
        <v>1.762956124830115E-4</v>
      </c>
      <c r="CI5" s="17">
        <f>IF(Table4[[#This Row],[ha2017]]&gt;0,Table4[[#This Row],[hp2017]]/Table4[[#This Row],[ha2017]],0)</f>
        <v>9.0818951885187748E-4</v>
      </c>
      <c r="CJ5" s="17">
        <f>IF(Table4[[#This Row],[ha2018]]&gt;0,Table4[[#This Row],[hp2018]]/Table4[[#This Row],[ha2018]],0)</f>
        <v>9.6161243172551724E-4</v>
      </c>
      <c r="CK5" s="17">
        <f>IF(Table4[[#This Row],[ha2019]]&gt;0,Table4[[#This Row],[hp2019]]/Table4[[#This Row],[ha2019]],0)</f>
        <v>1.0150353445991572E-3</v>
      </c>
    </row>
    <row r="6" spans="1:89" x14ac:dyDescent="0.25">
      <c r="A6" s="41">
        <v>2</v>
      </c>
      <c r="B6" s="41" t="str">
        <f>CONCATENATE(FLOOR(v_TRBS*(A6-1),v_TRBS),"-",FLOOR(v_TRBS*(A6-1),v_TRBS)+v_TRBS-1)</f>
        <v>300-599</v>
      </c>
      <c r="C6">
        <f>SUMIF(r_Press_Tonnage,Table4[[Tonnage Range]:[Tonnage Range]],t_Presses[ha2015.01])</f>
        <v>2624</v>
      </c>
      <c r="D6">
        <f>SUMIF(r_Press_Tonnage,Table4[[Tonnage Range]:[Tonnage Range]],t_Presses[ha2015.02])</f>
        <v>2704</v>
      </c>
      <c r="E6">
        <f>SUMIF(r_Press_Tonnage,Table4[[Tonnage Range]:[Tonnage Range]],t_Presses[ha2015.03])</f>
        <v>3536</v>
      </c>
      <c r="F6">
        <f>SUMIF(r_Press_Tonnage,Table4[[Tonnage Range]:[Tonnage Range]],t_Presses[ha2015.04])</f>
        <v>2624</v>
      </c>
      <c r="G6">
        <f>SUMIF(r_Press_Tonnage,Table4[[Tonnage Range]:[Tonnage Range]],t_Presses[ha2015.05])</f>
        <v>2704</v>
      </c>
      <c r="H6">
        <f>SUMIF(r_Press_Tonnage,Table4[[Tonnage Range]:[Tonnage Range]],t_Presses[ha2015.06])</f>
        <v>3536</v>
      </c>
      <c r="I6">
        <f>SUMIF(r_Press_Tonnage,Table4[[Tonnage Range]:[Tonnage Range]],t_Presses[ha2015.07])</f>
        <v>2624</v>
      </c>
      <c r="J6">
        <f>SUMIF(r_Press_Tonnage,Table4[[Tonnage Range]:[Tonnage Range]],t_Presses[ha2015.08])</f>
        <v>2704</v>
      </c>
      <c r="K6">
        <f>SUMIF(r_Press_Tonnage,Table4[[Tonnage Range]:[Tonnage Range]],t_Presses[ha2015.09])</f>
        <v>3536</v>
      </c>
      <c r="L6">
        <f>SUMIF(r_Press_Tonnage,Table4[[Tonnage Range]:[Tonnage Range]],t_Presses[ha2015.10])</f>
        <v>2624</v>
      </c>
      <c r="M6">
        <f>SUMIF(r_Press_Tonnage,Table4[[Tonnage Range]:[Tonnage Range]],t_Presses[ha2015.11])</f>
        <v>2704</v>
      </c>
      <c r="N6">
        <f>SUMIF(r_Press_Tonnage,Table4[[Tonnage Range]:[Tonnage Range]],t_Presses[ha2015.12])</f>
        <v>3536</v>
      </c>
      <c r="O6">
        <f>SUMIF(r_Press_Tonnage,Table4[[Tonnage Range]:[Tonnage Range]],t_Presses[ha2015.FY])</f>
        <v>35456</v>
      </c>
      <c r="P6" s="20">
        <f>SUMIF(r_Press_Tonnage,Table4[[Tonnage Range]:[Tonnage Range]],t_Presses[ha2016.01])</f>
        <v>874</v>
      </c>
      <c r="Q6" s="52">
        <f>SUMIF(r_Press_Tonnage,Table4[[Tonnage Range]:[Tonnage Range]],t_Presses[ha2016.02])</f>
        <v>864</v>
      </c>
      <c r="R6" s="52">
        <f>SUMIF(r_Press_Tonnage,Table4[[Tonnage Range]:[Tonnage Range]],t_Presses[ha2016.03])</f>
        <v>1156</v>
      </c>
      <c r="S6" s="52">
        <f>SUMIF(r_Press_Tonnage,Table4[[Tonnage Range]:[Tonnage Range]],t_Presses[ha2016.04])</f>
        <v>874</v>
      </c>
      <c r="T6" s="52">
        <f>SUMIF(r_Press_Tonnage,Table4[[Tonnage Range]:[Tonnage Range]],t_Presses[ha2016.05])</f>
        <v>884</v>
      </c>
      <c r="U6" s="52">
        <f>SUMIF(r_Press_Tonnage,Table4[[Tonnage Range]:[Tonnage Range]],t_Presses[ha2016.06])</f>
        <v>1156</v>
      </c>
      <c r="V6" s="52">
        <f>SUMIF(r_Press_Tonnage,Table4[[Tonnage Range]:[Tonnage Range]],t_Presses[ha2016.07])</f>
        <v>874</v>
      </c>
      <c r="W6" s="52">
        <f>SUMIF(r_Press_Tonnage,Table4[[Tonnage Range]:[Tonnage Range]],t_Presses[ha2016.08])</f>
        <v>884</v>
      </c>
      <c r="X6" s="52">
        <f>SUMIF(r_Press_Tonnage,Table4[[Tonnage Range]:[Tonnage Range]],t_Presses[ha2016.09])</f>
        <v>1156</v>
      </c>
      <c r="Y6" s="52">
        <f>SUMIF(r_Press_Tonnage,Table4[[Tonnage Range]:[Tonnage Range]],t_Presses[ha2016.10])</f>
        <v>874</v>
      </c>
      <c r="Z6" s="52">
        <f>SUMIF(r_Press_Tonnage,Table4[[Tonnage Range]:[Tonnage Range]],t_Presses[ha2016.11])</f>
        <v>844</v>
      </c>
      <c r="AA6" s="52">
        <f>SUMIF(r_Press_Tonnage,Table4[[Tonnage Range]:[Tonnage Range]],t_Presses[ha2016.12])</f>
        <v>1116</v>
      </c>
      <c r="AB6" s="52">
        <f>SUMIF(r_Press_Tonnage,Table4[[Tonnage Range]:[Tonnage Range]],t_Presses[ha2016.FY])</f>
        <v>11556</v>
      </c>
      <c r="AC6" s="52">
        <f>SUMIF(r_Press_Tonnage,Table4[[Tonnage Range]:[Tonnage Range]],t_Presses[ha2017])</f>
        <v>11556</v>
      </c>
      <c r="AD6" s="52">
        <f>SUMIF(r_Press_Tonnage,Table4[[Tonnage Range]:[Tonnage Range]],t_Presses[ha2018])</f>
        <v>11556</v>
      </c>
      <c r="AE6" s="52">
        <f>SUMIF(r_Press_Tonnage,Table4[[Tonnage Range]:[Tonnage Range]],t_Presses[ha2019])</f>
        <v>11556</v>
      </c>
      <c r="AF6" s="52">
        <f>SUMIF(r_Press_Tonnage,Table4[[Tonnage Range]:[Tonnage Range]],t_Presses[hp2015.01])</f>
        <v>0</v>
      </c>
      <c r="AG6" s="52">
        <f>SUMIF(r_Press_Tonnage,Table4[[Tonnage Range]:[Tonnage Range]],t_Presses[hp2015.02])</f>
        <v>0</v>
      </c>
      <c r="AH6" s="52">
        <f>SUMIF(r_Press_Tonnage,Table4[[Tonnage Range]:[Tonnage Range]],t_Presses[hp2015.03])</f>
        <v>0</v>
      </c>
      <c r="AI6" s="52">
        <f>SUMIF(r_Press_Tonnage,Table4[[Tonnage Range]:[Tonnage Range]],t_Presses[hp2015.04])</f>
        <v>0</v>
      </c>
      <c r="AJ6" s="52">
        <f>SUMIF(r_Press_Tonnage,Table4[[Tonnage Range]:[Tonnage Range]],t_Presses[hp2015.05])</f>
        <v>0</v>
      </c>
      <c r="AK6" s="52">
        <f>SUMIF(r_Press_Tonnage,Table4[[Tonnage Range]:[Tonnage Range]],t_Presses[hp2015.06])</f>
        <v>0</v>
      </c>
      <c r="AL6" s="52">
        <f>SUMIF(r_Press_Tonnage,Table4[[Tonnage Range]:[Tonnage Range]],t_Presses[hp2015.07])</f>
        <v>0</v>
      </c>
      <c r="AM6" s="52">
        <f>SUMIF(r_Press_Tonnage,Table4[[Tonnage Range]:[Tonnage Range]],t_Presses[hp2015.08])</f>
        <v>0</v>
      </c>
      <c r="AN6" s="52">
        <f>SUMIF(r_Press_Tonnage,Table4[[Tonnage Range]:[Tonnage Range]],t_Presses[hp2015.09])</f>
        <v>0</v>
      </c>
      <c r="AO6" s="52">
        <f>SUMIF(r_Press_Tonnage,Table4[[Tonnage Range]:[Tonnage Range]],t_Presses[hp2015.10])</f>
        <v>0</v>
      </c>
      <c r="AP6" s="52">
        <f>SUMIF(r_Press_Tonnage,Table4[[Tonnage Range]:[Tonnage Range]],t_Presses[hp2015.11])</f>
        <v>0</v>
      </c>
      <c r="AQ6" s="52">
        <f>SUMIF(r_Press_Tonnage,Table4[[Tonnage Range]:[Tonnage Range]],t_Presses[hp2015.12])</f>
        <v>0</v>
      </c>
      <c r="AR6" s="52">
        <f>SUM(Table4[[#This Row],[hp2015.01]:[hp2015.12]])</f>
        <v>0</v>
      </c>
      <c r="AS6" s="52">
        <f>SUMIF(r_Press_Tonnage,Table4[[Tonnage Range]:[Tonnage Range]],t_Presses[hp2016.01])</f>
        <v>0</v>
      </c>
      <c r="AT6" s="52">
        <f>SUMIF(r_Press_Tonnage,Table4[[Tonnage Range]:[Tonnage Range]],t_Presses[hp2016.02])</f>
        <v>0</v>
      </c>
      <c r="AU6" s="52">
        <f>SUMIF(r_Press_Tonnage,Table4[[Tonnage Range]:[Tonnage Range]],t_Presses[hp2016.03])</f>
        <v>0</v>
      </c>
      <c r="AV6" s="52">
        <f>SUMIF(r_Press_Tonnage,Table4[[Tonnage Range]:[Tonnage Range]],t_Presses[hp2016.04])</f>
        <v>0</v>
      </c>
      <c r="AW6" s="52">
        <f>SUMIF(r_Press_Tonnage,Table4[[Tonnage Range]:[Tonnage Range]],t_Presses[hp2016.05])</f>
        <v>0</v>
      </c>
      <c r="AX6" s="52">
        <f>SUMIF(r_Press_Tonnage,Table4[[Tonnage Range]:[Tonnage Range]],t_Presses[hp2016.06])</f>
        <v>0</v>
      </c>
      <c r="AY6" s="52">
        <f>SUMIF(r_Press_Tonnage,Table4[[Tonnage Range]:[Tonnage Range]],t_Presses[hp2016.07])</f>
        <v>0</v>
      </c>
      <c r="AZ6" s="52">
        <f>SUMIF(r_Press_Tonnage,Table4[[Tonnage Range]:[Tonnage Range]],t_Presses[hp2016.08])</f>
        <v>0</v>
      </c>
      <c r="BA6" s="52">
        <f>SUMIF(r_Press_Tonnage,Table4[[Tonnage Range]:[Tonnage Range]],t_Presses[hp2016.09])</f>
        <v>0</v>
      </c>
      <c r="BB6" s="52">
        <f>SUMIF(r_Press_Tonnage,Table4[[Tonnage Range]:[Tonnage Range]],t_Presses[hp2016.10])</f>
        <v>0</v>
      </c>
      <c r="BC6" s="52">
        <f>SUMIF(r_Press_Tonnage,Table4[[Tonnage Range]:[Tonnage Range]],t_Presses[hp2016.11])</f>
        <v>0</v>
      </c>
      <c r="BD6" s="52">
        <f>SUMIF(r_Press_Tonnage,Table4[[Tonnage Range]:[Tonnage Range]],t_Presses[hp2016.12])</f>
        <v>0</v>
      </c>
      <c r="BE6" s="52">
        <f>SUMIF(r_Press_Tonnage,Table4[[Tonnage Range]:[Tonnage Range]],t_Presses[hp2016.FY])</f>
        <v>0</v>
      </c>
      <c r="BF6" s="52">
        <f>SUMIF(r_Press_Tonnage,Table4[[Tonnage Range]:[Tonnage Range]],t_Presses[hp2017])</f>
        <v>0</v>
      </c>
      <c r="BG6" s="52">
        <f>SUMIF(r_Press_Tonnage,Table4[[Tonnage Range]:[Tonnage Range]],t_Presses[hp2018])</f>
        <v>0</v>
      </c>
      <c r="BH6" s="52">
        <f>SUMIF(r_Press_Tonnage,Table4[[Tonnage Range]:[Tonnage Range]],t_Presses[hp2019])</f>
        <v>0</v>
      </c>
      <c r="BI6" s="17">
        <f>IF(Table4[[#This Row],[ha2015.01]]&gt;0,Table4[[#This Row],[hp2015.01]]/Table4[[#This Row],[ha2015.01]],0)</f>
        <v>0</v>
      </c>
      <c r="BJ6" s="17">
        <f>IF(Table4[[#This Row],[ha2015.02]]&gt;0,Table4[[#This Row],[hp2015.02]]/Table4[[#This Row],[ha2015.02]],0)</f>
        <v>0</v>
      </c>
      <c r="BK6" s="17">
        <f>IF(Table4[[#This Row],[ha2015.03]]&gt;0,Table4[[#This Row],[hp2015.03]]/Table4[[#This Row],[ha2015.03]],0)</f>
        <v>0</v>
      </c>
      <c r="BL6" s="17">
        <f>IF(Table4[[#This Row],[ha2015.04]]&gt;0,Table4[[#This Row],[hp2015.04]]/Table4[[#This Row],[ha2015.04]],0)</f>
        <v>0</v>
      </c>
      <c r="BM6" s="17">
        <f>IF(Table4[[#This Row],[ha2015.05]]&gt;0,Table4[[#This Row],[hp2015.05]]/Table4[[#This Row],[ha2015.05]],0)</f>
        <v>0</v>
      </c>
      <c r="BN6" s="17">
        <f>IF(Table4[[#This Row],[ha2015.06]]&gt;0,Table4[[#This Row],[hp2015.06]]/Table4[[#This Row],[ha2015.06]],0)</f>
        <v>0</v>
      </c>
      <c r="BO6" s="17">
        <f>IF(Table4[[#This Row],[ha2015.07]]&gt;0,Table4[[#This Row],[hp2015.07]]/Table4[[#This Row],[ha2015.07]],0)</f>
        <v>0</v>
      </c>
      <c r="BP6" s="17">
        <f>IF(Table4[[#This Row],[ha2015.08]]&gt;0,Table4[[#This Row],[hp2015.08]]/Table4[[#This Row],[ha2015.08]],0)</f>
        <v>0</v>
      </c>
      <c r="BQ6" s="17">
        <f>IF(Table4[[#This Row],[ha2015.09]]&gt;0,Table4[[#This Row],[hp2015.09]]/Table4[[#This Row],[ha2015.09]],0)</f>
        <v>0</v>
      </c>
      <c r="BR6" s="17">
        <f>IF(Table4[[#This Row],[ha2015.10]]&gt;0,Table4[[#This Row],[hp2015.10]]/Table4[[#This Row],[ha2015.10]],0)</f>
        <v>0</v>
      </c>
      <c r="BS6" s="17">
        <f>IF(Table4[[#This Row],[ha2015.11]]&gt;0,Table4[[#This Row],[hp2015.11]]/Table4[[#This Row],[ha2015.11]],0)</f>
        <v>0</v>
      </c>
      <c r="BT6" s="17">
        <f>IF(Table4[[#This Row],[ha2015.12]]&gt;0,Table4[[#This Row],[hp2015.12]]/Table4[[#This Row],[ha2015.12]],0)</f>
        <v>0</v>
      </c>
      <c r="BU6" s="17">
        <f>IF(Table4[[#This Row],[ha2015.FY]]&gt;0,Table4[[#This Row],[hp2015.FY]]/Table4[[#This Row],[ha2015.FY]],0)</f>
        <v>0</v>
      </c>
      <c r="BV6" s="17">
        <f>IF(Table4[[#This Row],[ha2016.01]]&gt;0,Table4[[#This Row],[hp2016.01]]/Table4[[#This Row],[ha2016.01]],0)</f>
        <v>0</v>
      </c>
      <c r="BW6" s="17">
        <f>IF(Table4[[#This Row],[ha2016.02]]&gt;0,Table4[[#This Row],[hp2016.02]]/Table4[[#This Row],[ha2016.02]],0)</f>
        <v>0</v>
      </c>
      <c r="BX6" s="17">
        <f>IF(Table4[[#This Row],[ha2016.03]]&gt;0,Table4[[#This Row],[hp2016.03]]/Table4[[#This Row],[ha2016.03]],0)</f>
        <v>0</v>
      </c>
      <c r="BY6" s="17">
        <f>IF(Table4[[#This Row],[ha2016.04]]&gt;0,Table4[[#This Row],[hp2016.04]]/Table4[[#This Row],[ha2016.04]],0)</f>
        <v>0</v>
      </c>
      <c r="BZ6" s="17">
        <f>IF(Table4[[#This Row],[ha2016.05]]&gt;0,Table4[[#This Row],[hp2016.05]]/Table4[[#This Row],[ha2016.05]],0)</f>
        <v>0</v>
      </c>
      <c r="CA6" s="17">
        <f>IF(Table4[[#This Row],[ha2016.06]]&gt;0,Table4[[#This Row],[hp2016.06]]/Table4[[#This Row],[ha2016.06]],0)</f>
        <v>0</v>
      </c>
      <c r="CB6" s="17">
        <f>IF(Table4[[#This Row],[ha2016.07]]&gt;0,Table4[[#This Row],[hp2016.07]]/Table4[[#This Row],[ha2016.07]],0)</f>
        <v>0</v>
      </c>
      <c r="CC6" s="17">
        <f>IF(Table4[[#This Row],[ha2016.08]]&gt;0,Table4[[#This Row],[hp2016.08]]/Table4[[#This Row],[ha2016.08]],0)</f>
        <v>0</v>
      </c>
      <c r="CD6" s="17">
        <f>IF(Table4[[#This Row],[ha2016.09]]&gt;0,Table4[[#This Row],[hp2016.09]]/Table4[[#This Row],[ha2016.09]],0)</f>
        <v>0</v>
      </c>
      <c r="CE6" s="17">
        <f>IF(Table4[[#This Row],[ha2016.10]]&gt;0,Table4[[#This Row],[hp2016.10]]/Table4[[#This Row],[ha2016.10]],0)</f>
        <v>0</v>
      </c>
      <c r="CF6" s="17">
        <f>IF(Table4[[#This Row],[ha2016.11]]&gt;0,Table4[[#This Row],[hp2016.11]]/Table4[[#This Row],[ha2016.11]],0)</f>
        <v>0</v>
      </c>
      <c r="CG6" s="17">
        <f>IF(Table4[[#This Row],[ha2016.12]]&gt;0,Table4[[#This Row],[hp2016.12]]/Table4[[#This Row],[ha2016.12]],0)</f>
        <v>0</v>
      </c>
      <c r="CH6" s="17">
        <f>IF(Table4[[#This Row],[ha2016.FY]]&gt;0,Table4[[#This Row],[hp2016.FY]]/Table4[[#This Row],[ha2016.FY]],0)</f>
        <v>0</v>
      </c>
      <c r="CI6" s="17">
        <f>IF(Table4[[#This Row],[ha2017]]&gt;0,Table4[[#This Row],[hp2017]]/Table4[[#This Row],[ha2017]],0)</f>
        <v>0</v>
      </c>
      <c r="CJ6" s="17">
        <f>IF(Table4[[#This Row],[ha2018]]&gt;0,Table4[[#This Row],[hp2018]]/Table4[[#This Row],[ha2018]],0)</f>
        <v>0</v>
      </c>
      <c r="CK6" s="17">
        <f>IF(Table4[[#This Row],[ha2019]]&gt;0,Table4[[#This Row],[hp2019]]/Table4[[#This Row],[ha2019]],0)</f>
        <v>0</v>
      </c>
    </row>
    <row r="7" spans="1:89" x14ac:dyDescent="0.25">
      <c r="A7">
        <v>3</v>
      </c>
      <c r="B7" s="41" t="str">
        <f>CONCATENATE(FLOOR(v_TRBS*(A7-1),v_TRBS),"-",FLOOR(v_TRBS*(A7-1),v_TRBS)+v_TRBS-1)</f>
        <v>600-899</v>
      </c>
      <c r="C7">
        <f>SUMIF(r_Press_Tonnage,Table4[[Tonnage Range]:[Tonnage Range]],t_Presses[ha2015.01])</f>
        <v>1624</v>
      </c>
      <c r="D7">
        <f>SUMIF(r_Press_Tonnage,Table4[[Tonnage Range]:[Tonnage Range]],t_Presses[ha2015.02])</f>
        <v>1664</v>
      </c>
      <c r="E7">
        <f>SUMIF(r_Press_Tonnage,Table4[[Tonnage Range]:[Tonnage Range]],t_Presses[ha2015.03])</f>
        <v>2176</v>
      </c>
      <c r="F7">
        <f>SUMIF(r_Press_Tonnage,Table4[[Tonnage Range]:[Tonnage Range]],t_Presses[ha2015.04])</f>
        <v>1624</v>
      </c>
      <c r="G7">
        <f>SUMIF(r_Press_Tonnage,Table4[[Tonnage Range]:[Tonnage Range]],t_Presses[ha2015.05])</f>
        <v>1664</v>
      </c>
      <c r="H7">
        <f>SUMIF(r_Press_Tonnage,Table4[[Tonnage Range]:[Tonnage Range]],t_Presses[ha2015.06])</f>
        <v>2176</v>
      </c>
      <c r="I7">
        <f>SUMIF(r_Press_Tonnage,Table4[[Tonnage Range]:[Tonnage Range]],t_Presses[ha2015.07])</f>
        <v>1624</v>
      </c>
      <c r="J7">
        <f>SUMIF(r_Press_Tonnage,Table4[[Tonnage Range]:[Tonnage Range]],t_Presses[ha2015.08])</f>
        <v>1664</v>
      </c>
      <c r="K7">
        <f>SUMIF(r_Press_Tonnage,Table4[[Tonnage Range]:[Tonnage Range]],t_Presses[ha2015.09])</f>
        <v>2176</v>
      </c>
      <c r="L7">
        <f>SUMIF(r_Press_Tonnage,Table4[[Tonnage Range]:[Tonnage Range]],t_Presses[ha2015.10])</f>
        <v>1624</v>
      </c>
      <c r="M7">
        <f>SUMIF(r_Press_Tonnage,Table4[[Tonnage Range]:[Tonnage Range]],t_Presses[ha2015.11])</f>
        <v>1664</v>
      </c>
      <c r="N7">
        <f>SUMIF(r_Press_Tonnage,Table4[[Tonnage Range]:[Tonnage Range]],t_Presses[ha2015.12])</f>
        <v>2176</v>
      </c>
      <c r="O7">
        <f>SUMIF(r_Press_Tonnage,Table4[[Tonnage Range]:[Tonnage Range]],t_Presses[ha2015.FY])</f>
        <v>21856</v>
      </c>
      <c r="P7" s="20">
        <f>SUMIF(r_Press_Tonnage,Table4[[Tonnage Range]:[Tonnage Range]],t_Presses[ha2016.01])</f>
        <v>624</v>
      </c>
      <c r="Q7" s="52">
        <f>SUMIF(r_Press_Tonnage,Table4[[Tonnage Range]:[Tonnage Range]],t_Presses[ha2016.02])</f>
        <v>624</v>
      </c>
      <c r="R7" s="52">
        <f>SUMIF(r_Press_Tonnage,Table4[[Tonnage Range]:[Tonnage Range]],t_Presses[ha2016.03])</f>
        <v>816</v>
      </c>
      <c r="S7" s="52">
        <f>SUMIF(r_Press_Tonnage,Table4[[Tonnage Range]:[Tonnage Range]],t_Presses[ha2016.04])</f>
        <v>624</v>
      </c>
      <c r="T7" s="52">
        <f>SUMIF(r_Press_Tonnage,Table4[[Tonnage Range]:[Tonnage Range]],t_Presses[ha2016.05])</f>
        <v>624</v>
      </c>
      <c r="U7" s="52">
        <f>SUMIF(r_Press_Tonnage,Table4[[Tonnage Range]:[Tonnage Range]],t_Presses[ha2016.06])</f>
        <v>816</v>
      </c>
      <c r="V7" s="52">
        <f>SUMIF(r_Press_Tonnage,Table4[[Tonnage Range]:[Tonnage Range]],t_Presses[ha2016.07])</f>
        <v>624</v>
      </c>
      <c r="W7" s="52">
        <f>SUMIF(r_Press_Tonnage,Table4[[Tonnage Range]:[Tonnage Range]],t_Presses[ha2016.08])</f>
        <v>624</v>
      </c>
      <c r="X7" s="52">
        <f>SUMIF(r_Press_Tonnage,Table4[[Tonnage Range]:[Tonnage Range]],t_Presses[ha2016.09])</f>
        <v>816</v>
      </c>
      <c r="Y7" s="52">
        <f>SUMIF(r_Press_Tonnage,Table4[[Tonnage Range]:[Tonnage Range]],t_Presses[ha2016.10])</f>
        <v>624</v>
      </c>
      <c r="Z7" s="52">
        <f>SUMIF(r_Press_Tonnage,Table4[[Tonnage Range]:[Tonnage Range]],t_Presses[ha2016.11])</f>
        <v>624</v>
      </c>
      <c r="AA7" s="52">
        <f>SUMIF(r_Press_Tonnage,Table4[[Tonnage Range]:[Tonnage Range]],t_Presses[ha2016.12])</f>
        <v>816</v>
      </c>
      <c r="AB7" s="52">
        <f>SUMIF(r_Press_Tonnage,Table4[[Tonnage Range]:[Tonnage Range]],t_Presses[ha2016.FY])</f>
        <v>8256</v>
      </c>
      <c r="AC7" s="52">
        <f>SUMIF(r_Press_Tonnage,Table4[[Tonnage Range]:[Tonnage Range]],t_Presses[ha2017])</f>
        <v>8256</v>
      </c>
      <c r="AD7" s="52">
        <f>SUMIF(r_Press_Tonnage,Table4[[Tonnage Range]:[Tonnage Range]],t_Presses[ha2018])</f>
        <v>8256</v>
      </c>
      <c r="AE7" s="52">
        <f>SUMIF(r_Press_Tonnage,Table4[[Tonnage Range]:[Tonnage Range]],t_Presses[ha2019])</f>
        <v>8256</v>
      </c>
      <c r="AF7" s="52">
        <f>SUMIF(r_Press_Tonnage,Table4[[Tonnage Range]:[Tonnage Range]],t_Presses[hp2015.01])</f>
        <v>0</v>
      </c>
      <c r="AG7" s="52">
        <f>SUMIF(r_Press_Tonnage,Table4[[Tonnage Range]:[Tonnage Range]],t_Presses[hp2015.02])</f>
        <v>0</v>
      </c>
      <c r="AH7" s="52">
        <f>SUMIF(r_Press_Tonnage,Table4[[Tonnage Range]:[Tonnage Range]],t_Presses[hp2015.03])</f>
        <v>0</v>
      </c>
      <c r="AI7" s="52">
        <f>SUMIF(r_Press_Tonnage,Table4[[Tonnage Range]:[Tonnage Range]],t_Presses[hp2015.04])</f>
        <v>0</v>
      </c>
      <c r="AJ7" s="52">
        <f>SUMIF(r_Press_Tonnage,Table4[[Tonnage Range]:[Tonnage Range]],t_Presses[hp2015.05])</f>
        <v>0</v>
      </c>
      <c r="AK7" s="52">
        <f>SUMIF(r_Press_Tonnage,Table4[[Tonnage Range]:[Tonnage Range]],t_Presses[hp2015.06])</f>
        <v>0</v>
      </c>
      <c r="AL7" s="52">
        <f>SUMIF(r_Press_Tonnage,Table4[[Tonnage Range]:[Tonnage Range]],t_Presses[hp2015.07])</f>
        <v>0</v>
      </c>
      <c r="AM7" s="52">
        <f>SUMIF(r_Press_Tonnage,Table4[[Tonnage Range]:[Tonnage Range]],t_Presses[hp2015.08])</f>
        <v>0</v>
      </c>
      <c r="AN7" s="52">
        <f>SUMIF(r_Press_Tonnage,Table4[[Tonnage Range]:[Tonnage Range]],t_Presses[hp2015.09])</f>
        <v>0</v>
      </c>
      <c r="AO7" s="52">
        <f>SUMIF(r_Press_Tonnage,Table4[[Tonnage Range]:[Tonnage Range]],t_Presses[hp2015.10])</f>
        <v>0</v>
      </c>
      <c r="AP7" s="52">
        <f>SUMIF(r_Press_Tonnage,Table4[[Tonnage Range]:[Tonnage Range]],t_Presses[hp2015.11])</f>
        <v>0</v>
      </c>
      <c r="AQ7" s="52">
        <f>SUMIF(r_Press_Tonnage,Table4[[Tonnage Range]:[Tonnage Range]],t_Presses[hp2015.12])</f>
        <v>0</v>
      </c>
      <c r="AR7" s="52">
        <f>SUM(Table4[[#This Row],[hp2015.01]:[hp2015.12]])</f>
        <v>0</v>
      </c>
      <c r="AS7" s="52">
        <f>SUMIF(r_Press_Tonnage,Table4[[Tonnage Range]:[Tonnage Range]],t_Presses[hp2016.01])</f>
        <v>0</v>
      </c>
      <c r="AT7" s="52">
        <f>SUMIF(r_Press_Tonnage,Table4[[Tonnage Range]:[Tonnage Range]],t_Presses[hp2016.02])</f>
        <v>0</v>
      </c>
      <c r="AU7" s="52">
        <f>SUMIF(r_Press_Tonnage,Table4[[Tonnage Range]:[Tonnage Range]],t_Presses[hp2016.03])</f>
        <v>0</v>
      </c>
      <c r="AV7" s="52">
        <f>SUMIF(r_Press_Tonnage,Table4[[Tonnage Range]:[Tonnage Range]],t_Presses[hp2016.04])</f>
        <v>0</v>
      </c>
      <c r="AW7" s="52">
        <f>SUMIF(r_Press_Tonnage,Table4[[Tonnage Range]:[Tonnage Range]],t_Presses[hp2016.05])</f>
        <v>0</v>
      </c>
      <c r="AX7" s="52">
        <f>SUMIF(r_Press_Tonnage,Table4[[Tonnage Range]:[Tonnage Range]],t_Presses[hp2016.06])</f>
        <v>0</v>
      </c>
      <c r="AY7" s="52">
        <f>SUMIF(r_Press_Tonnage,Table4[[Tonnage Range]:[Tonnage Range]],t_Presses[hp2016.07])</f>
        <v>0</v>
      </c>
      <c r="AZ7" s="52">
        <f>SUMIF(r_Press_Tonnage,Table4[[Tonnage Range]:[Tonnage Range]],t_Presses[hp2016.08])</f>
        <v>0</v>
      </c>
      <c r="BA7" s="52">
        <f>SUMIF(r_Press_Tonnage,Table4[[Tonnage Range]:[Tonnage Range]],t_Presses[hp2016.09])</f>
        <v>0</v>
      </c>
      <c r="BB7" s="52">
        <f>SUMIF(r_Press_Tonnage,Table4[[Tonnage Range]:[Tonnage Range]],t_Presses[hp2016.10])</f>
        <v>0</v>
      </c>
      <c r="BC7" s="52">
        <f>SUMIF(r_Press_Tonnage,Table4[[Tonnage Range]:[Tonnage Range]],t_Presses[hp2016.11])</f>
        <v>0</v>
      </c>
      <c r="BD7" s="52">
        <f>SUMIF(r_Press_Tonnage,Table4[[Tonnage Range]:[Tonnage Range]],t_Presses[hp2016.12])</f>
        <v>0</v>
      </c>
      <c r="BE7" s="52">
        <f>SUMIF(r_Press_Tonnage,Table4[[Tonnage Range]:[Tonnage Range]],t_Presses[hp2016.FY])</f>
        <v>0</v>
      </c>
      <c r="BF7" s="52">
        <f>SUMIF(r_Press_Tonnage,Table4[[Tonnage Range]:[Tonnage Range]],t_Presses[hp2017])</f>
        <v>0</v>
      </c>
      <c r="BG7" s="52">
        <f>SUMIF(r_Press_Tonnage,Table4[[Tonnage Range]:[Tonnage Range]],t_Presses[hp2018])</f>
        <v>0</v>
      </c>
      <c r="BH7" s="52">
        <f>SUMIF(r_Press_Tonnage,Table4[[Tonnage Range]:[Tonnage Range]],t_Presses[hp2019])</f>
        <v>0</v>
      </c>
      <c r="BI7" s="17">
        <f>IF(Table4[[#This Row],[ha2015.01]]&gt;0,Table4[[#This Row],[hp2015.01]]/Table4[[#This Row],[ha2015.01]],0)</f>
        <v>0</v>
      </c>
      <c r="BJ7" s="17">
        <f>IF(Table4[[#This Row],[ha2015.02]]&gt;0,Table4[[#This Row],[hp2015.02]]/Table4[[#This Row],[ha2015.02]],0)</f>
        <v>0</v>
      </c>
      <c r="BK7" s="17">
        <f>IF(Table4[[#This Row],[ha2015.03]]&gt;0,Table4[[#This Row],[hp2015.03]]/Table4[[#This Row],[ha2015.03]],0)</f>
        <v>0</v>
      </c>
      <c r="BL7" s="17">
        <f>IF(Table4[[#This Row],[ha2015.04]]&gt;0,Table4[[#This Row],[hp2015.04]]/Table4[[#This Row],[ha2015.04]],0)</f>
        <v>0</v>
      </c>
      <c r="BM7" s="17">
        <f>IF(Table4[[#This Row],[ha2015.05]]&gt;0,Table4[[#This Row],[hp2015.05]]/Table4[[#This Row],[ha2015.05]],0)</f>
        <v>0</v>
      </c>
      <c r="BN7" s="17">
        <f>IF(Table4[[#This Row],[ha2015.06]]&gt;0,Table4[[#This Row],[hp2015.06]]/Table4[[#This Row],[ha2015.06]],0)</f>
        <v>0</v>
      </c>
      <c r="BO7" s="17">
        <f>IF(Table4[[#This Row],[ha2015.07]]&gt;0,Table4[[#This Row],[hp2015.07]]/Table4[[#This Row],[ha2015.07]],0)</f>
        <v>0</v>
      </c>
      <c r="BP7" s="17">
        <f>IF(Table4[[#This Row],[ha2015.08]]&gt;0,Table4[[#This Row],[hp2015.08]]/Table4[[#This Row],[ha2015.08]],0)</f>
        <v>0</v>
      </c>
      <c r="BQ7" s="17">
        <f>IF(Table4[[#This Row],[ha2015.09]]&gt;0,Table4[[#This Row],[hp2015.09]]/Table4[[#This Row],[ha2015.09]],0)</f>
        <v>0</v>
      </c>
      <c r="BR7" s="17">
        <f>IF(Table4[[#This Row],[ha2015.10]]&gt;0,Table4[[#This Row],[hp2015.10]]/Table4[[#This Row],[ha2015.10]],0)</f>
        <v>0</v>
      </c>
      <c r="BS7" s="17">
        <f>IF(Table4[[#This Row],[ha2015.11]]&gt;0,Table4[[#This Row],[hp2015.11]]/Table4[[#This Row],[ha2015.11]],0)</f>
        <v>0</v>
      </c>
      <c r="BT7" s="17">
        <f>IF(Table4[[#This Row],[ha2015.12]]&gt;0,Table4[[#This Row],[hp2015.12]]/Table4[[#This Row],[ha2015.12]],0)</f>
        <v>0</v>
      </c>
      <c r="BU7" s="17">
        <f>IF(Table4[[#This Row],[ha2015.FY]]&gt;0,Table4[[#This Row],[hp2015.FY]]/Table4[[#This Row],[ha2015.FY]],0)</f>
        <v>0</v>
      </c>
      <c r="BV7" s="17">
        <f>IF(Table4[[#This Row],[ha2016.01]]&gt;0,Table4[[#This Row],[hp2016.01]]/Table4[[#This Row],[ha2016.01]],0)</f>
        <v>0</v>
      </c>
      <c r="BW7" s="17">
        <f>IF(Table4[[#This Row],[ha2016.02]]&gt;0,Table4[[#This Row],[hp2016.02]]/Table4[[#This Row],[ha2016.02]],0)</f>
        <v>0</v>
      </c>
      <c r="BX7" s="17">
        <f>IF(Table4[[#This Row],[ha2016.03]]&gt;0,Table4[[#This Row],[hp2016.03]]/Table4[[#This Row],[ha2016.03]],0)</f>
        <v>0</v>
      </c>
      <c r="BY7" s="17">
        <f>IF(Table4[[#This Row],[ha2016.04]]&gt;0,Table4[[#This Row],[hp2016.04]]/Table4[[#This Row],[ha2016.04]],0)</f>
        <v>0</v>
      </c>
      <c r="BZ7" s="17">
        <f>IF(Table4[[#This Row],[ha2016.05]]&gt;0,Table4[[#This Row],[hp2016.05]]/Table4[[#This Row],[ha2016.05]],0)</f>
        <v>0</v>
      </c>
      <c r="CA7" s="17">
        <f>IF(Table4[[#This Row],[ha2016.06]]&gt;0,Table4[[#This Row],[hp2016.06]]/Table4[[#This Row],[ha2016.06]],0)</f>
        <v>0</v>
      </c>
      <c r="CB7" s="17">
        <f>IF(Table4[[#This Row],[ha2016.07]]&gt;0,Table4[[#This Row],[hp2016.07]]/Table4[[#This Row],[ha2016.07]],0)</f>
        <v>0</v>
      </c>
      <c r="CC7" s="17">
        <f>IF(Table4[[#This Row],[ha2016.08]]&gt;0,Table4[[#This Row],[hp2016.08]]/Table4[[#This Row],[ha2016.08]],0)</f>
        <v>0</v>
      </c>
      <c r="CD7" s="17">
        <f>IF(Table4[[#This Row],[ha2016.09]]&gt;0,Table4[[#This Row],[hp2016.09]]/Table4[[#This Row],[ha2016.09]],0)</f>
        <v>0</v>
      </c>
      <c r="CE7" s="17">
        <f>IF(Table4[[#This Row],[ha2016.10]]&gt;0,Table4[[#This Row],[hp2016.10]]/Table4[[#This Row],[ha2016.10]],0)</f>
        <v>0</v>
      </c>
      <c r="CF7" s="17">
        <f>IF(Table4[[#This Row],[ha2016.11]]&gt;0,Table4[[#This Row],[hp2016.11]]/Table4[[#This Row],[ha2016.11]],0)</f>
        <v>0</v>
      </c>
      <c r="CG7" s="17">
        <f>IF(Table4[[#This Row],[ha2016.12]]&gt;0,Table4[[#This Row],[hp2016.12]]/Table4[[#This Row],[ha2016.12]],0)</f>
        <v>0</v>
      </c>
      <c r="CH7" s="17">
        <f>IF(Table4[[#This Row],[ha2016.FY]]&gt;0,Table4[[#This Row],[hp2016.FY]]/Table4[[#This Row],[ha2016.FY]],0)</f>
        <v>0</v>
      </c>
      <c r="CI7" s="17">
        <f>IF(Table4[[#This Row],[ha2017]]&gt;0,Table4[[#This Row],[hp2017]]/Table4[[#This Row],[ha2017]],0)</f>
        <v>0</v>
      </c>
      <c r="CJ7" s="17">
        <f>IF(Table4[[#This Row],[ha2018]]&gt;0,Table4[[#This Row],[hp2018]]/Table4[[#This Row],[ha2018]],0)</f>
        <v>0</v>
      </c>
      <c r="CK7" s="17">
        <f>IF(Table4[[#This Row],[ha2019]]&gt;0,Table4[[#This Row],[hp2019]]/Table4[[#This Row],[ha2019]],0)</f>
        <v>0</v>
      </c>
    </row>
    <row r="8" spans="1:89" x14ac:dyDescent="0.25">
      <c r="A8">
        <v>4</v>
      </c>
      <c r="B8" s="41" t="str">
        <f>CONCATENATE(FLOOR(v_TRBS*(A8-1),v_TRBS),"-",FLOOR(v_TRBS*(A8-1),v_TRBS)+v_TRBS-1)</f>
        <v>900-1199</v>
      </c>
      <c r="C8">
        <f>SUMIF(r_Press_Tonnage,Table4[[Tonnage Range]:[Tonnage Range]],t_Presses[ha2015.01])</f>
        <v>874</v>
      </c>
      <c r="D8">
        <f>SUMIF(r_Press_Tonnage,Table4[[Tonnage Range]:[Tonnage Range]],t_Presses[ha2015.02])</f>
        <v>884</v>
      </c>
      <c r="E8">
        <f>SUMIF(r_Press_Tonnage,Table4[[Tonnage Range]:[Tonnage Range]],t_Presses[ha2015.03])</f>
        <v>1156</v>
      </c>
      <c r="F8">
        <f>SUMIF(r_Press_Tonnage,Table4[[Tonnage Range]:[Tonnage Range]],t_Presses[ha2015.04])</f>
        <v>874</v>
      </c>
      <c r="G8">
        <f>SUMIF(r_Press_Tonnage,Table4[[Tonnage Range]:[Tonnage Range]],t_Presses[ha2015.05])</f>
        <v>884</v>
      </c>
      <c r="H8">
        <f>SUMIF(r_Press_Tonnage,Table4[[Tonnage Range]:[Tonnage Range]],t_Presses[ha2015.06])</f>
        <v>1156</v>
      </c>
      <c r="I8">
        <f>SUMIF(r_Press_Tonnage,Table4[[Tonnage Range]:[Tonnage Range]],t_Presses[ha2015.07])</f>
        <v>874</v>
      </c>
      <c r="J8">
        <f>SUMIF(r_Press_Tonnage,Table4[[Tonnage Range]:[Tonnage Range]],t_Presses[ha2015.08])</f>
        <v>884</v>
      </c>
      <c r="K8">
        <f>SUMIF(r_Press_Tonnage,Table4[[Tonnage Range]:[Tonnage Range]],t_Presses[ha2015.09])</f>
        <v>1156</v>
      </c>
      <c r="L8">
        <f>SUMIF(r_Press_Tonnage,Table4[[Tonnage Range]:[Tonnage Range]],t_Presses[ha2015.10])</f>
        <v>874</v>
      </c>
      <c r="M8">
        <f>SUMIF(r_Press_Tonnage,Table4[[Tonnage Range]:[Tonnage Range]],t_Presses[ha2015.11])</f>
        <v>884</v>
      </c>
      <c r="N8">
        <f>SUMIF(r_Press_Tonnage,Table4[[Tonnage Range]:[Tonnage Range]],t_Presses[ha2015.12])</f>
        <v>1156</v>
      </c>
      <c r="O8">
        <f>SUMIF(r_Press_Tonnage,Table4[[Tonnage Range]:[Tonnage Range]],t_Presses[ha2015.FY])</f>
        <v>11656</v>
      </c>
      <c r="P8" s="20">
        <f>SUMIF(r_Press_Tonnage,Table4[[Tonnage Range]:[Tonnage Range]],t_Presses[ha2016.01])</f>
        <v>874</v>
      </c>
      <c r="Q8" s="52">
        <f>SUMIF(r_Press_Tonnage,Table4[[Tonnage Range]:[Tonnage Range]],t_Presses[ha2016.02])</f>
        <v>864</v>
      </c>
      <c r="R8" s="52">
        <f>SUMIF(r_Press_Tonnage,Table4[[Tonnage Range]:[Tonnage Range]],t_Presses[ha2016.03])</f>
        <v>1156</v>
      </c>
      <c r="S8" s="52">
        <f>SUMIF(r_Press_Tonnage,Table4[[Tonnage Range]:[Tonnage Range]],t_Presses[ha2016.04])</f>
        <v>874</v>
      </c>
      <c r="T8" s="52">
        <f>SUMIF(r_Press_Tonnage,Table4[[Tonnage Range]:[Tonnage Range]],t_Presses[ha2016.05])</f>
        <v>884</v>
      </c>
      <c r="U8" s="52">
        <f>SUMIF(r_Press_Tonnage,Table4[[Tonnage Range]:[Tonnage Range]],t_Presses[ha2016.06])</f>
        <v>1156</v>
      </c>
      <c r="V8" s="52">
        <f>SUMIF(r_Press_Tonnage,Table4[[Tonnage Range]:[Tonnage Range]],t_Presses[ha2016.07])</f>
        <v>874</v>
      </c>
      <c r="W8" s="52">
        <f>SUMIF(r_Press_Tonnage,Table4[[Tonnage Range]:[Tonnage Range]],t_Presses[ha2016.08])</f>
        <v>884</v>
      </c>
      <c r="X8" s="52">
        <f>SUMIF(r_Press_Tonnage,Table4[[Tonnage Range]:[Tonnage Range]],t_Presses[ha2016.09])</f>
        <v>1156</v>
      </c>
      <c r="Y8" s="52">
        <f>SUMIF(r_Press_Tonnage,Table4[[Tonnage Range]:[Tonnage Range]],t_Presses[ha2016.10])</f>
        <v>874</v>
      </c>
      <c r="Z8" s="52">
        <f>SUMIF(r_Press_Tonnage,Table4[[Tonnage Range]:[Tonnage Range]],t_Presses[ha2016.11])</f>
        <v>844</v>
      </c>
      <c r="AA8" s="52">
        <f>SUMIF(r_Press_Tonnage,Table4[[Tonnage Range]:[Tonnage Range]],t_Presses[ha2016.12])</f>
        <v>1116</v>
      </c>
      <c r="AB8" s="52">
        <f>SUMIF(r_Press_Tonnage,Table4[[Tonnage Range]:[Tonnage Range]],t_Presses[ha2016.FY])</f>
        <v>11556</v>
      </c>
      <c r="AC8" s="52">
        <f>SUMIF(r_Press_Tonnage,Table4[[Tonnage Range]:[Tonnage Range]],t_Presses[ha2017])</f>
        <v>11556</v>
      </c>
      <c r="AD8" s="52">
        <f>SUMIF(r_Press_Tonnage,Table4[[Tonnage Range]:[Tonnage Range]],t_Presses[ha2018])</f>
        <v>11556</v>
      </c>
      <c r="AE8" s="52">
        <f>SUMIF(r_Press_Tonnage,Table4[[Tonnage Range]:[Tonnage Range]],t_Presses[ha2019])</f>
        <v>11556</v>
      </c>
      <c r="AF8" s="52">
        <f>SUMIF(r_Press_Tonnage,Table4[[Tonnage Range]:[Tonnage Range]],t_Presses[hp2015.01])</f>
        <v>0</v>
      </c>
      <c r="AG8" s="52">
        <f>SUMIF(r_Press_Tonnage,Table4[[Tonnage Range]:[Tonnage Range]],t_Presses[hp2015.02])</f>
        <v>0</v>
      </c>
      <c r="AH8" s="52">
        <f>SUMIF(r_Press_Tonnage,Table4[[Tonnage Range]:[Tonnage Range]],t_Presses[hp2015.03])</f>
        <v>0</v>
      </c>
      <c r="AI8" s="52">
        <f>SUMIF(r_Press_Tonnage,Table4[[Tonnage Range]:[Tonnage Range]],t_Presses[hp2015.04])</f>
        <v>0</v>
      </c>
      <c r="AJ8" s="52">
        <f>SUMIF(r_Press_Tonnage,Table4[[Tonnage Range]:[Tonnage Range]],t_Presses[hp2015.05])</f>
        <v>0</v>
      </c>
      <c r="AK8" s="52">
        <f>SUMIF(r_Press_Tonnage,Table4[[Tonnage Range]:[Tonnage Range]],t_Presses[hp2015.06])</f>
        <v>0</v>
      </c>
      <c r="AL8" s="52">
        <f>SUMIF(r_Press_Tonnage,Table4[[Tonnage Range]:[Tonnage Range]],t_Presses[hp2015.07])</f>
        <v>0</v>
      </c>
      <c r="AM8" s="52">
        <f>SUMIF(r_Press_Tonnage,Table4[[Tonnage Range]:[Tonnage Range]],t_Presses[hp2015.08])</f>
        <v>0</v>
      </c>
      <c r="AN8" s="52">
        <f>SUMIF(r_Press_Tonnage,Table4[[Tonnage Range]:[Tonnage Range]],t_Presses[hp2015.09])</f>
        <v>0</v>
      </c>
      <c r="AO8" s="52">
        <f>SUMIF(r_Press_Tonnage,Table4[[Tonnage Range]:[Tonnage Range]],t_Presses[hp2015.10])</f>
        <v>0</v>
      </c>
      <c r="AP8" s="52">
        <f>SUMIF(r_Press_Tonnage,Table4[[Tonnage Range]:[Tonnage Range]],t_Presses[hp2015.11])</f>
        <v>0</v>
      </c>
      <c r="AQ8" s="52">
        <f>SUMIF(r_Press_Tonnage,Table4[[Tonnage Range]:[Tonnage Range]],t_Presses[hp2015.12])</f>
        <v>0</v>
      </c>
      <c r="AR8" s="52">
        <f>SUM(Table4[[#This Row],[hp2015.01]:[hp2015.12]])</f>
        <v>0</v>
      </c>
      <c r="AS8" s="52">
        <f>SUMIF(r_Press_Tonnage,Table4[[Tonnage Range]:[Tonnage Range]],t_Presses[hp2016.01])</f>
        <v>0</v>
      </c>
      <c r="AT8" s="52">
        <f>SUMIF(r_Press_Tonnage,Table4[[Tonnage Range]:[Tonnage Range]],t_Presses[hp2016.02])</f>
        <v>0</v>
      </c>
      <c r="AU8" s="52">
        <f>SUMIF(r_Press_Tonnage,Table4[[Tonnage Range]:[Tonnage Range]],t_Presses[hp2016.03])</f>
        <v>0</v>
      </c>
      <c r="AV8" s="52">
        <f>SUMIF(r_Press_Tonnage,Table4[[Tonnage Range]:[Tonnage Range]],t_Presses[hp2016.04])</f>
        <v>0</v>
      </c>
      <c r="AW8" s="52">
        <f>SUMIF(r_Press_Tonnage,Table4[[Tonnage Range]:[Tonnage Range]],t_Presses[hp2016.05])</f>
        <v>0</v>
      </c>
      <c r="AX8" s="52">
        <f>SUMIF(r_Press_Tonnage,Table4[[Tonnage Range]:[Tonnage Range]],t_Presses[hp2016.06])</f>
        <v>0</v>
      </c>
      <c r="AY8" s="52">
        <f>SUMIF(r_Press_Tonnage,Table4[[Tonnage Range]:[Tonnage Range]],t_Presses[hp2016.07])</f>
        <v>0</v>
      </c>
      <c r="AZ8" s="52">
        <f>SUMIF(r_Press_Tonnage,Table4[[Tonnage Range]:[Tonnage Range]],t_Presses[hp2016.08])</f>
        <v>0</v>
      </c>
      <c r="BA8" s="52">
        <f>SUMIF(r_Press_Tonnage,Table4[[Tonnage Range]:[Tonnage Range]],t_Presses[hp2016.09])</f>
        <v>0</v>
      </c>
      <c r="BB8" s="52">
        <f>SUMIF(r_Press_Tonnage,Table4[[Tonnage Range]:[Tonnage Range]],t_Presses[hp2016.10])</f>
        <v>0</v>
      </c>
      <c r="BC8" s="52">
        <f>SUMIF(r_Press_Tonnage,Table4[[Tonnage Range]:[Tonnage Range]],t_Presses[hp2016.11])</f>
        <v>0</v>
      </c>
      <c r="BD8" s="52">
        <f>SUMIF(r_Press_Tonnage,Table4[[Tonnage Range]:[Tonnage Range]],t_Presses[hp2016.12])</f>
        <v>0</v>
      </c>
      <c r="BE8" s="52">
        <f>SUMIF(r_Press_Tonnage,Table4[[Tonnage Range]:[Tonnage Range]],t_Presses[hp2016.FY])</f>
        <v>0</v>
      </c>
      <c r="BF8" s="52">
        <f>SUMIF(r_Press_Tonnage,Table4[[Tonnage Range]:[Tonnage Range]],t_Presses[hp2017])</f>
        <v>0</v>
      </c>
      <c r="BG8" s="52">
        <f>SUMIF(r_Press_Tonnage,Table4[[Tonnage Range]:[Tonnage Range]],t_Presses[hp2018])</f>
        <v>0</v>
      </c>
      <c r="BH8" s="52">
        <f>SUMIF(r_Press_Tonnage,Table4[[Tonnage Range]:[Tonnage Range]],t_Presses[hp2019])</f>
        <v>0</v>
      </c>
      <c r="BI8" s="17">
        <f>IF(Table4[[#This Row],[ha2015.01]]&gt;0,Table4[[#This Row],[hp2015.01]]/Table4[[#This Row],[ha2015.01]],0)</f>
        <v>0</v>
      </c>
      <c r="BJ8" s="17">
        <f>IF(Table4[[#This Row],[ha2015.02]]&gt;0,Table4[[#This Row],[hp2015.02]]/Table4[[#This Row],[ha2015.02]],0)</f>
        <v>0</v>
      </c>
      <c r="BK8" s="17">
        <f>IF(Table4[[#This Row],[ha2015.03]]&gt;0,Table4[[#This Row],[hp2015.03]]/Table4[[#This Row],[ha2015.03]],0)</f>
        <v>0</v>
      </c>
      <c r="BL8" s="17">
        <f>IF(Table4[[#This Row],[ha2015.04]]&gt;0,Table4[[#This Row],[hp2015.04]]/Table4[[#This Row],[ha2015.04]],0)</f>
        <v>0</v>
      </c>
      <c r="BM8" s="17">
        <f>IF(Table4[[#This Row],[ha2015.05]]&gt;0,Table4[[#This Row],[hp2015.05]]/Table4[[#This Row],[ha2015.05]],0)</f>
        <v>0</v>
      </c>
      <c r="BN8" s="17">
        <f>IF(Table4[[#This Row],[ha2015.06]]&gt;0,Table4[[#This Row],[hp2015.06]]/Table4[[#This Row],[ha2015.06]],0)</f>
        <v>0</v>
      </c>
      <c r="BO8" s="17">
        <f>IF(Table4[[#This Row],[ha2015.07]]&gt;0,Table4[[#This Row],[hp2015.07]]/Table4[[#This Row],[ha2015.07]],0)</f>
        <v>0</v>
      </c>
      <c r="BP8" s="17">
        <f>IF(Table4[[#This Row],[ha2015.08]]&gt;0,Table4[[#This Row],[hp2015.08]]/Table4[[#This Row],[ha2015.08]],0)</f>
        <v>0</v>
      </c>
      <c r="BQ8" s="17">
        <f>IF(Table4[[#This Row],[ha2015.09]]&gt;0,Table4[[#This Row],[hp2015.09]]/Table4[[#This Row],[ha2015.09]],0)</f>
        <v>0</v>
      </c>
      <c r="BR8" s="17">
        <f>IF(Table4[[#This Row],[ha2015.10]]&gt;0,Table4[[#This Row],[hp2015.10]]/Table4[[#This Row],[ha2015.10]],0)</f>
        <v>0</v>
      </c>
      <c r="BS8" s="17">
        <f>IF(Table4[[#This Row],[ha2015.11]]&gt;0,Table4[[#This Row],[hp2015.11]]/Table4[[#This Row],[ha2015.11]],0)</f>
        <v>0</v>
      </c>
      <c r="BT8" s="17">
        <f>IF(Table4[[#This Row],[ha2015.12]]&gt;0,Table4[[#This Row],[hp2015.12]]/Table4[[#This Row],[ha2015.12]],0)</f>
        <v>0</v>
      </c>
      <c r="BU8" s="17">
        <f>IF(Table4[[#This Row],[ha2015.FY]]&gt;0,Table4[[#This Row],[hp2015.FY]]/Table4[[#This Row],[ha2015.FY]],0)</f>
        <v>0</v>
      </c>
      <c r="BV8" s="17">
        <f>IF(Table4[[#This Row],[ha2016.01]]&gt;0,Table4[[#This Row],[hp2016.01]]/Table4[[#This Row],[ha2016.01]],0)</f>
        <v>0</v>
      </c>
      <c r="BW8" s="17">
        <f>IF(Table4[[#This Row],[ha2016.02]]&gt;0,Table4[[#This Row],[hp2016.02]]/Table4[[#This Row],[ha2016.02]],0)</f>
        <v>0</v>
      </c>
      <c r="BX8" s="17">
        <f>IF(Table4[[#This Row],[ha2016.03]]&gt;0,Table4[[#This Row],[hp2016.03]]/Table4[[#This Row],[ha2016.03]],0)</f>
        <v>0</v>
      </c>
      <c r="BY8" s="17">
        <f>IF(Table4[[#This Row],[ha2016.04]]&gt;0,Table4[[#This Row],[hp2016.04]]/Table4[[#This Row],[ha2016.04]],0)</f>
        <v>0</v>
      </c>
      <c r="BZ8" s="17">
        <f>IF(Table4[[#This Row],[ha2016.05]]&gt;0,Table4[[#This Row],[hp2016.05]]/Table4[[#This Row],[ha2016.05]],0)</f>
        <v>0</v>
      </c>
      <c r="CA8" s="17">
        <f>IF(Table4[[#This Row],[ha2016.06]]&gt;0,Table4[[#This Row],[hp2016.06]]/Table4[[#This Row],[ha2016.06]],0)</f>
        <v>0</v>
      </c>
      <c r="CB8" s="17">
        <f>IF(Table4[[#This Row],[ha2016.07]]&gt;0,Table4[[#This Row],[hp2016.07]]/Table4[[#This Row],[ha2016.07]],0)</f>
        <v>0</v>
      </c>
      <c r="CC8" s="17">
        <f>IF(Table4[[#This Row],[ha2016.08]]&gt;0,Table4[[#This Row],[hp2016.08]]/Table4[[#This Row],[ha2016.08]],0)</f>
        <v>0</v>
      </c>
      <c r="CD8" s="17">
        <f>IF(Table4[[#This Row],[ha2016.09]]&gt;0,Table4[[#This Row],[hp2016.09]]/Table4[[#This Row],[ha2016.09]],0)</f>
        <v>0</v>
      </c>
      <c r="CE8" s="17">
        <f>IF(Table4[[#This Row],[ha2016.10]]&gt;0,Table4[[#This Row],[hp2016.10]]/Table4[[#This Row],[ha2016.10]],0)</f>
        <v>0</v>
      </c>
      <c r="CF8" s="17">
        <f>IF(Table4[[#This Row],[ha2016.11]]&gt;0,Table4[[#This Row],[hp2016.11]]/Table4[[#This Row],[ha2016.11]],0)</f>
        <v>0</v>
      </c>
      <c r="CG8" s="17">
        <f>IF(Table4[[#This Row],[ha2016.12]]&gt;0,Table4[[#This Row],[hp2016.12]]/Table4[[#This Row],[ha2016.12]],0)</f>
        <v>0</v>
      </c>
      <c r="CH8" s="17">
        <f>IF(Table4[[#This Row],[ha2016.FY]]&gt;0,Table4[[#This Row],[hp2016.FY]]/Table4[[#This Row],[ha2016.FY]],0)</f>
        <v>0</v>
      </c>
      <c r="CI8" s="17">
        <f>IF(Table4[[#This Row],[ha2017]]&gt;0,Table4[[#This Row],[hp2017]]/Table4[[#This Row],[ha2017]],0)</f>
        <v>0</v>
      </c>
      <c r="CJ8" s="17">
        <f>IF(Table4[[#This Row],[ha2018]]&gt;0,Table4[[#This Row],[hp2018]]/Table4[[#This Row],[ha2018]],0)</f>
        <v>0</v>
      </c>
      <c r="CK8" s="17">
        <f>IF(Table4[[#This Row],[ha2019]]&gt;0,Table4[[#This Row],[hp2019]]/Table4[[#This Row],[ha2019]],0)</f>
        <v>0</v>
      </c>
    </row>
    <row r="9" spans="1:89" x14ac:dyDescent="0.25">
      <c r="A9">
        <v>5</v>
      </c>
      <c r="B9" s="41" t="str">
        <f>CONCATENATE(FLOOR(v_TRBS*(A9-1),v_TRBS),"-",FLOOR(v_TRBS*(A9-1),v_TRBS)+v_TRBS-1)</f>
        <v>1200-1499</v>
      </c>
      <c r="C9">
        <f>SUMIF(r_Press_Tonnage,Table4[[Tonnage Range]:[Tonnage Range]],t_Presses[ha2015.01])</f>
        <v>0</v>
      </c>
      <c r="D9">
        <f>SUMIF(r_Press_Tonnage,Table4[[Tonnage Range]:[Tonnage Range]],t_Presses[ha2015.02])</f>
        <v>0</v>
      </c>
      <c r="E9">
        <f>SUMIF(r_Press_Tonnage,Table4[[Tonnage Range]:[Tonnage Range]],t_Presses[ha2015.03])</f>
        <v>0</v>
      </c>
      <c r="F9">
        <f>SUMIF(r_Press_Tonnage,Table4[[Tonnage Range]:[Tonnage Range]],t_Presses[ha2015.04])</f>
        <v>0</v>
      </c>
      <c r="G9">
        <f>SUMIF(r_Press_Tonnage,Table4[[Tonnage Range]:[Tonnage Range]],t_Presses[ha2015.05])</f>
        <v>0</v>
      </c>
      <c r="H9">
        <f>SUMIF(r_Press_Tonnage,Table4[[Tonnage Range]:[Tonnage Range]],t_Presses[ha2015.06])</f>
        <v>0</v>
      </c>
      <c r="I9">
        <f>SUMIF(r_Press_Tonnage,Table4[[Tonnage Range]:[Tonnage Range]],t_Presses[ha2015.07])</f>
        <v>0</v>
      </c>
      <c r="J9">
        <f>SUMIF(r_Press_Tonnage,Table4[[Tonnage Range]:[Tonnage Range]],t_Presses[ha2015.08])</f>
        <v>0</v>
      </c>
      <c r="K9">
        <f>SUMIF(r_Press_Tonnage,Table4[[Tonnage Range]:[Tonnage Range]],t_Presses[ha2015.09])</f>
        <v>0</v>
      </c>
      <c r="L9">
        <f>SUMIF(r_Press_Tonnage,Table4[[Tonnage Range]:[Tonnage Range]],t_Presses[ha2015.10])</f>
        <v>0</v>
      </c>
      <c r="M9">
        <f>SUMIF(r_Press_Tonnage,Table4[[Tonnage Range]:[Tonnage Range]],t_Presses[ha2015.11])</f>
        <v>0</v>
      </c>
      <c r="N9">
        <f>SUMIF(r_Press_Tonnage,Table4[[Tonnage Range]:[Tonnage Range]],t_Presses[ha2015.12])</f>
        <v>0</v>
      </c>
      <c r="O9">
        <f>SUMIF(r_Press_Tonnage,Table4[[Tonnage Range]:[Tonnage Range]],t_Presses[ha2015.FY])</f>
        <v>0</v>
      </c>
      <c r="P9" s="20">
        <f>SUMIF(r_Press_Tonnage,Table4[[Tonnage Range]:[Tonnage Range]],t_Presses[ha2016.01])</f>
        <v>0</v>
      </c>
      <c r="Q9" s="52">
        <f>SUMIF(r_Press_Tonnage,Table4[[Tonnage Range]:[Tonnage Range]],t_Presses[ha2016.02])</f>
        <v>0</v>
      </c>
      <c r="R9" s="52">
        <f>SUMIF(r_Press_Tonnage,Table4[[Tonnage Range]:[Tonnage Range]],t_Presses[ha2016.03])</f>
        <v>0</v>
      </c>
      <c r="S9" s="52">
        <f>SUMIF(r_Press_Tonnage,Table4[[Tonnage Range]:[Tonnage Range]],t_Presses[ha2016.04])</f>
        <v>0</v>
      </c>
      <c r="T9" s="52">
        <f>SUMIF(r_Press_Tonnage,Table4[[Tonnage Range]:[Tonnage Range]],t_Presses[ha2016.05])</f>
        <v>0</v>
      </c>
      <c r="U9" s="52">
        <f>SUMIF(r_Press_Tonnage,Table4[[Tonnage Range]:[Tonnage Range]],t_Presses[ha2016.06])</f>
        <v>0</v>
      </c>
      <c r="V9" s="52">
        <f>SUMIF(r_Press_Tonnage,Table4[[Tonnage Range]:[Tonnage Range]],t_Presses[ha2016.07])</f>
        <v>0</v>
      </c>
      <c r="W9" s="52">
        <f>SUMIF(r_Press_Tonnage,Table4[[Tonnage Range]:[Tonnage Range]],t_Presses[ha2016.08])</f>
        <v>0</v>
      </c>
      <c r="X9" s="52">
        <f>SUMIF(r_Press_Tonnage,Table4[[Tonnage Range]:[Tonnage Range]],t_Presses[ha2016.09])</f>
        <v>0</v>
      </c>
      <c r="Y9" s="52">
        <f>SUMIF(r_Press_Tonnage,Table4[[Tonnage Range]:[Tonnage Range]],t_Presses[ha2016.10])</f>
        <v>0</v>
      </c>
      <c r="Z9" s="52">
        <f>SUMIF(r_Press_Tonnage,Table4[[Tonnage Range]:[Tonnage Range]],t_Presses[ha2016.11])</f>
        <v>0</v>
      </c>
      <c r="AA9" s="52">
        <f>SUMIF(r_Press_Tonnage,Table4[[Tonnage Range]:[Tonnage Range]],t_Presses[ha2016.12])</f>
        <v>0</v>
      </c>
      <c r="AB9" s="52">
        <f>SUMIF(r_Press_Tonnage,Table4[[Tonnage Range]:[Tonnage Range]],t_Presses[ha2016.FY])</f>
        <v>0</v>
      </c>
      <c r="AC9" s="52">
        <f>SUMIF(r_Press_Tonnage,Table4[[Tonnage Range]:[Tonnage Range]],t_Presses[ha2017])</f>
        <v>0</v>
      </c>
      <c r="AD9" s="52">
        <f>SUMIF(r_Press_Tonnage,Table4[[Tonnage Range]:[Tonnage Range]],t_Presses[ha2018])</f>
        <v>0</v>
      </c>
      <c r="AE9" s="52">
        <f>SUMIF(r_Press_Tonnage,Table4[[Tonnage Range]:[Tonnage Range]],t_Presses[ha2019])</f>
        <v>0</v>
      </c>
      <c r="AF9" s="52">
        <f>SUMIF(r_Press_Tonnage,Table4[[Tonnage Range]:[Tonnage Range]],t_Presses[hp2015.01])</f>
        <v>0</v>
      </c>
      <c r="AG9" s="52">
        <f>SUMIF(r_Press_Tonnage,Table4[[Tonnage Range]:[Tonnage Range]],t_Presses[hp2015.02])</f>
        <v>0</v>
      </c>
      <c r="AH9" s="52">
        <f>SUMIF(r_Press_Tonnage,Table4[[Tonnage Range]:[Tonnage Range]],t_Presses[hp2015.03])</f>
        <v>0</v>
      </c>
      <c r="AI9" s="52">
        <f>SUMIF(r_Press_Tonnage,Table4[[Tonnage Range]:[Tonnage Range]],t_Presses[hp2015.04])</f>
        <v>0</v>
      </c>
      <c r="AJ9" s="52">
        <f>SUMIF(r_Press_Tonnage,Table4[[Tonnage Range]:[Tonnage Range]],t_Presses[hp2015.05])</f>
        <v>0</v>
      </c>
      <c r="AK9" s="52">
        <f>SUMIF(r_Press_Tonnage,Table4[[Tonnage Range]:[Tonnage Range]],t_Presses[hp2015.06])</f>
        <v>0</v>
      </c>
      <c r="AL9" s="52">
        <f>SUMIF(r_Press_Tonnage,Table4[[Tonnage Range]:[Tonnage Range]],t_Presses[hp2015.07])</f>
        <v>0</v>
      </c>
      <c r="AM9" s="52">
        <f>SUMIF(r_Press_Tonnage,Table4[[Tonnage Range]:[Tonnage Range]],t_Presses[hp2015.08])</f>
        <v>0</v>
      </c>
      <c r="AN9" s="52">
        <f>SUMIF(r_Press_Tonnage,Table4[[Tonnage Range]:[Tonnage Range]],t_Presses[hp2015.09])</f>
        <v>0</v>
      </c>
      <c r="AO9" s="52">
        <f>SUMIF(r_Press_Tonnage,Table4[[Tonnage Range]:[Tonnage Range]],t_Presses[hp2015.10])</f>
        <v>0</v>
      </c>
      <c r="AP9" s="52">
        <f>SUMIF(r_Press_Tonnage,Table4[[Tonnage Range]:[Tonnage Range]],t_Presses[hp2015.11])</f>
        <v>0</v>
      </c>
      <c r="AQ9" s="52">
        <f>SUMIF(r_Press_Tonnage,Table4[[Tonnage Range]:[Tonnage Range]],t_Presses[hp2015.12])</f>
        <v>0</v>
      </c>
      <c r="AR9" s="52">
        <f>SUM(Table4[[#This Row],[hp2015.01]:[hp2015.12]])</f>
        <v>0</v>
      </c>
      <c r="AS9" s="52">
        <f>SUMIF(r_Press_Tonnage,Table4[[Tonnage Range]:[Tonnage Range]],t_Presses[hp2016.01])</f>
        <v>0</v>
      </c>
      <c r="AT9" s="52">
        <f>SUMIF(r_Press_Tonnage,Table4[[Tonnage Range]:[Tonnage Range]],t_Presses[hp2016.02])</f>
        <v>0</v>
      </c>
      <c r="AU9" s="52">
        <f>SUMIF(r_Press_Tonnage,Table4[[Tonnage Range]:[Tonnage Range]],t_Presses[hp2016.03])</f>
        <v>0</v>
      </c>
      <c r="AV9" s="52">
        <f>SUMIF(r_Press_Tonnage,Table4[[Tonnage Range]:[Tonnage Range]],t_Presses[hp2016.04])</f>
        <v>0</v>
      </c>
      <c r="AW9" s="52">
        <f>SUMIF(r_Press_Tonnage,Table4[[Tonnage Range]:[Tonnage Range]],t_Presses[hp2016.05])</f>
        <v>0</v>
      </c>
      <c r="AX9" s="52">
        <f>SUMIF(r_Press_Tonnage,Table4[[Tonnage Range]:[Tonnage Range]],t_Presses[hp2016.06])</f>
        <v>0</v>
      </c>
      <c r="AY9" s="52">
        <f>SUMIF(r_Press_Tonnage,Table4[[Tonnage Range]:[Tonnage Range]],t_Presses[hp2016.07])</f>
        <v>0</v>
      </c>
      <c r="AZ9" s="52">
        <f>SUMIF(r_Press_Tonnage,Table4[[Tonnage Range]:[Tonnage Range]],t_Presses[hp2016.08])</f>
        <v>0</v>
      </c>
      <c r="BA9" s="52">
        <f>SUMIF(r_Press_Tonnage,Table4[[Tonnage Range]:[Tonnage Range]],t_Presses[hp2016.09])</f>
        <v>0</v>
      </c>
      <c r="BB9" s="52">
        <f>SUMIF(r_Press_Tonnage,Table4[[Tonnage Range]:[Tonnage Range]],t_Presses[hp2016.10])</f>
        <v>0</v>
      </c>
      <c r="BC9" s="52">
        <f>SUMIF(r_Press_Tonnage,Table4[[Tonnage Range]:[Tonnage Range]],t_Presses[hp2016.11])</f>
        <v>0</v>
      </c>
      <c r="BD9" s="52">
        <f>SUMIF(r_Press_Tonnage,Table4[[Tonnage Range]:[Tonnage Range]],t_Presses[hp2016.12])</f>
        <v>0</v>
      </c>
      <c r="BE9" s="52">
        <f>SUMIF(r_Press_Tonnage,Table4[[Tonnage Range]:[Tonnage Range]],t_Presses[hp2016.FY])</f>
        <v>0</v>
      </c>
      <c r="BF9" s="52">
        <f>SUMIF(r_Press_Tonnage,Table4[[Tonnage Range]:[Tonnage Range]],t_Presses[hp2017])</f>
        <v>0</v>
      </c>
      <c r="BG9" s="52">
        <f>SUMIF(r_Press_Tonnage,Table4[[Tonnage Range]:[Tonnage Range]],t_Presses[hp2018])</f>
        <v>0</v>
      </c>
      <c r="BH9" s="52">
        <f>SUMIF(r_Press_Tonnage,Table4[[Tonnage Range]:[Tonnage Range]],t_Presses[hp2019])</f>
        <v>0</v>
      </c>
      <c r="BI9" s="17">
        <f>IF(Table4[[#This Row],[ha2015.01]]&gt;0,Table4[[#This Row],[hp2015.01]]/Table4[[#This Row],[ha2015.01]],0)</f>
        <v>0</v>
      </c>
      <c r="BJ9" s="17">
        <f>IF(Table4[[#This Row],[ha2015.02]]&gt;0,Table4[[#This Row],[hp2015.02]]/Table4[[#This Row],[ha2015.02]],0)</f>
        <v>0</v>
      </c>
      <c r="BK9" s="17">
        <f>IF(Table4[[#This Row],[ha2015.03]]&gt;0,Table4[[#This Row],[hp2015.03]]/Table4[[#This Row],[ha2015.03]],0)</f>
        <v>0</v>
      </c>
      <c r="BL9" s="17">
        <f>IF(Table4[[#This Row],[ha2015.04]]&gt;0,Table4[[#This Row],[hp2015.04]]/Table4[[#This Row],[ha2015.04]],0)</f>
        <v>0</v>
      </c>
      <c r="BM9" s="17">
        <f>IF(Table4[[#This Row],[ha2015.05]]&gt;0,Table4[[#This Row],[hp2015.05]]/Table4[[#This Row],[ha2015.05]],0)</f>
        <v>0</v>
      </c>
      <c r="BN9" s="17">
        <f>IF(Table4[[#This Row],[ha2015.06]]&gt;0,Table4[[#This Row],[hp2015.06]]/Table4[[#This Row],[ha2015.06]],0)</f>
        <v>0</v>
      </c>
      <c r="BO9" s="17">
        <f>IF(Table4[[#This Row],[ha2015.07]]&gt;0,Table4[[#This Row],[hp2015.07]]/Table4[[#This Row],[ha2015.07]],0)</f>
        <v>0</v>
      </c>
      <c r="BP9" s="17">
        <f>IF(Table4[[#This Row],[ha2015.08]]&gt;0,Table4[[#This Row],[hp2015.08]]/Table4[[#This Row],[ha2015.08]],0)</f>
        <v>0</v>
      </c>
      <c r="BQ9" s="17">
        <f>IF(Table4[[#This Row],[ha2015.09]]&gt;0,Table4[[#This Row],[hp2015.09]]/Table4[[#This Row],[ha2015.09]],0)</f>
        <v>0</v>
      </c>
      <c r="BR9" s="17">
        <f>IF(Table4[[#This Row],[ha2015.10]]&gt;0,Table4[[#This Row],[hp2015.10]]/Table4[[#This Row],[ha2015.10]],0)</f>
        <v>0</v>
      </c>
      <c r="BS9" s="17">
        <f>IF(Table4[[#This Row],[ha2015.11]]&gt;0,Table4[[#This Row],[hp2015.11]]/Table4[[#This Row],[ha2015.11]],0)</f>
        <v>0</v>
      </c>
      <c r="BT9" s="17">
        <f>IF(Table4[[#This Row],[ha2015.12]]&gt;0,Table4[[#This Row],[hp2015.12]]/Table4[[#This Row],[ha2015.12]],0)</f>
        <v>0</v>
      </c>
      <c r="BU9" s="17">
        <f>IF(Table4[[#This Row],[ha2015.FY]]&gt;0,Table4[[#This Row],[hp2015.FY]]/Table4[[#This Row],[ha2015.FY]],0)</f>
        <v>0</v>
      </c>
      <c r="BV9" s="17">
        <f>IF(Table4[[#This Row],[ha2016.01]]&gt;0,Table4[[#This Row],[hp2016.01]]/Table4[[#This Row],[ha2016.01]],0)</f>
        <v>0</v>
      </c>
      <c r="BW9" s="17">
        <f>IF(Table4[[#This Row],[ha2016.02]]&gt;0,Table4[[#This Row],[hp2016.02]]/Table4[[#This Row],[ha2016.02]],0)</f>
        <v>0</v>
      </c>
      <c r="BX9" s="17">
        <f>IF(Table4[[#This Row],[ha2016.03]]&gt;0,Table4[[#This Row],[hp2016.03]]/Table4[[#This Row],[ha2016.03]],0)</f>
        <v>0</v>
      </c>
      <c r="BY9" s="17">
        <f>IF(Table4[[#This Row],[ha2016.04]]&gt;0,Table4[[#This Row],[hp2016.04]]/Table4[[#This Row],[ha2016.04]],0)</f>
        <v>0</v>
      </c>
      <c r="BZ9" s="17">
        <f>IF(Table4[[#This Row],[ha2016.05]]&gt;0,Table4[[#This Row],[hp2016.05]]/Table4[[#This Row],[ha2016.05]],0)</f>
        <v>0</v>
      </c>
      <c r="CA9" s="17">
        <f>IF(Table4[[#This Row],[ha2016.06]]&gt;0,Table4[[#This Row],[hp2016.06]]/Table4[[#This Row],[ha2016.06]],0)</f>
        <v>0</v>
      </c>
      <c r="CB9" s="17">
        <f>IF(Table4[[#This Row],[ha2016.07]]&gt;0,Table4[[#This Row],[hp2016.07]]/Table4[[#This Row],[ha2016.07]],0)</f>
        <v>0</v>
      </c>
      <c r="CC9" s="17">
        <f>IF(Table4[[#This Row],[ha2016.08]]&gt;0,Table4[[#This Row],[hp2016.08]]/Table4[[#This Row],[ha2016.08]],0)</f>
        <v>0</v>
      </c>
      <c r="CD9" s="17">
        <f>IF(Table4[[#This Row],[ha2016.09]]&gt;0,Table4[[#This Row],[hp2016.09]]/Table4[[#This Row],[ha2016.09]],0)</f>
        <v>0</v>
      </c>
      <c r="CE9" s="17">
        <f>IF(Table4[[#This Row],[ha2016.10]]&gt;0,Table4[[#This Row],[hp2016.10]]/Table4[[#This Row],[ha2016.10]],0)</f>
        <v>0</v>
      </c>
      <c r="CF9" s="17">
        <f>IF(Table4[[#This Row],[ha2016.11]]&gt;0,Table4[[#This Row],[hp2016.11]]/Table4[[#This Row],[ha2016.11]],0)</f>
        <v>0</v>
      </c>
      <c r="CG9" s="17">
        <f>IF(Table4[[#This Row],[ha2016.12]]&gt;0,Table4[[#This Row],[hp2016.12]]/Table4[[#This Row],[ha2016.12]],0)</f>
        <v>0</v>
      </c>
      <c r="CH9" s="17">
        <f>IF(Table4[[#This Row],[ha2016.FY]]&gt;0,Table4[[#This Row],[hp2016.FY]]/Table4[[#This Row],[ha2016.FY]],0)</f>
        <v>0</v>
      </c>
      <c r="CI9" s="17">
        <f>IF(Table4[[#This Row],[ha2017]]&gt;0,Table4[[#This Row],[hp2017]]/Table4[[#This Row],[ha2017]],0)</f>
        <v>0</v>
      </c>
      <c r="CJ9" s="17">
        <f>IF(Table4[[#This Row],[ha2018]]&gt;0,Table4[[#This Row],[hp2018]]/Table4[[#This Row],[ha2018]],0)</f>
        <v>0</v>
      </c>
      <c r="CK9" s="17">
        <f>IF(Table4[[#This Row],[ha2019]]&gt;0,Table4[[#This Row],[hp2019]]/Table4[[#This Row],[ha2019]],0)</f>
        <v>0</v>
      </c>
    </row>
    <row r="10" spans="1:89" x14ac:dyDescent="0.25">
      <c r="C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</row>
    <row r="11" spans="1:89" x14ac:dyDescent="0.25">
      <c r="C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</row>
    <row r="12" spans="1:89" x14ac:dyDescent="0.25">
      <c r="C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</row>
    <row r="13" spans="1:89" x14ac:dyDescent="0.25">
      <c r="C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  <c r="BG13" s="52"/>
      <c r="BH13" s="52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</row>
    <row r="14" spans="1:89" x14ac:dyDescent="0.25">
      <c r="C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/>
      <c r="BB14" s="52"/>
      <c r="BC14" s="52"/>
      <c r="BD14" s="52"/>
      <c r="BE14" s="52"/>
      <c r="BF14" s="52"/>
      <c r="BG14" s="52"/>
      <c r="BH14" s="52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</row>
    <row r="15" spans="1:89" x14ac:dyDescent="0.25">
      <c r="C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</row>
    <row r="16" spans="1:89" x14ac:dyDescent="0.25">
      <c r="C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/>
      <c r="BB16" s="52"/>
      <c r="BC16" s="52"/>
      <c r="BD16" s="52"/>
      <c r="BE16" s="52"/>
      <c r="BF16" s="52"/>
      <c r="BG16" s="52"/>
      <c r="BH16" s="52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</row>
    <row r="17" spans="3:73" x14ac:dyDescent="0.25">
      <c r="C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</row>
    <row r="18" spans="3:73" x14ac:dyDescent="0.25">
      <c r="C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</row>
    <row r="19" spans="3:73" x14ac:dyDescent="0.25">
      <c r="C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52"/>
      <c r="BH19" s="52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</row>
    <row r="20" spans="3:73" x14ac:dyDescent="0.25">
      <c r="C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52"/>
      <c r="BH20" s="52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</row>
    <row r="21" spans="3:73" x14ac:dyDescent="0.25">
      <c r="C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/>
      <c r="BB21" s="52"/>
      <c r="BC21" s="52"/>
      <c r="BD21" s="52"/>
      <c r="BE21" s="52"/>
      <c r="BF21" s="52"/>
      <c r="BG21" s="52"/>
      <c r="BH21" s="52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</row>
    <row r="22" spans="3:73" x14ac:dyDescent="0.25">
      <c r="C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52"/>
      <c r="BF22" s="52"/>
      <c r="BG22" s="52"/>
      <c r="BH22" s="52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</row>
    <row r="23" spans="3:73" x14ac:dyDescent="0.25">
      <c r="C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</row>
    <row r="24" spans="3:73" x14ac:dyDescent="0.25">
      <c r="C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52"/>
      <c r="BF24" s="52"/>
      <c r="BG24" s="52"/>
      <c r="BH24" s="52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</row>
    <row r="25" spans="3:73" x14ac:dyDescent="0.25">
      <c r="C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/>
      <c r="BB25" s="52"/>
      <c r="BC25" s="52"/>
      <c r="BD25" s="52"/>
      <c r="BE25" s="52"/>
      <c r="BF25" s="52"/>
      <c r="BG25" s="52"/>
      <c r="BH25" s="52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</row>
    <row r="26" spans="3:73" x14ac:dyDescent="0.25">
      <c r="C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/>
      <c r="BB26" s="52"/>
      <c r="BC26" s="52"/>
      <c r="BD26" s="52"/>
      <c r="BE26" s="52"/>
      <c r="BF26" s="52"/>
      <c r="BG26" s="52"/>
      <c r="BH26" s="52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</row>
    <row r="27" spans="3:73" x14ac:dyDescent="0.25">
      <c r="C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  <c r="BE27" s="52"/>
      <c r="BF27" s="52"/>
      <c r="BG27" s="52"/>
      <c r="BH27" s="52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</row>
    <row r="28" spans="3:73" x14ac:dyDescent="0.25">
      <c r="C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52"/>
      <c r="BF28" s="52"/>
      <c r="BG28" s="52"/>
      <c r="BH28" s="52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</row>
    <row r="29" spans="3:73" x14ac:dyDescent="0.25">
      <c r="C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/>
      <c r="BB29" s="52"/>
      <c r="BC29" s="52"/>
      <c r="BD29" s="52"/>
      <c r="BE29" s="52"/>
      <c r="BF29" s="52"/>
      <c r="BG29" s="52"/>
      <c r="BH29" s="52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</row>
    <row r="30" spans="3:73" x14ac:dyDescent="0.25">
      <c r="C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2"/>
      <c r="BA30" s="52"/>
      <c r="BB30" s="52"/>
      <c r="BC30" s="52"/>
      <c r="BD30" s="52"/>
      <c r="BE30" s="52"/>
      <c r="BF30" s="52"/>
      <c r="BG30" s="52"/>
      <c r="BH30" s="52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</row>
    <row r="31" spans="3:73" x14ac:dyDescent="0.25">
      <c r="C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  <c r="AZ31" s="52"/>
      <c r="BA31" s="52"/>
      <c r="BB31" s="52"/>
      <c r="BC31" s="52"/>
      <c r="BD31" s="52"/>
      <c r="BE31" s="52"/>
      <c r="BF31" s="52"/>
      <c r="BG31" s="52"/>
      <c r="BH31" s="52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</row>
    <row r="32" spans="3:73" x14ac:dyDescent="0.25">
      <c r="C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</row>
    <row r="33" spans="3:73" x14ac:dyDescent="0.25">
      <c r="C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/>
      <c r="BB33" s="52"/>
      <c r="BC33" s="52"/>
      <c r="BD33" s="52"/>
      <c r="BE33" s="52"/>
      <c r="BF33" s="52"/>
      <c r="BG33" s="52"/>
      <c r="BH33" s="52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</row>
    <row r="34" spans="3:73" x14ac:dyDescent="0.25">
      <c r="C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/>
      <c r="BB34" s="52"/>
      <c r="BC34" s="52"/>
      <c r="BD34" s="52"/>
      <c r="BE34" s="52"/>
      <c r="BF34" s="52"/>
      <c r="BG34" s="52"/>
      <c r="BH34" s="52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</row>
    <row r="35" spans="3:73" x14ac:dyDescent="0.25">
      <c r="C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</row>
    <row r="36" spans="3:73" x14ac:dyDescent="0.25">
      <c r="C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/>
      <c r="BB36" s="52"/>
      <c r="BC36" s="52"/>
      <c r="BD36" s="52"/>
      <c r="BE36" s="52"/>
      <c r="BF36" s="52"/>
      <c r="BG36" s="52"/>
      <c r="BH36" s="52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</row>
    <row r="37" spans="3:73" x14ac:dyDescent="0.25">
      <c r="C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</row>
    <row r="38" spans="3:73" x14ac:dyDescent="0.25">
      <c r="C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</row>
    <row r="39" spans="3:73" x14ac:dyDescent="0.25">
      <c r="C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</row>
    <row r="40" spans="3:73" x14ac:dyDescent="0.25">
      <c r="C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2"/>
      <c r="BE40" s="52"/>
      <c r="BF40" s="52"/>
      <c r="BG40" s="52"/>
      <c r="BH40" s="52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</row>
    <row r="41" spans="3:73" x14ac:dyDescent="0.25">
      <c r="C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2"/>
      <c r="BE41" s="52"/>
      <c r="BF41" s="52"/>
      <c r="BG41" s="52"/>
      <c r="BH41" s="52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</row>
    <row r="42" spans="3:73" x14ac:dyDescent="0.25">
      <c r="C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2"/>
      <c r="BE42" s="52"/>
      <c r="BF42" s="52"/>
      <c r="BG42" s="52"/>
      <c r="BH42" s="52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</row>
    <row r="43" spans="3:73" x14ac:dyDescent="0.25">
      <c r="C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2"/>
      <c r="AT43" s="52"/>
      <c r="AU43" s="52"/>
      <c r="AV43" s="52"/>
      <c r="AW43" s="52"/>
      <c r="AX43" s="52"/>
      <c r="AY43" s="52"/>
      <c r="AZ43" s="52"/>
      <c r="BA43" s="52"/>
      <c r="BB43" s="52"/>
      <c r="BC43" s="52"/>
      <c r="BD43" s="52"/>
      <c r="BE43" s="52"/>
      <c r="BF43" s="52"/>
      <c r="BG43" s="52"/>
      <c r="BH43" s="52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</row>
    <row r="44" spans="3:73" x14ac:dyDescent="0.25">
      <c r="C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AZ44" s="52"/>
      <c r="BA44" s="52"/>
      <c r="BB44" s="52"/>
      <c r="BC44" s="52"/>
      <c r="BD44" s="52"/>
      <c r="BE44" s="52"/>
      <c r="BF44" s="52"/>
      <c r="BG44" s="52"/>
      <c r="BH44" s="52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</row>
    <row r="45" spans="3:73" x14ac:dyDescent="0.25">
      <c r="C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2"/>
      <c r="BA45" s="52"/>
      <c r="BB45" s="52"/>
      <c r="BC45" s="52"/>
      <c r="BD45" s="52"/>
      <c r="BE45" s="52"/>
      <c r="BF45" s="52"/>
      <c r="BG45" s="52"/>
      <c r="BH45" s="52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</row>
    <row r="46" spans="3:73" x14ac:dyDescent="0.25">
      <c r="C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2"/>
      <c r="BA46" s="52"/>
      <c r="BB46" s="52"/>
      <c r="BC46" s="52"/>
      <c r="BD46" s="52"/>
      <c r="BE46" s="52"/>
      <c r="BF46" s="52"/>
      <c r="BG46" s="52"/>
      <c r="BH46" s="52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</row>
    <row r="47" spans="3:73" x14ac:dyDescent="0.25">
      <c r="C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  <c r="BA47" s="52"/>
      <c r="BB47" s="52"/>
      <c r="BC47" s="52"/>
      <c r="BD47" s="52"/>
      <c r="BE47" s="52"/>
      <c r="BF47" s="52"/>
      <c r="BG47" s="52"/>
      <c r="BH47" s="52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</row>
    <row r="48" spans="3:73" x14ac:dyDescent="0.25">
      <c r="C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52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</row>
    <row r="50" spans="3:61" x14ac:dyDescent="0.25">
      <c r="BI50" s="4"/>
    </row>
    <row r="53" spans="3:61" x14ac:dyDescent="0.25">
      <c r="C53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btnMenuToggle">
                <anchor moveWithCells="1">
                  <from>
                    <xdr:col>1</xdr:col>
                    <xdr:colOff>1123950</xdr:colOff>
                    <xdr:row>2</xdr:row>
                    <xdr:rowOff>28575</xdr:rowOff>
                  </from>
                  <to>
                    <xdr:col>1</xdr:col>
                    <xdr:colOff>1447800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6469DCC7-0BFE-4BE4-BA5C-E81AA581070E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BI5:CK9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O54"/>
  <sheetViews>
    <sheetView workbookViewId="0">
      <pane xSplit="2" ySplit="4" topLeftCell="C5" activePane="bottomRight" state="frozen"/>
      <selection pane="topRight" activeCell="C1" sqref="C1"/>
      <selection pane="bottomLeft" activeCell="A4" sqref="A4"/>
      <selection pane="bottomRight" activeCell="A2" sqref="A2:XFD2"/>
    </sheetView>
  </sheetViews>
  <sheetFormatPr defaultRowHeight="15" outlineLevelCol="1" x14ac:dyDescent="0.25"/>
  <cols>
    <col min="1" max="1" width="8.7109375" style="16" customWidth="1"/>
    <col min="2" max="2" width="10.7109375" customWidth="1"/>
    <col min="3" max="3" width="11.5703125" customWidth="1"/>
    <col min="4" max="4" width="11.7109375" customWidth="1"/>
    <col min="5" max="5" width="12.28515625" customWidth="1"/>
    <col min="6" max="6" width="11.140625" customWidth="1"/>
    <col min="7" max="34" width="11.85546875" hidden="1" customWidth="1" outlineLevel="1"/>
    <col min="35" max="35" width="11.85546875" customWidth="1" collapsed="1"/>
    <col min="36" max="47" width="12" hidden="1" customWidth="1" outlineLevel="1"/>
    <col min="48" max="63" width="12.28515625" hidden="1" customWidth="1" outlineLevel="1"/>
    <col min="64" max="64" width="12.28515625" customWidth="1" collapsed="1"/>
    <col min="65" max="79" width="9.85546875" hidden="1" customWidth="1" outlineLevel="1"/>
    <col min="80" max="89" width="9.140625" hidden="1" customWidth="1" outlineLevel="1"/>
    <col min="90" max="90" width="11.5703125" hidden="1" customWidth="1" outlineLevel="1"/>
    <col min="91" max="92" width="9.140625" hidden="1" customWidth="1" outlineLevel="1"/>
    <col min="93" max="93" width="10.7109375" customWidth="1" collapsed="1"/>
  </cols>
  <sheetData>
    <row r="1" spans="1:93" s="35" customFormat="1" x14ac:dyDescent="0.25">
      <c r="A1" s="35">
        <f>COLUMN()</f>
        <v>1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</row>
    <row r="2" spans="1:93" s="35" customFormat="1" x14ac:dyDescent="0.25"/>
    <row r="3" spans="1:93" x14ac:dyDescent="0.25">
      <c r="A3" s="36" t="s">
        <v>177</v>
      </c>
      <c r="B3" s="13"/>
      <c r="C3" s="13"/>
      <c r="D3" s="13"/>
      <c r="E3" s="38" t="s">
        <v>165</v>
      </c>
      <c r="F3" s="6"/>
      <c r="G3" s="10" t="s">
        <v>55</v>
      </c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53" t="s">
        <v>54</v>
      </c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  <c r="AI3" s="53" t="s">
        <v>54</v>
      </c>
      <c r="AJ3" s="1" t="s">
        <v>190</v>
      </c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54" t="s">
        <v>176</v>
      </c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 t="s">
        <v>100</v>
      </c>
      <c r="BM3" s="2" t="s">
        <v>6</v>
      </c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55" t="s">
        <v>437</v>
      </c>
      <c r="BZ3" s="55"/>
      <c r="CA3" s="55"/>
      <c r="CB3" s="2"/>
      <c r="CC3" s="2"/>
      <c r="CD3" s="2"/>
      <c r="CE3" s="2"/>
      <c r="CF3" s="2"/>
      <c r="CG3" s="2"/>
      <c r="CH3" s="2"/>
      <c r="CI3" s="2"/>
      <c r="CJ3" s="2"/>
      <c r="CK3" s="2"/>
      <c r="CL3" s="2" t="s">
        <v>438</v>
      </c>
      <c r="CM3" s="2"/>
      <c r="CN3" s="2"/>
      <c r="CO3" s="55" t="s">
        <v>175</v>
      </c>
    </row>
    <row r="4" spans="1:93" x14ac:dyDescent="0.25">
      <c r="A4" s="37" t="s">
        <v>0</v>
      </c>
      <c r="B4" s="7" t="s">
        <v>38</v>
      </c>
      <c r="C4" s="7" t="s">
        <v>125</v>
      </c>
      <c r="D4" s="7" t="s">
        <v>2</v>
      </c>
      <c r="E4" t="s">
        <v>289</v>
      </c>
      <c r="F4" s="7" t="s">
        <v>30</v>
      </c>
      <c r="G4" s="10" t="s">
        <v>14</v>
      </c>
      <c r="H4" s="10" t="s">
        <v>13</v>
      </c>
      <c r="I4" s="10" t="s">
        <v>15</v>
      </c>
      <c r="J4" s="10" t="s">
        <v>43</v>
      </c>
      <c r="K4" s="10" t="s">
        <v>44</v>
      </c>
      <c r="L4" s="10" t="s">
        <v>45</v>
      </c>
      <c r="M4" s="10" t="s">
        <v>46</v>
      </c>
      <c r="N4" s="10" t="s">
        <v>47</v>
      </c>
      <c r="O4" s="10" t="s">
        <v>48</v>
      </c>
      <c r="P4" s="10" t="s">
        <v>49</v>
      </c>
      <c r="Q4" s="10" t="s">
        <v>50</v>
      </c>
      <c r="R4" s="10" t="s">
        <v>51</v>
      </c>
      <c r="S4" s="10" t="s">
        <v>52</v>
      </c>
      <c r="T4" s="10" t="s">
        <v>373</v>
      </c>
      <c r="U4" s="10" t="s">
        <v>374</v>
      </c>
      <c r="V4" s="10" t="s">
        <v>375</v>
      </c>
      <c r="W4" s="10" t="s">
        <v>376</v>
      </c>
      <c r="X4" s="10" t="s">
        <v>377</v>
      </c>
      <c r="Y4" s="10" t="s">
        <v>378</v>
      </c>
      <c r="Z4" s="10" t="s">
        <v>379</v>
      </c>
      <c r="AA4" s="10" t="s">
        <v>380</v>
      </c>
      <c r="AB4" s="10" t="s">
        <v>381</v>
      </c>
      <c r="AC4" s="10" t="s">
        <v>382</v>
      </c>
      <c r="AD4" s="10" t="s">
        <v>383</v>
      </c>
      <c r="AE4" s="10" t="s">
        <v>384</v>
      </c>
      <c r="AF4" s="10" t="s">
        <v>385</v>
      </c>
      <c r="AG4" s="10" t="s">
        <v>386</v>
      </c>
      <c r="AH4" s="10" t="s">
        <v>387</v>
      </c>
      <c r="AI4" s="10" t="s">
        <v>404</v>
      </c>
      <c r="AJ4" s="1" t="s">
        <v>69</v>
      </c>
      <c r="AK4" s="1" t="s">
        <v>70</v>
      </c>
      <c r="AL4" s="1" t="s">
        <v>71</v>
      </c>
      <c r="AM4" s="1" t="s">
        <v>72</v>
      </c>
      <c r="AN4" s="1" t="s">
        <v>73</v>
      </c>
      <c r="AO4" s="1" t="s">
        <v>74</v>
      </c>
      <c r="AP4" s="1" t="s">
        <v>75</v>
      </c>
      <c r="AQ4" s="1" t="s">
        <v>76</v>
      </c>
      <c r="AR4" s="1" t="s">
        <v>77</v>
      </c>
      <c r="AS4" s="1" t="s">
        <v>78</v>
      </c>
      <c r="AT4" s="1" t="s">
        <v>79</v>
      </c>
      <c r="AU4" s="1" t="s">
        <v>80</v>
      </c>
      <c r="AV4" s="1" t="s">
        <v>81</v>
      </c>
      <c r="AW4" s="1" t="s">
        <v>388</v>
      </c>
      <c r="AX4" s="1" t="s">
        <v>389</v>
      </c>
      <c r="AY4" s="1" t="s">
        <v>390</v>
      </c>
      <c r="AZ4" s="1" t="s">
        <v>391</v>
      </c>
      <c r="BA4" s="1" t="s">
        <v>392</v>
      </c>
      <c r="BB4" s="1" t="s">
        <v>393</v>
      </c>
      <c r="BC4" s="1" t="s">
        <v>394</v>
      </c>
      <c r="BD4" s="1" t="s">
        <v>395</v>
      </c>
      <c r="BE4" s="1" t="s">
        <v>396</v>
      </c>
      <c r="BF4" s="1" t="s">
        <v>397</v>
      </c>
      <c r="BG4" s="1" t="s">
        <v>398</v>
      </c>
      <c r="BH4" s="1" t="s">
        <v>399</v>
      </c>
      <c r="BI4" s="1" t="s">
        <v>400</v>
      </c>
      <c r="BJ4" s="1" t="s">
        <v>401</v>
      </c>
      <c r="BK4" s="1" t="s">
        <v>402</v>
      </c>
      <c r="BL4" s="1" t="s">
        <v>403</v>
      </c>
      <c r="BM4" s="2" t="s">
        <v>16</v>
      </c>
      <c r="BN4" s="2" t="s">
        <v>17</v>
      </c>
      <c r="BO4" s="2" t="s">
        <v>18</v>
      </c>
      <c r="BP4" s="2" t="s">
        <v>86</v>
      </c>
      <c r="BQ4" s="2" t="s">
        <v>87</v>
      </c>
      <c r="BR4" s="2" t="s">
        <v>88</v>
      </c>
      <c r="BS4" s="2" t="s">
        <v>89</v>
      </c>
      <c r="BT4" s="2" t="s">
        <v>90</v>
      </c>
      <c r="BU4" s="2" t="s">
        <v>91</v>
      </c>
      <c r="BV4" s="2" t="s">
        <v>99</v>
      </c>
      <c r="BW4" s="2" t="s">
        <v>93</v>
      </c>
      <c r="BX4" s="2" t="s">
        <v>94</v>
      </c>
      <c r="BY4" s="2" t="s">
        <v>82</v>
      </c>
      <c r="BZ4" s="2" t="s">
        <v>338</v>
      </c>
      <c r="CA4" s="2" t="s">
        <v>339</v>
      </c>
      <c r="CB4" s="2" t="s">
        <v>340</v>
      </c>
      <c r="CC4" s="2" t="s">
        <v>341</v>
      </c>
      <c r="CD4" s="2" t="s">
        <v>342</v>
      </c>
      <c r="CE4" s="2" t="s">
        <v>343</v>
      </c>
      <c r="CF4" s="2" t="s">
        <v>344</v>
      </c>
      <c r="CG4" s="2" t="s">
        <v>345</v>
      </c>
      <c r="CH4" s="2" t="s">
        <v>346</v>
      </c>
      <c r="CI4" s="2" t="s">
        <v>347</v>
      </c>
      <c r="CJ4" s="2" t="s">
        <v>348</v>
      </c>
      <c r="CK4" s="2" t="s">
        <v>349</v>
      </c>
      <c r="CL4" s="2" t="s">
        <v>350</v>
      </c>
      <c r="CM4" s="2" t="s">
        <v>83</v>
      </c>
      <c r="CN4" s="2" t="s">
        <v>84</v>
      </c>
      <c r="CO4" s="2" t="s">
        <v>85</v>
      </c>
    </row>
    <row r="5" spans="1:93" x14ac:dyDescent="0.25">
      <c r="A5" s="16">
        <v>21001</v>
      </c>
      <c r="B5" t="s">
        <v>8</v>
      </c>
      <c r="C5" t="s">
        <v>126</v>
      </c>
      <c r="D5">
        <v>400</v>
      </c>
      <c r="E5" t="str">
        <f t="shared" ref="E5:E49" si="0">CONCATENATE(FLOOR(D5,v_TRBS),"-",FLOOR(D5,v_TRBS)+v_TRBS-1)</f>
        <v>300-599</v>
      </c>
      <c r="F5" s="15"/>
      <c r="G5">
        <f>VLOOKUP(t_Presses[[Plant]:[Plant]],t_Plants[],Plants!CM$1,FALSE)</f>
        <v>250</v>
      </c>
      <c r="H5">
        <f>VLOOKUP(t_Presses[[Plant]:[Plant]],t_Plants[],Plants!CN$1,FALSE)</f>
        <v>260</v>
      </c>
      <c r="I5">
        <f>VLOOKUP(t_Presses[[Plant]:[Plant]],t_Plants[],Plants!CO$1,FALSE)</f>
        <v>340</v>
      </c>
      <c r="J5">
        <f>VLOOKUP(t_Presses[[Plant]:[Plant]],t_Plants[],Plants!CP$1,FALSE)</f>
        <v>250</v>
      </c>
      <c r="K5">
        <f>VLOOKUP(t_Presses[[Plant]:[Plant]],t_Plants[],Plants!CQ$1,FALSE)</f>
        <v>260</v>
      </c>
      <c r="L5">
        <f>VLOOKUP(t_Presses[[Plant]:[Plant]],t_Plants[],Plants!CR$1,FALSE)</f>
        <v>340</v>
      </c>
      <c r="M5">
        <f>VLOOKUP(t_Presses[[Plant]:[Plant]],t_Plants[],Plants!CS$1,FALSE)</f>
        <v>250</v>
      </c>
      <c r="N5">
        <f>VLOOKUP(t_Presses[[Plant]:[Plant]],t_Plants[],Plants!CT$1,FALSE)</f>
        <v>260</v>
      </c>
      <c r="O5">
        <f>VLOOKUP(t_Presses[[Plant]:[Plant]],t_Plants[],Plants!CU$1,FALSE)</f>
        <v>340</v>
      </c>
      <c r="P5">
        <f>VLOOKUP(t_Presses[[Plant]:[Plant]],t_Plants[],Plants!CV$1,FALSE)</f>
        <v>250</v>
      </c>
      <c r="Q5">
        <f>VLOOKUP(t_Presses[[Plant]:[Plant]],t_Plants[],Plants!CW$1,FALSE)</f>
        <v>260</v>
      </c>
      <c r="R5">
        <f>VLOOKUP(t_Presses[[Plant]:[Plant]],t_Plants[],Plants!CX$1,FALSE)</f>
        <v>340</v>
      </c>
      <c r="S5">
        <f>SUM(t_Presses[[#This Row],[ha2015.01]:[ha2015.12]])</f>
        <v>3400</v>
      </c>
      <c r="T5">
        <f>VLOOKUP(t_Presses[[Plant]:[Plant]],t_Plants[],Plants!CZ$1,FALSE)</f>
        <v>250</v>
      </c>
      <c r="U5">
        <f>VLOOKUP(t_Presses[[Plant]:[Plant]],t_Plants[],Plants!DA$1,FALSE)</f>
        <v>240</v>
      </c>
      <c r="V5">
        <f>VLOOKUP(t_Presses[[Plant]:[Plant]],t_Plants[],Plants!DB$1,FALSE)</f>
        <v>340</v>
      </c>
      <c r="W5">
        <f>VLOOKUP(t_Presses[[Plant]:[Plant]],t_Plants[],Plants!DC$1,FALSE)</f>
        <v>250</v>
      </c>
      <c r="X5">
        <f>VLOOKUP(t_Presses[[Plant]:[Plant]],t_Plants[],Plants!DD$1,FALSE)</f>
        <v>260</v>
      </c>
      <c r="Y5">
        <f>VLOOKUP(t_Presses[[Plant]:[Plant]],t_Plants[],Plants!DE$1,FALSE)</f>
        <v>340</v>
      </c>
      <c r="Z5">
        <f>VLOOKUP(t_Presses[[Plant]:[Plant]],t_Plants[],Plants!DF$1,FALSE)</f>
        <v>250</v>
      </c>
      <c r="AA5">
        <f>VLOOKUP(t_Presses[[Plant]:[Plant]],t_Plants[],Plants!DG$1,FALSE)</f>
        <v>260</v>
      </c>
      <c r="AB5">
        <f>VLOOKUP(t_Presses[[Plant]:[Plant]],t_Plants[],Plants!DH$1,FALSE)</f>
        <v>340</v>
      </c>
      <c r="AC5">
        <f>VLOOKUP(t_Presses[[Plant]:[Plant]],t_Plants[],Plants!DI$1,FALSE)</f>
        <v>250</v>
      </c>
      <c r="AD5">
        <f>VLOOKUP(t_Presses[[Plant]:[Plant]],t_Plants[],Plants!DJ$1,FALSE)</f>
        <v>220</v>
      </c>
      <c r="AE5">
        <f>VLOOKUP(t_Presses[[Plant]:[Plant]],t_Plants[],Plants!DK$1,FALSE)</f>
        <v>300</v>
      </c>
      <c r="AF5">
        <f>SUM(t_Presses[[#This Row],[ha2016.01]:[ha2016.12]])</f>
        <v>3300</v>
      </c>
      <c r="AG5">
        <f>VLOOKUP(t_Presses[[Plant]:[Plant]],t_Plants[],Plants!DM$1,FALSE)</f>
        <v>3300</v>
      </c>
      <c r="AH5">
        <f>VLOOKUP(t_Presses[[Plant]:[Plant]],t_Plants[],Plants!DN$1,FALSE)</f>
        <v>3300</v>
      </c>
      <c r="AI5">
        <f>VLOOKUP(t_Presses[[Plant]:[Plant]],t_Plants[],Plants!DO$1,FALSE)</f>
        <v>3300</v>
      </c>
      <c r="AJ5" s="52">
        <f>SUMIF(r_PartPresses,t_Presses[[PRESS]:[PRESS]],t_Parts[hp2015.01])</f>
        <v>0</v>
      </c>
      <c r="AK5" s="52">
        <f>SUMIF(r_PartPresses,t_Presses[[PRESS]:[PRESS]],t_Parts[hp2015.02])</f>
        <v>0</v>
      </c>
      <c r="AL5" s="52">
        <f>SUMIF(r_PartPresses,t_Presses[[PRESS]:[PRESS]],t_Parts[hp2015.03])</f>
        <v>0</v>
      </c>
      <c r="AM5" s="52">
        <f>SUMIF(r_PartPresses,t_Presses[[PRESS]:[PRESS]],t_Parts[hp2015.04])</f>
        <v>0</v>
      </c>
      <c r="AN5" s="52">
        <f>SUMIF(r_PartPresses,t_Presses[[PRESS]:[PRESS]],t_Parts[hp2015.05])</f>
        <v>0</v>
      </c>
      <c r="AO5" s="52">
        <f>SUMIF(r_PartPresses,t_Presses[[PRESS]:[PRESS]],t_Parts[hp2015.06])</f>
        <v>0</v>
      </c>
      <c r="AP5" s="52">
        <f>SUMIF(r_PartPresses,t_Presses[[PRESS]:[PRESS]],t_Parts[hp2015.07])</f>
        <v>0</v>
      </c>
      <c r="AQ5" s="52">
        <f>SUMIF(r_PartPresses,t_Presses[[PRESS]:[PRESS]],t_Parts[hp2015.08])</f>
        <v>0</v>
      </c>
      <c r="AR5" s="52">
        <f>SUMIF(r_PartPresses,t_Presses[[PRESS]:[PRESS]],t_Parts[hp2015.09])</f>
        <v>0</v>
      </c>
      <c r="AS5" s="52">
        <f>SUMIF(r_PartPresses,t_Presses[[PRESS]:[PRESS]],t_Parts[hp2015.10])</f>
        <v>0</v>
      </c>
      <c r="AT5" s="52">
        <f>SUMIF(r_PartPresses,t_Presses[[PRESS]:[PRESS]],t_Parts[hp2015.11])</f>
        <v>0</v>
      </c>
      <c r="AU5" s="52">
        <f>SUMIF(r_PartPresses,t_Presses[[PRESS]:[PRESS]],t_Parts[hp2015.12])</f>
        <v>0</v>
      </c>
      <c r="AV5" s="52">
        <f>SUM(t_Presses[[#This Row],[hp2015.01]:[hp2015.12]])</f>
        <v>0</v>
      </c>
      <c r="AW5" s="52">
        <f>SUMIF(r_PartPresses,t_Presses[[PRESS]:[PRESS]],t_Parts[hp2016.01])</f>
        <v>0</v>
      </c>
      <c r="AX5" s="52">
        <f>SUMIF(r_PartPresses,t_Presses[[PRESS]:[PRESS]],t_Parts[hp2016.02])</f>
        <v>0</v>
      </c>
      <c r="AY5" s="52">
        <f>SUMIF(r_PartPresses,t_Presses[[PRESS]:[PRESS]],t_Parts[hp2016.03])</f>
        <v>0</v>
      </c>
      <c r="AZ5" s="52">
        <f>SUMIF(r_PartPresses,t_Presses[[PRESS]:[PRESS]],t_Parts[hp2016.04])</f>
        <v>0</v>
      </c>
      <c r="BA5" s="52">
        <f>SUMIF(r_PartPresses,t_Presses[[PRESS]:[PRESS]],t_Parts[hp2016.05])</f>
        <v>0</v>
      </c>
      <c r="BB5" s="52">
        <f>SUMIF(r_PartPresses,t_Presses[[PRESS]:[PRESS]],t_Parts[hp2016.06])</f>
        <v>0</v>
      </c>
      <c r="BC5" s="52">
        <f>SUMIF(r_PartPresses,t_Presses[[PRESS]:[PRESS]],t_Parts[hp2016.07])</f>
        <v>0</v>
      </c>
      <c r="BD5" s="52">
        <f>SUMIF(r_PartPresses,t_Presses[[PRESS]:[PRESS]],t_Parts[hp2016.08])</f>
        <v>0</v>
      </c>
      <c r="BE5" s="52">
        <f>SUMIF(r_PartPresses,t_Presses[[PRESS]:[PRESS]],t_Parts[hp2016.09])</f>
        <v>0</v>
      </c>
      <c r="BF5" s="52">
        <f>SUMIF(r_PartPresses,t_Presses[[PRESS]:[PRESS]],t_Parts[hp2016.10])</f>
        <v>0</v>
      </c>
      <c r="BG5" s="52">
        <f>SUMIF(r_PartPresses,t_Presses[[PRESS]:[PRESS]],t_Parts[hp2016.11])</f>
        <v>0</v>
      </c>
      <c r="BH5" s="52">
        <f>SUMIF(r_PartPresses,t_Presses[[PRESS]:[PRESS]],t_Parts[hp2016.12])</f>
        <v>0</v>
      </c>
      <c r="BI5" s="52">
        <f>SUMIF(r_PartPresses,t_Presses[[PRESS]:[PRESS]],t_Parts[hp2016.FY])</f>
        <v>0</v>
      </c>
      <c r="BJ5" s="52">
        <f>SUMIF(r_PartPresses,t_Presses[[PRESS]:[PRESS]],t_Parts[hp2017])</f>
        <v>0</v>
      </c>
      <c r="BK5" s="52">
        <f>SUMIF(r_PartPresses,t_Presses[[PRESS]:[PRESS]],t_Parts[hp2018])</f>
        <v>0</v>
      </c>
      <c r="BL5" s="52">
        <f>SUMIF(r_PartPresses,t_Presses[[PRESS]:[PRESS]],t_Parts[hp2019])</f>
        <v>0</v>
      </c>
      <c r="BM5" s="17">
        <f>t_Presses[[#This Row],[hp2015.01]]/t_Presses[[#This Row],[ha2015.01]]</f>
        <v>0</v>
      </c>
      <c r="BN5" s="17">
        <f>t_Presses[[#This Row],[hp2015.02]]/t_Presses[[#This Row],[ha2015.02]]</f>
        <v>0</v>
      </c>
      <c r="BO5" s="17">
        <f>t_Presses[[#This Row],[hp2015.03]]/t_Presses[[#This Row],[ha2015.03]]</f>
        <v>0</v>
      </c>
      <c r="BP5" s="17">
        <f>t_Presses[[#This Row],[hp2015.04]]/t_Presses[[#This Row],[ha2015.04]]</f>
        <v>0</v>
      </c>
      <c r="BQ5" s="17">
        <f>t_Presses[[#This Row],[hp2015.05]]/t_Presses[[#This Row],[ha2015.05]]</f>
        <v>0</v>
      </c>
      <c r="BR5" s="17">
        <f>t_Presses[[#This Row],[hp2015.06]]/t_Presses[[#This Row],[ha2015.06]]</f>
        <v>0</v>
      </c>
      <c r="BS5" s="17">
        <f>t_Presses[[#This Row],[hp2015.07]]/t_Presses[[#This Row],[ha2015.07]]</f>
        <v>0</v>
      </c>
      <c r="BT5" s="17">
        <f>t_Presses[[#This Row],[hp2015.08]]/t_Presses[[#This Row],[ha2015.08]]</f>
        <v>0</v>
      </c>
      <c r="BU5" s="17">
        <f>t_Presses[[#This Row],[hp2015.09]]/t_Presses[[#This Row],[ha2015.09]]</f>
        <v>0</v>
      </c>
      <c r="BV5" s="17">
        <f>t_Presses[[#This Row],[hp2015.10]]/t_Presses[[#This Row],[ha2015.10]]</f>
        <v>0</v>
      </c>
      <c r="BW5" s="17">
        <f>t_Presses[[#This Row],[hp2015.11]]/t_Presses[[#This Row],[ha2015.11]]</f>
        <v>0</v>
      </c>
      <c r="BX5" s="17">
        <f>t_Presses[[#This Row],[hp2015.12]]/t_Presses[[#This Row],[ha2015.12]]</f>
        <v>0</v>
      </c>
      <c r="BY5" s="17">
        <f>t_Presses[[#This Row],[hp2015.FY]]/t_Presses[[#This Row],[ha2015.FY]]</f>
        <v>0</v>
      </c>
      <c r="BZ5" s="17">
        <f>t_Presses[[#This Row],[hp2016.01]]/t_Presses[[#This Row],[ha2016.01]]</f>
        <v>0</v>
      </c>
      <c r="CA5" s="17">
        <f>t_Presses[[#This Row],[hp2016.02]]/t_Presses[[#This Row],[ha2016.02]]</f>
        <v>0</v>
      </c>
      <c r="CB5" s="17">
        <f>t_Presses[[#This Row],[hp2016.03]]/t_Presses[[#This Row],[ha2016.03]]</f>
        <v>0</v>
      </c>
      <c r="CC5" s="17">
        <f>t_Presses[[#This Row],[hp2016.04]]/t_Presses[[#This Row],[ha2016.04]]</f>
        <v>0</v>
      </c>
      <c r="CD5" s="17">
        <f>t_Presses[[#This Row],[hp2016.05]]/t_Presses[[#This Row],[ha2016.05]]</f>
        <v>0</v>
      </c>
      <c r="CE5" s="17">
        <f>t_Presses[[#This Row],[hp2016.06]]/t_Presses[[#This Row],[ha2016.06]]</f>
        <v>0</v>
      </c>
      <c r="CF5" s="17">
        <f>t_Presses[[#This Row],[hp2016.07]]/t_Presses[[#This Row],[ha2016.07]]</f>
        <v>0</v>
      </c>
      <c r="CG5" s="17">
        <f>t_Presses[[#This Row],[hp2016.08]]/t_Presses[[#This Row],[ha2016.08]]</f>
        <v>0</v>
      </c>
      <c r="CH5" s="17">
        <f>t_Presses[[#This Row],[hp2016.09]]/t_Presses[[#This Row],[ha2016.09]]</f>
        <v>0</v>
      </c>
      <c r="CI5" s="17">
        <f>t_Presses[[#This Row],[hp2016.10]]/t_Presses[[#This Row],[ha2016.10]]</f>
        <v>0</v>
      </c>
      <c r="CJ5" s="17">
        <f>t_Presses[[#This Row],[hp2016.11]]/t_Presses[[#This Row],[ha2016.11]]</f>
        <v>0</v>
      </c>
      <c r="CK5" s="17">
        <f>t_Presses[[#This Row],[hp2016.12]]/t_Presses[[#This Row],[ha2016.12]]</f>
        <v>0</v>
      </c>
      <c r="CL5" s="17">
        <f>t_Presses[[#This Row],[hp2016.FY]]/t_Presses[[#This Row],[ha2016.FY]]</f>
        <v>0</v>
      </c>
      <c r="CM5" s="17">
        <f>t_Presses[[#This Row],[hp2017]]/t_Presses[[#This Row],[ha2017]]</f>
        <v>0</v>
      </c>
      <c r="CN5" s="17">
        <f>t_Presses[[#This Row],[hp2018]]/t_Presses[[#This Row],[ha2018]]</f>
        <v>0</v>
      </c>
      <c r="CO5" s="17">
        <f>t_Presses[[#This Row],[hp2019]]/t_Presses[[#This Row],[ha2019]]</f>
        <v>0</v>
      </c>
    </row>
    <row r="6" spans="1:93" x14ac:dyDescent="0.25">
      <c r="A6" s="16">
        <v>21002</v>
      </c>
      <c r="B6" t="s">
        <v>8</v>
      </c>
      <c r="C6" t="s">
        <v>126</v>
      </c>
      <c r="D6">
        <v>600</v>
      </c>
      <c r="E6" t="str">
        <f t="shared" si="0"/>
        <v>600-899</v>
      </c>
      <c r="F6" s="15"/>
      <c r="G6">
        <f>VLOOKUP(t_Presses[[Plant]:[Plant]],t_Plants[],Plants!CM$1,FALSE)</f>
        <v>250</v>
      </c>
      <c r="H6">
        <f>VLOOKUP(t_Presses[[Plant]:[Plant]],t_Plants[],Plants!CN$1,FALSE)</f>
        <v>260</v>
      </c>
      <c r="I6">
        <f>VLOOKUP(t_Presses[[Plant]:[Plant]],t_Plants[],Plants!CO$1,FALSE)</f>
        <v>340</v>
      </c>
      <c r="J6">
        <f>VLOOKUP(t_Presses[[Plant]:[Plant]],t_Plants[],Plants!CP$1,FALSE)</f>
        <v>250</v>
      </c>
      <c r="K6">
        <f>VLOOKUP(t_Presses[[Plant]:[Plant]],t_Plants[],Plants!CQ$1,FALSE)</f>
        <v>260</v>
      </c>
      <c r="L6">
        <f>VLOOKUP(t_Presses[[Plant]:[Plant]],t_Plants[],Plants!CR$1,FALSE)</f>
        <v>340</v>
      </c>
      <c r="M6">
        <f>VLOOKUP(t_Presses[[Plant]:[Plant]],t_Plants[],Plants!CS$1,FALSE)</f>
        <v>250</v>
      </c>
      <c r="N6">
        <f>VLOOKUP(t_Presses[[Plant]:[Plant]],t_Plants[],Plants!CT$1,FALSE)</f>
        <v>260</v>
      </c>
      <c r="O6">
        <f>VLOOKUP(t_Presses[[Plant]:[Plant]],t_Plants[],Plants!CU$1,FALSE)</f>
        <v>340</v>
      </c>
      <c r="P6">
        <f>VLOOKUP(t_Presses[[Plant]:[Plant]],t_Plants[],Plants!CV$1,FALSE)</f>
        <v>250</v>
      </c>
      <c r="Q6">
        <f>VLOOKUP(t_Presses[[Plant]:[Plant]],t_Plants[],Plants!CW$1,FALSE)</f>
        <v>260</v>
      </c>
      <c r="R6">
        <f>VLOOKUP(t_Presses[[Plant]:[Plant]],t_Plants[],Plants!CX$1,FALSE)</f>
        <v>340</v>
      </c>
      <c r="S6">
        <f>SUM(t_Presses[[#This Row],[ha2015.01]:[ha2015.12]])</f>
        <v>3400</v>
      </c>
      <c r="T6">
        <f>VLOOKUP(t_Presses[[Plant]:[Plant]],t_Plants[],Plants!CZ$1,FALSE)</f>
        <v>250</v>
      </c>
      <c r="U6">
        <f>VLOOKUP(t_Presses[[Plant]:[Plant]],t_Plants[],Plants!DA$1,FALSE)</f>
        <v>240</v>
      </c>
      <c r="V6">
        <f>VLOOKUP(t_Presses[[Plant]:[Plant]],t_Plants[],Plants!DB$1,FALSE)</f>
        <v>340</v>
      </c>
      <c r="W6">
        <f>VLOOKUP(t_Presses[[Plant]:[Plant]],t_Plants[],Plants!DC$1,FALSE)</f>
        <v>250</v>
      </c>
      <c r="X6">
        <f>VLOOKUP(t_Presses[[Plant]:[Plant]],t_Plants[],Plants!DD$1,FALSE)</f>
        <v>260</v>
      </c>
      <c r="Y6">
        <f>VLOOKUP(t_Presses[[Plant]:[Plant]],t_Plants[],Plants!DE$1,FALSE)</f>
        <v>340</v>
      </c>
      <c r="Z6">
        <f>VLOOKUP(t_Presses[[Plant]:[Plant]],t_Plants[],Plants!DF$1,FALSE)</f>
        <v>250</v>
      </c>
      <c r="AA6">
        <f>VLOOKUP(t_Presses[[Plant]:[Plant]],t_Plants[],Plants!DG$1,FALSE)</f>
        <v>260</v>
      </c>
      <c r="AB6">
        <f>VLOOKUP(t_Presses[[Plant]:[Plant]],t_Plants[],Plants!DH$1,FALSE)</f>
        <v>340</v>
      </c>
      <c r="AC6">
        <f>VLOOKUP(t_Presses[[Plant]:[Plant]],t_Plants[],Plants!DI$1,FALSE)</f>
        <v>250</v>
      </c>
      <c r="AD6">
        <f>VLOOKUP(t_Presses[[Plant]:[Plant]],t_Plants[],Plants!DJ$1,FALSE)</f>
        <v>220</v>
      </c>
      <c r="AE6">
        <f>VLOOKUP(t_Presses[[Plant]:[Plant]],t_Plants[],Plants!DK$1,FALSE)</f>
        <v>300</v>
      </c>
      <c r="AF6">
        <f>SUM(t_Presses[[#This Row],[ha2016.01]:[ha2016.12]])</f>
        <v>3300</v>
      </c>
      <c r="AG6">
        <f>VLOOKUP(t_Presses[[Plant]:[Plant]],t_Plants[],Plants!DM$1,FALSE)</f>
        <v>3300</v>
      </c>
      <c r="AH6">
        <f>VLOOKUP(t_Presses[[Plant]:[Plant]],t_Plants[],Plants!DN$1,FALSE)</f>
        <v>3300</v>
      </c>
      <c r="AI6">
        <f>VLOOKUP(t_Presses[[Plant]:[Plant]],t_Plants[],Plants!DO$1,FALSE)</f>
        <v>3300</v>
      </c>
      <c r="AJ6" s="52">
        <f>SUMIF(r_PartPresses,t_Presses[[PRESS]:[PRESS]],t_Parts[hp2015.01])</f>
        <v>0</v>
      </c>
      <c r="AK6" s="52">
        <f>SUMIF(r_PartPresses,t_Presses[[PRESS]:[PRESS]],t_Parts[hp2015.02])</f>
        <v>0</v>
      </c>
      <c r="AL6" s="52">
        <f>SUMIF(r_PartPresses,t_Presses[[PRESS]:[PRESS]],t_Parts[hp2015.03])</f>
        <v>0</v>
      </c>
      <c r="AM6" s="52">
        <f>SUMIF(r_PartPresses,t_Presses[[PRESS]:[PRESS]],t_Parts[hp2015.04])</f>
        <v>0</v>
      </c>
      <c r="AN6" s="52">
        <f>SUMIF(r_PartPresses,t_Presses[[PRESS]:[PRESS]],t_Parts[hp2015.05])</f>
        <v>0</v>
      </c>
      <c r="AO6" s="52">
        <f>SUMIF(r_PartPresses,t_Presses[[PRESS]:[PRESS]],t_Parts[hp2015.06])</f>
        <v>0</v>
      </c>
      <c r="AP6" s="52">
        <f>SUMIF(r_PartPresses,t_Presses[[PRESS]:[PRESS]],t_Parts[hp2015.07])</f>
        <v>0</v>
      </c>
      <c r="AQ6" s="52">
        <f>SUMIF(r_PartPresses,t_Presses[[PRESS]:[PRESS]],t_Parts[hp2015.08])</f>
        <v>0</v>
      </c>
      <c r="AR6" s="52">
        <f>SUMIF(r_PartPresses,t_Presses[[PRESS]:[PRESS]],t_Parts[hp2015.09])</f>
        <v>0</v>
      </c>
      <c r="AS6" s="52">
        <f>SUMIF(r_PartPresses,t_Presses[[PRESS]:[PRESS]],t_Parts[hp2015.10])</f>
        <v>0</v>
      </c>
      <c r="AT6" s="52">
        <f>SUMIF(r_PartPresses,t_Presses[[PRESS]:[PRESS]],t_Parts[hp2015.11])</f>
        <v>0</v>
      </c>
      <c r="AU6" s="52">
        <f>SUMIF(r_PartPresses,t_Presses[[PRESS]:[PRESS]],t_Parts[hp2015.12])</f>
        <v>0</v>
      </c>
      <c r="AV6" s="52">
        <f>SUM(t_Presses[[#This Row],[hp2015.01]:[hp2015.12]])</f>
        <v>0</v>
      </c>
      <c r="AW6" s="52">
        <f>SUMIF(r_PartPresses,t_Presses[[PRESS]:[PRESS]],t_Parts[hp2016.01])</f>
        <v>0</v>
      </c>
      <c r="AX6" s="52">
        <f>SUMIF(r_PartPresses,t_Presses[[PRESS]:[PRESS]],t_Parts[hp2016.02])</f>
        <v>0</v>
      </c>
      <c r="AY6" s="52">
        <f>SUMIF(r_PartPresses,t_Presses[[PRESS]:[PRESS]],t_Parts[hp2016.03])</f>
        <v>0</v>
      </c>
      <c r="AZ6" s="52">
        <f>SUMIF(r_PartPresses,t_Presses[[PRESS]:[PRESS]],t_Parts[hp2016.04])</f>
        <v>0</v>
      </c>
      <c r="BA6" s="52">
        <f>SUMIF(r_PartPresses,t_Presses[[PRESS]:[PRESS]],t_Parts[hp2016.05])</f>
        <v>0</v>
      </c>
      <c r="BB6" s="52">
        <f>SUMIF(r_PartPresses,t_Presses[[PRESS]:[PRESS]],t_Parts[hp2016.06])</f>
        <v>0</v>
      </c>
      <c r="BC6" s="52">
        <f>SUMIF(r_PartPresses,t_Presses[[PRESS]:[PRESS]],t_Parts[hp2016.07])</f>
        <v>0</v>
      </c>
      <c r="BD6" s="52">
        <f>SUMIF(r_PartPresses,t_Presses[[PRESS]:[PRESS]],t_Parts[hp2016.08])</f>
        <v>0</v>
      </c>
      <c r="BE6" s="52">
        <f>SUMIF(r_PartPresses,t_Presses[[PRESS]:[PRESS]],t_Parts[hp2016.09])</f>
        <v>0</v>
      </c>
      <c r="BF6" s="52">
        <f>SUMIF(r_PartPresses,t_Presses[[PRESS]:[PRESS]],t_Parts[hp2016.10])</f>
        <v>0</v>
      </c>
      <c r="BG6" s="52">
        <f>SUMIF(r_PartPresses,t_Presses[[PRESS]:[PRESS]],t_Parts[hp2016.11])</f>
        <v>0</v>
      </c>
      <c r="BH6" s="52">
        <f>SUMIF(r_PartPresses,t_Presses[[PRESS]:[PRESS]],t_Parts[hp2016.12])</f>
        <v>0</v>
      </c>
      <c r="BI6" s="52">
        <f>SUMIF(r_PartPresses,t_Presses[[PRESS]:[PRESS]],t_Parts[hp2016.FY])</f>
        <v>0</v>
      </c>
      <c r="BJ6" s="52">
        <f>SUMIF(r_PartPresses,t_Presses[[PRESS]:[PRESS]],t_Parts[hp2017])</f>
        <v>0</v>
      </c>
      <c r="BK6" s="52">
        <f>SUMIF(r_PartPresses,t_Presses[[PRESS]:[PRESS]],t_Parts[hp2018])</f>
        <v>0</v>
      </c>
      <c r="BL6" s="52">
        <f>SUMIF(r_PartPresses,t_Presses[[PRESS]:[PRESS]],t_Parts[hp2019])</f>
        <v>0</v>
      </c>
      <c r="BM6" s="17">
        <f>t_Presses[[#This Row],[hp2015.01]]/t_Presses[[#This Row],[ha2015.01]]</f>
        <v>0</v>
      </c>
      <c r="BN6" s="17">
        <f>t_Presses[[#This Row],[hp2015.02]]/t_Presses[[#This Row],[ha2015.02]]</f>
        <v>0</v>
      </c>
      <c r="BO6" s="17">
        <f>t_Presses[[#This Row],[hp2015.03]]/t_Presses[[#This Row],[ha2015.03]]</f>
        <v>0</v>
      </c>
      <c r="BP6" s="17">
        <f>t_Presses[[#This Row],[hp2015.04]]/t_Presses[[#This Row],[ha2015.04]]</f>
        <v>0</v>
      </c>
      <c r="BQ6" s="17">
        <f>t_Presses[[#This Row],[hp2015.05]]/t_Presses[[#This Row],[ha2015.05]]</f>
        <v>0</v>
      </c>
      <c r="BR6" s="17">
        <f>t_Presses[[#This Row],[hp2015.06]]/t_Presses[[#This Row],[ha2015.06]]</f>
        <v>0</v>
      </c>
      <c r="BS6" s="17">
        <f>t_Presses[[#This Row],[hp2015.07]]/t_Presses[[#This Row],[ha2015.07]]</f>
        <v>0</v>
      </c>
      <c r="BT6" s="17">
        <f>t_Presses[[#This Row],[hp2015.08]]/t_Presses[[#This Row],[ha2015.08]]</f>
        <v>0</v>
      </c>
      <c r="BU6" s="17">
        <f>t_Presses[[#This Row],[hp2015.09]]/t_Presses[[#This Row],[ha2015.09]]</f>
        <v>0</v>
      </c>
      <c r="BV6" s="17">
        <f>t_Presses[[#This Row],[hp2015.10]]/t_Presses[[#This Row],[ha2015.10]]</f>
        <v>0</v>
      </c>
      <c r="BW6" s="17">
        <f>t_Presses[[#This Row],[hp2015.11]]/t_Presses[[#This Row],[ha2015.11]]</f>
        <v>0</v>
      </c>
      <c r="BX6" s="17">
        <f>t_Presses[[#This Row],[hp2015.12]]/t_Presses[[#This Row],[ha2015.12]]</f>
        <v>0</v>
      </c>
      <c r="BY6" s="17">
        <f>t_Presses[[#This Row],[hp2015.FY]]/t_Presses[[#This Row],[ha2015.FY]]</f>
        <v>0</v>
      </c>
      <c r="BZ6" s="17">
        <f>t_Presses[[#This Row],[hp2016.01]]/t_Presses[[#This Row],[ha2016.01]]</f>
        <v>0</v>
      </c>
      <c r="CA6" s="17">
        <f>t_Presses[[#This Row],[hp2016.02]]/t_Presses[[#This Row],[ha2016.02]]</f>
        <v>0</v>
      </c>
      <c r="CB6" s="17">
        <f>t_Presses[[#This Row],[hp2016.03]]/t_Presses[[#This Row],[ha2016.03]]</f>
        <v>0</v>
      </c>
      <c r="CC6" s="17">
        <f>t_Presses[[#This Row],[hp2016.04]]/t_Presses[[#This Row],[ha2016.04]]</f>
        <v>0</v>
      </c>
      <c r="CD6" s="17">
        <f>t_Presses[[#This Row],[hp2016.05]]/t_Presses[[#This Row],[ha2016.05]]</f>
        <v>0</v>
      </c>
      <c r="CE6" s="17">
        <f>t_Presses[[#This Row],[hp2016.06]]/t_Presses[[#This Row],[ha2016.06]]</f>
        <v>0</v>
      </c>
      <c r="CF6" s="17">
        <f>t_Presses[[#This Row],[hp2016.07]]/t_Presses[[#This Row],[ha2016.07]]</f>
        <v>0</v>
      </c>
      <c r="CG6" s="17">
        <f>t_Presses[[#This Row],[hp2016.08]]/t_Presses[[#This Row],[ha2016.08]]</f>
        <v>0</v>
      </c>
      <c r="CH6" s="17">
        <f>t_Presses[[#This Row],[hp2016.09]]/t_Presses[[#This Row],[ha2016.09]]</f>
        <v>0</v>
      </c>
      <c r="CI6" s="17">
        <f>t_Presses[[#This Row],[hp2016.10]]/t_Presses[[#This Row],[ha2016.10]]</f>
        <v>0</v>
      </c>
      <c r="CJ6" s="17">
        <f>t_Presses[[#This Row],[hp2016.11]]/t_Presses[[#This Row],[ha2016.11]]</f>
        <v>0</v>
      </c>
      <c r="CK6" s="17">
        <f>t_Presses[[#This Row],[hp2016.12]]/t_Presses[[#This Row],[ha2016.12]]</f>
        <v>0</v>
      </c>
      <c r="CL6" s="17">
        <f>t_Presses[[#This Row],[hp2016.FY]]/t_Presses[[#This Row],[ha2016.FY]]</f>
        <v>0</v>
      </c>
      <c r="CM6" s="17">
        <f>t_Presses[[#This Row],[hp2017]]/t_Presses[[#This Row],[ha2017]]</f>
        <v>0</v>
      </c>
      <c r="CN6" s="17">
        <f>t_Presses[[#This Row],[hp2018]]/t_Presses[[#This Row],[ha2018]]</f>
        <v>0</v>
      </c>
      <c r="CO6" s="17">
        <f>t_Presses[[#This Row],[hp2019]]/t_Presses[[#This Row],[ha2019]]</f>
        <v>0</v>
      </c>
    </row>
    <row r="7" spans="1:93" x14ac:dyDescent="0.25">
      <c r="A7" s="16">
        <v>21003</v>
      </c>
      <c r="B7" t="s">
        <v>8</v>
      </c>
      <c r="C7" t="s">
        <v>126</v>
      </c>
      <c r="D7">
        <v>400</v>
      </c>
      <c r="E7" s="18" t="str">
        <f t="shared" si="0"/>
        <v>300-599</v>
      </c>
      <c r="F7" s="15"/>
      <c r="G7">
        <f>VLOOKUP(t_Presses[[Plant]:[Plant]],t_Plants[],Plants!CM$1,FALSE)</f>
        <v>250</v>
      </c>
      <c r="H7">
        <f>VLOOKUP(t_Presses[[Plant]:[Plant]],t_Plants[],Plants!CN$1,FALSE)</f>
        <v>260</v>
      </c>
      <c r="I7">
        <f>VLOOKUP(t_Presses[[Plant]:[Plant]],t_Plants[],Plants!CO$1,FALSE)</f>
        <v>340</v>
      </c>
      <c r="J7">
        <f>VLOOKUP(t_Presses[[Plant]:[Plant]],t_Plants[],Plants!CP$1,FALSE)</f>
        <v>250</v>
      </c>
      <c r="K7">
        <f>VLOOKUP(t_Presses[[Plant]:[Plant]],t_Plants[],Plants!CQ$1,FALSE)</f>
        <v>260</v>
      </c>
      <c r="L7">
        <f>VLOOKUP(t_Presses[[Plant]:[Plant]],t_Plants[],Plants!CR$1,FALSE)</f>
        <v>340</v>
      </c>
      <c r="M7">
        <f>VLOOKUP(t_Presses[[Plant]:[Plant]],t_Plants[],Plants!CS$1,FALSE)</f>
        <v>250</v>
      </c>
      <c r="N7">
        <f>VLOOKUP(t_Presses[[Plant]:[Plant]],t_Plants[],Plants!CT$1,FALSE)</f>
        <v>260</v>
      </c>
      <c r="O7">
        <f>VLOOKUP(t_Presses[[Plant]:[Plant]],t_Plants[],Plants!CU$1,FALSE)</f>
        <v>340</v>
      </c>
      <c r="P7">
        <f>VLOOKUP(t_Presses[[Plant]:[Plant]],t_Plants[],Plants!CV$1,FALSE)</f>
        <v>250</v>
      </c>
      <c r="Q7">
        <f>VLOOKUP(t_Presses[[Plant]:[Plant]],t_Plants[],Plants!CW$1,FALSE)</f>
        <v>260</v>
      </c>
      <c r="R7">
        <f>VLOOKUP(t_Presses[[Plant]:[Plant]],t_Plants[],Plants!CX$1,FALSE)</f>
        <v>340</v>
      </c>
      <c r="S7" s="18">
        <f>SUM(t_Presses[[#This Row],[ha2015.01]:[ha2015.12]])</f>
        <v>3400</v>
      </c>
      <c r="T7">
        <f>VLOOKUP(t_Presses[[Plant]:[Plant]],t_Plants[],Plants!CZ$1,FALSE)</f>
        <v>250</v>
      </c>
      <c r="U7">
        <f>VLOOKUP(t_Presses[[Plant]:[Plant]],t_Plants[],Plants!DA$1,FALSE)</f>
        <v>240</v>
      </c>
      <c r="V7">
        <f>VLOOKUP(t_Presses[[Plant]:[Plant]],t_Plants[],Plants!DB$1,FALSE)</f>
        <v>340</v>
      </c>
      <c r="W7">
        <f>VLOOKUP(t_Presses[[Plant]:[Plant]],t_Plants[],Plants!DC$1,FALSE)</f>
        <v>250</v>
      </c>
      <c r="X7">
        <f>VLOOKUP(t_Presses[[Plant]:[Plant]],t_Plants[],Plants!DD$1,FALSE)</f>
        <v>260</v>
      </c>
      <c r="Y7">
        <f>VLOOKUP(t_Presses[[Plant]:[Plant]],t_Plants[],Plants!DE$1,FALSE)</f>
        <v>340</v>
      </c>
      <c r="Z7">
        <f>VLOOKUP(t_Presses[[Plant]:[Plant]],t_Plants[],Plants!DF$1,FALSE)</f>
        <v>250</v>
      </c>
      <c r="AA7">
        <f>VLOOKUP(t_Presses[[Plant]:[Plant]],t_Plants[],Plants!DG$1,FALSE)</f>
        <v>260</v>
      </c>
      <c r="AB7">
        <f>VLOOKUP(t_Presses[[Plant]:[Plant]],t_Plants[],Plants!DH$1,FALSE)</f>
        <v>340</v>
      </c>
      <c r="AC7">
        <f>VLOOKUP(t_Presses[[Plant]:[Plant]],t_Plants[],Plants!DI$1,FALSE)</f>
        <v>250</v>
      </c>
      <c r="AD7">
        <f>VLOOKUP(t_Presses[[Plant]:[Plant]],t_Plants[],Plants!DJ$1,FALSE)</f>
        <v>220</v>
      </c>
      <c r="AE7">
        <f>VLOOKUP(t_Presses[[Plant]:[Plant]],t_Plants[],Plants!DK$1,FALSE)</f>
        <v>300</v>
      </c>
      <c r="AF7" s="18">
        <f>SUM(t_Presses[[#This Row],[ha2016.01]:[ha2016.12]])</f>
        <v>3300</v>
      </c>
      <c r="AG7">
        <f>VLOOKUP(t_Presses[[Plant]:[Plant]],t_Plants[],Plants!DM$1,FALSE)</f>
        <v>3300</v>
      </c>
      <c r="AH7">
        <f>VLOOKUP(t_Presses[[Plant]:[Plant]],t_Plants[],Plants!DN$1,FALSE)</f>
        <v>3300</v>
      </c>
      <c r="AI7">
        <f>VLOOKUP(t_Presses[[Plant]:[Plant]],t_Plants[],Plants!DO$1,FALSE)</f>
        <v>3300</v>
      </c>
      <c r="AJ7" s="52">
        <f>SUMIF(r_PartPresses,t_Presses[[PRESS]:[PRESS]],t_Parts[hp2015.01])</f>
        <v>0</v>
      </c>
      <c r="AK7" s="52">
        <f>SUMIF(r_PartPresses,t_Presses[[PRESS]:[PRESS]],t_Parts[hp2015.02])</f>
        <v>0</v>
      </c>
      <c r="AL7" s="52">
        <f>SUMIF(r_PartPresses,t_Presses[[PRESS]:[PRESS]],t_Parts[hp2015.03])</f>
        <v>0</v>
      </c>
      <c r="AM7" s="52">
        <f>SUMIF(r_PartPresses,t_Presses[[PRESS]:[PRESS]],t_Parts[hp2015.04])</f>
        <v>0</v>
      </c>
      <c r="AN7" s="52">
        <f>SUMIF(r_PartPresses,t_Presses[[PRESS]:[PRESS]],t_Parts[hp2015.05])</f>
        <v>0</v>
      </c>
      <c r="AO7" s="52">
        <f>SUMIF(r_PartPresses,t_Presses[[PRESS]:[PRESS]],t_Parts[hp2015.06])</f>
        <v>0</v>
      </c>
      <c r="AP7" s="52">
        <f>SUMIF(r_PartPresses,t_Presses[[PRESS]:[PRESS]],t_Parts[hp2015.07])</f>
        <v>0</v>
      </c>
      <c r="AQ7" s="52">
        <f>SUMIF(r_PartPresses,t_Presses[[PRESS]:[PRESS]],t_Parts[hp2015.08])</f>
        <v>0</v>
      </c>
      <c r="AR7" s="52">
        <f>SUMIF(r_PartPresses,t_Presses[[PRESS]:[PRESS]],t_Parts[hp2015.09])</f>
        <v>0</v>
      </c>
      <c r="AS7" s="52">
        <f>SUMIF(r_PartPresses,t_Presses[[PRESS]:[PRESS]],t_Parts[hp2015.10])</f>
        <v>0</v>
      </c>
      <c r="AT7" s="52">
        <f>SUMIF(r_PartPresses,t_Presses[[PRESS]:[PRESS]],t_Parts[hp2015.11])</f>
        <v>0</v>
      </c>
      <c r="AU7" s="52">
        <f>SUMIF(r_PartPresses,t_Presses[[PRESS]:[PRESS]],t_Parts[hp2015.12])</f>
        <v>0</v>
      </c>
      <c r="AV7" s="52">
        <f>SUM(t_Presses[[#This Row],[hp2015.01]:[hp2015.12]])</f>
        <v>0</v>
      </c>
      <c r="AW7" s="52">
        <f>SUMIF(r_PartPresses,t_Presses[[PRESS]:[PRESS]],t_Parts[hp2016.01])</f>
        <v>0</v>
      </c>
      <c r="AX7" s="52">
        <f>SUMIF(r_PartPresses,t_Presses[[PRESS]:[PRESS]],t_Parts[hp2016.02])</f>
        <v>0</v>
      </c>
      <c r="AY7" s="52">
        <f>SUMIF(r_PartPresses,t_Presses[[PRESS]:[PRESS]],t_Parts[hp2016.03])</f>
        <v>0</v>
      </c>
      <c r="AZ7" s="52">
        <f>SUMIF(r_PartPresses,t_Presses[[PRESS]:[PRESS]],t_Parts[hp2016.04])</f>
        <v>0</v>
      </c>
      <c r="BA7" s="52">
        <f>SUMIF(r_PartPresses,t_Presses[[PRESS]:[PRESS]],t_Parts[hp2016.05])</f>
        <v>0</v>
      </c>
      <c r="BB7" s="52">
        <f>SUMIF(r_PartPresses,t_Presses[[PRESS]:[PRESS]],t_Parts[hp2016.06])</f>
        <v>0</v>
      </c>
      <c r="BC7" s="52">
        <f>SUMIF(r_PartPresses,t_Presses[[PRESS]:[PRESS]],t_Parts[hp2016.07])</f>
        <v>0</v>
      </c>
      <c r="BD7" s="52">
        <f>SUMIF(r_PartPresses,t_Presses[[PRESS]:[PRESS]],t_Parts[hp2016.08])</f>
        <v>0</v>
      </c>
      <c r="BE7" s="52">
        <f>SUMIF(r_PartPresses,t_Presses[[PRESS]:[PRESS]],t_Parts[hp2016.09])</f>
        <v>0</v>
      </c>
      <c r="BF7" s="52">
        <f>SUMIF(r_PartPresses,t_Presses[[PRESS]:[PRESS]],t_Parts[hp2016.10])</f>
        <v>0</v>
      </c>
      <c r="BG7" s="52">
        <f>SUMIF(r_PartPresses,t_Presses[[PRESS]:[PRESS]],t_Parts[hp2016.11])</f>
        <v>0</v>
      </c>
      <c r="BH7" s="52">
        <f>SUMIF(r_PartPresses,t_Presses[[PRESS]:[PRESS]],t_Parts[hp2016.12])</f>
        <v>0</v>
      </c>
      <c r="BI7" s="52">
        <f>SUMIF(r_PartPresses,t_Presses[[PRESS]:[PRESS]],t_Parts[hp2016.FY])</f>
        <v>0</v>
      </c>
      <c r="BJ7" s="52">
        <f>SUMIF(r_PartPresses,t_Presses[[PRESS]:[PRESS]],t_Parts[hp2017])</f>
        <v>0</v>
      </c>
      <c r="BK7" s="52">
        <f>SUMIF(r_PartPresses,t_Presses[[PRESS]:[PRESS]],t_Parts[hp2018])</f>
        <v>0</v>
      </c>
      <c r="BL7" s="52">
        <f>SUMIF(r_PartPresses,t_Presses[[PRESS]:[PRESS]],t_Parts[hp2019])</f>
        <v>0</v>
      </c>
      <c r="BM7" s="17">
        <f>t_Presses[[#This Row],[hp2015.01]]/t_Presses[[#This Row],[ha2015.01]]</f>
        <v>0</v>
      </c>
      <c r="BN7" s="17">
        <f>t_Presses[[#This Row],[hp2015.02]]/t_Presses[[#This Row],[ha2015.02]]</f>
        <v>0</v>
      </c>
      <c r="BO7" s="17">
        <f>t_Presses[[#This Row],[hp2015.03]]/t_Presses[[#This Row],[ha2015.03]]</f>
        <v>0</v>
      </c>
      <c r="BP7" s="17">
        <f>t_Presses[[#This Row],[hp2015.04]]/t_Presses[[#This Row],[ha2015.04]]</f>
        <v>0</v>
      </c>
      <c r="BQ7" s="17">
        <f>t_Presses[[#This Row],[hp2015.05]]/t_Presses[[#This Row],[ha2015.05]]</f>
        <v>0</v>
      </c>
      <c r="BR7" s="17">
        <f>t_Presses[[#This Row],[hp2015.06]]/t_Presses[[#This Row],[ha2015.06]]</f>
        <v>0</v>
      </c>
      <c r="BS7" s="17">
        <f>t_Presses[[#This Row],[hp2015.07]]/t_Presses[[#This Row],[ha2015.07]]</f>
        <v>0</v>
      </c>
      <c r="BT7" s="17">
        <f>t_Presses[[#This Row],[hp2015.08]]/t_Presses[[#This Row],[ha2015.08]]</f>
        <v>0</v>
      </c>
      <c r="BU7" s="17">
        <f>t_Presses[[#This Row],[hp2015.09]]/t_Presses[[#This Row],[ha2015.09]]</f>
        <v>0</v>
      </c>
      <c r="BV7" s="17">
        <f>t_Presses[[#This Row],[hp2015.10]]/t_Presses[[#This Row],[ha2015.10]]</f>
        <v>0</v>
      </c>
      <c r="BW7" s="17">
        <f>t_Presses[[#This Row],[hp2015.11]]/t_Presses[[#This Row],[ha2015.11]]</f>
        <v>0</v>
      </c>
      <c r="BX7" s="17">
        <f>t_Presses[[#This Row],[hp2015.12]]/t_Presses[[#This Row],[ha2015.12]]</f>
        <v>0</v>
      </c>
      <c r="BY7" s="17">
        <f>t_Presses[[#This Row],[hp2015.FY]]/t_Presses[[#This Row],[ha2015.FY]]</f>
        <v>0</v>
      </c>
      <c r="BZ7" s="17">
        <f>t_Presses[[#This Row],[hp2016.01]]/t_Presses[[#This Row],[ha2016.01]]</f>
        <v>0</v>
      </c>
      <c r="CA7" s="17">
        <f>t_Presses[[#This Row],[hp2016.02]]/t_Presses[[#This Row],[ha2016.02]]</f>
        <v>0</v>
      </c>
      <c r="CB7" s="17">
        <f>t_Presses[[#This Row],[hp2016.03]]/t_Presses[[#This Row],[ha2016.03]]</f>
        <v>0</v>
      </c>
      <c r="CC7" s="17">
        <f>t_Presses[[#This Row],[hp2016.04]]/t_Presses[[#This Row],[ha2016.04]]</f>
        <v>0</v>
      </c>
      <c r="CD7" s="17">
        <f>t_Presses[[#This Row],[hp2016.05]]/t_Presses[[#This Row],[ha2016.05]]</f>
        <v>0</v>
      </c>
      <c r="CE7" s="17">
        <f>t_Presses[[#This Row],[hp2016.06]]/t_Presses[[#This Row],[ha2016.06]]</f>
        <v>0</v>
      </c>
      <c r="CF7" s="17">
        <f>t_Presses[[#This Row],[hp2016.07]]/t_Presses[[#This Row],[ha2016.07]]</f>
        <v>0</v>
      </c>
      <c r="CG7" s="17">
        <f>t_Presses[[#This Row],[hp2016.08]]/t_Presses[[#This Row],[ha2016.08]]</f>
        <v>0</v>
      </c>
      <c r="CH7" s="17">
        <f>t_Presses[[#This Row],[hp2016.09]]/t_Presses[[#This Row],[ha2016.09]]</f>
        <v>0</v>
      </c>
      <c r="CI7" s="17">
        <f>t_Presses[[#This Row],[hp2016.10]]/t_Presses[[#This Row],[ha2016.10]]</f>
        <v>0</v>
      </c>
      <c r="CJ7" s="17">
        <f>t_Presses[[#This Row],[hp2016.11]]/t_Presses[[#This Row],[ha2016.11]]</f>
        <v>0</v>
      </c>
      <c r="CK7" s="17">
        <f>t_Presses[[#This Row],[hp2016.12]]/t_Presses[[#This Row],[ha2016.12]]</f>
        <v>0</v>
      </c>
      <c r="CL7" s="17">
        <f>t_Presses[[#This Row],[hp2016.FY]]/t_Presses[[#This Row],[ha2016.FY]]</f>
        <v>0</v>
      </c>
      <c r="CM7" s="17">
        <f>t_Presses[[#This Row],[hp2017]]/t_Presses[[#This Row],[ha2017]]</f>
        <v>0</v>
      </c>
      <c r="CN7" s="17">
        <f>t_Presses[[#This Row],[hp2018]]/t_Presses[[#This Row],[ha2018]]</f>
        <v>0</v>
      </c>
      <c r="CO7" s="17">
        <f>t_Presses[[#This Row],[hp2019]]/t_Presses[[#This Row],[ha2019]]</f>
        <v>0</v>
      </c>
    </row>
    <row r="8" spans="1:93" x14ac:dyDescent="0.25">
      <c r="A8" s="16">
        <v>21011</v>
      </c>
      <c r="B8" t="s">
        <v>8</v>
      </c>
      <c r="C8" t="s">
        <v>126</v>
      </c>
      <c r="D8">
        <v>400</v>
      </c>
      <c r="E8" s="18" t="str">
        <f t="shared" si="0"/>
        <v>300-599</v>
      </c>
      <c r="F8" s="15"/>
      <c r="G8">
        <f>VLOOKUP(t_Presses[[Plant]:[Plant]],t_Plants[],Plants!CM$1,FALSE)</f>
        <v>250</v>
      </c>
      <c r="H8">
        <f>VLOOKUP(t_Presses[[Plant]:[Plant]],t_Plants[],Plants!CN$1,FALSE)</f>
        <v>260</v>
      </c>
      <c r="I8">
        <f>VLOOKUP(t_Presses[[Plant]:[Plant]],t_Plants[],Plants!CO$1,FALSE)</f>
        <v>340</v>
      </c>
      <c r="J8">
        <f>VLOOKUP(t_Presses[[Plant]:[Plant]],t_Plants[],Plants!CP$1,FALSE)</f>
        <v>250</v>
      </c>
      <c r="K8">
        <f>VLOOKUP(t_Presses[[Plant]:[Plant]],t_Plants[],Plants!CQ$1,FALSE)</f>
        <v>260</v>
      </c>
      <c r="L8">
        <f>VLOOKUP(t_Presses[[Plant]:[Plant]],t_Plants[],Plants!CR$1,FALSE)</f>
        <v>340</v>
      </c>
      <c r="M8">
        <f>VLOOKUP(t_Presses[[Plant]:[Plant]],t_Plants[],Plants!CS$1,FALSE)</f>
        <v>250</v>
      </c>
      <c r="N8">
        <f>VLOOKUP(t_Presses[[Plant]:[Plant]],t_Plants[],Plants!CT$1,FALSE)</f>
        <v>260</v>
      </c>
      <c r="O8">
        <f>VLOOKUP(t_Presses[[Plant]:[Plant]],t_Plants[],Plants!CU$1,FALSE)</f>
        <v>340</v>
      </c>
      <c r="P8">
        <f>VLOOKUP(t_Presses[[Plant]:[Plant]],t_Plants[],Plants!CV$1,FALSE)</f>
        <v>250</v>
      </c>
      <c r="Q8">
        <f>VLOOKUP(t_Presses[[Plant]:[Plant]],t_Plants[],Plants!CW$1,FALSE)</f>
        <v>260</v>
      </c>
      <c r="R8">
        <f>VLOOKUP(t_Presses[[Plant]:[Plant]],t_Plants[],Plants!CX$1,FALSE)</f>
        <v>340</v>
      </c>
      <c r="S8" s="18">
        <f>SUM(t_Presses[[#This Row],[ha2015.01]:[ha2015.12]])</f>
        <v>3400</v>
      </c>
      <c r="T8">
        <f>VLOOKUP(t_Presses[[Plant]:[Plant]],t_Plants[],Plants!CZ$1,FALSE)</f>
        <v>250</v>
      </c>
      <c r="U8">
        <f>VLOOKUP(t_Presses[[Plant]:[Plant]],t_Plants[],Plants!DA$1,FALSE)</f>
        <v>240</v>
      </c>
      <c r="V8">
        <f>VLOOKUP(t_Presses[[Plant]:[Plant]],t_Plants[],Plants!DB$1,FALSE)</f>
        <v>340</v>
      </c>
      <c r="W8">
        <f>VLOOKUP(t_Presses[[Plant]:[Plant]],t_Plants[],Plants!DC$1,FALSE)</f>
        <v>250</v>
      </c>
      <c r="X8">
        <f>VLOOKUP(t_Presses[[Plant]:[Plant]],t_Plants[],Plants!DD$1,FALSE)</f>
        <v>260</v>
      </c>
      <c r="Y8">
        <f>VLOOKUP(t_Presses[[Plant]:[Plant]],t_Plants[],Plants!DE$1,FALSE)</f>
        <v>340</v>
      </c>
      <c r="Z8">
        <f>VLOOKUP(t_Presses[[Plant]:[Plant]],t_Plants[],Plants!DF$1,FALSE)</f>
        <v>250</v>
      </c>
      <c r="AA8">
        <f>VLOOKUP(t_Presses[[Plant]:[Plant]],t_Plants[],Plants!DG$1,FALSE)</f>
        <v>260</v>
      </c>
      <c r="AB8">
        <f>VLOOKUP(t_Presses[[Plant]:[Plant]],t_Plants[],Plants!DH$1,FALSE)</f>
        <v>340</v>
      </c>
      <c r="AC8">
        <f>VLOOKUP(t_Presses[[Plant]:[Plant]],t_Plants[],Plants!DI$1,FALSE)</f>
        <v>250</v>
      </c>
      <c r="AD8">
        <f>VLOOKUP(t_Presses[[Plant]:[Plant]],t_Plants[],Plants!DJ$1,FALSE)</f>
        <v>220</v>
      </c>
      <c r="AE8">
        <f>VLOOKUP(t_Presses[[Plant]:[Plant]],t_Plants[],Plants!DK$1,FALSE)</f>
        <v>300</v>
      </c>
      <c r="AF8" s="18">
        <f>SUM(t_Presses[[#This Row],[ha2016.01]:[ha2016.12]])</f>
        <v>3300</v>
      </c>
      <c r="AG8">
        <f>VLOOKUP(t_Presses[[Plant]:[Plant]],t_Plants[],Plants!DM$1,FALSE)</f>
        <v>3300</v>
      </c>
      <c r="AH8">
        <f>VLOOKUP(t_Presses[[Plant]:[Plant]],t_Plants[],Plants!DN$1,FALSE)</f>
        <v>3300</v>
      </c>
      <c r="AI8">
        <f>VLOOKUP(t_Presses[[Plant]:[Plant]],t_Plants[],Plants!DO$1,FALSE)</f>
        <v>3300</v>
      </c>
      <c r="AJ8" s="52">
        <f>SUMIF(r_PartPresses,t_Presses[[PRESS]:[PRESS]],t_Parts[hp2015.01])</f>
        <v>0</v>
      </c>
      <c r="AK8" s="52">
        <f>SUMIF(r_PartPresses,t_Presses[[PRESS]:[PRESS]],t_Parts[hp2015.02])</f>
        <v>0</v>
      </c>
      <c r="AL8" s="52">
        <f>SUMIF(r_PartPresses,t_Presses[[PRESS]:[PRESS]],t_Parts[hp2015.03])</f>
        <v>0</v>
      </c>
      <c r="AM8" s="52">
        <f>SUMIF(r_PartPresses,t_Presses[[PRESS]:[PRESS]],t_Parts[hp2015.04])</f>
        <v>0</v>
      </c>
      <c r="AN8" s="52">
        <f>SUMIF(r_PartPresses,t_Presses[[PRESS]:[PRESS]],t_Parts[hp2015.05])</f>
        <v>0</v>
      </c>
      <c r="AO8" s="52">
        <f>SUMIF(r_PartPresses,t_Presses[[PRESS]:[PRESS]],t_Parts[hp2015.06])</f>
        <v>0</v>
      </c>
      <c r="AP8" s="52">
        <f>SUMIF(r_PartPresses,t_Presses[[PRESS]:[PRESS]],t_Parts[hp2015.07])</f>
        <v>0</v>
      </c>
      <c r="AQ8" s="52">
        <f>SUMIF(r_PartPresses,t_Presses[[PRESS]:[PRESS]],t_Parts[hp2015.08])</f>
        <v>0</v>
      </c>
      <c r="AR8" s="52">
        <f>SUMIF(r_PartPresses,t_Presses[[PRESS]:[PRESS]],t_Parts[hp2015.09])</f>
        <v>0</v>
      </c>
      <c r="AS8" s="52">
        <f>SUMIF(r_PartPresses,t_Presses[[PRESS]:[PRESS]],t_Parts[hp2015.10])</f>
        <v>0</v>
      </c>
      <c r="AT8" s="52">
        <f>SUMIF(r_PartPresses,t_Presses[[PRESS]:[PRESS]],t_Parts[hp2015.11])</f>
        <v>0</v>
      </c>
      <c r="AU8" s="52">
        <f>SUMIF(r_PartPresses,t_Presses[[PRESS]:[PRESS]],t_Parts[hp2015.12])</f>
        <v>0</v>
      </c>
      <c r="AV8" s="52">
        <f>SUM(t_Presses[[#This Row],[hp2015.01]:[hp2015.12]])</f>
        <v>0</v>
      </c>
      <c r="AW8" s="52">
        <f>SUMIF(r_PartPresses,t_Presses[[PRESS]:[PRESS]],t_Parts[hp2016.01])</f>
        <v>0</v>
      </c>
      <c r="AX8" s="52">
        <f>SUMIF(r_PartPresses,t_Presses[[PRESS]:[PRESS]],t_Parts[hp2016.02])</f>
        <v>0</v>
      </c>
      <c r="AY8" s="52">
        <f>SUMIF(r_PartPresses,t_Presses[[PRESS]:[PRESS]],t_Parts[hp2016.03])</f>
        <v>0</v>
      </c>
      <c r="AZ8" s="52">
        <f>SUMIF(r_PartPresses,t_Presses[[PRESS]:[PRESS]],t_Parts[hp2016.04])</f>
        <v>0</v>
      </c>
      <c r="BA8" s="52">
        <f>SUMIF(r_PartPresses,t_Presses[[PRESS]:[PRESS]],t_Parts[hp2016.05])</f>
        <v>0</v>
      </c>
      <c r="BB8" s="52">
        <f>SUMIF(r_PartPresses,t_Presses[[PRESS]:[PRESS]],t_Parts[hp2016.06])</f>
        <v>0</v>
      </c>
      <c r="BC8" s="52">
        <f>SUMIF(r_PartPresses,t_Presses[[PRESS]:[PRESS]],t_Parts[hp2016.07])</f>
        <v>0</v>
      </c>
      <c r="BD8" s="52">
        <f>SUMIF(r_PartPresses,t_Presses[[PRESS]:[PRESS]],t_Parts[hp2016.08])</f>
        <v>0</v>
      </c>
      <c r="BE8" s="52">
        <f>SUMIF(r_PartPresses,t_Presses[[PRESS]:[PRESS]],t_Parts[hp2016.09])</f>
        <v>0</v>
      </c>
      <c r="BF8" s="52">
        <f>SUMIF(r_PartPresses,t_Presses[[PRESS]:[PRESS]],t_Parts[hp2016.10])</f>
        <v>0</v>
      </c>
      <c r="BG8" s="52">
        <f>SUMIF(r_PartPresses,t_Presses[[PRESS]:[PRESS]],t_Parts[hp2016.11])</f>
        <v>0</v>
      </c>
      <c r="BH8" s="52">
        <f>SUMIF(r_PartPresses,t_Presses[[PRESS]:[PRESS]],t_Parts[hp2016.12])</f>
        <v>0</v>
      </c>
      <c r="BI8" s="52">
        <f>SUMIF(r_PartPresses,t_Presses[[PRESS]:[PRESS]],t_Parts[hp2016.FY])</f>
        <v>0</v>
      </c>
      <c r="BJ8" s="52">
        <f>SUMIF(r_PartPresses,t_Presses[[PRESS]:[PRESS]],t_Parts[hp2017])</f>
        <v>0</v>
      </c>
      <c r="BK8" s="52">
        <f>SUMIF(r_PartPresses,t_Presses[[PRESS]:[PRESS]],t_Parts[hp2018])</f>
        <v>0</v>
      </c>
      <c r="BL8" s="52">
        <f>SUMIF(r_PartPresses,t_Presses[[PRESS]:[PRESS]],t_Parts[hp2019])</f>
        <v>0</v>
      </c>
      <c r="BM8" s="17">
        <f>t_Presses[[#This Row],[hp2015.01]]/t_Presses[[#This Row],[ha2015.01]]</f>
        <v>0</v>
      </c>
      <c r="BN8" s="17">
        <f>t_Presses[[#This Row],[hp2015.02]]/t_Presses[[#This Row],[ha2015.02]]</f>
        <v>0</v>
      </c>
      <c r="BO8" s="17">
        <f>t_Presses[[#This Row],[hp2015.03]]/t_Presses[[#This Row],[ha2015.03]]</f>
        <v>0</v>
      </c>
      <c r="BP8" s="17">
        <f>t_Presses[[#This Row],[hp2015.04]]/t_Presses[[#This Row],[ha2015.04]]</f>
        <v>0</v>
      </c>
      <c r="BQ8" s="17">
        <f>t_Presses[[#This Row],[hp2015.05]]/t_Presses[[#This Row],[ha2015.05]]</f>
        <v>0</v>
      </c>
      <c r="BR8" s="17">
        <f>t_Presses[[#This Row],[hp2015.06]]/t_Presses[[#This Row],[ha2015.06]]</f>
        <v>0</v>
      </c>
      <c r="BS8" s="17">
        <f>t_Presses[[#This Row],[hp2015.07]]/t_Presses[[#This Row],[ha2015.07]]</f>
        <v>0</v>
      </c>
      <c r="BT8" s="17">
        <f>t_Presses[[#This Row],[hp2015.08]]/t_Presses[[#This Row],[ha2015.08]]</f>
        <v>0</v>
      </c>
      <c r="BU8" s="17">
        <f>t_Presses[[#This Row],[hp2015.09]]/t_Presses[[#This Row],[ha2015.09]]</f>
        <v>0</v>
      </c>
      <c r="BV8" s="17">
        <f>t_Presses[[#This Row],[hp2015.10]]/t_Presses[[#This Row],[ha2015.10]]</f>
        <v>0</v>
      </c>
      <c r="BW8" s="17">
        <f>t_Presses[[#This Row],[hp2015.11]]/t_Presses[[#This Row],[ha2015.11]]</f>
        <v>0</v>
      </c>
      <c r="BX8" s="17">
        <f>t_Presses[[#This Row],[hp2015.12]]/t_Presses[[#This Row],[ha2015.12]]</f>
        <v>0</v>
      </c>
      <c r="BY8" s="17">
        <f>t_Presses[[#This Row],[hp2015.FY]]/t_Presses[[#This Row],[ha2015.FY]]</f>
        <v>0</v>
      </c>
      <c r="BZ8" s="17">
        <f>t_Presses[[#This Row],[hp2016.01]]/t_Presses[[#This Row],[ha2016.01]]</f>
        <v>0</v>
      </c>
      <c r="CA8" s="17">
        <f>t_Presses[[#This Row],[hp2016.02]]/t_Presses[[#This Row],[ha2016.02]]</f>
        <v>0</v>
      </c>
      <c r="CB8" s="17">
        <f>t_Presses[[#This Row],[hp2016.03]]/t_Presses[[#This Row],[ha2016.03]]</f>
        <v>0</v>
      </c>
      <c r="CC8" s="17">
        <f>t_Presses[[#This Row],[hp2016.04]]/t_Presses[[#This Row],[ha2016.04]]</f>
        <v>0</v>
      </c>
      <c r="CD8" s="17">
        <f>t_Presses[[#This Row],[hp2016.05]]/t_Presses[[#This Row],[ha2016.05]]</f>
        <v>0</v>
      </c>
      <c r="CE8" s="17">
        <f>t_Presses[[#This Row],[hp2016.06]]/t_Presses[[#This Row],[ha2016.06]]</f>
        <v>0</v>
      </c>
      <c r="CF8" s="17">
        <f>t_Presses[[#This Row],[hp2016.07]]/t_Presses[[#This Row],[ha2016.07]]</f>
        <v>0</v>
      </c>
      <c r="CG8" s="17">
        <f>t_Presses[[#This Row],[hp2016.08]]/t_Presses[[#This Row],[ha2016.08]]</f>
        <v>0</v>
      </c>
      <c r="CH8" s="17">
        <f>t_Presses[[#This Row],[hp2016.09]]/t_Presses[[#This Row],[ha2016.09]]</f>
        <v>0</v>
      </c>
      <c r="CI8" s="17">
        <f>t_Presses[[#This Row],[hp2016.10]]/t_Presses[[#This Row],[ha2016.10]]</f>
        <v>0</v>
      </c>
      <c r="CJ8" s="17">
        <f>t_Presses[[#This Row],[hp2016.11]]/t_Presses[[#This Row],[ha2016.11]]</f>
        <v>0</v>
      </c>
      <c r="CK8" s="17">
        <f>t_Presses[[#This Row],[hp2016.12]]/t_Presses[[#This Row],[ha2016.12]]</f>
        <v>0</v>
      </c>
      <c r="CL8" s="17">
        <f>t_Presses[[#This Row],[hp2016.FY]]/t_Presses[[#This Row],[ha2016.FY]]</f>
        <v>0</v>
      </c>
      <c r="CM8" s="17">
        <f>t_Presses[[#This Row],[hp2017]]/t_Presses[[#This Row],[ha2017]]</f>
        <v>0</v>
      </c>
      <c r="CN8" s="17">
        <f>t_Presses[[#This Row],[hp2018]]/t_Presses[[#This Row],[ha2018]]</f>
        <v>0</v>
      </c>
      <c r="CO8" s="17">
        <f>t_Presses[[#This Row],[hp2019]]/t_Presses[[#This Row],[ha2019]]</f>
        <v>0</v>
      </c>
    </row>
    <row r="9" spans="1:93" x14ac:dyDescent="0.25">
      <c r="A9" s="16">
        <v>21012</v>
      </c>
      <c r="B9" t="s">
        <v>8</v>
      </c>
      <c r="C9" t="s">
        <v>127</v>
      </c>
      <c r="D9">
        <v>600</v>
      </c>
      <c r="E9" s="18" t="str">
        <f t="shared" si="0"/>
        <v>600-899</v>
      </c>
      <c r="F9" s="15"/>
      <c r="G9">
        <f>VLOOKUP(t_Presses[[Plant]:[Plant]],t_Plants[],Plants!CM$1,FALSE)</f>
        <v>250</v>
      </c>
      <c r="H9">
        <f>VLOOKUP(t_Presses[[Plant]:[Plant]],t_Plants[],Plants!CN$1,FALSE)</f>
        <v>260</v>
      </c>
      <c r="I9">
        <f>VLOOKUP(t_Presses[[Plant]:[Plant]],t_Plants[],Plants!CO$1,FALSE)</f>
        <v>340</v>
      </c>
      <c r="J9">
        <f>VLOOKUP(t_Presses[[Plant]:[Plant]],t_Plants[],Plants!CP$1,FALSE)</f>
        <v>250</v>
      </c>
      <c r="K9">
        <f>VLOOKUP(t_Presses[[Plant]:[Plant]],t_Plants[],Plants!CQ$1,FALSE)</f>
        <v>260</v>
      </c>
      <c r="L9">
        <f>VLOOKUP(t_Presses[[Plant]:[Plant]],t_Plants[],Plants!CR$1,FALSE)</f>
        <v>340</v>
      </c>
      <c r="M9">
        <f>VLOOKUP(t_Presses[[Plant]:[Plant]],t_Plants[],Plants!CS$1,FALSE)</f>
        <v>250</v>
      </c>
      <c r="N9">
        <f>VLOOKUP(t_Presses[[Plant]:[Plant]],t_Plants[],Plants!CT$1,FALSE)</f>
        <v>260</v>
      </c>
      <c r="O9">
        <f>VLOOKUP(t_Presses[[Plant]:[Plant]],t_Plants[],Plants!CU$1,FALSE)</f>
        <v>340</v>
      </c>
      <c r="P9">
        <f>VLOOKUP(t_Presses[[Plant]:[Plant]],t_Plants[],Plants!CV$1,FALSE)</f>
        <v>250</v>
      </c>
      <c r="Q9">
        <f>VLOOKUP(t_Presses[[Plant]:[Plant]],t_Plants[],Plants!CW$1,FALSE)</f>
        <v>260</v>
      </c>
      <c r="R9">
        <f>VLOOKUP(t_Presses[[Plant]:[Plant]],t_Plants[],Plants!CX$1,FALSE)</f>
        <v>340</v>
      </c>
      <c r="S9" s="18">
        <f>SUM(t_Presses[[#This Row],[ha2015.01]:[ha2015.12]])</f>
        <v>3400</v>
      </c>
      <c r="T9">
        <f>VLOOKUP(t_Presses[[Plant]:[Plant]],t_Plants[],Plants!CZ$1,FALSE)</f>
        <v>250</v>
      </c>
      <c r="U9">
        <f>VLOOKUP(t_Presses[[Plant]:[Plant]],t_Plants[],Plants!DA$1,FALSE)</f>
        <v>240</v>
      </c>
      <c r="V9">
        <f>VLOOKUP(t_Presses[[Plant]:[Plant]],t_Plants[],Plants!DB$1,FALSE)</f>
        <v>340</v>
      </c>
      <c r="W9">
        <f>VLOOKUP(t_Presses[[Plant]:[Plant]],t_Plants[],Plants!DC$1,FALSE)</f>
        <v>250</v>
      </c>
      <c r="X9">
        <f>VLOOKUP(t_Presses[[Plant]:[Plant]],t_Plants[],Plants!DD$1,FALSE)</f>
        <v>260</v>
      </c>
      <c r="Y9">
        <f>VLOOKUP(t_Presses[[Plant]:[Plant]],t_Plants[],Plants!DE$1,FALSE)</f>
        <v>340</v>
      </c>
      <c r="Z9">
        <f>VLOOKUP(t_Presses[[Plant]:[Plant]],t_Plants[],Plants!DF$1,FALSE)</f>
        <v>250</v>
      </c>
      <c r="AA9">
        <f>VLOOKUP(t_Presses[[Plant]:[Plant]],t_Plants[],Plants!DG$1,FALSE)</f>
        <v>260</v>
      </c>
      <c r="AB9">
        <f>VLOOKUP(t_Presses[[Plant]:[Plant]],t_Plants[],Plants!DH$1,FALSE)</f>
        <v>340</v>
      </c>
      <c r="AC9">
        <f>VLOOKUP(t_Presses[[Plant]:[Plant]],t_Plants[],Plants!DI$1,FALSE)</f>
        <v>250</v>
      </c>
      <c r="AD9">
        <f>VLOOKUP(t_Presses[[Plant]:[Plant]],t_Plants[],Plants!DJ$1,FALSE)</f>
        <v>220</v>
      </c>
      <c r="AE9">
        <f>VLOOKUP(t_Presses[[Plant]:[Plant]],t_Plants[],Plants!DK$1,FALSE)</f>
        <v>300</v>
      </c>
      <c r="AF9" s="18">
        <f>SUM(t_Presses[[#This Row],[ha2016.01]:[ha2016.12]])</f>
        <v>3300</v>
      </c>
      <c r="AG9">
        <f>VLOOKUP(t_Presses[[Plant]:[Plant]],t_Plants[],Plants!DM$1,FALSE)</f>
        <v>3300</v>
      </c>
      <c r="AH9">
        <f>VLOOKUP(t_Presses[[Plant]:[Plant]],t_Plants[],Plants!DN$1,FALSE)</f>
        <v>3300</v>
      </c>
      <c r="AI9">
        <f>VLOOKUP(t_Presses[[Plant]:[Plant]],t_Plants[],Plants!DO$1,FALSE)</f>
        <v>3300</v>
      </c>
      <c r="AJ9" s="52">
        <f>SUMIF(r_PartPresses,t_Presses[[PRESS]:[PRESS]],t_Parts[hp2015.01])</f>
        <v>0</v>
      </c>
      <c r="AK9" s="52">
        <f>SUMIF(r_PartPresses,t_Presses[[PRESS]:[PRESS]],t_Parts[hp2015.02])</f>
        <v>0</v>
      </c>
      <c r="AL9" s="52">
        <f>SUMIF(r_PartPresses,t_Presses[[PRESS]:[PRESS]],t_Parts[hp2015.03])</f>
        <v>0</v>
      </c>
      <c r="AM9" s="52">
        <f>SUMIF(r_PartPresses,t_Presses[[PRESS]:[PRESS]],t_Parts[hp2015.04])</f>
        <v>0</v>
      </c>
      <c r="AN9" s="52">
        <f>SUMIF(r_PartPresses,t_Presses[[PRESS]:[PRESS]],t_Parts[hp2015.05])</f>
        <v>0</v>
      </c>
      <c r="AO9" s="52">
        <f>SUMIF(r_PartPresses,t_Presses[[PRESS]:[PRESS]],t_Parts[hp2015.06])</f>
        <v>0</v>
      </c>
      <c r="AP9" s="52">
        <f>SUMIF(r_PartPresses,t_Presses[[PRESS]:[PRESS]],t_Parts[hp2015.07])</f>
        <v>0</v>
      </c>
      <c r="AQ9" s="52">
        <f>SUMIF(r_PartPresses,t_Presses[[PRESS]:[PRESS]],t_Parts[hp2015.08])</f>
        <v>0</v>
      </c>
      <c r="AR9" s="52">
        <f>SUMIF(r_PartPresses,t_Presses[[PRESS]:[PRESS]],t_Parts[hp2015.09])</f>
        <v>0</v>
      </c>
      <c r="AS9" s="52">
        <f>SUMIF(r_PartPresses,t_Presses[[PRESS]:[PRESS]],t_Parts[hp2015.10])</f>
        <v>0</v>
      </c>
      <c r="AT9" s="52">
        <f>SUMIF(r_PartPresses,t_Presses[[PRESS]:[PRESS]],t_Parts[hp2015.11])</f>
        <v>0</v>
      </c>
      <c r="AU9" s="52">
        <f>SUMIF(r_PartPresses,t_Presses[[PRESS]:[PRESS]],t_Parts[hp2015.12])</f>
        <v>0</v>
      </c>
      <c r="AV9" s="52">
        <f>SUM(t_Presses[[#This Row],[hp2015.01]:[hp2015.12]])</f>
        <v>0</v>
      </c>
      <c r="AW9" s="52">
        <f>SUMIF(r_PartPresses,t_Presses[[PRESS]:[PRESS]],t_Parts[hp2016.01])</f>
        <v>0</v>
      </c>
      <c r="AX9" s="52">
        <f>SUMIF(r_PartPresses,t_Presses[[PRESS]:[PRESS]],t_Parts[hp2016.02])</f>
        <v>0</v>
      </c>
      <c r="AY9" s="52">
        <f>SUMIF(r_PartPresses,t_Presses[[PRESS]:[PRESS]],t_Parts[hp2016.03])</f>
        <v>0</v>
      </c>
      <c r="AZ9" s="52">
        <f>SUMIF(r_PartPresses,t_Presses[[PRESS]:[PRESS]],t_Parts[hp2016.04])</f>
        <v>0</v>
      </c>
      <c r="BA9" s="52">
        <f>SUMIF(r_PartPresses,t_Presses[[PRESS]:[PRESS]],t_Parts[hp2016.05])</f>
        <v>0</v>
      </c>
      <c r="BB9" s="52">
        <f>SUMIF(r_PartPresses,t_Presses[[PRESS]:[PRESS]],t_Parts[hp2016.06])</f>
        <v>0</v>
      </c>
      <c r="BC9" s="52">
        <f>SUMIF(r_PartPresses,t_Presses[[PRESS]:[PRESS]],t_Parts[hp2016.07])</f>
        <v>0</v>
      </c>
      <c r="BD9" s="52">
        <f>SUMIF(r_PartPresses,t_Presses[[PRESS]:[PRESS]],t_Parts[hp2016.08])</f>
        <v>0</v>
      </c>
      <c r="BE9" s="52">
        <f>SUMIF(r_PartPresses,t_Presses[[PRESS]:[PRESS]],t_Parts[hp2016.09])</f>
        <v>0</v>
      </c>
      <c r="BF9" s="52">
        <f>SUMIF(r_PartPresses,t_Presses[[PRESS]:[PRESS]],t_Parts[hp2016.10])</f>
        <v>0</v>
      </c>
      <c r="BG9" s="52">
        <f>SUMIF(r_PartPresses,t_Presses[[PRESS]:[PRESS]],t_Parts[hp2016.11])</f>
        <v>0</v>
      </c>
      <c r="BH9" s="52">
        <f>SUMIF(r_PartPresses,t_Presses[[PRESS]:[PRESS]],t_Parts[hp2016.12])</f>
        <v>0</v>
      </c>
      <c r="BI9" s="52">
        <f>SUMIF(r_PartPresses,t_Presses[[PRESS]:[PRESS]],t_Parts[hp2016.FY])</f>
        <v>0</v>
      </c>
      <c r="BJ9" s="52">
        <f>SUMIF(r_PartPresses,t_Presses[[PRESS]:[PRESS]],t_Parts[hp2017])</f>
        <v>0</v>
      </c>
      <c r="BK9" s="52">
        <f>SUMIF(r_PartPresses,t_Presses[[PRESS]:[PRESS]],t_Parts[hp2018])</f>
        <v>0</v>
      </c>
      <c r="BL9" s="52">
        <f>SUMIF(r_PartPresses,t_Presses[[PRESS]:[PRESS]],t_Parts[hp2019])</f>
        <v>0</v>
      </c>
      <c r="BM9" s="17">
        <f>t_Presses[[#This Row],[hp2015.01]]/t_Presses[[#This Row],[ha2015.01]]</f>
        <v>0</v>
      </c>
      <c r="BN9" s="17">
        <f>t_Presses[[#This Row],[hp2015.02]]/t_Presses[[#This Row],[ha2015.02]]</f>
        <v>0</v>
      </c>
      <c r="BO9" s="17">
        <f>t_Presses[[#This Row],[hp2015.03]]/t_Presses[[#This Row],[ha2015.03]]</f>
        <v>0</v>
      </c>
      <c r="BP9" s="17">
        <f>t_Presses[[#This Row],[hp2015.04]]/t_Presses[[#This Row],[ha2015.04]]</f>
        <v>0</v>
      </c>
      <c r="BQ9" s="17">
        <f>t_Presses[[#This Row],[hp2015.05]]/t_Presses[[#This Row],[ha2015.05]]</f>
        <v>0</v>
      </c>
      <c r="BR9" s="17">
        <f>t_Presses[[#This Row],[hp2015.06]]/t_Presses[[#This Row],[ha2015.06]]</f>
        <v>0</v>
      </c>
      <c r="BS9" s="17">
        <f>t_Presses[[#This Row],[hp2015.07]]/t_Presses[[#This Row],[ha2015.07]]</f>
        <v>0</v>
      </c>
      <c r="BT9" s="17">
        <f>t_Presses[[#This Row],[hp2015.08]]/t_Presses[[#This Row],[ha2015.08]]</f>
        <v>0</v>
      </c>
      <c r="BU9" s="17">
        <f>t_Presses[[#This Row],[hp2015.09]]/t_Presses[[#This Row],[ha2015.09]]</f>
        <v>0</v>
      </c>
      <c r="BV9" s="17">
        <f>t_Presses[[#This Row],[hp2015.10]]/t_Presses[[#This Row],[ha2015.10]]</f>
        <v>0</v>
      </c>
      <c r="BW9" s="17">
        <f>t_Presses[[#This Row],[hp2015.11]]/t_Presses[[#This Row],[ha2015.11]]</f>
        <v>0</v>
      </c>
      <c r="BX9" s="17">
        <f>t_Presses[[#This Row],[hp2015.12]]/t_Presses[[#This Row],[ha2015.12]]</f>
        <v>0</v>
      </c>
      <c r="BY9" s="17">
        <f>t_Presses[[#This Row],[hp2015.FY]]/t_Presses[[#This Row],[ha2015.FY]]</f>
        <v>0</v>
      </c>
      <c r="BZ9" s="17">
        <f>t_Presses[[#This Row],[hp2016.01]]/t_Presses[[#This Row],[ha2016.01]]</f>
        <v>0</v>
      </c>
      <c r="CA9" s="17">
        <f>t_Presses[[#This Row],[hp2016.02]]/t_Presses[[#This Row],[ha2016.02]]</f>
        <v>0</v>
      </c>
      <c r="CB9" s="17">
        <f>t_Presses[[#This Row],[hp2016.03]]/t_Presses[[#This Row],[ha2016.03]]</f>
        <v>0</v>
      </c>
      <c r="CC9" s="17">
        <f>t_Presses[[#This Row],[hp2016.04]]/t_Presses[[#This Row],[ha2016.04]]</f>
        <v>0</v>
      </c>
      <c r="CD9" s="17">
        <f>t_Presses[[#This Row],[hp2016.05]]/t_Presses[[#This Row],[ha2016.05]]</f>
        <v>0</v>
      </c>
      <c r="CE9" s="17">
        <f>t_Presses[[#This Row],[hp2016.06]]/t_Presses[[#This Row],[ha2016.06]]</f>
        <v>0</v>
      </c>
      <c r="CF9" s="17">
        <f>t_Presses[[#This Row],[hp2016.07]]/t_Presses[[#This Row],[ha2016.07]]</f>
        <v>0</v>
      </c>
      <c r="CG9" s="17">
        <f>t_Presses[[#This Row],[hp2016.08]]/t_Presses[[#This Row],[ha2016.08]]</f>
        <v>0</v>
      </c>
      <c r="CH9" s="17">
        <f>t_Presses[[#This Row],[hp2016.09]]/t_Presses[[#This Row],[ha2016.09]]</f>
        <v>0</v>
      </c>
      <c r="CI9" s="17">
        <f>t_Presses[[#This Row],[hp2016.10]]/t_Presses[[#This Row],[ha2016.10]]</f>
        <v>0</v>
      </c>
      <c r="CJ9" s="17">
        <f>t_Presses[[#This Row],[hp2016.11]]/t_Presses[[#This Row],[ha2016.11]]</f>
        <v>0</v>
      </c>
      <c r="CK9" s="17">
        <f>t_Presses[[#This Row],[hp2016.12]]/t_Presses[[#This Row],[ha2016.12]]</f>
        <v>0</v>
      </c>
      <c r="CL9" s="17">
        <f>t_Presses[[#This Row],[hp2016.FY]]/t_Presses[[#This Row],[ha2016.FY]]</f>
        <v>0</v>
      </c>
      <c r="CM9" s="17">
        <f>t_Presses[[#This Row],[hp2017]]/t_Presses[[#This Row],[ha2017]]</f>
        <v>0</v>
      </c>
      <c r="CN9" s="17">
        <f>t_Presses[[#This Row],[hp2018]]/t_Presses[[#This Row],[ha2018]]</f>
        <v>0</v>
      </c>
      <c r="CO9" s="17">
        <f>t_Presses[[#This Row],[hp2019]]/t_Presses[[#This Row],[ha2019]]</f>
        <v>0</v>
      </c>
    </row>
    <row r="10" spans="1:93" x14ac:dyDescent="0.25">
      <c r="A10" s="16">
        <v>21013</v>
      </c>
      <c r="B10" t="s">
        <v>8</v>
      </c>
      <c r="C10" t="s">
        <v>126</v>
      </c>
      <c r="D10">
        <v>200</v>
      </c>
      <c r="E10" s="18" t="str">
        <f t="shared" si="0"/>
        <v>0-299</v>
      </c>
      <c r="F10" s="15"/>
      <c r="G10" s="18">
        <f>VLOOKUP(t_Presses[[Plant]:[Plant]],t_Plants[],Plants!CM$1,FALSE)</f>
        <v>250</v>
      </c>
      <c r="H10">
        <f>VLOOKUP(t_Presses[[Plant]:[Plant]],t_Plants[],Plants!CN$1,FALSE)</f>
        <v>260</v>
      </c>
      <c r="I10" s="18">
        <f>VLOOKUP(t_Presses[[Plant]:[Plant]],t_Plants[],Plants!CO$1,FALSE)</f>
        <v>340</v>
      </c>
      <c r="J10" s="18">
        <f>VLOOKUP(t_Presses[[Plant]:[Plant]],t_Plants[],Plants!CP$1,FALSE)</f>
        <v>250</v>
      </c>
      <c r="K10" s="18">
        <f>VLOOKUP(t_Presses[[Plant]:[Plant]],t_Plants[],Plants!CQ$1,FALSE)</f>
        <v>260</v>
      </c>
      <c r="L10" s="18">
        <f>VLOOKUP(t_Presses[[Plant]:[Plant]],t_Plants[],Plants!CR$1,FALSE)</f>
        <v>340</v>
      </c>
      <c r="M10" s="18">
        <f>VLOOKUP(t_Presses[[Plant]:[Plant]],t_Plants[],Plants!CS$1,FALSE)</f>
        <v>250</v>
      </c>
      <c r="N10" s="18">
        <f>VLOOKUP(t_Presses[[Plant]:[Plant]],t_Plants[],Plants!CT$1,FALSE)</f>
        <v>260</v>
      </c>
      <c r="O10" s="18">
        <f>VLOOKUP(t_Presses[[Plant]:[Plant]],t_Plants[],Plants!CU$1,FALSE)</f>
        <v>340</v>
      </c>
      <c r="P10" s="18">
        <f>VLOOKUP(t_Presses[[Plant]:[Plant]],t_Plants[],Plants!CV$1,FALSE)</f>
        <v>250</v>
      </c>
      <c r="Q10" s="18">
        <f>VLOOKUP(t_Presses[[Plant]:[Plant]],t_Plants[],Plants!CW$1,FALSE)</f>
        <v>260</v>
      </c>
      <c r="R10" s="18">
        <f>VLOOKUP(t_Presses[[Plant]:[Plant]],t_Plants[],Plants!CX$1,FALSE)</f>
        <v>340</v>
      </c>
      <c r="S10" s="18">
        <f>SUM(t_Presses[[#This Row],[ha2015.01]:[ha2015.12]])</f>
        <v>3400</v>
      </c>
      <c r="T10">
        <f>VLOOKUP(t_Presses[[Plant]:[Plant]],t_Plants[],Plants!CZ$1,FALSE)</f>
        <v>250</v>
      </c>
      <c r="U10">
        <f>VLOOKUP(t_Presses[[Plant]:[Plant]],t_Plants[],Plants!DA$1,FALSE)</f>
        <v>240</v>
      </c>
      <c r="V10">
        <f>VLOOKUP(t_Presses[[Plant]:[Plant]],t_Plants[],Plants!DB$1,FALSE)</f>
        <v>340</v>
      </c>
      <c r="W10">
        <f>VLOOKUP(t_Presses[[Plant]:[Plant]],t_Plants[],Plants!DC$1,FALSE)</f>
        <v>250</v>
      </c>
      <c r="X10">
        <f>VLOOKUP(t_Presses[[Plant]:[Plant]],t_Plants[],Plants!DD$1,FALSE)</f>
        <v>260</v>
      </c>
      <c r="Y10">
        <f>VLOOKUP(t_Presses[[Plant]:[Plant]],t_Plants[],Plants!DE$1,FALSE)</f>
        <v>340</v>
      </c>
      <c r="Z10">
        <f>VLOOKUP(t_Presses[[Plant]:[Plant]],t_Plants[],Plants!DF$1,FALSE)</f>
        <v>250</v>
      </c>
      <c r="AA10">
        <f>VLOOKUP(t_Presses[[Plant]:[Plant]],t_Plants[],Plants!DG$1,FALSE)</f>
        <v>260</v>
      </c>
      <c r="AB10">
        <f>VLOOKUP(t_Presses[[Plant]:[Plant]],t_Plants[],Plants!DH$1,FALSE)</f>
        <v>340</v>
      </c>
      <c r="AC10">
        <f>VLOOKUP(t_Presses[[Plant]:[Plant]],t_Plants[],Plants!DI$1,FALSE)</f>
        <v>250</v>
      </c>
      <c r="AD10">
        <f>VLOOKUP(t_Presses[[Plant]:[Plant]],t_Plants[],Plants!DJ$1,FALSE)</f>
        <v>220</v>
      </c>
      <c r="AE10">
        <f>VLOOKUP(t_Presses[[Plant]:[Plant]],t_Plants[],Plants!DK$1,FALSE)</f>
        <v>300</v>
      </c>
      <c r="AF10" s="18">
        <f>SUM(t_Presses[[#This Row],[ha2016.01]:[ha2016.12]])</f>
        <v>3300</v>
      </c>
      <c r="AG10">
        <f>VLOOKUP(t_Presses[[Plant]:[Plant]],t_Plants[],Plants!DM$1,FALSE)</f>
        <v>3300</v>
      </c>
      <c r="AH10">
        <f>VLOOKUP(t_Presses[[Plant]:[Plant]],t_Plants[],Plants!DN$1,FALSE)</f>
        <v>3300</v>
      </c>
      <c r="AI10">
        <f>VLOOKUP(t_Presses[[Plant]:[Plant]],t_Plants[],Plants!DO$1,FALSE)</f>
        <v>3300</v>
      </c>
      <c r="AJ10" s="52">
        <f>SUMIF(r_PartPresses,t_Presses[[PRESS]:[PRESS]],t_Parts[hp2015.01])</f>
        <v>46.135465739326037</v>
      </c>
      <c r="AK10" s="52">
        <f>SUMIF(r_PartPresses,t_Presses[[PRESS]:[PRESS]],t_Parts[hp2015.02])</f>
        <v>47.500884368899072</v>
      </c>
      <c r="AL10" s="52">
        <f>SUMIF(r_PartPresses,t_Presses[[PRESS]:[PRESS]],t_Parts[hp2015.03])</f>
        <v>58.424233405483399</v>
      </c>
      <c r="AM10" s="52">
        <f>SUMIF(r_PartPresses,t_Presses[[PRESS]:[PRESS]],t_Parts[hp2015.04])</f>
        <v>46.135465739326037</v>
      </c>
      <c r="AN10" s="52">
        <f>SUMIF(r_PartPresses,t_Presses[[PRESS]:[PRESS]],t_Parts[hp2015.05])</f>
        <v>47.500884368899072</v>
      </c>
      <c r="AO10" s="52">
        <f>SUMIF(r_PartPresses,t_Presses[[PRESS]:[PRESS]],t_Parts[hp2015.06])</f>
        <v>58.424233405483399</v>
      </c>
      <c r="AP10" s="52">
        <f>SUMIF(r_PartPresses,t_Presses[[PRESS]:[PRESS]],t_Parts[hp2015.07])</f>
        <v>46.135465739326037</v>
      </c>
      <c r="AQ10" s="52">
        <f>SUMIF(r_PartPresses,t_Presses[[PRESS]:[PRESS]],t_Parts[hp2015.08])</f>
        <v>47.500884368899072</v>
      </c>
      <c r="AR10" s="52">
        <f>SUMIF(r_PartPresses,t_Presses[[PRESS]:[PRESS]],t_Parts[hp2015.09])</f>
        <v>58.424233405483399</v>
      </c>
      <c r="AS10" s="52">
        <f>SUMIF(r_PartPresses,t_Presses[[PRESS]:[PRESS]],t_Parts[hp2015.10])</f>
        <v>46.135465739326037</v>
      </c>
      <c r="AT10" s="52">
        <f>SUMIF(r_PartPresses,t_Presses[[PRESS]:[PRESS]],t_Parts[hp2015.11])</f>
        <v>47.500884368899072</v>
      </c>
      <c r="AU10" s="52">
        <f>SUMIF(r_PartPresses,t_Presses[[PRESS]:[PRESS]],t_Parts[hp2015.12])</f>
        <v>58.424233405483399</v>
      </c>
      <c r="AV10" s="52">
        <f>SUM(t_Presses[[#This Row],[hp2015.01]:[hp2015.12]])</f>
        <v>608.24233405483403</v>
      </c>
      <c r="AW10" s="52">
        <f>SUMIF(r_PartPresses,t_Presses[[PRESS]:[PRESS]],t_Parts[hp2016.01])</f>
        <v>0.59523809523809523</v>
      </c>
      <c r="AX10" s="52">
        <f>SUMIF(r_PartPresses,t_Presses[[PRESS]:[PRESS]],t_Parts[hp2016.02])</f>
        <v>0.5714285714285714</v>
      </c>
      <c r="AY10" s="52">
        <f>SUMIF(r_PartPresses,t_Presses[[PRESS]:[PRESS]],t_Parts[hp2016.03])</f>
        <v>0.80952380952380953</v>
      </c>
      <c r="AZ10" s="52">
        <f>SUMIF(r_PartPresses,t_Presses[[PRESS]:[PRESS]],t_Parts[hp2016.04])</f>
        <v>0.59523809523809523</v>
      </c>
      <c r="BA10" s="52">
        <f>SUMIF(r_PartPresses,t_Presses[[PRESS]:[PRESS]],t_Parts[hp2016.05])</f>
        <v>0.61904761904761907</v>
      </c>
      <c r="BB10" s="52">
        <f>SUMIF(r_PartPresses,t_Presses[[PRESS]:[PRESS]],t_Parts[hp2016.06])</f>
        <v>0.80952380952380953</v>
      </c>
      <c r="BC10" s="52">
        <f>SUMIF(r_PartPresses,t_Presses[[PRESS]:[PRESS]],t_Parts[hp2016.07])</f>
        <v>0.59523809523809523</v>
      </c>
      <c r="BD10" s="52">
        <f>SUMIF(r_PartPresses,t_Presses[[PRESS]:[PRESS]],t_Parts[hp2016.08])</f>
        <v>0.61904761904761907</v>
      </c>
      <c r="BE10" s="52">
        <f>SUMIF(r_PartPresses,t_Presses[[PRESS]:[PRESS]],t_Parts[hp2016.09])</f>
        <v>0.80952380952380953</v>
      </c>
      <c r="BF10" s="52">
        <f>SUMIF(r_PartPresses,t_Presses[[PRESS]:[PRESS]],t_Parts[hp2016.10])</f>
        <v>0.59523809523809523</v>
      </c>
      <c r="BG10" s="52">
        <f>SUMIF(r_PartPresses,t_Presses[[PRESS]:[PRESS]],t_Parts[hp2016.11])</f>
        <v>0.52380952380952384</v>
      </c>
      <c r="BH10" s="52">
        <f>SUMIF(r_PartPresses,t_Presses[[PRESS]:[PRESS]],t_Parts[hp2016.12])</f>
        <v>0.7142857142857143</v>
      </c>
      <c r="BI10" s="52">
        <f>SUMIF(r_PartPresses,t_Presses[[PRESS]:[PRESS]],t_Parts[hp2016.FY])</f>
        <v>7.8571428571428559</v>
      </c>
      <c r="BJ10" s="52">
        <f>SUMIF(r_PartPresses,t_Presses[[PRESS]:[PRESS]],t_Parts[hp2017])</f>
        <v>40.476190476190474</v>
      </c>
      <c r="BK10" s="52">
        <f>SUMIF(r_PartPresses,t_Presses[[PRESS]:[PRESS]],t_Parts[hp2018])</f>
        <v>42.857142857142854</v>
      </c>
      <c r="BL10" s="52">
        <f>SUMIF(r_PartPresses,t_Presses[[PRESS]:[PRESS]],t_Parts[hp2019])</f>
        <v>45.238095238095241</v>
      </c>
      <c r="BM10" s="17">
        <f>t_Presses[[#This Row],[hp2015.01]]/t_Presses[[#This Row],[ha2015.01]]</f>
        <v>0.18454186295730415</v>
      </c>
      <c r="BN10" s="17">
        <f>t_Presses[[#This Row],[hp2015.02]]/t_Presses[[#This Row],[ha2015.02]]</f>
        <v>0.18269570911115027</v>
      </c>
      <c r="BO10" s="17">
        <f>t_Presses[[#This Row],[hp2015.03]]/t_Presses[[#This Row],[ha2015.03]]</f>
        <v>0.17183598060436295</v>
      </c>
      <c r="BP10" s="17">
        <f>t_Presses[[#This Row],[hp2015.04]]/t_Presses[[#This Row],[ha2015.04]]</f>
        <v>0.18454186295730415</v>
      </c>
      <c r="BQ10" s="17">
        <f>t_Presses[[#This Row],[hp2015.05]]/t_Presses[[#This Row],[ha2015.05]]</f>
        <v>0.18269570911115027</v>
      </c>
      <c r="BR10" s="17">
        <f>t_Presses[[#This Row],[hp2015.06]]/t_Presses[[#This Row],[ha2015.06]]</f>
        <v>0.17183598060436295</v>
      </c>
      <c r="BS10" s="17">
        <f>t_Presses[[#This Row],[hp2015.07]]/t_Presses[[#This Row],[ha2015.07]]</f>
        <v>0.18454186295730415</v>
      </c>
      <c r="BT10" s="17">
        <f>t_Presses[[#This Row],[hp2015.08]]/t_Presses[[#This Row],[ha2015.08]]</f>
        <v>0.18269570911115027</v>
      </c>
      <c r="BU10" s="17">
        <f>t_Presses[[#This Row],[hp2015.09]]/t_Presses[[#This Row],[ha2015.09]]</f>
        <v>0.17183598060436295</v>
      </c>
      <c r="BV10" s="17">
        <f>t_Presses[[#This Row],[hp2015.10]]/t_Presses[[#This Row],[ha2015.10]]</f>
        <v>0.18454186295730415</v>
      </c>
      <c r="BW10" s="17">
        <f>t_Presses[[#This Row],[hp2015.11]]/t_Presses[[#This Row],[ha2015.11]]</f>
        <v>0.18269570911115027</v>
      </c>
      <c r="BX10" s="17">
        <f>t_Presses[[#This Row],[hp2015.12]]/t_Presses[[#This Row],[ha2015.12]]</f>
        <v>0.17183598060436295</v>
      </c>
      <c r="BY10" s="17">
        <f>t_Presses[[#This Row],[hp2015.FY]]/t_Presses[[#This Row],[ha2015.FY]]</f>
        <v>0.1788948041337747</v>
      </c>
      <c r="BZ10" s="17">
        <f>t_Presses[[#This Row],[hp2016.01]]/t_Presses[[#This Row],[ha2016.01]]</f>
        <v>2.3809523809523807E-3</v>
      </c>
      <c r="CA10" s="17">
        <f>t_Presses[[#This Row],[hp2016.02]]/t_Presses[[#This Row],[ha2016.02]]</f>
        <v>2.3809523809523807E-3</v>
      </c>
      <c r="CB10" s="17">
        <f>t_Presses[[#This Row],[hp2016.03]]/t_Presses[[#This Row],[ha2016.03]]</f>
        <v>2.3809523809523812E-3</v>
      </c>
      <c r="CC10" s="17">
        <f>t_Presses[[#This Row],[hp2016.04]]/t_Presses[[#This Row],[ha2016.04]]</f>
        <v>2.3809523809523807E-3</v>
      </c>
      <c r="CD10" s="17">
        <f>t_Presses[[#This Row],[hp2016.05]]/t_Presses[[#This Row],[ha2016.05]]</f>
        <v>2.3809523809523812E-3</v>
      </c>
      <c r="CE10" s="17">
        <f>t_Presses[[#This Row],[hp2016.06]]/t_Presses[[#This Row],[ha2016.06]]</f>
        <v>2.3809523809523812E-3</v>
      </c>
      <c r="CF10" s="17">
        <f>t_Presses[[#This Row],[hp2016.07]]/t_Presses[[#This Row],[ha2016.07]]</f>
        <v>2.3809523809523807E-3</v>
      </c>
      <c r="CG10" s="17">
        <f>t_Presses[[#This Row],[hp2016.08]]/t_Presses[[#This Row],[ha2016.08]]</f>
        <v>2.3809523809523812E-3</v>
      </c>
      <c r="CH10" s="17">
        <f>t_Presses[[#This Row],[hp2016.09]]/t_Presses[[#This Row],[ha2016.09]]</f>
        <v>2.3809523809523812E-3</v>
      </c>
      <c r="CI10" s="17">
        <f>t_Presses[[#This Row],[hp2016.10]]/t_Presses[[#This Row],[ha2016.10]]</f>
        <v>2.3809523809523807E-3</v>
      </c>
      <c r="CJ10" s="17">
        <f>t_Presses[[#This Row],[hp2016.11]]/t_Presses[[#This Row],[ha2016.11]]</f>
        <v>2.3809523809523812E-3</v>
      </c>
      <c r="CK10" s="17">
        <f>t_Presses[[#This Row],[hp2016.12]]/t_Presses[[#This Row],[ha2016.12]]</f>
        <v>2.3809523809523812E-3</v>
      </c>
      <c r="CL10" s="17">
        <f>t_Presses[[#This Row],[hp2016.FY]]/t_Presses[[#This Row],[ha2016.FY]]</f>
        <v>2.3809523809523807E-3</v>
      </c>
      <c r="CM10" s="17">
        <f>t_Presses[[#This Row],[hp2017]]/t_Presses[[#This Row],[ha2017]]</f>
        <v>1.2265512265512264E-2</v>
      </c>
      <c r="CN10" s="17">
        <f>t_Presses[[#This Row],[hp2018]]/t_Presses[[#This Row],[ha2018]]</f>
        <v>1.2987012987012986E-2</v>
      </c>
      <c r="CO10" s="17">
        <f>t_Presses[[#This Row],[hp2019]]/t_Presses[[#This Row],[ha2019]]</f>
        <v>1.370851370851371E-2</v>
      </c>
    </row>
    <row r="11" spans="1:93" x14ac:dyDescent="0.25">
      <c r="A11" s="16">
        <v>21014</v>
      </c>
      <c r="B11" t="s">
        <v>8</v>
      </c>
      <c r="C11" t="s">
        <v>126</v>
      </c>
      <c r="D11">
        <v>300</v>
      </c>
      <c r="E11" s="18" t="str">
        <f t="shared" si="0"/>
        <v>300-599</v>
      </c>
      <c r="F11" s="15"/>
      <c r="G11" s="18">
        <f>VLOOKUP(t_Presses[[Plant]:[Plant]],t_Plants[],Plants!CM$1,FALSE)</f>
        <v>250</v>
      </c>
      <c r="H11">
        <f>VLOOKUP(t_Presses[[Plant]:[Plant]],t_Plants[],Plants!CN$1,FALSE)</f>
        <v>260</v>
      </c>
      <c r="I11" s="18">
        <f>VLOOKUP(t_Presses[[Plant]:[Plant]],t_Plants[],Plants!CO$1,FALSE)</f>
        <v>340</v>
      </c>
      <c r="J11" s="18">
        <f>VLOOKUP(t_Presses[[Plant]:[Plant]],t_Plants[],Plants!CP$1,FALSE)</f>
        <v>250</v>
      </c>
      <c r="K11" s="18">
        <f>VLOOKUP(t_Presses[[Plant]:[Plant]],t_Plants[],Plants!CQ$1,FALSE)</f>
        <v>260</v>
      </c>
      <c r="L11" s="18">
        <f>VLOOKUP(t_Presses[[Plant]:[Plant]],t_Plants[],Plants!CR$1,FALSE)</f>
        <v>340</v>
      </c>
      <c r="M11" s="18">
        <f>VLOOKUP(t_Presses[[Plant]:[Plant]],t_Plants[],Plants!CS$1,FALSE)</f>
        <v>250</v>
      </c>
      <c r="N11" s="18">
        <f>VLOOKUP(t_Presses[[Plant]:[Plant]],t_Plants[],Plants!CT$1,FALSE)</f>
        <v>260</v>
      </c>
      <c r="O11" s="18">
        <f>VLOOKUP(t_Presses[[Plant]:[Plant]],t_Plants[],Plants!CU$1,FALSE)</f>
        <v>340</v>
      </c>
      <c r="P11" s="18">
        <f>VLOOKUP(t_Presses[[Plant]:[Plant]],t_Plants[],Plants!CV$1,FALSE)</f>
        <v>250</v>
      </c>
      <c r="Q11" s="18">
        <f>VLOOKUP(t_Presses[[Plant]:[Plant]],t_Plants[],Plants!CW$1,FALSE)</f>
        <v>260</v>
      </c>
      <c r="R11" s="18">
        <f>VLOOKUP(t_Presses[[Plant]:[Plant]],t_Plants[],Plants!CX$1,FALSE)</f>
        <v>340</v>
      </c>
      <c r="S11" s="18">
        <f>SUM(t_Presses[[#This Row],[ha2015.01]:[ha2015.12]])</f>
        <v>3400</v>
      </c>
      <c r="T11">
        <f>VLOOKUP(t_Presses[[Plant]:[Plant]],t_Plants[],Plants!CZ$1,FALSE)</f>
        <v>250</v>
      </c>
      <c r="U11">
        <f>VLOOKUP(t_Presses[[Plant]:[Plant]],t_Plants[],Plants!DA$1,FALSE)</f>
        <v>240</v>
      </c>
      <c r="V11">
        <f>VLOOKUP(t_Presses[[Plant]:[Plant]],t_Plants[],Plants!DB$1,FALSE)</f>
        <v>340</v>
      </c>
      <c r="W11">
        <f>VLOOKUP(t_Presses[[Plant]:[Plant]],t_Plants[],Plants!DC$1,FALSE)</f>
        <v>250</v>
      </c>
      <c r="X11">
        <f>VLOOKUP(t_Presses[[Plant]:[Plant]],t_Plants[],Plants!DD$1,FALSE)</f>
        <v>260</v>
      </c>
      <c r="Y11">
        <f>VLOOKUP(t_Presses[[Plant]:[Plant]],t_Plants[],Plants!DE$1,FALSE)</f>
        <v>340</v>
      </c>
      <c r="Z11">
        <f>VLOOKUP(t_Presses[[Plant]:[Plant]],t_Plants[],Plants!DF$1,FALSE)</f>
        <v>250</v>
      </c>
      <c r="AA11">
        <f>VLOOKUP(t_Presses[[Plant]:[Plant]],t_Plants[],Plants!DG$1,FALSE)</f>
        <v>260</v>
      </c>
      <c r="AB11">
        <f>VLOOKUP(t_Presses[[Plant]:[Plant]],t_Plants[],Plants!DH$1,FALSE)</f>
        <v>340</v>
      </c>
      <c r="AC11">
        <f>VLOOKUP(t_Presses[[Plant]:[Plant]],t_Plants[],Plants!DI$1,FALSE)</f>
        <v>250</v>
      </c>
      <c r="AD11">
        <f>VLOOKUP(t_Presses[[Plant]:[Plant]],t_Plants[],Plants!DJ$1,FALSE)</f>
        <v>220</v>
      </c>
      <c r="AE11">
        <f>VLOOKUP(t_Presses[[Plant]:[Plant]],t_Plants[],Plants!DK$1,FALSE)</f>
        <v>300</v>
      </c>
      <c r="AF11" s="18">
        <f>SUM(t_Presses[[#This Row],[ha2016.01]:[ha2016.12]])</f>
        <v>3300</v>
      </c>
      <c r="AG11">
        <f>VLOOKUP(t_Presses[[Plant]:[Plant]],t_Plants[],Plants!DM$1,FALSE)</f>
        <v>3300</v>
      </c>
      <c r="AH11">
        <f>VLOOKUP(t_Presses[[Plant]:[Plant]],t_Plants[],Plants!DN$1,FALSE)</f>
        <v>3300</v>
      </c>
      <c r="AI11">
        <f>VLOOKUP(t_Presses[[Plant]:[Plant]],t_Plants[],Plants!DO$1,FALSE)</f>
        <v>3300</v>
      </c>
      <c r="AJ11" s="52">
        <f>SUMIF(r_PartPresses,t_Presses[[PRESS]:[PRESS]],t_Parts[hp2015.01])</f>
        <v>32.072471033868091</v>
      </c>
      <c r="AK11" s="52">
        <f>SUMIF(r_PartPresses,t_Presses[[PRESS]:[PRESS]],t_Parts[hp2015.02])</f>
        <v>32.915369875222815</v>
      </c>
      <c r="AL11" s="52">
        <f>SUMIF(r_PartPresses,t_Presses[[PRESS]:[PRESS]],t_Parts[hp2015.03])</f>
        <v>39.658560606060604</v>
      </c>
      <c r="AM11" s="52">
        <f>SUMIF(r_PartPresses,t_Presses[[PRESS]:[PRESS]],t_Parts[hp2015.04])</f>
        <v>32.072471033868091</v>
      </c>
      <c r="AN11" s="52">
        <f>SUMIF(r_PartPresses,t_Presses[[PRESS]:[PRESS]],t_Parts[hp2015.05])</f>
        <v>32.915369875222815</v>
      </c>
      <c r="AO11" s="52">
        <f>SUMIF(r_PartPresses,t_Presses[[PRESS]:[PRESS]],t_Parts[hp2015.06])</f>
        <v>39.658560606060604</v>
      </c>
      <c r="AP11" s="52">
        <f>SUMIF(r_PartPresses,t_Presses[[PRESS]:[PRESS]],t_Parts[hp2015.07])</f>
        <v>32.072471033868091</v>
      </c>
      <c r="AQ11" s="52">
        <f>SUMIF(r_PartPresses,t_Presses[[PRESS]:[PRESS]],t_Parts[hp2015.08])</f>
        <v>32.915369875222815</v>
      </c>
      <c r="AR11" s="52">
        <f>SUMIF(r_PartPresses,t_Presses[[PRESS]:[PRESS]],t_Parts[hp2015.09])</f>
        <v>39.658560606060604</v>
      </c>
      <c r="AS11" s="52">
        <f>SUMIF(r_PartPresses,t_Presses[[PRESS]:[PRESS]],t_Parts[hp2015.10])</f>
        <v>32.072471033868091</v>
      </c>
      <c r="AT11" s="52">
        <f>SUMIF(r_PartPresses,t_Presses[[PRESS]:[PRESS]],t_Parts[hp2015.11])</f>
        <v>32.915369875222815</v>
      </c>
      <c r="AU11" s="52">
        <f>SUMIF(r_PartPresses,t_Presses[[PRESS]:[PRESS]],t_Parts[hp2015.12])</f>
        <v>39.658560606060604</v>
      </c>
      <c r="AV11" s="52">
        <f>SUM(t_Presses[[#This Row],[hp2015.01]:[hp2015.12]])</f>
        <v>418.5856060606061</v>
      </c>
      <c r="AW11" s="52">
        <f>SUMIF(r_PartPresses,t_Presses[[PRESS]:[PRESS]],t_Parts[hp2016.01])</f>
        <v>0</v>
      </c>
      <c r="AX11" s="52">
        <f>SUMIF(r_PartPresses,t_Presses[[PRESS]:[PRESS]],t_Parts[hp2016.02])</f>
        <v>0</v>
      </c>
      <c r="AY11" s="52">
        <f>SUMIF(r_PartPresses,t_Presses[[PRESS]:[PRESS]],t_Parts[hp2016.03])</f>
        <v>0</v>
      </c>
      <c r="AZ11" s="52">
        <f>SUMIF(r_PartPresses,t_Presses[[PRESS]:[PRESS]],t_Parts[hp2016.04])</f>
        <v>0</v>
      </c>
      <c r="BA11" s="52">
        <f>SUMIF(r_PartPresses,t_Presses[[PRESS]:[PRESS]],t_Parts[hp2016.05])</f>
        <v>0</v>
      </c>
      <c r="BB11" s="52">
        <f>SUMIF(r_PartPresses,t_Presses[[PRESS]:[PRESS]],t_Parts[hp2016.06])</f>
        <v>0</v>
      </c>
      <c r="BC11" s="52">
        <f>SUMIF(r_PartPresses,t_Presses[[PRESS]:[PRESS]],t_Parts[hp2016.07])</f>
        <v>0</v>
      </c>
      <c r="BD11" s="52">
        <f>SUMIF(r_PartPresses,t_Presses[[PRESS]:[PRESS]],t_Parts[hp2016.08])</f>
        <v>0</v>
      </c>
      <c r="BE11" s="52">
        <f>SUMIF(r_PartPresses,t_Presses[[PRESS]:[PRESS]],t_Parts[hp2016.09])</f>
        <v>0</v>
      </c>
      <c r="BF11" s="52">
        <f>SUMIF(r_PartPresses,t_Presses[[PRESS]:[PRESS]],t_Parts[hp2016.10])</f>
        <v>0</v>
      </c>
      <c r="BG11" s="52">
        <f>SUMIF(r_PartPresses,t_Presses[[PRESS]:[PRESS]],t_Parts[hp2016.11])</f>
        <v>0</v>
      </c>
      <c r="BH11" s="52">
        <f>SUMIF(r_PartPresses,t_Presses[[PRESS]:[PRESS]],t_Parts[hp2016.12])</f>
        <v>0</v>
      </c>
      <c r="BI11" s="52">
        <f>SUMIF(r_PartPresses,t_Presses[[PRESS]:[PRESS]],t_Parts[hp2016.FY])</f>
        <v>0</v>
      </c>
      <c r="BJ11" s="52">
        <f>SUMIF(r_PartPresses,t_Presses[[PRESS]:[PRESS]],t_Parts[hp2017])</f>
        <v>0</v>
      </c>
      <c r="BK11" s="52">
        <f>SUMIF(r_PartPresses,t_Presses[[PRESS]:[PRESS]],t_Parts[hp2018])</f>
        <v>0</v>
      </c>
      <c r="BL11" s="52">
        <f>SUMIF(r_PartPresses,t_Presses[[PRESS]:[PRESS]],t_Parts[hp2019])</f>
        <v>0</v>
      </c>
      <c r="BM11" s="17">
        <f>t_Presses[[#This Row],[hp2015.01]]/t_Presses[[#This Row],[ha2015.01]]</f>
        <v>0.12828988413547238</v>
      </c>
      <c r="BN11" s="17">
        <f>t_Presses[[#This Row],[hp2015.02]]/t_Presses[[#This Row],[ha2015.02]]</f>
        <v>0.12659757644316466</v>
      </c>
      <c r="BO11" s="17">
        <f>t_Presses[[#This Row],[hp2015.03]]/t_Presses[[#This Row],[ha2015.03]]</f>
        <v>0.11664282531194295</v>
      </c>
      <c r="BP11" s="17">
        <f>t_Presses[[#This Row],[hp2015.04]]/t_Presses[[#This Row],[ha2015.04]]</f>
        <v>0.12828988413547238</v>
      </c>
      <c r="BQ11" s="17">
        <f>t_Presses[[#This Row],[hp2015.05]]/t_Presses[[#This Row],[ha2015.05]]</f>
        <v>0.12659757644316466</v>
      </c>
      <c r="BR11" s="17">
        <f>t_Presses[[#This Row],[hp2015.06]]/t_Presses[[#This Row],[ha2015.06]]</f>
        <v>0.11664282531194295</v>
      </c>
      <c r="BS11" s="17">
        <f>t_Presses[[#This Row],[hp2015.07]]/t_Presses[[#This Row],[ha2015.07]]</f>
        <v>0.12828988413547238</v>
      </c>
      <c r="BT11" s="17">
        <f>t_Presses[[#This Row],[hp2015.08]]/t_Presses[[#This Row],[ha2015.08]]</f>
        <v>0.12659757644316466</v>
      </c>
      <c r="BU11" s="17">
        <f>t_Presses[[#This Row],[hp2015.09]]/t_Presses[[#This Row],[ha2015.09]]</f>
        <v>0.11664282531194295</v>
      </c>
      <c r="BV11" s="17">
        <f>t_Presses[[#This Row],[hp2015.10]]/t_Presses[[#This Row],[ha2015.10]]</f>
        <v>0.12828988413547238</v>
      </c>
      <c r="BW11" s="17">
        <f>t_Presses[[#This Row],[hp2015.11]]/t_Presses[[#This Row],[ha2015.11]]</f>
        <v>0.12659757644316466</v>
      </c>
      <c r="BX11" s="17">
        <f>t_Presses[[#This Row],[hp2015.12]]/t_Presses[[#This Row],[ha2015.12]]</f>
        <v>0.11664282531194295</v>
      </c>
      <c r="BY11" s="17">
        <f>t_Presses[[#This Row],[hp2015.FY]]/t_Presses[[#This Row],[ha2015.FY]]</f>
        <v>0.12311341354723709</v>
      </c>
      <c r="BZ11" s="17">
        <f>t_Presses[[#This Row],[hp2016.01]]/t_Presses[[#This Row],[ha2016.01]]</f>
        <v>0</v>
      </c>
      <c r="CA11" s="17">
        <f>t_Presses[[#This Row],[hp2016.02]]/t_Presses[[#This Row],[ha2016.02]]</f>
        <v>0</v>
      </c>
      <c r="CB11" s="17">
        <f>t_Presses[[#This Row],[hp2016.03]]/t_Presses[[#This Row],[ha2016.03]]</f>
        <v>0</v>
      </c>
      <c r="CC11" s="17">
        <f>t_Presses[[#This Row],[hp2016.04]]/t_Presses[[#This Row],[ha2016.04]]</f>
        <v>0</v>
      </c>
      <c r="CD11" s="17">
        <f>t_Presses[[#This Row],[hp2016.05]]/t_Presses[[#This Row],[ha2016.05]]</f>
        <v>0</v>
      </c>
      <c r="CE11" s="17">
        <f>t_Presses[[#This Row],[hp2016.06]]/t_Presses[[#This Row],[ha2016.06]]</f>
        <v>0</v>
      </c>
      <c r="CF11" s="17">
        <f>t_Presses[[#This Row],[hp2016.07]]/t_Presses[[#This Row],[ha2016.07]]</f>
        <v>0</v>
      </c>
      <c r="CG11" s="17">
        <f>t_Presses[[#This Row],[hp2016.08]]/t_Presses[[#This Row],[ha2016.08]]</f>
        <v>0</v>
      </c>
      <c r="CH11" s="17">
        <f>t_Presses[[#This Row],[hp2016.09]]/t_Presses[[#This Row],[ha2016.09]]</f>
        <v>0</v>
      </c>
      <c r="CI11" s="17">
        <f>t_Presses[[#This Row],[hp2016.10]]/t_Presses[[#This Row],[ha2016.10]]</f>
        <v>0</v>
      </c>
      <c r="CJ11" s="17">
        <f>t_Presses[[#This Row],[hp2016.11]]/t_Presses[[#This Row],[ha2016.11]]</f>
        <v>0</v>
      </c>
      <c r="CK11" s="17">
        <f>t_Presses[[#This Row],[hp2016.12]]/t_Presses[[#This Row],[ha2016.12]]</f>
        <v>0</v>
      </c>
      <c r="CL11" s="17">
        <f>t_Presses[[#This Row],[hp2016.FY]]/t_Presses[[#This Row],[ha2016.FY]]</f>
        <v>0</v>
      </c>
      <c r="CM11" s="17">
        <f>t_Presses[[#This Row],[hp2017]]/t_Presses[[#This Row],[ha2017]]</f>
        <v>0</v>
      </c>
      <c r="CN11" s="17">
        <f>t_Presses[[#This Row],[hp2018]]/t_Presses[[#This Row],[ha2018]]</f>
        <v>0</v>
      </c>
      <c r="CO11" s="17">
        <f>t_Presses[[#This Row],[hp2019]]/t_Presses[[#This Row],[ha2019]]</f>
        <v>0</v>
      </c>
    </row>
    <row r="12" spans="1:93" x14ac:dyDescent="0.25">
      <c r="A12" s="16">
        <v>21015</v>
      </c>
      <c r="B12" t="s">
        <v>8</v>
      </c>
      <c r="C12" t="s">
        <v>127</v>
      </c>
      <c r="D12">
        <v>1000</v>
      </c>
      <c r="E12" s="18" t="str">
        <f t="shared" si="0"/>
        <v>900-1199</v>
      </c>
      <c r="F12" s="15"/>
      <c r="G12" s="18">
        <f>VLOOKUP(t_Presses[[Plant]:[Plant]],t_Plants[],Plants!CM$1,FALSE)</f>
        <v>250</v>
      </c>
      <c r="H12">
        <f>VLOOKUP(t_Presses[[Plant]:[Plant]],t_Plants[],Plants!CN$1,FALSE)</f>
        <v>260</v>
      </c>
      <c r="I12" s="18">
        <f>VLOOKUP(t_Presses[[Plant]:[Plant]],t_Plants[],Plants!CO$1,FALSE)</f>
        <v>340</v>
      </c>
      <c r="J12" s="18">
        <f>VLOOKUP(t_Presses[[Plant]:[Plant]],t_Plants[],Plants!CP$1,FALSE)</f>
        <v>250</v>
      </c>
      <c r="K12" s="18">
        <f>VLOOKUP(t_Presses[[Plant]:[Plant]],t_Plants[],Plants!CQ$1,FALSE)</f>
        <v>260</v>
      </c>
      <c r="L12" s="18">
        <f>VLOOKUP(t_Presses[[Plant]:[Plant]],t_Plants[],Plants!CR$1,FALSE)</f>
        <v>340</v>
      </c>
      <c r="M12" s="18">
        <f>VLOOKUP(t_Presses[[Plant]:[Plant]],t_Plants[],Plants!CS$1,FALSE)</f>
        <v>250</v>
      </c>
      <c r="N12" s="18">
        <f>VLOOKUP(t_Presses[[Plant]:[Plant]],t_Plants[],Plants!CT$1,FALSE)</f>
        <v>260</v>
      </c>
      <c r="O12" s="18">
        <f>VLOOKUP(t_Presses[[Plant]:[Plant]],t_Plants[],Plants!CU$1,FALSE)</f>
        <v>340</v>
      </c>
      <c r="P12" s="18">
        <f>VLOOKUP(t_Presses[[Plant]:[Plant]],t_Plants[],Plants!CV$1,FALSE)</f>
        <v>250</v>
      </c>
      <c r="Q12" s="18">
        <f>VLOOKUP(t_Presses[[Plant]:[Plant]],t_Plants[],Plants!CW$1,FALSE)</f>
        <v>260</v>
      </c>
      <c r="R12" s="18">
        <f>VLOOKUP(t_Presses[[Plant]:[Plant]],t_Plants[],Plants!CX$1,FALSE)</f>
        <v>340</v>
      </c>
      <c r="S12" s="18">
        <f>SUM(t_Presses[[#This Row],[ha2015.01]:[ha2015.12]])</f>
        <v>3400</v>
      </c>
      <c r="T12">
        <f>VLOOKUP(t_Presses[[Plant]:[Plant]],t_Plants[],Plants!CZ$1,FALSE)</f>
        <v>250</v>
      </c>
      <c r="U12">
        <f>VLOOKUP(t_Presses[[Plant]:[Plant]],t_Plants[],Plants!DA$1,FALSE)</f>
        <v>240</v>
      </c>
      <c r="V12">
        <f>VLOOKUP(t_Presses[[Plant]:[Plant]],t_Plants[],Plants!DB$1,FALSE)</f>
        <v>340</v>
      </c>
      <c r="W12">
        <f>VLOOKUP(t_Presses[[Plant]:[Plant]],t_Plants[],Plants!DC$1,FALSE)</f>
        <v>250</v>
      </c>
      <c r="X12">
        <f>VLOOKUP(t_Presses[[Plant]:[Plant]],t_Plants[],Plants!DD$1,FALSE)</f>
        <v>260</v>
      </c>
      <c r="Y12">
        <f>VLOOKUP(t_Presses[[Plant]:[Plant]],t_Plants[],Plants!DE$1,FALSE)</f>
        <v>340</v>
      </c>
      <c r="Z12">
        <f>VLOOKUP(t_Presses[[Plant]:[Plant]],t_Plants[],Plants!DF$1,FALSE)</f>
        <v>250</v>
      </c>
      <c r="AA12">
        <f>VLOOKUP(t_Presses[[Plant]:[Plant]],t_Plants[],Plants!DG$1,FALSE)</f>
        <v>260</v>
      </c>
      <c r="AB12">
        <f>VLOOKUP(t_Presses[[Plant]:[Plant]],t_Plants[],Plants!DH$1,FALSE)</f>
        <v>340</v>
      </c>
      <c r="AC12">
        <f>VLOOKUP(t_Presses[[Plant]:[Plant]],t_Plants[],Plants!DI$1,FALSE)</f>
        <v>250</v>
      </c>
      <c r="AD12">
        <f>VLOOKUP(t_Presses[[Plant]:[Plant]],t_Plants[],Plants!DJ$1,FALSE)</f>
        <v>220</v>
      </c>
      <c r="AE12">
        <f>VLOOKUP(t_Presses[[Plant]:[Plant]],t_Plants[],Plants!DK$1,FALSE)</f>
        <v>300</v>
      </c>
      <c r="AF12" s="18">
        <f>SUM(t_Presses[[#This Row],[ha2016.01]:[ha2016.12]])</f>
        <v>3300</v>
      </c>
      <c r="AG12">
        <f>VLOOKUP(t_Presses[[Plant]:[Plant]],t_Plants[],Plants!DM$1,FALSE)</f>
        <v>3300</v>
      </c>
      <c r="AH12">
        <f>VLOOKUP(t_Presses[[Plant]:[Plant]],t_Plants[],Plants!DN$1,FALSE)</f>
        <v>3300</v>
      </c>
      <c r="AI12">
        <f>VLOOKUP(t_Presses[[Plant]:[Plant]],t_Plants[],Plants!DO$1,FALSE)</f>
        <v>3300</v>
      </c>
      <c r="AJ12" s="52">
        <f>SUMIF(r_PartPresses,t_Presses[[PRESS]:[PRESS]],t_Parts[hp2015.01])</f>
        <v>0</v>
      </c>
      <c r="AK12" s="52">
        <f>SUMIF(r_PartPresses,t_Presses[[PRESS]:[PRESS]],t_Parts[hp2015.02])</f>
        <v>0</v>
      </c>
      <c r="AL12" s="52">
        <f>SUMIF(r_PartPresses,t_Presses[[PRESS]:[PRESS]],t_Parts[hp2015.03])</f>
        <v>0</v>
      </c>
      <c r="AM12" s="52">
        <f>SUMIF(r_PartPresses,t_Presses[[PRESS]:[PRESS]],t_Parts[hp2015.04])</f>
        <v>0</v>
      </c>
      <c r="AN12" s="52">
        <f>SUMIF(r_PartPresses,t_Presses[[PRESS]:[PRESS]],t_Parts[hp2015.05])</f>
        <v>0</v>
      </c>
      <c r="AO12" s="52">
        <f>SUMIF(r_PartPresses,t_Presses[[PRESS]:[PRESS]],t_Parts[hp2015.06])</f>
        <v>0</v>
      </c>
      <c r="AP12" s="52">
        <f>SUMIF(r_PartPresses,t_Presses[[PRESS]:[PRESS]],t_Parts[hp2015.07])</f>
        <v>0</v>
      </c>
      <c r="AQ12" s="52">
        <f>SUMIF(r_PartPresses,t_Presses[[PRESS]:[PRESS]],t_Parts[hp2015.08])</f>
        <v>0</v>
      </c>
      <c r="AR12" s="52">
        <f>SUMIF(r_PartPresses,t_Presses[[PRESS]:[PRESS]],t_Parts[hp2015.09])</f>
        <v>0</v>
      </c>
      <c r="AS12" s="52">
        <f>SUMIF(r_PartPresses,t_Presses[[PRESS]:[PRESS]],t_Parts[hp2015.10])</f>
        <v>0</v>
      </c>
      <c r="AT12" s="52">
        <f>SUMIF(r_PartPresses,t_Presses[[PRESS]:[PRESS]],t_Parts[hp2015.11])</f>
        <v>0</v>
      </c>
      <c r="AU12" s="52">
        <f>SUMIF(r_PartPresses,t_Presses[[PRESS]:[PRESS]],t_Parts[hp2015.12])</f>
        <v>0</v>
      </c>
      <c r="AV12" s="52">
        <f>SUM(t_Presses[[#This Row],[hp2015.01]:[hp2015.12]])</f>
        <v>0</v>
      </c>
      <c r="AW12" s="52">
        <f>SUMIF(r_PartPresses,t_Presses[[PRESS]:[PRESS]],t_Parts[hp2016.01])</f>
        <v>0</v>
      </c>
      <c r="AX12" s="52">
        <f>SUMIF(r_PartPresses,t_Presses[[PRESS]:[PRESS]],t_Parts[hp2016.02])</f>
        <v>0</v>
      </c>
      <c r="AY12" s="52">
        <f>SUMIF(r_PartPresses,t_Presses[[PRESS]:[PRESS]],t_Parts[hp2016.03])</f>
        <v>0</v>
      </c>
      <c r="AZ12" s="52">
        <f>SUMIF(r_PartPresses,t_Presses[[PRESS]:[PRESS]],t_Parts[hp2016.04])</f>
        <v>0</v>
      </c>
      <c r="BA12" s="52">
        <f>SUMIF(r_PartPresses,t_Presses[[PRESS]:[PRESS]],t_Parts[hp2016.05])</f>
        <v>0</v>
      </c>
      <c r="BB12" s="52">
        <f>SUMIF(r_PartPresses,t_Presses[[PRESS]:[PRESS]],t_Parts[hp2016.06])</f>
        <v>0</v>
      </c>
      <c r="BC12" s="52">
        <f>SUMIF(r_PartPresses,t_Presses[[PRESS]:[PRESS]],t_Parts[hp2016.07])</f>
        <v>0</v>
      </c>
      <c r="BD12" s="52">
        <f>SUMIF(r_PartPresses,t_Presses[[PRESS]:[PRESS]],t_Parts[hp2016.08])</f>
        <v>0</v>
      </c>
      <c r="BE12" s="52">
        <f>SUMIF(r_PartPresses,t_Presses[[PRESS]:[PRESS]],t_Parts[hp2016.09])</f>
        <v>0</v>
      </c>
      <c r="BF12" s="52">
        <f>SUMIF(r_PartPresses,t_Presses[[PRESS]:[PRESS]],t_Parts[hp2016.10])</f>
        <v>0</v>
      </c>
      <c r="BG12" s="52">
        <f>SUMIF(r_PartPresses,t_Presses[[PRESS]:[PRESS]],t_Parts[hp2016.11])</f>
        <v>0</v>
      </c>
      <c r="BH12" s="52">
        <f>SUMIF(r_PartPresses,t_Presses[[PRESS]:[PRESS]],t_Parts[hp2016.12])</f>
        <v>0</v>
      </c>
      <c r="BI12" s="52">
        <f>SUMIF(r_PartPresses,t_Presses[[PRESS]:[PRESS]],t_Parts[hp2016.FY])</f>
        <v>0</v>
      </c>
      <c r="BJ12" s="52">
        <f>SUMIF(r_PartPresses,t_Presses[[PRESS]:[PRESS]],t_Parts[hp2017])</f>
        <v>0</v>
      </c>
      <c r="BK12" s="52">
        <f>SUMIF(r_PartPresses,t_Presses[[PRESS]:[PRESS]],t_Parts[hp2018])</f>
        <v>0</v>
      </c>
      <c r="BL12" s="52">
        <f>SUMIF(r_PartPresses,t_Presses[[PRESS]:[PRESS]],t_Parts[hp2019])</f>
        <v>0</v>
      </c>
      <c r="BM12" s="17">
        <f>t_Presses[[#This Row],[hp2015.01]]/t_Presses[[#This Row],[ha2015.01]]</f>
        <v>0</v>
      </c>
      <c r="BN12" s="17">
        <f>t_Presses[[#This Row],[hp2015.02]]/t_Presses[[#This Row],[ha2015.02]]</f>
        <v>0</v>
      </c>
      <c r="BO12" s="17">
        <f>t_Presses[[#This Row],[hp2015.03]]/t_Presses[[#This Row],[ha2015.03]]</f>
        <v>0</v>
      </c>
      <c r="BP12" s="17">
        <f>t_Presses[[#This Row],[hp2015.04]]/t_Presses[[#This Row],[ha2015.04]]</f>
        <v>0</v>
      </c>
      <c r="BQ12" s="17">
        <f>t_Presses[[#This Row],[hp2015.05]]/t_Presses[[#This Row],[ha2015.05]]</f>
        <v>0</v>
      </c>
      <c r="BR12" s="17">
        <f>t_Presses[[#This Row],[hp2015.06]]/t_Presses[[#This Row],[ha2015.06]]</f>
        <v>0</v>
      </c>
      <c r="BS12" s="17">
        <f>t_Presses[[#This Row],[hp2015.07]]/t_Presses[[#This Row],[ha2015.07]]</f>
        <v>0</v>
      </c>
      <c r="BT12" s="17">
        <f>t_Presses[[#This Row],[hp2015.08]]/t_Presses[[#This Row],[ha2015.08]]</f>
        <v>0</v>
      </c>
      <c r="BU12" s="17">
        <f>t_Presses[[#This Row],[hp2015.09]]/t_Presses[[#This Row],[ha2015.09]]</f>
        <v>0</v>
      </c>
      <c r="BV12" s="17">
        <f>t_Presses[[#This Row],[hp2015.10]]/t_Presses[[#This Row],[ha2015.10]]</f>
        <v>0</v>
      </c>
      <c r="BW12" s="17">
        <f>t_Presses[[#This Row],[hp2015.11]]/t_Presses[[#This Row],[ha2015.11]]</f>
        <v>0</v>
      </c>
      <c r="BX12" s="17">
        <f>t_Presses[[#This Row],[hp2015.12]]/t_Presses[[#This Row],[ha2015.12]]</f>
        <v>0</v>
      </c>
      <c r="BY12" s="17">
        <f>t_Presses[[#This Row],[hp2015.FY]]/t_Presses[[#This Row],[ha2015.FY]]</f>
        <v>0</v>
      </c>
      <c r="BZ12" s="17">
        <f>t_Presses[[#This Row],[hp2016.01]]/t_Presses[[#This Row],[ha2016.01]]</f>
        <v>0</v>
      </c>
      <c r="CA12" s="17">
        <f>t_Presses[[#This Row],[hp2016.02]]/t_Presses[[#This Row],[ha2016.02]]</f>
        <v>0</v>
      </c>
      <c r="CB12" s="17">
        <f>t_Presses[[#This Row],[hp2016.03]]/t_Presses[[#This Row],[ha2016.03]]</f>
        <v>0</v>
      </c>
      <c r="CC12" s="17">
        <f>t_Presses[[#This Row],[hp2016.04]]/t_Presses[[#This Row],[ha2016.04]]</f>
        <v>0</v>
      </c>
      <c r="CD12" s="17">
        <f>t_Presses[[#This Row],[hp2016.05]]/t_Presses[[#This Row],[ha2016.05]]</f>
        <v>0</v>
      </c>
      <c r="CE12" s="17">
        <f>t_Presses[[#This Row],[hp2016.06]]/t_Presses[[#This Row],[ha2016.06]]</f>
        <v>0</v>
      </c>
      <c r="CF12" s="17">
        <f>t_Presses[[#This Row],[hp2016.07]]/t_Presses[[#This Row],[ha2016.07]]</f>
        <v>0</v>
      </c>
      <c r="CG12" s="17">
        <f>t_Presses[[#This Row],[hp2016.08]]/t_Presses[[#This Row],[ha2016.08]]</f>
        <v>0</v>
      </c>
      <c r="CH12" s="17">
        <f>t_Presses[[#This Row],[hp2016.09]]/t_Presses[[#This Row],[ha2016.09]]</f>
        <v>0</v>
      </c>
      <c r="CI12" s="17">
        <f>t_Presses[[#This Row],[hp2016.10]]/t_Presses[[#This Row],[ha2016.10]]</f>
        <v>0</v>
      </c>
      <c r="CJ12" s="17">
        <f>t_Presses[[#This Row],[hp2016.11]]/t_Presses[[#This Row],[ha2016.11]]</f>
        <v>0</v>
      </c>
      <c r="CK12" s="17">
        <f>t_Presses[[#This Row],[hp2016.12]]/t_Presses[[#This Row],[ha2016.12]]</f>
        <v>0</v>
      </c>
      <c r="CL12" s="17">
        <f>t_Presses[[#This Row],[hp2016.FY]]/t_Presses[[#This Row],[ha2016.FY]]</f>
        <v>0</v>
      </c>
      <c r="CM12" s="17">
        <f>t_Presses[[#This Row],[hp2017]]/t_Presses[[#This Row],[ha2017]]</f>
        <v>0</v>
      </c>
      <c r="CN12" s="17">
        <f>t_Presses[[#This Row],[hp2018]]/t_Presses[[#This Row],[ha2018]]</f>
        <v>0</v>
      </c>
      <c r="CO12" s="17">
        <f>t_Presses[[#This Row],[hp2019]]/t_Presses[[#This Row],[ha2019]]</f>
        <v>0</v>
      </c>
    </row>
    <row r="13" spans="1:93" x14ac:dyDescent="0.25">
      <c r="A13" s="16" t="s">
        <v>128</v>
      </c>
      <c r="B13" t="s">
        <v>9</v>
      </c>
      <c r="C13" t="s">
        <v>126</v>
      </c>
      <c r="D13">
        <v>175</v>
      </c>
      <c r="E13" s="18" t="str">
        <f t="shared" si="0"/>
        <v>0-299</v>
      </c>
      <c r="F13" s="15"/>
      <c r="G13" s="18">
        <f>VLOOKUP(t_Presses[[Plant]:[Plant]],t_Plants[],Plants!CM$1,FALSE)</f>
        <v>208</v>
      </c>
      <c r="H13">
        <f>VLOOKUP(t_Presses[[Plant]:[Plant]],t_Plants[],Plants!CN$1,FALSE)</f>
        <v>208</v>
      </c>
      <c r="I13" s="18">
        <f>VLOOKUP(t_Presses[[Plant]:[Plant]],t_Plants[],Plants!CO$1,FALSE)</f>
        <v>272</v>
      </c>
      <c r="J13" s="18">
        <f>VLOOKUP(t_Presses[[Plant]:[Plant]],t_Plants[],Plants!CP$1,FALSE)</f>
        <v>208</v>
      </c>
      <c r="K13" s="18">
        <f>VLOOKUP(t_Presses[[Plant]:[Plant]],t_Plants[],Plants!CQ$1,FALSE)</f>
        <v>208</v>
      </c>
      <c r="L13" s="18">
        <f>VLOOKUP(t_Presses[[Plant]:[Plant]],t_Plants[],Plants!CR$1,FALSE)</f>
        <v>272</v>
      </c>
      <c r="M13" s="18">
        <f>VLOOKUP(t_Presses[[Plant]:[Plant]],t_Plants[],Plants!CS$1,FALSE)</f>
        <v>208</v>
      </c>
      <c r="N13" s="18">
        <f>VLOOKUP(t_Presses[[Plant]:[Plant]],t_Plants[],Plants!CT$1,FALSE)</f>
        <v>208</v>
      </c>
      <c r="O13" s="18">
        <f>VLOOKUP(t_Presses[[Plant]:[Plant]],t_Plants[],Plants!CU$1,FALSE)</f>
        <v>272</v>
      </c>
      <c r="P13" s="18">
        <f>VLOOKUP(t_Presses[[Plant]:[Plant]],t_Plants[],Plants!CV$1,FALSE)</f>
        <v>208</v>
      </c>
      <c r="Q13" s="18">
        <f>VLOOKUP(t_Presses[[Plant]:[Plant]],t_Plants[],Plants!CW$1,FALSE)</f>
        <v>208</v>
      </c>
      <c r="R13" s="18">
        <f>VLOOKUP(t_Presses[[Plant]:[Plant]],t_Plants[],Plants!CX$1,FALSE)</f>
        <v>272</v>
      </c>
      <c r="S13" s="18">
        <f>SUM(t_Presses[[#This Row],[ha2015.01]:[ha2015.12]])</f>
        <v>2752</v>
      </c>
      <c r="T13">
        <f>VLOOKUP(t_Presses[[Plant]:[Plant]],t_Plants[],Plants!CZ$1,FALSE)</f>
        <v>208</v>
      </c>
      <c r="U13">
        <f>VLOOKUP(t_Presses[[Plant]:[Plant]],t_Plants[],Plants!DA$1,FALSE)</f>
        <v>208</v>
      </c>
      <c r="V13">
        <f>VLOOKUP(t_Presses[[Plant]:[Plant]],t_Plants[],Plants!DB$1,FALSE)</f>
        <v>272</v>
      </c>
      <c r="W13">
        <f>VLOOKUP(t_Presses[[Plant]:[Plant]],t_Plants[],Plants!DC$1,FALSE)</f>
        <v>208</v>
      </c>
      <c r="X13">
        <f>VLOOKUP(t_Presses[[Plant]:[Plant]],t_Plants[],Plants!DD$1,FALSE)</f>
        <v>208</v>
      </c>
      <c r="Y13">
        <f>VLOOKUP(t_Presses[[Plant]:[Plant]],t_Plants[],Plants!DE$1,FALSE)</f>
        <v>272</v>
      </c>
      <c r="Z13">
        <f>VLOOKUP(t_Presses[[Plant]:[Plant]],t_Plants[],Plants!DF$1,FALSE)</f>
        <v>208</v>
      </c>
      <c r="AA13">
        <f>VLOOKUP(t_Presses[[Plant]:[Plant]],t_Plants[],Plants!DG$1,FALSE)</f>
        <v>208</v>
      </c>
      <c r="AB13">
        <f>VLOOKUP(t_Presses[[Plant]:[Plant]],t_Plants[],Plants!DH$1,FALSE)</f>
        <v>272</v>
      </c>
      <c r="AC13">
        <f>VLOOKUP(t_Presses[[Plant]:[Plant]],t_Plants[],Plants!DI$1,FALSE)</f>
        <v>208</v>
      </c>
      <c r="AD13">
        <f>VLOOKUP(t_Presses[[Plant]:[Plant]],t_Plants[],Plants!DJ$1,FALSE)</f>
        <v>208</v>
      </c>
      <c r="AE13">
        <f>VLOOKUP(t_Presses[[Plant]:[Plant]],t_Plants[],Plants!DK$1,FALSE)</f>
        <v>272</v>
      </c>
      <c r="AF13" s="18">
        <f>SUM(t_Presses[[#This Row],[ha2016.01]:[ha2016.12]])</f>
        <v>2752</v>
      </c>
      <c r="AG13">
        <f>VLOOKUP(t_Presses[[Plant]:[Plant]],t_Plants[],Plants!DM$1,FALSE)</f>
        <v>2752</v>
      </c>
      <c r="AH13">
        <f>VLOOKUP(t_Presses[[Plant]:[Plant]],t_Plants[],Plants!DN$1,FALSE)</f>
        <v>2752</v>
      </c>
      <c r="AI13">
        <f>VLOOKUP(t_Presses[[Plant]:[Plant]],t_Plants[],Plants!DO$1,FALSE)</f>
        <v>2752</v>
      </c>
      <c r="AJ13" s="52">
        <f>SUMIF(r_PartPresses,t_Presses[[PRESS]:[PRESS]],t_Parts[hp2015.01])</f>
        <v>125.96899224806202</v>
      </c>
      <c r="AK13" s="52">
        <f>SUMIF(r_PartPresses,t_Presses[[PRESS]:[PRESS]],t_Parts[hp2015.02])</f>
        <v>125.96899224806202</v>
      </c>
      <c r="AL13" s="52">
        <f>SUMIF(r_PartPresses,t_Presses[[PRESS]:[PRESS]],t_Parts[hp2015.03])</f>
        <v>164.72868217054264</v>
      </c>
      <c r="AM13" s="52">
        <f>SUMIF(r_PartPresses,t_Presses[[PRESS]:[PRESS]],t_Parts[hp2015.04])</f>
        <v>125.96899224806202</v>
      </c>
      <c r="AN13" s="52">
        <f>SUMIF(r_PartPresses,t_Presses[[PRESS]:[PRESS]],t_Parts[hp2015.05])</f>
        <v>125.96899224806202</v>
      </c>
      <c r="AO13" s="52">
        <f>SUMIF(r_PartPresses,t_Presses[[PRESS]:[PRESS]],t_Parts[hp2015.06])</f>
        <v>164.72868217054264</v>
      </c>
      <c r="AP13" s="52">
        <f>SUMIF(r_PartPresses,t_Presses[[PRESS]:[PRESS]],t_Parts[hp2015.07])</f>
        <v>125.96899224806202</v>
      </c>
      <c r="AQ13" s="52">
        <f>SUMIF(r_PartPresses,t_Presses[[PRESS]:[PRESS]],t_Parts[hp2015.08])</f>
        <v>125.96899224806202</v>
      </c>
      <c r="AR13" s="52">
        <f>SUMIF(r_PartPresses,t_Presses[[PRESS]:[PRESS]],t_Parts[hp2015.09])</f>
        <v>164.72868217054264</v>
      </c>
      <c r="AS13" s="52">
        <f>SUMIF(r_PartPresses,t_Presses[[PRESS]:[PRESS]],t_Parts[hp2015.10])</f>
        <v>125.96899224806202</v>
      </c>
      <c r="AT13" s="52">
        <f>SUMIF(r_PartPresses,t_Presses[[PRESS]:[PRESS]],t_Parts[hp2015.11])</f>
        <v>125.96899224806202</v>
      </c>
      <c r="AU13" s="52">
        <f>SUMIF(r_PartPresses,t_Presses[[PRESS]:[PRESS]],t_Parts[hp2015.12])</f>
        <v>164.72868217054264</v>
      </c>
      <c r="AV13" s="52">
        <f>SUM(t_Presses[[#This Row],[hp2015.01]:[hp2015.12]])</f>
        <v>1666.666666666667</v>
      </c>
      <c r="AW13" s="52">
        <f>SUMIF(r_PartPresses,t_Presses[[PRESS]:[PRESS]],t_Parts[hp2016.01])</f>
        <v>0</v>
      </c>
      <c r="AX13" s="52">
        <f>SUMIF(r_PartPresses,t_Presses[[PRESS]:[PRESS]],t_Parts[hp2016.02])</f>
        <v>0</v>
      </c>
      <c r="AY13" s="52">
        <f>SUMIF(r_PartPresses,t_Presses[[PRESS]:[PRESS]],t_Parts[hp2016.03])</f>
        <v>0</v>
      </c>
      <c r="AZ13" s="52">
        <f>SUMIF(r_PartPresses,t_Presses[[PRESS]:[PRESS]],t_Parts[hp2016.04])</f>
        <v>0</v>
      </c>
      <c r="BA13" s="52">
        <f>SUMIF(r_PartPresses,t_Presses[[PRESS]:[PRESS]],t_Parts[hp2016.05])</f>
        <v>0</v>
      </c>
      <c r="BB13" s="52">
        <f>SUMIF(r_PartPresses,t_Presses[[PRESS]:[PRESS]],t_Parts[hp2016.06])</f>
        <v>0</v>
      </c>
      <c r="BC13" s="52">
        <f>SUMIF(r_PartPresses,t_Presses[[PRESS]:[PRESS]],t_Parts[hp2016.07])</f>
        <v>0</v>
      </c>
      <c r="BD13" s="52">
        <f>SUMIF(r_PartPresses,t_Presses[[PRESS]:[PRESS]],t_Parts[hp2016.08])</f>
        <v>0</v>
      </c>
      <c r="BE13" s="52">
        <f>SUMIF(r_PartPresses,t_Presses[[PRESS]:[PRESS]],t_Parts[hp2016.09])</f>
        <v>0</v>
      </c>
      <c r="BF13" s="52">
        <f>SUMIF(r_PartPresses,t_Presses[[PRESS]:[PRESS]],t_Parts[hp2016.10])</f>
        <v>0</v>
      </c>
      <c r="BG13" s="52">
        <f>SUMIF(r_PartPresses,t_Presses[[PRESS]:[PRESS]],t_Parts[hp2016.11])</f>
        <v>0</v>
      </c>
      <c r="BH13" s="52">
        <f>SUMIF(r_PartPresses,t_Presses[[PRESS]:[PRESS]],t_Parts[hp2016.12])</f>
        <v>0</v>
      </c>
      <c r="BI13" s="52">
        <f>SUMIF(r_PartPresses,t_Presses[[PRESS]:[PRESS]],t_Parts[hp2016.FY])</f>
        <v>0</v>
      </c>
      <c r="BJ13" s="52">
        <f>SUMIF(r_PartPresses,t_Presses[[PRESS]:[PRESS]],t_Parts[hp2017])</f>
        <v>0</v>
      </c>
      <c r="BK13" s="52">
        <f>SUMIF(r_PartPresses,t_Presses[[PRESS]:[PRESS]],t_Parts[hp2018])</f>
        <v>0</v>
      </c>
      <c r="BL13" s="52">
        <f>SUMIF(r_PartPresses,t_Presses[[PRESS]:[PRESS]],t_Parts[hp2019])</f>
        <v>0</v>
      </c>
      <c r="BM13" s="17">
        <f>t_Presses[[#This Row],[hp2015.01]]/t_Presses[[#This Row],[ha2015.01]]</f>
        <v>0.60562015503875977</v>
      </c>
      <c r="BN13" s="17">
        <f>t_Presses[[#This Row],[hp2015.02]]/t_Presses[[#This Row],[ha2015.02]]</f>
        <v>0.60562015503875977</v>
      </c>
      <c r="BO13" s="17">
        <f>t_Presses[[#This Row],[hp2015.03]]/t_Presses[[#This Row],[ha2015.03]]</f>
        <v>0.60562015503875966</v>
      </c>
      <c r="BP13" s="17">
        <f>t_Presses[[#This Row],[hp2015.04]]/t_Presses[[#This Row],[ha2015.04]]</f>
        <v>0.60562015503875977</v>
      </c>
      <c r="BQ13" s="17">
        <f>t_Presses[[#This Row],[hp2015.05]]/t_Presses[[#This Row],[ha2015.05]]</f>
        <v>0.60562015503875977</v>
      </c>
      <c r="BR13" s="17">
        <f>t_Presses[[#This Row],[hp2015.06]]/t_Presses[[#This Row],[ha2015.06]]</f>
        <v>0.60562015503875966</v>
      </c>
      <c r="BS13" s="17">
        <f>t_Presses[[#This Row],[hp2015.07]]/t_Presses[[#This Row],[ha2015.07]]</f>
        <v>0.60562015503875977</v>
      </c>
      <c r="BT13" s="17">
        <f>t_Presses[[#This Row],[hp2015.08]]/t_Presses[[#This Row],[ha2015.08]]</f>
        <v>0.60562015503875977</v>
      </c>
      <c r="BU13" s="17">
        <f>t_Presses[[#This Row],[hp2015.09]]/t_Presses[[#This Row],[ha2015.09]]</f>
        <v>0.60562015503875966</v>
      </c>
      <c r="BV13" s="17">
        <f>t_Presses[[#This Row],[hp2015.10]]/t_Presses[[#This Row],[ha2015.10]]</f>
        <v>0.60562015503875977</v>
      </c>
      <c r="BW13" s="17">
        <f>t_Presses[[#This Row],[hp2015.11]]/t_Presses[[#This Row],[ha2015.11]]</f>
        <v>0.60562015503875977</v>
      </c>
      <c r="BX13" s="17">
        <f>t_Presses[[#This Row],[hp2015.12]]/t_Presses[[#This Row],[ha2015.12]]</f>
        <v>0.60562015503875966</v>
      </c>
      <c r="BY13" s="17">
        <f>t_Presses[[#This Row],[hp2015.FY]]/t_Presses[[#This Row],[ha2015.FY]]</f>
        <v>0.60562015503875977</v>
      </c>
      <c r="BZ13" s="17">
        <f>t_Presses[[#This Row],[hp2016.01]]/t_Presses[[#This Row],[ha2016.01]]</f>
        <v>0</v>
      </c>
      <c r="CA13" s="17">
        <f>t_Presses[[#This Row],[hp2016.02]]/t_Presses[[#This Row],[ha2016.02]]</f>
        <v>0</v>
      </c>
      <c r="CB13" s="17">
        <f>t_Presses[[#This Row],[hp2016.03]]/t_Presses[[#This Row],[ha2016.03]]</f>
        <v>0</v>
      </c>
      <c r="CC13" s="17">
        <f>t_Presses[[#This Row],[hp2016.04]]/t_Presses[[#This Row],[ha2016.04]]</f>
        <v>0</v>
      </c>
      <c r="CD13" s="17">
        <f>t_Presses[[#This Row],[hp2016.05]]/t_Presses[[#This Row],[ha2016.05]]</f>
        <v>0</v>
      </c>
      <c r="CE13" s="17">
        <f>t_Presses[[#This Row],[hp2016.06]]/t_Presses[[#This Row],[ha2016.06]]</f>
        <v>0</v>
      </c>
      <c r="CF13" s="17">
        <f>t_Presses[[#This Row],[hp2016.07]]/t_Presses[[#This Row],[ha2016.07]]</f>
        <v>0</v>
      </c>
      <c r="CG13" s="17">
        <f>t_Presses[[#This Row],[hp2016.08]]/t_Presses[[#This Row],[ha2016.08]]</f>
        <v>0</v>
      </c>
      <c r="CH13" s="17">
        <f>t_Presses[[#This Row],[hp2016.09]]/t_Presses[[#This Row],[ha2016.09]]</f>
        <v>0</v>
      </c>
      <c r="CI13" s="17">
        <f>t_Presses[[#This Row],[hp2016.10]]/t_Presses[[#This Row],[ha2016.10]]</f>
        <v>0</v>
      </c>
      <c r="CJ13" s="17">
        <f>t_Presses[[#This Row],[hp2016.11]]/t_Presses[[#This Row],[ha2016.11]]</f>
        <v>0</v>
      </c>
      <c r="CK13" s="17">
        <f>t_Presses[[#This Row],[hp2016.12]]/t_Presses[[#This Row],[ha2016.12]]</f>
        <v>0</v>
      </c>
      <c r="CL13" s="17">
        <f>t_Presses[[#This Row],[hp2016.FY]]/t_Presses[[#This Row],[ha2016.FY]]</f>
        <v>0</v>
      </c>
      <c r="CM13" s="17">
        <f>t_Presses[[#This Row],[hp2017]]/t_Presses[[#This Row],[ha2017]]</f>
        <v>0</v>
      </c>
      <c r="CN13" s="17">
        <f>t_Presses[[#This Row],[hp2018]]/t_Presses[[#This Row],[ha2018]]</f>
        <v>0</v>
      </c>
      <c r="CO13" s="17">
        <f>t_Presses[[#This Row],[hp2019]]/t_Presses[[#This Row],[ha2019]]</f>
        <v>0</v>
      </c>
    </row>
    <row r="14" spans="1:93" x14ac:dyDescent="0.25">
      <c r="A14" s="16" t="s">
        <v>129</v>
      </c>
      <c r="B14" t="s">
        <v>9</v>
      </c>
      <c r="C14" t="s">
        <v>126</v>
      </c>
      <c r="D14">
        <v>160</v>
      </c>
      <c r="E14" s="18" t="str">
        <f t="shared" si="0"/>
        <v>0-299</v>
      </c>
      <c r="F14" s="15"/>
      <c r="G14" s="18">
        <f>VLOOKUP(t_Presses[[Plant]:[Plant]],t_Plants[],Plants!CM$1,FALSE)</f>
        <v>208</v>
      </c>
      <c r="H14">
        <f>VLOOKUP(t_Presses[[Plant]:[Plant]],t_Plants[],Plants!CN$1,FALSE)</f>
        <v>208</v>
      </c>
      <c r="I14" s="18">
        <f>VLOOKUP(t_Presses[[Plant]:[Plant]],t_Plants[],Plants!CO$1,FALSE)</f>
        <v>272</v>
      </c>
      <c r="J14" s="18">
        <f>VLOOKUP(t_Presses[[Plant]:[Plant]],t_Plants[],Plants!CP$1,FALSE)</f>
        <v>208</v>
      </c>
      <c r="K14" s="18">
        <f>VLOOKUP(t_Presses[[Plant]:[Plant]],t_Plants[],Plants!CQ$1,FALSE)</f>
        <v>208</v>
      </c>
      <c r="L14" s="18">
        <f>VLOOKUP(t_Presses[[Plant]:[Plant]],t_Plants[],Plants!CR$1,FALSE)</f>
        <v>272</v>
      </c>
      <c r="M14" s="18">
        <f>VLOOKUP(t_Presses[[Plant]:[Plant]],t_Plants[],Plants!CS$1,FALSE)</f>
        <v>208</v>
      </c>
      <c r="N14" s="18">
        <f>VLOOKUP(t_Presses[[Plant]:[Plant]],t_Plants[],Plants!CT$1,FALSE)</f>
        <v>208</v>
      </c>
      <c r="O14" s="18">
        <f>VLOOKUP(t_Presses[[Plant]:[Plant]],t_Plants[],Plants!CU$1,FALSE)</f>
        <v>272</v>
      </c>
      <c r="P14" s="18">
        <f>VLOOKUP(t_Presses[[Plant]:[Plant]],t_Plants[],Plants!CV$1,FALSE)</f>
        <v>208</v>
      </c>
      <c r="Q14" s="18">
        <f>VLOOKUP(t_Presses[[Plant]:[Plant]],t_Plants[],Plants!CW$1,FALSE)</f>
        <v>208</v>
      </c>
      <c r="R14" s="18">
        <f>VLOOKUP(t_Presses[[Plant]:[Plant]],t_Plants[],Plants!CX$1,FALSE)</f>
        <v>272</v>
      </c>
      <c r="S14" s="18">
        <f>SUM(t_Presses[[#This Row],[ha2015.01]:[ha2015.12]])</f>
        <v>2752</v>
      </c>
      <c r="T14">
        <f>VLOOKUP(t_Presses[[Plant]:[Plant]],t_Plants[],Plants!CZ$1,FALSE)</f>
        <v>208</v>
      </c>
      <c r="U14">
        <f>VLOOKUP(t_Presses[[Plant]:[Plant]],t_Plants[],Plants!DA$1,FALSE)</f>
        <v>208</v>
      </c>
      <c r="V14">
        <f>VLOOKUP(t_Presses[[Plant]:[Plant]],t_Plants[],Plants!DB$1,FALSE)</f>
        <v>272</v>
      </c>
      <c r="W14">
        <f>VLOOKUP(t_Presses[[Plant]:[Plant]],t_Plants[],Plants!DC$1,FALSE)</f>
        <v>208</v>
      </c>
      <c r="X14">
        <f>VLOOKUP(t_Presses[[Plant]:[Plant]],t_Plants[],Plants!DD$1,FALSE)</f>
        <v>208</v>
      </c>
      <c r="Y14">
        <f>VLOOKUP(t_Presses[[Plant]:[Plant]],t_Plants[],Plants!DE$1,FALSE)</f>
        <v>272</v>
      </c>
      <c r="Z14">
        <f>VLOOKUP(t_Presses[[Plant]:[Plant]],t_Plants[],Plants!DF$1,FALSE)</f>
        <v>208</v>
      </c>
      <c r="AA14">
        <f>VLOOKUP(t_Presses[[Plant]:[Plant]],t_Plants[],Plants!DG$1,FALSE)</f>
        <v>208</v>
      </c>
      <c r="AB14">
        <f>VLOOKUP(t_Presses[[Plant]:[Plant]],t_Plants[],Plants!DH$1,FALSE)</f>
        <v>272</v>
      </c>
      <c r="AC14">
        <f>VLOOKUP(t_Presses[[Plant]:[Plant]],t_Plants[],Plants!DI$1,FALSE)</f>
        <v>208</v>
      </c>
      <c r="AD14">
        <f>VLOOKUP(t_Presses[[Plant]:[Plant]],t_Plants[],Plants!DJ$1,FALSE)</f>
        <v>208</v>
      </c>
      <c r="AE14">
        <f>VLOOKUP(t_Presses[[Plant]:[Plant]],t_Plants[],Plants!DK$1,FALSE)</f>
        <v>272</v>
      </c>
      <c r="AF14" s="18">
        <f>SUM(t_Presses[[#This Row],[ha2016.01]:[ha2016.12]])</f>
        <v>2752</v>
      </c>
      <c r="AG14">
        <f>VLOOKUP(t_Presses[[Plant]:[Plant]],t_Plants[],Plants!DM$1,FALSE)</f>
        <v>2752</v>
      </c>
      <c r="AH14">
        <f>VLOOKUP(t_Presses[[Plant]:[Plant]],t_Plants[],Plants!DN$1,FALSE)</f>
        <v>2752</v>
      </c>
      <c r="AI14">
        <f>VLOOKUP(t_Presses[[Plant]:[Plant]],t_Plants[],Plants!DO$1,FALSE)</f>
        <v>2752</v>
      </c>
      <c r="AJ14" s="52">
        <f>SUMIF(r_PartPresses,t_Presses[[PRESS]:[PRESS]],t_Parts[hp2015.01])</f>
        <v>0</v>
      </c>
      <c r="AK14" s="52">
        <f>SUMIF(r_PartPresses,t_Presses[[PRESS]:[PRESS]],t_Parts[hp2015.02])</f>
        <v>0</v>
      </c>
      <c r="AL14" s="52">
        <f>SUMIF(r_PartPresses,t_Presses[[PRESS]:[PRESS]],t_Parts[hp2015.03])</f>
        <v>0</v>
      </c>
      <c r="AM14" s="52">
        <f>SUMIF(r_PartPresses,t_Presses[[PRESS]:[PRESS]],t_Parts[hp2015.04])</f>
        <v>0</v>
      </c>
      <c r="AN14" s="52">
        <f>SUMIF(r_PartPresses,t_Presses[[PRESS]:[PRESS]],t_Parts[hp2015.05])</f>
        <v>0</v>
      </c>
      <c r="AO14" s="52">
        <f>SUMIF(r_PartPresses,t_Presses[[PRESS]:[PRESS]],t_Parts[hp2015.06])</f>
        <v>0</v>
      </c>
      <c r="AP14" s="52">
        <f>SUMIF(r_PartPresses,t_Presses[[PRESS]:[PRESS]],t_Parts[hp2015.07])</f>
        <v>0</v>
      </c>
      <c r="AQ14" s="52">
        <f>SUMIF(r_PartPresses,t_Presses[[PRESS]:[PRESS]],t_Parts[hp2015.08])</f>
        <v>0</v>
      </c>
      <c r="AR14" s="52">
        <f>SUMIF(r_PartPresses,t_Presses[[PRESS]:[PRESS]],t_Parts[hp2015.09])</f>
        <v>0</v>
      </c>
      <c r="AS14" s="52">
        <f>SUMIF(r_PartPresses,t_Presses[[PRESS]:[PRESS]],t_Parts[hp2015.10])</f>
        <v>0</v>
      </c>
      <c r="AT14" s="52">
        <f>SUMIF(r_PartPresses,t_Presses[[PRESS]:[PRESS]],t_Parts[hp2015.11])</f>
        <v>0</v>
      </c>
      <c r="AU14" s="52">
        <f>SUMIF(r_PartPresses,t_Presses[[PRESS]:[PRESS]],t_Parts[hp2015.12])</f>
        <v>0</v>
      </c>
      <c r="AV14" s="52">
        <f>SUM(t_Presses[[#This Row],[hp2015.01]:[hp2015.12]])</f>
        <v>0</v>
      </c>
      <c r="AW14" s="52">
        <f>SUMIF(r_PartPresses,t_Presses[[PRESS]:[PRESS]],t_Parts[hp2016.01])</f>
        <v>0</v>
      </c>
      <c r="AX14" s="52">
        <f>SUMIF(r_PartPresses,t_Presses[[PRESS]:[PRESS]],t_Parts[hp2016.02])</f>
        <v>0</v>
      </c>
      <c r="AY14" s="52">
        <f>SUMIF(r_PartPresses,t_Presses[[PRESS]:[PRESS]],t_Parts[hp2016.03])</f>
        <v>0</v>
      </c>
      <c r="AZ14" s="52">
        <f>SUMIF(r_PartPresses,t_Presses[[PRESS]:[PRESS]],t_Parts[hp2016.04])</f>
        <v>0</v>
      </c>
      <c r="BA14" s="52">
        <f>SUMIF(r_PartPresses,t_Presses[[PRESS]:[PRESS]],t_Parts[hp2016.05])</f>
        <v>0</v>
      </c>
      <c r="BB14" s="52">
        <f>SUMIF(r_PartPresses,t_Presses[[PRESS]:[PRESS]],t_Parts[hp2016.06])</f>
        <v>0</v>
      </c>
      <c r="BC14" s="52">
        <f>SUMIF(r_PartPresses,t_Presses[[PRESS]:[PRESS]],t_Parts[hp2016.07])</f>
        <v>0</v>
      </c>
      <c r="BD14" s="52">
        <f>SUMIF(r_PartPresses,t_Presses[[PRESS]:[PRESS]],t_Parts[hp2016.08])</f>
        <v>0</v>
      </c>
      <c r="BE14" s="52">
        <f>SUMIF(r_PartPresses,t_Presses[[PRESS]:[PRESS]],t_Parts[hp2016.09])</f>
        <v>0</v>
      </c>
      <c r="BF14" s="52">
        <f>SUMIF(r_PartPresses,t_Presses[[PRESS]:[PRESS]],t_Parts[hp2016.10])</f>
        <v>0</v>
      </c>
      <c r="BG14" s="52">
        <f>SUMIF(r_PartPresses,t_Presses[[PRESS]:[PRESS]],t_Parts[hp2016.11])</f>
        <v>0</v>
      </c>
      <c r="BH14" s="52">
        <f>SUMIF(r_PartPresses,t_Presses[[PRESS]:[PRESS]],t_Parts[hp2016.12])</f>
        <v>0</v>
      </c>
      <c r="BI14" s="52">
        <f>SUMIF(r_PartPresses,t_Presses[[PRESS]:[PRESS]],t_Parts[hp2016.FY])</f>
        <v>0</v>
      </c>
      <c r="BJ14" s="52">
        <f>SUMIF(r_PartPresses,t_Presses[[PRESS]:[PRESS]],t_Parts[hp2017])</f>
        <v>0</v>
      </c>
      <c r="BK14" s="52">
        <f>SUMIF(r_PartPresses,t_Presses[[PRESS]:[PRESS]],t_Parts[hp2018])</f>
        <v>0</v>
      </c>
      <c r="BL14" s="52">
        <f>SUMIF(r_PartPresses,t_Presses[[PRESS]:[PRESS]],t_Parts[hp2019])</f>
        <v>0</v>
      </c>
      <c r="BM14" s="17">
        <f>t_Presses[[#This Row],[hp2015.01]]/t_Presses[[#This Row],[ha2015.01]]</f>
        <v>0</v>
      </c>
      <c r="BN14" s="17">
        <f>t_Presses[[#This Row],[hp2015.02]]/t_Presses[[#This Row],[ha2015.02]]</f>
        <v>0</v>
      </c>
      <c r="BO14" s="17">
        <f>t_Presses[[#This Row],[hp2015.03]]/t_Presses[[#This Row],[ha2015.03]]</f>
        <v>0</v>
      </c>
      <c r="BP14" s="17">
        <f>t_Presses[[#This Row],[hp2015.04]]/t_Presses[[#This Row],[ha2015.04]]</f>
        <v>0</v>
      </c>
      <c r="BQ14" s="17">
        <f>t_Presses[[#This Row],[hp2015.05]]/t_Presses[[#This Row],[ha2015.05]]</f>
        <v>0</v>
      </c>
      <c r="BR14" s="17">
        <f>t_Presses[[#This Row],[hp2015.06]]/t_Presses[[#This Row],[ha2015.06]]</f>
        <v>0</v>
      </c>
      <c r="BS14" s="17">
        <f>t_Presses[[#This Row],[hp2015.07]]/t_Presses[[#This Row],[ha2015.07]]</f>
        <v>0</v>
      </c>
      <c r="BT14" s="17">
        <f>t_Presses[[#This Row],[hp2015.08]]/t_Presses[[#This Row],[ha2015.08]]</f>
        <v>0</v>
      </c>
      <c r="BU14" s="17">
        <f>t_Presses[[#This Row],[hp2015.09]]/t_Presses[[#This Row],[ha2015.09]]</f>
        <v>0</v>
      </c>
      <c r="BV14" s="17">
        <f>t_Presses[[#This Row],[hp2015.10]]/t_Presses[[#This Row],[ha2015.10]]</f>
        <v>0</v>
      </c>
      <c r="BW14" s="17">
        <f>t_Presses[[#This Row],[hp2015.11]]/t_Presses[[#This Row],[ha2015.11]]</f>
        <v>0</v>
      </c>
      <c r="BX14" s="17">
        <f>t_Presses[[#This Row],[hp2015.12]]/t_Presses[[#This Row],[ha2015.12]]</f>
        <v>0</v>
      </c>
      <c r="BY14" s="17">
        <f>t_Presses[[#This Row],[hp2015.FY]]/t_Presses[[#This Row],[ha2015.FY]]</f>
        <v>0</v>
      </c>
      <c r="BZ14" s="17">
        <f>t_Presses[[#This Row],[hp2016.01]]/t_Presses[[#This Row],[ha2016.01]]</f>
        <v>0</v>
      </c>
      <c r="CA14" s="17">
        <f>t_Presses[[#This Row],[hp2016.02]]/t_Presses[[#This Row],[ha2016.02]]</f>
        <v>0</v>
      </c>
      <c r="CB14" s="17">
        <f>t_Presses[[#This Row],[hp2016.03]]/t_Presses[[#This Row],[ha2016.03]]</f>
        <v>0</v>
      </c>
      <c r="CC14" s="17">
        <f>t_Presses[[#This Row],[hp2016.04]]/t_Presses[[#This Row],[ha2016.04]]</f>
        <v>0</v>
      </c>
      <c r="CD14" s="17">
        <f>t_Presses[[#This Row],[hp2016.05]]/t_Presses[[#This Row],[ha2016.05]]</f>
        <v>0</v>
      </c>
      <c r="CE14" s="17">
        <f>t_Presses[[#This Row],[hp2016.06]]/t_Presses[[#This Row],[ha2016.06]]</f>
        <v>0</v>
      </c>
      <c r="CF14" s="17">
        <f>t_Presses[[#This Row],[hp2016.07]]/t_Presses[[#This Row],[ha2016.07]]</f>
        <v>0</v>
      </c>
      <c r="CG14" s="17">
        <f>t_Presses[[#This Row],[hp2016.08]]/t_Presses[[#This Row],[ha2016.08]]</f>
        <v>0</v>
      </c>
      <c r="CH14" s="17">
        <f>t_Presses[[#This Row],[hp2016.09]]/t_Presses[[#This Row],[ha2016.09]]</f>
        <v>0</v>
      </c>
      <c r="CI14" s="17">
        <f>t_Presses[[#This Row],[hp2016.10]]/t_Presses[[#This Row],[ha2016.10]]</f>
        <v>0</v>
      </c>
      <c r="CJ14" s="17">
        <f>t_Presses[[#This Row],[hp2016.11]]/t_Presses[[#This Row],[ha2016.11]]</f>
        <v>0</v>
      </c>
      <c r="CK14" s="17">
        <f>t_Presses[[#This Row],[hp2016.12]]/t_Presses[[#This Row],[ha2016.12]]</f>
        <v>0</v>
      </c>
      <c r="CL14" s="17">
        <f>t_Presses[[#This Row],[hp2016.FY]]/t_Presses[[#This Row],[ha2016.FY]]</f>
        <v>0</v>
      </c>
      <c r="CM14" s="17">
        <f>t_Presses[[#This Row],[hp2017]]/t_Presses[[#This Row],[ha2017]]</f>
        <v>0</v>
      </c>
      <c r="CN14" s="17">
        <f>t_Presses[[#This Row],[hp2018]]/t_Presses[[#This Row],[ha2018]]</f>
        <v>0</v>
      </c>
      <c r="CO14" s="17">
        <f>t_Presses[[#This Row],[hp2019]]/t_Presses[[#This Row],[ha2019]]</f>
        <v>0</v>
      </c>
    </row>
    <row r="15" spans="1:93" x14ac:dyDescent="0.25">
      <c r="A15" s="16" t="s">
        <v>130</v>
      </c>
      <c r="B15" t="s">
        <v>9</v>
      </c>
      <c r="C15" t="s">
        <v>126</v>
      </c>
      <c r="D15">
        <v>160</v>
      </c>
      <c r="E15" s="18" t="str">
        <f t="shared" si="0"/>
        <v>0-299</v>
      </c>
      <c r="F15" s="15"/>
      <c r="G15" s="18">
        <f>VLOOKUP(t_Presses[[Plant]:[Plant]],t_Plants[],Plants!CM$1,FALSE)</f>
        <v>208</v>
      </c>
      <c r="H15">
        <f>VLOOKUP(t_Presses[[Plant]:[Plant]],t_Plants[],Plants!CN$1,FALSE)</f>
        <v>208</v>
      </c>
      <c r="I15" s="18">
        <f>VLOOKUP(t_Presses[[Plant]:[Plant]],t_Plants[],Plants!CO$1,FALSE)</f>
        <v>272</v>
      </c>
      <c r="J15" s="18">
        <f>VLOOKUP(t_Presses[[Plant]:[Plant]],t_Plants[],Plants!CP$1,FALSE)</f>
        <v>208</v>
      </c>
      <c r="K15" s="18">
        <f>VLOOKUP(t_Presses[[Plant]:[Plant]],t_Plants[],Plants!CQ$1,FALSE)</f>
        <v>208</v>
      </c>
      <c r="L15" s="18">
        <f>VLOOKUP(t_Presses[[Plant]:[Plant]],t_Plants[],Plants!CR$1,FALSE)</f>
        <v>272</v>
      </c>
      <c r="M15" s="18">
        <f>VLOOKUP(t_Presses[[Plant]:[Plant]],t_Plants[],Plants!CS$1,FALSE)</f>
        <v>208</v>
      </c>
      <c r="N15" s="18">
        <f>VLOOKUP(t_Presses[[Plant]:[Plant]],t_Plants[],Plants!CT$1,FALSE)</f>
        <v>208</v>
      </c>
      <c r="O15" s="18">
        <f>VLOOKUP(t_Presses[[Plant]:[Plant]],t_Plants[],Plants!CU$1,FALSE)</f>
        <v>272</v>
      </c>
      <c r="P15" s="18">
        <f>VLOOKUP(t_Presses[[Plant]:[Plant]],t_Plants[],Plants!CV$1,FALSE)</f>
        <v>208</v>
      </c>
      <c r="Q15" s="18">
        <f>VLOOKUP(t_Presses[[Plant]:[Plant]],t_Plants[],Plants!CW$1,FALSE)</f>
        <v>208</v>
      </c>
      <c r="R15" s="18">
        <f>VLOOKUP(t_Presses[[Plant]:[Plant]],t_Plants[],Plants!CX$1,FALSE)</f>
        <v>272</v>
      </c>
      <c r="S15" s="18">
        <f>SUM(t_Presses[[#This Row],[ha2015.01]:[ha2015.12]])</f>
        <v>2752</v>
      </c>
      <c r="T15">
        <f>VLOOKUP(t_Presses[[Plant]:[Plant]],t_Plants[],Plants!CZ$1,FALSE)</f>
        <v>208</v>
      </c>
      <c r="U15">
        <f>VLOOKUP(t_Presses[[Plant]:[Plant]],t_Plants[],Plants!DA$1,FALSE)</f>
        <v>208</v>
      </c>
      <c r="V15">
        <f>VLOOKUP(t_Presses[[Plant]:[Plant]],t_Plants[],Plants!DB$1,FALSE)</f>
        <v>272</v>
      </c>
      <c r="W15">
        <f>VLOOKUP(t_Presses[[Plant]:[Plant]],t_Plants[],Plants!DC$1,FALSE)</f>
        <v>208</v>
      </c>
      <c r="X15">
        <f>VLOOKUP(t_Presses[[Plant]:[Plant]],t_Plants[],Plants!DD$1,FALSE)</f>
        <v>208</v>
      </c>
      <c r="Y15">
        <f>VLOOKUP(t_Presses[[Plant]:[Plant]],t_Plants[],Plants!DE$1,FALSE)</f>
        <v>272</v>
      </c>
      <c r="Z15">
        <f>VLOOKUP(t_Presses[[Plant]:[Plant]],t_Plants[],Plants!DF$1,FALSE)</f>
        <v>208</v>
      </c>
      <c r="AA15">
        <f>VLOOKUP(t_Presses[[Plant]:[Plant]],t_Plants[],Plants!DG$1,FALSE)</f>
        <v>208</v>
      </c>
      <c r="AB15">
        <f>VLOOKUP(t_Presses[[Plant]:[Plant]],t_Plants[],Plants!DH$1,FALSE)</f>
        <v>272</v>
      </c>
      <c r="AC15">
        <f>VLOOKUP(t_Presses[[Plant]:[Plant]],t_Plants[],Plants!DI$1,FALSE)</f>
        <v>208</v>
      </c>
      <c r="AD15">
        <f>VLOOKUP(t_Presses[[Plant]:[Plant]],t_Plants[],Plants!DJ$1,FALSE)</f>
        <v>208</v>
      </c>
      <c r="AE15">
        <f>VLOOKUP(t_Presses[[Plant]:[Plant]],t_Plants[],Plants!DK$1,FALSE)</f>
        <v>272</v>
      </c>
      <c r="AF15" s="18">
        <f>SUM(t_Presses[[#This Row],[ha2016.01]:[ha2016.12]])</f>
        <v>2752</v>
      </c>
      <c r="AG15">
        <f>VLOOKUP(t_Presses[[Plant]:[Plant]],t_Plants[],Plants!DM$1,FALSE)</f>
        <v>2752</v>
      </c>
      <c r="AH15">
        <f>VLOOKUP(t_Presses[[Plant]:[Plant]],t_Plants[],Plants!DN$1,FALSE)</f>
        <v>2752</v>
      </c>
      <c r="AI15">
        <f>VLOOKUP(t_Presses[[Plant]:[Plant]],t_Plants[],Plants!DO$1,FALSE)</f>
        <v>2752</v>
      </c>
      <c r="AJ15" s="52">
        <f>SUMIF(r_PartPresses,t_Presses[[PRESS]:[PRESS]],t_Parts[hp2015.01])</f>
        <v>0</v>
      </c>
      <c r="AK15" s="52">
        <f>SUMIF(r_PartPresses,t_Presses[[PRESS]:[PRESS]],t_Parts[hp2015.02])</f>
        <v>0</v>
      </c>
      <c r="AL15" s="52">
        <f>SUMIF(r_PartPresses,t_Presses[[PRESS]:[PRESS]],t_Parts[hp2015.03])</f>
        <v>0</v>
      </c>
      <c r="AM15" s="52">
        <f>SUMIF(r_PartPresses,t_Presses[[PRESS]:[PRESS]],t_Parts[hp2015.04])</f>
        <v>0</v>
      </c>
      <c r="AN15" s="52">
        <f>SUMIF(r_PartPresses,t_Presses[[PRESS]:[PRESS]],t_Parts[hp2015.05])</f>
        <v>0</v>
      </c>
      <c r="AO15" s="52">
        <f>SUMIF(r_PartPresses,t_Presses[[PRESS]:[PRESS]],t_Parts[hp2015.06])</f>
        <v>0</v>
      </c>
      <c r="AP15" s="52">
        <f>SUMIF(r_PartPresses,t_Presses[[PRESS]:[PRESS]],t_Parts[hp2015.07])</f>
        <v>0</v>
      </c>
      <c r="AQ15" s="52">
        <f>SUMIF(r_PartPresses,t_Presses[[PRESS]:[PRESS]],t_Parts[hp2015.08])</f>
        <v>0</v>
      </c>
      <c r="AR15" s="52">
        <f>SUMIF(r_PartPresses,t_Presses[[PRESS]:[PRESS]],t_Parts[hp2015.09])</f>
        <v>0</v>
      </c>
      <c r="AS15" s="52">
        <f>SUMIF(r_PartPresses,t_Presses[[PRESS]:[PRESS]],t_Parts[hp2015.10])</f>
        <v>0</v>
      </c>
      <c r="AT15" s="52">
        <f>SUMIF(r_PartPresses,t_Presses[[PRESS]:[PRESS]],t_Parts[hp2015.11])</f>
        <v>0</v>
      </c>
      <c r="AU15" s="52">
        <f>SUMIF(r_PartPresses,t_Presses[[PRESS]:[PRESS]],t_Parts[hp2015.12])</f>
        <v>0</v>
      </c>
      <c r="AV15" s="52">
        <f>SUM(t_Presses[[#This Row],[hp2015.01]:[hp2015.12]])</f>
        <v>0</v>
      </c>
      <c r="AW15" s="52">
        <f>SUMIF(r_PartPresses,t_Presses[[PRESS]:[PRESS]],t_Parts[hp2016.01])</f>
        <v>0</v>
      </c>
      <c r="AX15" s="52">
        <f>SUMIF(r_PartPresses,t_Presses[[PRESS]:[PRESS]],t_Parts[hp2016.02])</f>
        <v>0</v>
      </c>
      <c r="AY15" s="52">
        <f>SUMIF(r_PartPresses,t_Presses[[PRESS]:[PRESS]],t_Parts[hp2016.03])</f>
        <v>0</v>
      </c>
      <c r="AZ15" s="52">
        <f>SUMIF(r_PartPresses,t_Presses[[PRESS]:[PRESS]],t_Parts[hp2016.04])</f>
        <v>0</v>
      </c>
      <c r="BA15" s="52">
        <f>SUMIF(r_PartPresses,t_Presses[[PRESS]:[PRESS]],t_Parts[hp2016.05])</f>
        <v>0</v>
      </c>
      <c r="BB15" s="52">
        <f>SUMIF(r_PartPresses,t_Presses[[PRESS]:[PRESS]],t_Parts[hp2016.06])</f>
        <v>0</v>
      </c>
      <c r="BC15" s="52">
        <f>SUMIF(r_PartPresses,t_Presses[[PRESS]:[PRESS]],t_Parts[hp2016.07])</f>
        <v>0</v>
      </c>
      <c r="BD15" s="52">
        <f>SUMIF(r_PartPresses,t_Presses[[PRESS]:[PRESS]],t_Parts[hp2016.08])</f>
        <v>0</v>
      </c>
      <c r="BE15" s="52">
        <f>SUMIF(r_PartPresses,t_Presses[[PRESS]:[PRESS]],t_Parts[hp2016.09])</f>
        <v>0</v>
      </c>
      <c r="BF15" s="52">
        <f>SUMIF(r_PartPresses,t_Presses[[PRESS]:[PRESS]],t_Parts[hp2016.10])</f>
        <v>0</v>
      </c>
      <c r="BG15" s="52">
        <f>SUMIF(r_PartPresses,t_Presses[[PRESS]:[PRESS]],t_Parts[hp2016.11])</f>
        <v>0</v>
      </c>
      <c r="BH15" s="52">
        <f>SUMIF(r_PartPresses,t_Presses[[PRESS]:[PRESS]],t_Parts[hp2016.12])</f>
        <v>0</v>
      </c>
      <c r="BI15" s="52">
        <f>SUMIF(r_PartPresses,t_Presses[[PRESS]:[PRESS]],t_Parts[hp2016.FY])</f>
        <v>0</v>
      </c>
      <c r="BJ15" s="52">
        <f>SUMIF(r_PartPresses,t_Presses[[PRESS]:[PRESS]],t_Parts[hp2017])</f>
        <v>0</v>
      </c>
      <c r="BK15" s="52">
        <f>SUMIF(r_PartPresses,t_Presses[[PRESS]:[PRESS]],t_Parts[hp2018])</f>
        <v>0</v>
      </c>
      <c r="BL15" s="52">
        <f>SUMIF(r_PartPresses,t_Presses[[PRESS]:[PRESS]],t_Parts[hp2019])</f>
        <v>0</v>
      </c>
      <c r="BM15" s="17">
        <f>t_Presses[[#This Row],[hp2015.01]]/t_Presses[[#This Row],[ha2015.01]]</f>
        <v>0</v>
      </c>
      <c r="BN15" s="17">
        <f>t_Presses[[#This Row],[hp2015.02]]/t_Presses[[#This Row],[ha2015.02]]</f>
        <v>0</v>
      </c>
      <c r="BO15" s="17">
        <f>t_Presses[[#This Row],[hp2015.03]]/t_Presses[[#This Row],[ha2015.03]]</f>
        <v>0</v>
      </c>
      <c r="BP15" s="17">
        <f>t_Presses[[#This Row],[hp2015.04]]/t_Presses[[#This Row],[ha2015.04]]</f>
        <v>0</v>
      </c>
      <c r="BQ15" s="17">
        <f>t_Presses[[#This Row],[hp2015.05]]/t_Presses[[#This Row],[ha2015.05]]</f>
        <v>0</v>
      </c>
      <c r="BR15" s="17">
        <f>t_Presses[[#This Row],[hp2015.06]]/t_Presses[[#This Row],[ha2015.06]]</f>
        <v>0</v>
      </c>
      <c r="BS15" s="17">
        <f>t_Presses[[#This Row],[hp2015.07]]/t_Presses[[#This Row],[ha2015.07]]</f>
        <v>0</v>
      </c>
      <c r="BT15" s="17">
        <f>t_Presses[[#This Row],[hp2015.08]]/t_Presses[[#This Row],[ha2015.08]]</f>
        <v>0</v>
      </c>
      <c r="BU15" s="17">
        <f>t_Presses[[#This Row],[hp2015.09]]/t_Presses[[#This Row],[ha2015.09]]</f>
        <v>0</v>
      </c>
      <c r="BV15" s="17">
        <f>t_Presses[[#This Row],[hp2015.10]]/t_Presses[[#This Row],[ha2015.10]]</f>
        <v>0</v>
      </c>
      <c r="BW15" s="17">
        <f>t_Presses[[#This Row],[hp2015.11]]/t_Presses[[#This Row],[ha2015.11]]</f>
        <v>0</v>
      </c>
      <c r="BX15" s="17">
        <f>t_Presses[[#This Row],[hp2015.12]]/t_Presses[[#This Row],[ha2015.12]]</f>
        <v>0</v>
      </c>
      <c r="BY15" s="17">
        <f>t_Presses[[#This Row],[hp2015.FY]]/t_Presses[[#This Row],[ha2015.FY]]</f>
        <v>0</v>
      </c>
      <c r="BZ15" s="17">
        <f>t_Presses[[#This Row],[hp2016.01]]/t_Presses[[#This Row],[ha2016.01]]</f>
        <v>0</v>
      </c>
      <c r="CA15" s="17">
        <f>t_Presses[[#This Row],[hp2016.02]]/t_Presses[[#This Row],[ha2016.02]]</f>
        <v>0</v>
      </c>
      <c r="CB15" s="17">
        <f>t_Presses[[#This Row],[hp2016.03]]/t_Presses[[#This Row],[ha2016.03]]</f>
        <v>0</v>
      </c>
      <c r="CC15" s="17">
        <f>t_Presses[[#This Row],[hp2016.04]]/t_Presses[[#This Row],[ha2016.04]]</f>
        <v>0</v>
      </c>
      <c r="CD15" s="17">
        <f>t_Presses[[#This Row],[hp2016.05]]/t_Presses[[#This Row],[ha2016.05]]</f>
        <v>0</v>
      </c>
      <c r="CE15" s="17">
        <f>t_Presses[[#This Row],[hp2016.06]]/t_Presses[[#This Row],[ha2016.06]]</f>
        <v>0</v>
      </c>
      <c r="CF15" s="17">
        <f>t_Presses[[#This Row],[hp2016.07]]/t_Presses[[#This Row],[ha2016.07]]</f>
        <v>0</v>
      </c>
      <c r="CG15" s="17">
        <f>t_Presses[[#This Row],[hp2016.08]]/t_Presses[[#This Row],[ha2016.08]]</f>
        <v>0</v>
      </c>
      <c r="CH15" s="17">
        <f>t_Presses[[#This Row],[hp2016.09]]/t_Presses[[#This Row],[ha2016.09]]</f>
        <v>0</v>
      </c>
      <c r="CI15" s="17">
        <f>t_Presses[[#This Row],[hp2016.10]]/t_Presses[[#This Row],[ha2016.10]]</f>
        <v>0</v>
      </c>
      <c r="CJ15" s="17">
        <f>t_Presses[[#This Row],[hp2016.11]]/t_Presses[[#This Row],[ha2016.11]]</f>
        <v>0</v>
      </c>
      <c r="CK15" s="17">
        <f>t_Presses[[#This Row],[hp2016.12]]/t_Presses[[#This Row],[ha2016.12]]</f>
        <v>0</v>
      </c>
      <c r="CL15" s="17">
        <f>t_Presses[[#This Row],[hp2016.FY]]/t_Presses[[#This Row],[ha2016.FY]]</f>
        <v>0</v>
      </c>
      <c r="CM15" s="17">
        <f>t_Presses[[#This Row],[hp2017]]/t_Presses[[#This Row],[ha2017]]</f>
        <v>0</v>
      </c>
      <c r="CN15" s="17">
        <f>t_Presses[[#This Row],[hp2018]]/t_Presses[[#This Row],[ha2018]]</f>
        <v>0</v>
      </c>
      <c r="CO15" s="17">
        <f>t_Presses[[#This Row],[hp2019]]/t_Presses[[#This Row],[ha2019]]</f>
        <v>0</v>
      </c>
    </row>
    <row r="16" spans="1:93" x14ac:dyDescent="0.25">
      <c r="A16" s="16" t="s">
        <v>131</v>
      </c>
      <c r="B16" t="s">
        <v>9</v>
      </c>
      <c r="C16" t="s">
        <v>126</v>
      </c>
      <c r="D16">
        <v>150</v>
      </c>
      <c r="E16" s="18" t="str">
        <f t="shared" si="0"/>
        <v>0-299</v>
      </c>
      <c r="F16" s="15"/>
      <c r="G16" s="18">
        <f>VLOOKUP(t_Presses[[Plant]:[Plant]],t_Plants[],Plants!CM$1,FALSE)</f>
        <v>208</v>
      </c>
      <c r="H16">
        <f>VLOOKUP(t_Presses[[Plant]:[Plant]],t_Plants[],Plants!CN$1,FALSE)</f>
        <v>208</v>
      </c>
      <c r="I16" s="18">
        <f>VLOOKUP(t_Presses[[Plant]:[Plant]],t_Plants[],Plants!CO$1,FALSE)</f>
        <v>272</v>
      </c>
      <c r="J16" s="18">
        <f>VLOOKUP(t_Presses[[Plant]:[Plant]],t_Plants[],Plants!CP$1,FALSE)</f>
        <v>208</v>
      </c>
      <c r="K16" s="18">
        <f>VLOOKUP(t_Presses[[Plant]:[Plant]],t_Plants[],Plants!CQ$1,FALSE)</f>
        <v>208</v>
      </c>
      <c r="L16" s="18">
        <f>VLOOKUP(t_Presses[[Plant]:[Plant]],t_Plants[],Plants!CR$1,FALSE)</f>
        <v>272</v>
      </c>
      <c r="M16" s="18">
        <f>VLOOKUP(t_Presses[[Plant]:[Plant]],t_Plants[],Plants!CS$1,FALSE)</f>
        <v>208</v>
      </c>
      <c r="N16" s="18">
        <f>VLOOKUP(t_Presses[[Plant]:[Plant]],t_Plants[],Plants!CT$1,FALSE)</f>
        <v>208</v>
      </c>
      <c r="O16" s="18">
        <f>VLOOKUP(t_Presses[[Plant]:[Plant]],t_Plants[],Plants!CU$1,FALSE)</f>
        <v>272</v>
      </c>
      <c r="P16" s="18">
        <f>VLOOKUP(t_Presses[[Plant]:[Plant]],t_Plants[],Plants!CV$1,FALSE)</f>
        <v>208</v>
      </c>
      <c r="Q16" s="18">
        <f>VLOOKUP(t_Presses[[Plant]:[Plant]],t_Plants[],Plants!CW$1,FALSE)</f>
        <v>208</v>
      </c>
      <c r="R16" s="18">
        <f>VLOOKUP(t_Presses[[Plant]:[Plant]],t_Plants[],Plants!CX$1,FALSE)</f>
        <v>272</v>
      </c>
      <c r="S16" s="18">
        <f>SUM(t_Presses[[#This Row],[ha2015.01]:[ha2015.12]])</f>
        <v>2752</v>
      </c>
      <c r="T16">
        <f>VLOOKUP(t_Presses[[Plant]:[Plant]],t_Plants[],Plants!CZ$1,FALSE)</f>
        <v>208</v>
      </c>
      <c r="U16">
        <f>VLOOKUP(t_Presses[[Plant]:[Plant]],t_Plants[],Plants!DA$1,FALSE)</f>
        <v>208</v>
      </c>
      <c r="V16">
        <f>VLOOKUP(t_Presses[[Plant]:[Plant]],t_Plants[],Plants!DB$1,FALSE)</f>
        <v>272</v>
      </c>
      <c r="W16">
        <f>VLOOKUP(t_Presses[[Plant]:[Plant]],t_Plants[],Plants!DC$1,FALSE)</f>
        <v>208</v>
      </c>
      <c r="X16">
        <f>VLOOKUP(t_Presses[[Plant]:[Plant]],t_Plants[],Plants!DD$1,FALSE)</f>
        <v>208</v>
      </c>
      <c r="Y16">
        <f>VLOOKUP(t_Presses[[Plant]:[Plant]],t_Plants[],Plants!DE$1,FALSE)</f>
        <v>272</v>
      </c>
      <c r="Z16">
        <f>VLOOKUP(t_Presses[[Plant]:[Plant]],t_Plants[],Plants!DF$1,FALSE)</f>
        <v>208</v>
      </c>
      <c r="AA16">
        <f>VLOOKUP(t_Presses[[Plant]:[Plant]],t_Plants[],Plants!DG$1,FALSE)</f>
        <v>208</v>
      </c>
      <c r="AB16">
        <f>VLOOKUP(t_Presses[[Plant]:[Plant]],t_Plants[],Plants!DH$1,FALSE)</f>
        <v>272</v>
      </c>
      <c r="AC16">
        <f>VLOOKUP(t_Presses[[Plant]:[Plant]],t_Plants[],Plants!DI$1,FALSE)</f>
        <v>208</v>
      </c>
      <c r="AD16">
        <f>VLOOKUP(t_Presses[[Plant]:[Plant]],t_Plants[],Plants!DJ$1,FALSE)</f>
        <v>208</v>
      </c>
      <c r="AE16">
        <f>VLOOKUP(t_Presses[[Plant]:[Plant]],t_Plants[],Plants!DK$1,FALSE)</f>
        <v>272</v>
      </c>
      <c r="AF16" s="18">
        <f>SUM(t_Presses[[#This Row],[ha2016.01]:[ha2016.12]])</f>
        <v>2752</v>
      </c>
      <c r="AG16">
        <f>VLOOKUP(t_Presses[[Plant]:[Plant]],t_Plants[],Plants!DM$1,FALSE)</f>
        <v>2752</v>
      </c>
      <c r="AH16">
        <f>VLOOKUP(t_Presses[[Plant]:[Plant]],t_Plants[],Plants!DN$1,FALSE)</f>
        <v>2752</v>
      </c>
      <c r="AI16">
        <f>VLOOKUP(t_Presses[[Plant]:[Plant]],t_Plants[],Plants!DO$1,FALSE)</f>
        <v>2752</v>
      </c>
      <c r="AJ16" s="52">
        <f>SUMIF(r_PartPresses,t_Presses[[PRESS]:[PRESS]],t_Parts[hp2015.01])</f>
        <v>0</v>
      </c>
      <c r="AK16" s="52">
        <f>SUMIF(r_PartPresses,t_Presses[[PRESS]:[PRESS]],t_Parts[hp2015.02])</f>
        <v>0</v>
      </c>
      <c r="AL16" s="52">
        <f>SUMIF(r_PartPresses,t_Presses[[PRESS]:[PRESS]],t_Parts[hp2015.03])</f>
        <v>0</v>
      </c>
      <c r="AM16" s="52">
        <f>SUMIF(r_PartPresses,t_Presses[[PRESS]:[PRESS]],t_Parts[hp2015.04])</f>
        <v>0</v>
      </c>
      <c r="AN16" s="52">
        <f>SUMIF(r_PartPresses,t_Presses[[PRESS]:[PRESS]],t_Parts[hp2015.05])</f>
        <v>0</v>
      </c>
      <c r="AO16" s="52">
        <f>SUMIF(r_PartPresses,t_Presses[[PRESS]:[PRESS]],t_Parts[hp2015.06])</f>
        <v>0</v>
      </c>
      <c r="AP16" s="52">
        <f>SUMIF(r_PartPresses,t_Presses[[PRESS]:[PRESS]],t_Parts[hp2015.07])</f>
        <v>0</v>
      </c>
      <c r="AQ16" s="52">
        <f>SUMIF(r_PartPresses,t_Presses[[PRESS]:[PRESS]],t_Parts[hp2015.08])</f>
        <v>0</v>
      </c>
      <c r="AR16" s="52">
        <f>SUMIF(r_PartPresses,t_Presses[[PRESS]:[PRESS]],t_Parts[hp2015.09])</f>
        <v>0</v>
      </c>
      <c r="AS16" s="52">
        <f>SUMIF(r_PartPresses,t_Presses[[PRESS]:[PRESS]],t_Parts[hp2015.10])</f>
        <v>0</v>
      </c>
      <c r="AT16" s="52">
        <f>SUMIF(r_PartPresses,t_Presses[[PRESS]:[PRESS]],t_Parts[hp2015.11])</f>
        <v>0</v>
      </c>
      <c r="AU16" s="52">
        <f>SUMIF(r_PartPresses,t_Presses[[PRESS]:[PRESS]],t_Parts[hp2015.12])</f>
        <v>0</v>
      </c>
      <c r="AV16" s="52">
        <f>SUM(t_Presses[[#This Row],[hp2015.01]:[hp2015.12]])</f>
        <v>0</v>
      </c>
      <c r="AW16" s="52">
        <f>SUMIF(r_PartPresses,t_Presses[[PRESS]:[PRESS]],t_Parts[hp2016.01])</f>
        <v>0</v>
      </c>
      <c r="AX16" s="52">
        <f>SUMIF(r_PartPresses,t_Presses[[PRESS]:[PRESS]],t_Parts[hp2016.02])</f>
        <v>0</v>
      </c>
      <c r="AY16" s="52">
        <f>SUMIF(r_PartPresses,t_Presses[[PRESS]:[PRESS]],t_Parts[hp2016.03])</f>
        <v>0</v>
      </c>
      <c r="AZ16" s="52">
        <f>SUMIF(r_PartPresses,t_Presses[[PRESS]:[PRESS]],t_Parts[hp2016.04])</f>
        <v>0</v>
      </c>
      <c r="BA16" s="52">
        <f>SUMIF(r_PartPresses,t_Presses[[PRESS]:[PRESS]],t_Parts[hp2016.05])</f>
        <v>0</v>
      </c>
      <c r="BB16" s="52">
        <f>SUMIF(r_PartPresses,t_Presses[[PRESS]:[PRESS]],t_Parts[hp2016.06])</f>
        <v>0</v>
      </c>
      <c r="BC16" s="52">
        <f>SUMIF(r_PartPresses,t_Presses[[PRESS]:[PRESS]],t_Parts[hp2016.07])</f>
        <v>0</v>
      </c>
      <c r="BD16" s="52">
        <f>SUMIF(r_PartPresses,t_Presses[[PRESS]:[PRESS]],t_Parts[hp2016.08])</f>
        <v>0</v>
      </c>
      <c r="BE16" s="52">
        <f>SUMIF(r_PartPresses,t_Presses[[PRESS]:[PRESS]],t_Parts[hp2016.09])</f>
        <v>0</v>
      </c>
      <c r="BF16" s="52">
        <f>SUMIF(r_PartPresses,t_Presses[[PRESS]:[PRESS]],t_Parts[hp2016.10])</f>
        <v>0</v>
      </c>
      <c r="BG16" s="52">
        <f>SUMIF(r_PartPresses,t_Presses[[PRESS]:[PRESS]],t_Parts[hp2016.11])</f>
        <v>0</v>
      </c>
      <c r="BH16" s="52">
        <f>SUMIF(r_PartPresses,t_Presses[[PRESS]:[PRESS]],t_Parts[hp2016.12])</f>
        <v>0</v>
      </c>
      <c r="BI16" s="52">
        <f>SUMIF(r_PartPresses,t_Presses[[PRESS]:[PRESS]],t_Parts[hp2016.FY])</f>
        <v>0</v>
      </c>
      <c r="BJ16" s="52">
        <f>SUMIF(r_PartPresses,t_Presses[[PRESS]:[PRESS]],t_Parts[hp2017])</f>
        <v>0</v>
      </c>
      <c r="BK16" s="52">
        <f>SUMIF(r_PartPresses,t_Presses[[PRESS]:[PRESS]],t_Parts[hp2018])</f>
        <v>0</v>
      </c>
      <c r="BL16" s="52">
        <f>SUMIF(r_PartPresses,t_Presses[[PRESS]:[PRESS]],t_Parts[hp2019])</f>
        <v>0</v>
      </c>
      <c r="BM16" s="17">
        <f>t_Presses[[#This Row],[hp2015.01]]/t_Presses[[#This Row],[ha2015.01]]</f>
        <v>0</v>
      </c>
      <c r="BN16" s="17">
        <f>t_Presses[[#This Row],[hp2015.02]]/t_Presses[[#This Row],[ha2015.02]]</f>
        <v>0</v>
      </c>
      <c r="BO16" s="17">
        <f>t_Presses[[#This Row],[hp2015.03]]/t_Presses[[#This Row],[ha2015.03]]</f>
        <v>0</v>
      </c>
      <c r="BP16" s="17">
        <f>t_Presses[[#This Row],[hp2015.04]]/t_Presses[[#This Row],[ha2015.04]]</f>
        <v>0</v>
      </c>
      <c r="BQ16" s="17">
        <f>t_Presses[[#This Row],[hp2015.05]]/t_Presses[[#This Row],[ha2015.05]]</f>
        <v>0</v>
      </c>
      <c r="BR16" s="17">
        <f>t_Presses[[#This Row],[hp2015.06]]/t_Presses[[#This Row],[ha2015.06]]</f>
        <v>0</v>
      </c>
      <c r="BS16" s="17">
        <f>t_Presses[[#This Row],[hp2015.07]]/t_Presses[[#This Row],[ha2015.07]]</f>
        <v>0</v>
      </c>
      <c r="BT16" s="17">
        <f>t_Presses[[#This Row],[hp2015.08]]/t_Presses[[#This Row],[ha2015.08]]</f>
        <v>0</v>
      </c>
      <c r="BU16" s="17">
        <f>t_Presses[[#This Row],[hp2015.09]]/t_Presses[[#This Row],[ha2015.09]]</f>
        <v>0</v>
      </c>
      <c r="BV16" s="17">
        <f>t_Presses[[#This Row],[hp2015.10]]/t_Presses[[#This Row],[ha2015.10]]</f>
        <v>0</v>
      </c>
      <c r="BW16" s="17">
        <f>t_Presses[[#This Row],[hp2015.11]]/t_Presses[[#This Row],[ha2015.11]]</f>
        <v>0</v>
      </c>
      <c r="BX16" s="17">
        <f>t_Presses[[#This Row],[hp2015.12]]/t_Presses[[#This Row],[ha2015.12]]</f>
        <v>0</v>
      </c>
      <c r="BY16" s="17">
        <f>t_Presses[[#This Row],[hp2015.FY]]/t_Presses[[#This Row],[ha2015.FY]]</f>
        <v>0</v>
      </c>
      <c r="BZ16" s="17">
        <f>t_Presses[[#This Row],[hp2016.01]]/t_Presses[[#This Row],[ha2016.01]]</f>
        <v>0</v>
      </c>
      <c r="CA16" s="17">
        <f>t_Presses[[#This Row],[hp2016.02]]/t_Presses[[#This Row],[ha2016.02]]</f>
        <v>0</v>
      </c>
      <c r="CB16" s="17">
        <f>t_Presses[[#This Row],[hp2016.03]]/t_Presses[[#This Row],[ha2016.03]]</f>
        <v>0</v>
      </c>
      <c r="CC16" s="17">
        <f>t_Presses[[#This Row],[hp2016.04]]/t_Presses[[#This Row],[ha2016.04]]</f>
        <v>0</v>
      </c>
      <c r="CD16" s="17">
        <f>t_Presses[[#This Row],[hp2016.05]]/t_Presses[[#This Row],[ha2016.05]]</f>
        <v>0</v>
      </c>
      <c r="CE16" s="17">
        <f>t_Presses[[#This Row],[hp2016.06]]/t_Presses[[#This Row],[ha2016.06]]</f>
        <v>0</v>
      </c>
      <c r="CF16" s="17">
        <f>t_Presses[[#This Row],[hp2016.07]]/t_Presses[[#This Row],[ha2016.07]]</f>
        <v>0</v>
      </c>
      <c r="CG16" s="17">
        <f>t_Presses[[#This Row],[hp2016.08]]/t_Presses[[#This Row],[ha2016.08]]</f>
        <v>0</v>
      </c>
      <c r="CH16" s="17">
        <f>t_Presses[[#This Row],[hp2016.09]]/t_Presses[[#This Row],[ha2016.09]]</f>
        <v>0</v>
      </c>
      <c r="CI16" s="17">
        <f>t_Presses[[#This Row],[hp2016.10]]/t_Presses[[#This Row],[ha2016.10]]</f>
        <v>0</v>
      </c>
      <c r="CJ16" s="17">
        <f>t_Presses[[#This Row],[hp2016.11]]/t_Presses[[#This Row],[ha2016.11]]</f>
        <v>0</v>
      </c>
      <c r="CK16" s="17">
        <f>t_Presses[[#This Row],[hp2016.12]]/t_Presses[[#This Row],[ha2016.12]]</f>
        <v>0</v>
      </c>
      <c r="CL16" s="17">
        <f>t_Presses[[#This Row],[hp2016.FY]]/t_Presses[[#This Row],[ha2016.FY]]</f>
        <v>0</v>
      </c>
      <c r="CM16" s="17">
        <f>t_Presses[[#This Row],[hp2017]]/t_Presses[[#This Row],[ha2017]]</f>
        <v>0</v>
      </c>
      <c r="CN16" s="17">
        <f>t_Presses[[#This Row],[hp2018]]/t_Presses[[#This Row],[ha2018]]</f>
        <v>0</v>
      </c>
      <c r="CO16" s="17">
        <f>t_Presses[[#This Row],[hp2019]]/t_Presses[[#This Row],[ha2019]]</f>
        <v>0</v>
      </c>
    </row>
    <row r="17" spans="1:93" x14ac:dyDescent="0.25">
      <c r="A17" s="16" t="s">
        <v>132</v>
      </c>
      <c r="B17" t="s">
        <v>9</v>
      </c>
      <c r="C17" t="s">
        <v>126</v>
      </c>
      <c r="D17">
        <v>120</v>
      </c>
      <c r="E17" s="18" t="str">
        <f t="shared" si="0"/>
        <v>0-299</v>
      </c>
      <c r="F17" s="15"/>
      <c r="G17" s="18">
        <f>VLOOKUP(t_Presses[[Plant]:[Plant]],t_Plants[],Plants!CM$1,FALSE)</f>
        <v>208</v>
      </c>
      <c r="H17">
        <f>VLOOKUP(t_Presses[[Plant]:[Plant]],t_Plants[],Plants!CN$1,FALSE)</f>
        <v>208</v>
      </c>
      <c r="I17" s="18">
        <f>VLOOKUP(t_Presses[[Plant]:[Plant]],t_Plants[],Plants!CO$1,FALSE)</f>
        <v>272</v>
      </c>
      <c r="J17" s="18">
        <f>VLOOKUP(t_Presses[[Plant]:[Plant]],t_Plants[],Plants!CP$1,FALSE)</f>
        <v>208</v>
      </c>
      <c r="K17" s="18">
        <f>VLOOKUP(t_Presses[[Plant]:[Plant]],t_Plants[],Plants!CQ$1,FALSE)</f>
        <v>208</v>
      </c>
      <c r="L17" s="18">
        <f>VLOOKUP(t_Presses[[Plant]:[Plant]],t_Plants[],Plants!CR$1,FALSE)</f>
        <v>272</v>
      </c>
      <c r="M17" s="18">
        <f>VLOOKUP(t_Presses[[Plant]:[Plant]],t_Plants[],Plants!CS$1,FALSE)</f>
        <v>208</v>
      </c>
      <c r="N17" s="18">
        <f>VLOOKUP(t_Presses[[Plant]:[Plant]],t_Plants[],Plants!CT$1,FALSE)</f>
        <v>208</v>
      </c>
      <c r="O17" s="18">
        <f>VLOOKUP(t_Presses[[Plant]:[Plant]],t_Plants[],Plants!CU$1,FALSE)</f>
        <v>272</v>
      </c>
      <c r="P17" s="18">
        <f>VLOOKUP(t_Presses[[Plant]:[Plant]],t_Plants[],Plants!CV$1,FALSE)</f>
        <v>208</v>
      </c>
      <c r="Q17" s="18">
        <f>VLOOKUP(t_Presses[[Plant]:[Plant]],t_Plants[],Plants!CW$1,FALSE)</f>
        <v>208</v>
      </c>
      <c r="R17" s="18">
        <f>VLOOKUP(t_Presses[[Plant]:[Plant]],t_Plants[],Plants!CX$1,FALSE)</f>
        <v>272</v>
      </c>
      <c r="S17" s="18">
        <f>SUM(t_Presses[[#This Row],[ha2015.01]:[ha2015.12]])</f>
        <v>2752</v>
      </c>
      <c r="T17">
        <f>VLOOKUP(t_Presses[[Plant]:[Plant]],t_Plants[],Plants!CZ$1,FALSE)</f>
        <v>208</v>
      </c>
      <c r="U17">
        <f>VLOOKUP(t_Presses[[Plant]:[Plant]],t_Plants[],Plants!DA$1,FALSE)</f>
        <v>208</v>
      </c>
      <c r="V17">
        <f>VLOOKUP(t_Presses[[Plant]:[Plant]],t_Plants[],Plants!DB$1,FALSE)</f>
        <v>272</v>
      </c>
      <c r="W17">
        <f>VLOOKUP(t_Presses[[Plant]:[Plant]],t_Plants[],Plants!DC$1,FALSE)</f>
        <v>208</v>
      </c>
      <c r="X17">
        <f>VLOOKUP(t_Presses[[Plant]:[Plant]],t_Plants[],Plants!DD$1,FALSE)</f>
        <v>208</v>
      </c>
      <c r="Y17">
        <f>VLOOKUP(t_Presses[[Plant]:[Plant]],t_Plants[],Plants!DE$1,FALSE)</f>
        <v>272</v>
      </c>
      <c r="Z17">
        <f>VLOOKUP(t_Presses[[Plant]:[Plant]],t_Plants[],Plants!DF$1,FALSE)</f>
        <v>208</v>
      </c>
      <c r="AA17">
        <f>VLOOKUP(t_Presses[[Plant]:[Plant]],t_Plants[],Plants!DG$1,FALSE)</f>
        <v>208</v>
      </c>
      <c r="AB17">
        <f>VLOOKUP(t_Presses[[Plant]:[Plant]],t_Plants[],Plants!DH$1,FALSE)</f>
        <v>272</v>
      </c>
      <c r="AC17">
        <f>VLOOKUP(t_Presses[[Plant]:[Plant]],t_Plants[],Plants!DI$1,FALSE)</f>
        <v>208</v>
      </c>
      <c r="AD17">
        <f>VLOOKUP(t_Presses[[Plant]:[Plant]],t_Plants[],Plants!DJ$1,FALSE)</f>
        <v>208</v>
      </c>
      <c r="AE17">
        <f>VLOOKUP(t_Presses[[Plant]:[Plant]],t_Plants[],Plants!DK$1,FALSE)</f>
        <v>272</v>
      </c>
      <c r="AF17" s="18">
        <f>SUM(t_Presses[[#This Row],[ha2016.01]:[ha2016.12]])</f>
        <v>2752</v>
      </c>
      <c r="AG17">
        <f>VLOOKUP(t_Presses[[Plant]:[Plant]],t_Plants[],Plants!DM$1,FALSE)</f>
        <v>2752</v>
      </c>
      <c r="AH17">
        <f>VLOOKUP(t_Presses[[Plant]:[Plant]],t_Plants[],Plants!DN$1,FALSE)</f>
        <v>2752</v>
      </c>
      <c r="AI17">
        <f>VLOOKUP(t_Presses[[Plant]:[Plant]],t_Plants[],Plants!DO$1,FALSE)</f>
        <v>2752</v>
      </c>
      <c r="AJ17" s="52">
        <f>SUMIF(r_PartPresses,t_Presses[[PRESS]:[PRESS]],t_Parts[hp2015.01])</f>
        <v>0</v>
      </c>
      <c r="AK17" s="52">
        <f>SUMIF(r_PartPresses,t_Presses[[PRESS]:[PRESS]],t_Parts[hp2015.02])</f>
        <v>0</v>
      </c>
      <c r="AL17" s="52">
        <f>SUMIF(r_PartPresses,t_Presses[[PRESS]:[PRESS]],t_Parts[hp2015.03])</f>
        <v>0</v>
      </c>
      <c r="AM17" s="52">
        <f>SUMIF(r_PartPresses,t_Presses[[PRESS]:[PRESS]],t_Parts[hp2015.04])</f>
        <v>0</v>
      </c>
      <c r="AN17" s="52">
        <f>SUMIF(r_PartPresses,t_Presses[[PRESS]:[PRESS]],t_Parts[hp2015.05])</f>
        <v>0</v>
      </c>
      <c r="AO17" s="52">
        <f>SUMIF(r_PartPresses,t_Presses[[PRESS]:[PRESS]],t_Parts[hp2015.06])</f>
        <v>0</v>
      </c>
      <c r="AP17" s="52">
        <f>SUMIF(r_PartPresses,t_Presses[[PRESS]:[PRESS]],t_Parts[hp2015.07])</f>
        <v>0</v>
      </c>
      <c r="AQ17" s="52">
        <f>SUMIF(r_PartPresses,t_Presses[[PRESS]:[PRESS]],t_Parts[hp2015.08])</f>
        <v>0</v>
      </c>
      <c r="AR17" s="52">
        <f>SUMIF(r_PartPresses,t_Presses[[PRESS]:[PRESS]],t_Parts[hp2015.09])</f>
        <v>0</v>
      </c>
      <c r="AS17" s="52">
        <f>SUMIF(r_PartPresses,t_Presses[[PRESS]:[PRESS]],t_Parts[hp2015.10])</f>
        <v>0</v>
      </c>
      <c r="AT17" s="52">
        <f>SUMIF(r_PartPresses,t_Presses[[PRESS]:[PRESS]],t_Parts[hp2015.11])</f>
        <v>0</v>
      </c>
      <c r="AU17" s="52">
        <f>SUMIF(r_PartPresses,t_Presses[[PRESS]:[PRESS]],t_Parts[hp2015.12])</f>
        <v>0</v>
      </c>
      <c r="AV17" s="52">
        <f>SUM(t_Presses[[#This Row],[hp2015.01]:[hp2015.12]])</f>
        <v>0</v>
      </c>
      <c r="AW17" s="52">
        <f>SUMIF(r_PartPresses,t_Presses[[PRESS]:[PRESS]],t_Parts[hp2016.01])</f>
        <v>0</v>
      </c>
      <c r="AX17" s="52">
        <f>SUMIF(r_PartPresses,t_Presses[[PRESS]:[PRESS]],t_Parts[hp2016.02])</f>
        <v>0</v>
      </c>
      <c r="AY17" s="52">
        <f>SUMIF(r_PartPresses,t_Presses[[PRESS]:[PRESS]],t_Parts[hp2016.03])</f>
        <v>0</v>
      </c>
      <c r="AZ17" s="52">
        <f>SUMIF(r_PartPresses,t_Presses[[PRESS]:[PRESS]],t_Parts[hp2016.04])</f>
        <v>0</v>
      </c>
      <c r="BA17" s="52">
        <f>SUMIF(r_PartPresses,t_Presses[[PRESS]:[PRESS]],t_Parts[hp2016.05])</f>
        <v>0</v>
      </c>
      <c r="BB17" s="52">
        <f>SUMIF(r_PartPresses,t_Presses[[PRESS]:[PRESS]],t_Parts[hp2016.06])</f>
        <v>0</v>
      </c>
      <c r="BC17" s="52">
        <f>SUMIF(r_PartPresses,t_Presses[[PRESS]:[PRESS]],t_Parts[hp2016.07])</f>
        <v>0</v>
      </c>
      <c r="BD17" s="52">
        <f>SUMIF(r_PartPresses,t_Presses[[PRESS]:[PRESS]],t_Parts[hp2016.08])</f>
        <v>0</v>
      </c>
      <c r="BE17" s="52">
        <f>SUMIF(r_PartPresses,t_Presses[[PRESS]:[PRESS]],t_Parts[hp2016.09])</f>
        <v>0</v>
      </c>
      <c r="BF17" s="52">
        <f>SUMIF(r_PartPresses,t_Presses[[PRESS]:[PRESS]],t_Parts[hp2016.10])</f>
        <v>0</v>
      </c>
      <c r="BG17" s="52">
        <f>SUMIF(r_PartPresses,t_Presses[[PRESS]:[PRESS]],t_Parts[hp2016.11])</f>
        <v>0</v>
      </c>
      <c r="BH17" s="52">
        <f>SUMIF(r_PartPresses,t_Presses[[PRESS]:[PRESS]],t_Parts[hp2016.12])</f>
        <v>0</v>
      </c>
      <c r="BI17" s="52">
        <f>SUMIF(r_PartPresses,t_Presses[[PRESS]:[PRESS]],t_Parts[hp2016.FY])</f>
        <v>0</v>
      </c>
      <c r="BJ17" s="52">
        <f>SUMIF(r_PartPresses,t_Presses[[PRESS]:[PRESS]],t_Parts[hp2017])</f>
        <v>0</v>
      </c>
      <c r="BK17" s="52">
        <f>SUMIF(r_PartPresses,t_Presses[[PRESS]:[PRESS]],t_Parts[hp2018])</f>
        <v>0</v>
      </c>
      <c r="BL17" s="52">
        <f>SUMIF(r_PartPresses,t_Presses[[PRESS]:[PRESS]],t_Parts[hp2019])</f>
        <v>0</v>
      </c>
      <c r="BM17" s="17">
        <f>t_Presses[[#This Row],[hp2015.01]]/t_Presses[[#This Row],[ha2015.01]]</f>
        <v>0</v>
      </c>
      <c r="BN17" s="17">
        <f>t_Presses[[#This Row],[hp2015.02]]/t_Presses[[#This Row],[ha2015.02]]</f>
        <v>0</v>
      </c>
      <c r="BO17" s="17">
        <f>t_Presses[[#This Row],[hp2015.03]]/t_Presses[[#This Row],[ha2015.03]]</f>
        <v>0</v>
      </c>
      <c r="BP17" s="17">
        <f>t_Presses[[#This Row],[hp2015.04]]/t_Presses[[#This Row],[ha2015.04]]</f>
        <v>0</v>
      </c>
      <c r="BQ17" s="17">
        <f>t_Presses[[#This Row],[hp2015.05]]/t_Presses[[#This Row],[ha2015.05]]</f>
        <v>0</v>
      </c>
      <c r="BR17" s="17">
        <f>t_Presses[[#This Row],[hp2015.06]]/t_Presses[[#This Row],[ha2015.06]]</f>
        <v>0</v>
      </c>
      <c r="BS17" s="17">
        <f>t_Presses[[#This Row],[hp2015.07]]/t_Presses[[#This Row],[ha2015.07]]</f>
        <v>0</v>
      </c>
      <c r="BT17" s="17">
        <f>t_Presses[[#This Row],[hp2015.08]]/t_Presses[[#This Row],[ha2015.08]]</f>
        <v>0</v>
      </c>
      <c r="BU17" s="17">
        <f>t_Presses[[#This Row],[hp2015.09]]/t_Presses[[#This Row],[ha2015.09]]</f>
        <v>0</v>
      </c>
      <c r="BV17" s="17">
        <f>t_Presses[[#This Row],[hp2015.10]]/t_Presses[[#This Row],[ha2015.10]]</f>
        <v>0</v>
      </c>
      <c r="BW17" s="17">
        <f>t_Presses[[#This Row],[hp2015.11]]/t_Presses[[#This Row],[ha2015.11]]</f>
        <v>0</v>
      </c>
      <c r="BX17" s="17">
        <f>t_Presses[[#This Row],[hp2015.12]]/t_Presses[[#This Row],[ha2015.12]]</f>
        <v>0</v>
      </c>
      <c r="BY17" s="17">
        <f>t_Presses[[#This Row],[hp2015.FY]]/t_Presses[[#This Row],[ha2015.FY]]</f>
        <v>0</v>
      </c>
      <c r="BZ17" s="17">
        <f>t_Presses[[#This Row],[hp2016.01]]/t_Presses[[#This Row],[ha2016.01]]</f>
        <v>0</v>
      </c>
      <c r="CA17" s="17">
        <f>t_Presses[[#This Row],[hp2016.02]]/t_Presses[[#This Row],[ha2016.02]]</f>
        <v>0</v>
      </c>
      <c r="CB17" s="17">
        <f>t_Presses[[#This Row],[hp2016.03]]/t_Presses[[#This Row],[ha2016.03]]</f>
        <v>0</v>
      </c>
      <c r="CC17" s="17">
        <f>t_Presses[[#This Row],[hp2016.04]]/t_Presses[[#This Row],[ha2016.04]]</f>
        <v>0</v>
      </c>
      <c r="CD17" s="17">
        <f>t_Presses[[#This Row],[hp2016.05]]/t_Presses[[#This Row],[ha2016.05]]</f>
        <v>0</v>
      </c>
      <c r="CE17" s="17">
        <f>t_Presses[[#This Row],[hp2016.06]]/t_Presses[[#This Row],[ha2016.06]]</f>
        <v>0</v>
      </c>
      <c r="CF17" s="17">
        <f>t_Presses[[#This Row],[hp2016.07]]/t_Presses[[#This Row],[ha2016.07]]</f>
        <v>0</v>
      </c>
      <c r="CG17" s="17">
        <f>t_Presses[[#This Row],[hp2016.08]]/t_Presses[[#This Row],[ha2016.08]]</f>
        <v>0</v>
      </c>
      <c r="CH17" s="17">
        <f>t_Presses[[#This Row],[hp2016.09]]/t_Presses[[#This Row],[ha2016.09]]</f>
        <v>0</v>
      </c>
      <c r="CI17" s="17">
        <f>t_Presses[[#This Row],[hp2016.10]]/t_Presses[[#This Row],[ha2016.10]]</f>
        <v>0</v>
      </c>
      <c r="CJ17" s="17">
        <f>t_Presses[[#This Row],[hp2016.11]]/t_Presses[[#This Row],[ha2016.11]]</f>
        <v>0</v>
      </c>
      <c r="CK17" s="17">
        <f>t_Presses[[#This Row],[hp2016.12]]/t_Presses[[#This Row],[ha2016.12]]</f>
        <v>0</v>
      </c>
      <c r="CL17" s="17">
        <f>t_Presses[[#This Row],[hp2016.FY]]/t_Presses[[#This Row],[ha2016.FY]]</f>
        <v>0</v>
      </c>
      <c r="CM17" s="17">
        <f>t_Presses[[#This Row],[hp2017]]/t_Presses[[#This Row],[ha2017]]</f>
        <v>0</v>
      </c>
      <c r="CN17" s="17">
        <f>t_Presses[[#This Row],[hp2018]]/t_Presses[[#This Row],[ha2018]]</f>
        <v>0</v>
      </c>
      <c r="CO17" s="17">
        <f>t_Presses[[#This Row],[hp2019]]/t_Presses[[#This Row],[ha2019]]</f>
        <v>0</v>
      </c>
    </row>
    <row r="18" spans="1:93" x14ac:dyDescent="0.25">
      <c r="A18" s="16" t="s">
        <v>133</v>
      </c>
      <c r="B18" t="s">
        <v>9</v>
      </c>
      <c r="C18" t="s">
        <v>126</v>
      </c>
      <c r="D18">
        <v>110</v>
      </c>
      <c r="E18" s="18" t="str">
        <f t="shared" si="0"/>
        <v>0-299</v>
      </c>
      <c r="F18" s="15"/>
      <c r="G18" s="18">
        <f>VLOOKUP(t_Presses[[Plant]:[Plant]],t_Plants[],Plants!CM$1,FALSE)</f>
        <v>208</v>
      </c>
      <c r="H18">
        <f>VLOOKUP(t_Presses[[Plant]:[Plant]],t_Plants[],Plants!CN$1,FALSE)</f>
        <v>208</v>
      </c>
      <c r="I18" s="18">
        <f>VLOOKUP(t_Presses[[Plant]:[Plant]],t_Plants[],Plants!CO$1,FALSE)</f>
        <v>272</v>
      </c>
      <c r="J18" s="18">
        <f>VLOOKUP(t_Presses[[Plant]:[Plant]],t_Plants[],Plants!CP$1,FALSE)</f>
        <v>208</v>
      </c>
      <c r="K18" s="18">
        <f>VLOOKUP(t_Presses[[Plant]:[Plant]],t_Plants[],Plants!CQ$1,FALSE)</f>
        <v>208</v>
      </c>
      <c r="L18" s="18">
        <f>VLOOKUP(t_Presses[[Plant]:[Plant]],t_Plants[],Plants!CR$1,FALSE)</f>
        <v>272</v>
      </c>
      <c r="M18" s="18">
        <f>VLOOKUP(t_Presses[[Plant]:[Plant]],t_Plants[],Plants!CS$1,FALSE)</f>
        <v>208</v>
      </c>
      <c r="N18" s="18">
        <f>VLOOKUP(t_Presses[[Plant]:[Plant]],t_Plants[],Plants!CT$1,FALSE)</f>
        <v>208</v>
      </c>
      <c r="O18" s="18">
        <f>VLOOKUP(t_Presses[[Plant]:[Plant]],t_Plants[],Plants!CU$1,FALSE)</f>
        <v>272</v>
      </c>
      <c r="P18" s="18">
        <f>VLOOKUP(t_Presses[[Plant]:[Plant]],t_Plants[],Plants!CV$1,FALSE)</f>
        <v>208</v>
      </c>
      <c r="Q18" s="18">
        <f>VLOOKUP(t_Presses[[Plant]:[Plant]],t_Plants[],Plants!CW$1,FALSE)</f>
        <v>208</v>
      </c>
      <c r="R18" s="18">
        <f>VLOOKUP(t_Presses[[Plant]:[Plant]],t_Plants[],Plants!CX$1,FALSE)</f>
        <v>272</v>
      </c>
      <c r="S18" s="18">
        <f>SUM(t_Presses[[#This Row],[ha2015.01]:[ha2015.12]])</f>
        <v>2752</v>
      </c>
      <c r="T18">
        <f>VLOOKUP(t_Presses[[Plant]:[Plant]],t_Plants[],Plants!CZ$1,FALSE)</f>
        <v>208</v>
      </c>
      <c r="U18">
        <f>VLOOKUP(t_Presses[[Plant]:[Plant]],t_Plants[],Plants!DA$1,FALSE)</f>
        <v>208</v>
      </c>
      <c r="V18">
        <f>VLOOKUP(t_Presses[[Plant]:[Plant]],t_Plants[],Plants!DB$1,FALSE)</f>
        <v>272</v>
      </c>
      <c r="W18">
        <f>VLOOKUP(t_Presses[[Plant]:[Plant]],t_Plants[],Plants!DC$1,FALSE)</f>
        <v>208</v>
      </c>
      <c r="X18">
        <f>VLOOKUP(t_Presses[[Plant]:[Plant]],t_Plants[],Plants!DD$1,FALSE)</f>
        <v>208</v>
      </c>
      <c r="Y18">
        <f>VLOOKUP(t_Presses[[Plant]:[Plant]],t_Plants[],Plants!DE$1,FALSE)</f>
        <v>272</v>
      </c>
      <c r="Z18">
        <f>VLOOKUP(t_Presses[[Plant]:[Plant]],t_Plants[],Plants!DF$1,FALSE)</f>
        <v>208</v>
      </c>
      <c r="AA18">
        <f>VLOOKUP(t_Presses[[Plant]:[Plant]],t_Plants[],Plants!DG$1,FALSE)</f>
        <v>208</v>
      </c>
      <c r="AB18">
        <f>VLOOKUP(t_Presses[[Plant]:[Plant]],t_Plants[],Plants!DH$1,FALSE)</f>
        <v>272</v>
      </c>
      <c r="AC18">
        <f>VLOOKUP(t_Presses[[Plant]:[Plant]],t_Plants[],Plants!DI$1,FALSE)</f>
        <v>208</v>
      </c>
      <c r="AD18">
        <f>VLOOKUP(t_Presses[[Plant]:[Plant]],t_Plants[],Plants!DJ$1,FALSE)</f>
        <v>208</v>
      </c>
      <c r="AE18">
        <f>VLOOKUP(t_Presses[[Plant]:[Plant]],t_Plants[],Plants!DK$1,FALSE)</f>
        <v>272</v>
      </c>
      <c r="AF18" s="18">
        <f>SUM(t_Presses[[#This Row],[ha2016.01]:[ha2016.12]])</f>
        <v>2752</v>
      </c>
      <c r="AG18">
        <f>VLOOKUP(t_Presses[[Plant]:[Plant]],t_Plants[],Plants!DM$1,FALSE)</f>
        <v>2752</v>
      </c>
      <c r="AH18">
        <f>VLOOKUP(t_Presses[[Plant]:[Plant]],t_Plants[],Plants!DN$1,FALSE)</f>
        <v>2752</v>
      </c>
      <c r="AI18">
        <f>VLOOKUP(t_Presses[[Plant]:[Plant]],t_Plants[],Plants!DO$1,FALSE)</f>
        <v>2752</v>
      </c>
      <c r="AJ18" s="52">
        <f>SUMIF(r_PartPresses,t_Presses[[PRESS]:[PRESS]],t_Parts[hp2015.01])</f>
        <v>0</v>
      </c>
      <c r="AK18" s="52">
        <f>SUMIF(r_PartPresses,t_Presses[[PRESS]:[PRESS]],t_Parts[hp2015.02])</f>
        <v>0</v>
      </c>
      <c r="AL18" s="52">
        <f>SUMIF(r_PartPresses,t_Presses[[PRESS]:[PRESS]],t_Parts[hp2015.03])</f>
        <v>0</v>
      </c>
      <c r="AM18" s="52">
        <f>SUMIF(r_PartPresses,t_Presses[[PRESS]:[PRESS]],t_Parts[hp2015.04])</f>
        <v>0</v>
      </c>
      <c r="AN18" s="52">
        <f>SUMIF(r_PartPresses,t_Presses[[PRESS]:[PRESS]],t_Parts[hp2015.05])</f>
        <v>0</v>
      </c>
      <c r="AO18" s="52">
        <f>SUMIF(r_PartPresses,t_Presses[[PRESS]:[PRESS]],t_Parts[hp2015.06])</f>
        <v>0</v>
      </c>
      <c r="AP18" s="52">
        <f>SUMIF(r_PartPresses,t_Presses[[PRESS]:[PRESS]],t_Parts[hp2015.07])</f>
        <v>0</v>
      </c>
      <c r="AQ18" s="52">
        <f>SUMIF(r_PartPresses,t_Presses[[PRESS]:[PRESS]],t_Parts[hp2015.08])</f>
        <v>0</v>
      </c>
      <c r="AR18" s="52">
        <f>SUMIF(r_PartPresses,t_Presses[[PRESS]:[PRESS]],t_Parts[hp2015.09])</f>
        <v>0</v>
      </c>
      <c r="AS18" s="52">
        <f>SUMIF(r_PartPresses,t_Presses[[PRESS]:[PRESS]],t_Parts[hp2015.10])</f>
        <v>0</v>
      </c>
      <c r="AT18" s="52">
        <f>SUMIF(r_PartPresses,t_Presses[[PRESS]:[PRESS]],t_Parts[hp2015.11])</f>
        <v>0</v>
      </c>
      <c r="AU18" s="52">
        <f>SUMIF(r_PartPresses,t_Presses[[PRESS]:[PRESS]],t_Parts[hp2015.12])</f>
        <v>0</v>
      </c>
      <c r="AV18" s="52">
        <f>SUM(t_Presses[[#This Row],[hp2015.01]:[hp2015.12]])</f>
        <v>0</v>
      </c>
      <c r="AW18" s="52">
        <f>SUMIF(r_PartPresses,t_Presses[[PRESS]:[PRESS]],t_Parts[hp2016.01])</f>
        <v>0</v>
      </c>
      <c r="AX18" s="52">
        <f>SUMIF(r_PartPresses,t_Presses[[PRESS]:[PRESS]],t_Parts[hp2016.02])</f>
        <v>0</v>
      </c>
      <c r="AY18" s="52">
        <f>SUMIF(r_PartPresses,t_Presses[[PRESS]:[PRESS]],t_Parts[hp2016.03])</f>
        <v>0</v>
      </c>
      <c r="AZ18" s="52">
        <f>SUMIF(r_PartPresses,t_Presses[[PRESS]:[PRESS]],t_Parts[hp2016.04])</f>
        <v>0</v>
      </c>
      <c r="BA18" s="52">
        <f>SUMIF(r_PartPresses,t_Presses[[PRESS]:[PRESS]],t_Parts[hp2016.05])</f>
        <v>0</v>
      </c>
      <c r="BB18" s="52">
        <f>SUMIF(r_PartPresses,t_Presses[[PRESS]:[PRESS]],t_Parts[hp2016.06])</f>
        <v>0</v>
      </c>
      <c r="BC18" s="52">
        <f>SUMIF(r_PartPresses,t_Presses[[PRESS]:[PRESS]],t_Parts[hp2016.07])</f>
        <v>0</v>
      </c>
      <c r="BD18" s="52">
        <f>SUMIF(r_PartPresses,t_Presses[[PRESS]:[PRESS]],t_Parts[hp2016.08])</f>
        <v>0</v>
      </c>
      <c r="BE18" s="52">
        <f>SUMIF(r_PartPresses,t_Presses[[PRESS]:[PRESS]],t_Parts[hp2016.09])</f>
        <v>0</v>
      </c>
      <c r="BF18" s="52">
        <f>SUMIF(r_PartPresses,t_Presses[[PRESS]:[PRESS]],t_Parts[hp2016.10])</f>
        <v>0</v>
      </c>
      <c r="BG18" s="52">
        <f>SUMIF(r_PartPresses,t_Presses[[PRESS]:[PRESS]],t_Parts[hp2016.11])</f>
        <v>0</v>
      </c>
      <c r="BH18" s="52">
        <f>SUMIF(r_PartPresses,t_Presses[[PRESS]:[PRESS]],t_Parts[hp2016.12])</f>
        <v>0</v>
      </c>
      <c r="BI18" s="52">
        <f>SUMIF(r_PartPresses,t_Presses[[PRESS]:[PRESS]],t_Parts[hp2016.FY])</f>
        <v>0</v>
      </c>
      <c r="BJ18" s="52">
        <f>SUMIF(r_PartPresses,t_Presses[[PRESS]:[PRESS]],t_Parts[hp2017])</f>
        <v>0</v>
      </c>
      <c r="BK18" s="52">
        <f>SUMIF(r_PartPresses,t_Presses[[PRESS]:[PRESS]],t_Parts[hp2018])</f>
        <v>0</v>
      </c>
      <c r="BL18" s="52">
        <f>SUMIF(r_PartPresses,t_Presses[[PRESS]:[PRESS]],t_Parts[hp2019])</f>
        <v>0</v>
      </c>
      <c r="BM18" s="17">
        <f>t_Presses[[#This Row],[hp2015.01]]/t_Presses[[#This Row],[ha2015.01]]</f>
        <v>0</v>
      </c>
      <c r="BN18" s="17">
        <f>t_Presses[[#This Row],[hp2015.02]]/t_Presses[[#This Row],[ha2015.02]]</f>
        <v>0</v>
      </c>
      <c r="BO18" s="17">
        <f>t_Presses[[#This Row],[hp2015.03]]/t_Presses[[#This Row],[ha2015.03]]</f>
        <v>0</v>
      </c>
      <c r="BP18" s="17">
        <f>t_Presses[[#This Row],[hp2015.04]]/t_Presses[[#This Row],[ha2015.04]]</f>
        <v>0</v>
      </c>
      <c r="BQ18" s="17">
        <f>t_Presses[[#This Row],[hp2015.05]]/t_Presses[[#This Row],[ha2015.05]]</f>
        <v>0</v>
      </c>
      <c r="BR18" s="17">
        <f>t_Presses[[#This Row],[hp2015.06]]/t_Presses[[#This Row],[ha2015.06]]</f>
        <v>0</v>
      </c>
      <c r="BS18" s="17">
        <f>t_Presses[[#This Row],[hp2015.07]]/t_Presses[[#This Row],[ha2015.07]]</f>
        <v>0</v>
      </c>
      <c r="BT18" s="17">
        <f>t_Presses[[#This Row],[hp2015.08]]/t_Presses[[#This Row],[ha2015.08]]</f>
        <v>0</v>
      </c>
      <c r="BU18" s="17">
        <f>t_Presses[[#This Row],[hp2015.09]]/t_Presses[[#This Row],[ha2015.09]]</f>
        <v>0</v>
      </c>
      <c r="BV18" s="17">
        <f>t_Presses[[#This Row],[hp2015.10]]/t_Presses[[#This Row],[ha2015.10]]</f>
        <v>0</v>
      </c>
      <c r="BW18" s="17">
        <f>t_Presses[[#This Row],[hp2015.11]]/t_Presses[[#This Row],[ha2015.11]]</f>
        <v>0</v>
      </c>
      <c r="BX18" s="17">
        <f>t_Presses[[#This Row],[hp2015.12]]/t_Presses[[#This Row],[ha2015.12]]</f>
        <v>0</v>
      </c>
      <c r="BY18" s="17">
        <f>t_Presses[[#This Row],[hp2015.FY]]/t_Presses[[#This Row],[ha2015.FY]]</f>
        <v>0</v>
      </c>
      <c r="BZ18" s="17">
        <f>t_Presses[[#This Row],[hp2016.01]]/t_Presses[[#This Row],[ha2016.01]]</f>
        <v>0</v>
      </c>
      <c r="CA18" s="17">
        <f>t_Presses[[#This Row],[hp2016.02]]/t_Presses[[#This Row],[ha2016.02]]</f>
        <v>0</v>
      </c>
      <c r="CB18" s="17">
        <f>t_Presses[[#This Row],[hp2016.03]]/t_Presses[[#This Row],[ha2016.03]]</f>
        <v>0</v>
      </c>
      <c r="CC18" s="17">
        <f>t_Presses[[#This Row],[hp2016.04]]/t_Presses[[#This Row],[ha2016.04]]</f>
        <v>0</v>
      </c>
      <c r="CD18" s="17">
        <f>t_Presses[[#This Row],[hp2016.05]]/t_Presses[[#This Row],[ha2016.05]]</f>
        <v>0</v>
      </c>
      <c r="CE18" s="17">
        <f>t_Presses[[#This Row],[hp2016.06]]/t_Presses[[#This Row],[ha2016.06]]</f>
        <v>0</v>
      </c>
      <c r="CF18" s="17">
        <f>t_Presses[[#This Row],[hp2016.07]]/t_Presses[[#This Row],[ha2016.07]]</f>
        <v>0</v>
      </c>
      <c r="CG18" s="17">
        <f>t_Presses[[#This Row],[hp2016.08]]/t_Presses[[#This Row],[ha2016.08]]</f>
        <v>0</v>
      </c>
      <c r="CH18" s="17">
        <f>t_Presses[[#This Row],[hp2016.09]]/t_Presses[[#This Row],[ha2016.09]]</f>
        <v>0</v>
      </c>
      <c r="CI18" s="17">
        <f>t_Presses[[#This Row],[hp2016.10]]/t_Presses[[#This Row],[ha2016.10]]</f>
        <v>0</v>
      </c>
      <c r="CJ18" s="17">
        <f>t_Presses[[#This Row],[hp2016.11]]/t_Presses[[#This Row],[ha2016.11]]</f>
        <v>0</v>
      </c>
      <c r="CK18" s="17">
        <f>t_Presses[[#This Row],[hp2016.12]]/t_Presses[[#This Row],[ha2016.12]]</f>
        <v>0</v>
      </c>
      <c r="CL18" s="17">
        <f>t_Presses[[#This Row],[hp2016.FY]]/t_Presses[[#This Row],[ha2016.FY]]</f>
        <v>0</v>
      </c>
      <c r="CM18" s="17">
        <f>t_Presses[[#This Row],[hp2017]]/t_Presses[[#This Row],[ha2017]]</f>
        <v>0</v>
      </c>
      <c r="CN18" s="17">
        <f>t_Presses[[#This Row],[hp2018]]/t_Presses[[#This Row],[ha2018]]</f>
        <v>0</v>
      </c>
      <c r="CO18" s="17">
        <f>t_Presses[[#This Row],[hp2019]]/t_Presses[[#This Row],[ha2019]]</f>
        <v>0</v>
      </c>
    </row>
    <row r="19" spans="1:93" x14ac:dyDescent="0.25">
      <c r="A19" s="16" t="s">
        <v>134</v>
      </c>
      <c r="B19" t="s">
        <v>9</v>
      </c>
      <c r="C19" t="s">
        <v>126</v>
      </c>
      <c r="D19">
        <v>60</v>
      </c>
      <c r="E19" s="18" t="str">
        <f t="shared" si="0"/>
        <v>0-299</v>
      </c>
      <c r="F19" s="15"/>
      <c r="G19" s="18">
        <f>VLOOKUP(t_Presses[[Plant]:[Plant]],t_Plants[],Plants!CM$1,FALSE)</f>
        <v>208</v>
      </c>
      <c r="H19">
        <f>VLOOKUP(t_Presses[[Plant]:[Plant]],t_Plants[],Plants!CN$1,FALSE)</f>
        <v>208</v>
      </c>
      <c r="I19" s="18">
        <f>VLOOKUP(t_Presses[[Plant]:[Plant]],t_Plants[],Plants!CO$1,FALSE)</f>
        <v>272</v>
      </c>
      <c r="J19" s="18">
        <f>VLOOKUP(t_Presses[[Plant]:[Plant]],t_Plants[],Plants!CP$1,FALSE)</f>
        <v>208</v>
      </c>
      <c r="K19" s="18">
        <f>VLOOKUP(t_Presses[[Plant]:[Plant]],t_Plants[],Plants!CQ$1,FALSE)</f>
        <v>208</v>
      </c>
      <c r="L19" s="18">
        <f>VLOOKUP(t_Presses[[Plant]:[Plant]],t_Plants[],Plants!CR$1,FALSE)</f>
        <v>272</v>
      </c>
      <c r="M19" s="18">
        <f>VLOOKUP(t_Presses[[Plant]:[Plant]],t_Plants[],Plants!CS$1,FALSE)</f>
        <v>208</v>
      </c>
      <c r="N19" s="18">
        <f>VLOOKUP(t_Presses[[Plant]:[Plant]],t_Plants[],Plants!CT$1,FALSE)</f>
        <v>208</v>
      </c>
      <c r="O19" s="18">
        <f>VLOOKUP(t_Presses[[Plant]:[Plant]],t_Plants[],Plants!CU$1,FALSE)</f>
        <v>272</v>
      </c>
      <c r="P19" s="18">
        <f>VLOOKUP(t_Presses[[Plant]:[Plant]],t_Plants[],Plants!CV$1,FALSE)</f>
        <v>208</v>
      </c>
      <c r="Q19" s="18">
        <f>VLOOKUP(t_Presses[[Plant]:[Plant]],t_Plants[],Plants!CW$1,FALSE)</f>
        <v>208</v>
      </c>
      <c r="R19" s="18">
        <f>VLOOKUP(t_Presses[[Plant]:[Plant]],t_Plants[],Plants!CX$1,FALSE)</f>
        <v>272</v>
      </c>
      <c r="S19" s="18">
        <f>SUM(t_Presses[[#This Row],[ha2015.01]:[ha2015.12]])</f>
        <v>2752</v>
      </c>
      <c r="T19">
        <f>VLOOKUP(t_Presses[[Plant]:[Plant]],t_Plants[],Plants!CZ$1,FALSE)</f>
        <v>208</v>
      </c>
      <c r="U19">
        <f>VLOOKUP(t_Presses[[Plant]:[Plant]],t_Plants[],Plants!DA$1,FALSE)</f>
        <v>208</v>
      </c>
      <c r="V19">
        <f>VLOOKUP(t_Presses[[Plant]:[Plant]],t_Plants[],Plants!DB$1,FALSE)</f>
        <v>272</v>
      </c>
      <c r="W19">
        <f>VLOOKUP(t_Presses[[Plant]:[Plant]],t_Plants[],Plants!DC$1,FALSE)</f>
        <v>208</v>
      </c>
      <c r="X19">
        <f>VLOOKUP(t_Presses[[Plant]:[Plant]],t_Plants[],Plants!DD$1,FALSE)</f>
        <v>208</v>
      </c>
      <c r="Y19">
        <f>VLOOKUP(t_Presses[[Plant]:[Plant]],t_Plants[],Plants!DE$1,FALSE)</f>
        <v>272</v>
      </c>
      <c r="Z19">
        <f>VLOOKUP(t_Presses[[Plant]:[Plant]],t_Plants[],Plants!DF$1,FALSE)</f>
        <v>208</v>
      </c>
      <c r="AA19">
        <f>VLOOKUP(t_Presses[[Plant]:[Plant]],t_Plants[],Plants!DG$1,FALSE)</f>
        <v>208</v>
      </c>
      <c r="AB19">
        <f>VLOOKUP(t_Presses[[Plant]:[Plant]],t_Plants[],Plants!DH$1,FALSE)</f>
        <v>272</v>
      </c>
      <c r="AC19">
        <f>VLOOKUP(t_Presses[[Plant]:[Plant]],t_Plants[],Plants!DI$1,FALSE)</f>
        <v>208</v>
      </c>
      <c r="AD19">
        <f>VLOOKUP(t_Presses[[Plant]:[Plant]],t_Plants[],Plants!DJ$1,FALSE)</f>
        <v>208</v>
      </c>
      <c r="AE19">
        <f>VLOOKUP(t_Presses[[Plant]:[Plant]],t_Plants[],Plants!DK$1,FALSE)</f>
        <v>272</v>
      </c>
      <c r="AF19" s="18">
        <f>SUM(t_Presses[[#This Row],[ha2016.01]:[ha2016.12]])</f>
        <v>2752</v>
      </c>
      <c r="AG19">
        <f>VLOOKUP(t_Presses[[Plant]:[Plant]],t_Plants[],Plants!DM$1,FALSE)</f>
        <v>2752</v>
      </c>
      <c r="AH19">
        <f>VLOOKUP(t_Presses[[Plant]:[Plant]],t_Plants[],Plants!DN$1,FALSE)</f>
        <v>2752</v>
      </c>
      <c r="AI19">
        <f>VLOOKUP(t_Presses[[Plant]:[Plant]],t_Plants[],Plants!DO$1,FALSE)</f>
        <v>2752</v>
      </c>
      <c r="AJ19" s="52">
        <f>SUMIF(r_PartPresses,t_Presses[[PRESS]:[PRESS]],t_Parts[hp2015.01])</f>
        <v>0</v>
      </c>
      <c r="AK19" s="52">
        <f>SUMIF(r_PartPresses,t_Presses[[PRESS]:[PRESS]],t_Parts[hp2015.02])</f>
        <v>0</v>
      </c>
      <c r="AL19" s="52">
        <f>SUMIF(r_PartPresses,t_Presses[[PRESS]:[PRESS]],t_Parts[hp2015.03])</f>
        <v>0</v>
      </c>
      <c r="AM19" s="52">
        <f>SUMIF(r_PartPresses,t_Presses[[PRESS]:[PRESS]],t_Parts[hp2015.04])</f>
        <v>0</v>
      </c>
      <c r="AN19" s="52">
        <f>SUMIF(r_PartPresses,t_Presses[[PRESS]:[PRESS]],t_Parts[hp2015.05])</f>
        <v>0</v>
      </c>
      <c r="AO19" s="52">
        <f>SUMIF(r_PartPresses,t_Presses[[PRESS]:[PRESS]],t_Parts[hp2015.06])</f>
        <v>0</v>
      </c>
      <c r="AP19" s="52">
        <f>SUMIF(r_PartPresses,t_Presses[[PRESS]:[PRESS]],t_Parts[hp2015.07])</f>
        <v>0</v>
      </c>
      <c r="AQ19" s="52">
        <f>SUMIF(r_PartPresses,t_Presses[[PRESS]:[PRESS]],t_Parts[hp2015.08])</f>
        <v>0</v>
      </c>
      <c r="AR19" s="52">
        <f>SUMIF(r_PartPresses,t_Presses[[PRESS]:[PRESS]],t_Parts[hp2015.09])</f>
        <v>0</v>
      </c>
      <c r="AS19" s="52">
        <f>SUMIF(r_PartPresses,t_Presses[[PRESS]:[PRESS]],t_Parts[hp2015.10])</f>
        <v>0</v>
      </c>
      <c r="AT19" s="52">
        <f>SUMIF(r_PartPresses,t_Presses[[PRESS]:[PRESS]],t_Parts[hp2015.11])</f>
        <v>0</v>
      </c>
      <c r="AU19" s="52">
        <f>SUMIF(r_PartPresses,t_Presses[[PRESS]:[PRESS]],t_Parts[hp2015.12])</f>
        <v>0</v>
      </c>
      <c r="AV19" s="52">
        <f>SUM(t_Presses[[#This Row],[hp2015.01]:[hp2015.12]])</f>
        <v>0</v>
      </c>
      <c r="AW19" s="52">
        <f>SUMIF(r_PartPresses,t_Presses[[PRESS]:[PRESS]],t_Parts[hp2016.01])</f>
        <v>0</v>
      </c>
      <c r="AX19" s="52">
        <f>SUMIF(r_PartPresses,t_Presses[[PRESS]:[PRESS]],t_Parts[hp2016.02])</f>
        <v>0</v>
      </c>
      <c r="AY19" s="52">
        <f>SUMIF(r_PartPresses,t_Presses[[PRESS]:[PRESS]],t_Parts[hp2016.03])</f>
        <v>0</v>
      </c>
      <c r="AZ19" s="52">
        <f>SUMIF(r_PartPresses,t_Presses[[PRESS]:[PRESS]],t_Parts[hp2016.04])</f>
        <v>0</v>
      </c>
      <c r="BA19" s="52">
        <f>SUMIF(r_PartPresses,t_Presses[[PRESS]:[PRESS]],t_Parts[hp2016.05])</f>
        <v>0</v>
      </c>
      <c r="BB19" s="52">
        <f>SUMIF(r_PartPresses,t_Presses[[PRESS]:[PRESS]],t_Parts[hp2016.06])</f>
        <v>0</v>
      </c>
      <c r="BC19" s="52">
        <f>SUMIF(r_PartPresses,t_Presses[[PRESS]:[PRESS]],t_Parts[hp2016.07])</f>
        <v>0</v>
      </c>
      <c r="BD19" s="52">
        <f>SUMIF(r_PartPresses,t_Presses[[PRESS]:[PRESS]],t_Parts[hp2016.08])</f>
        <v>0</v>
      </c>
      <c r="BE19" s="52">
        <f>SUMIF(r_PartPresses,t_Presses[[PRESS]:[PRESS]],t_Parts[hp2016.09])</f>
        <v>0</v>
      </c>
      <c r="BF19" s="52">
        <f>SUMIF(r_PartPresses,t_Presses[[PRESS]:[PRESS]],t_Parts[hp2016.10])</f>
        <v>0</v>
      </c>
      <c r="BG19" s="52">
        <f>SUMIF(r_PartPresses,t_Presses[[PRESS]:[PRESS]],t_Parts[hp2016.11])</f>
        <v>0</v>
      </c>
      <c r="BH19" s="52">
        <f>SUMIF(r_PartPresses,t_Presses[[PRESS]:[PRESS]],t_Parts[hp2016.12])</f>
        <v>0</v>
      </c>
      <c r="BI19" s="52">
        <f>SUMIF(r_PartPresses,t_Presses[[PRESS]:[PRESS]],t_Parts[hp2016.FY])</f>
        <v>0</v>
      </c>
      <c r="BJ19" s="52">
        <f>SUMIF(r_PartPresses,t_Presses[[PRESS]:[PRESS]],t_Parts[hp2017])</f>
        <v>0</v>
      </c>
      <c r="BK19" s="52">
        <f>SUMIF(r_PartPresses,t_Presses[[PRESS]:[PRESS]],t_Parts[hp2018])</f>
        <v>0</v>
      </c>
      <c r="BL19" s="52">
        <f>SUMIF(r_PartPresses,t_Presses[[PRESS]:[PRESS]],t_Parts[hp2019])</f>
        <v>0</v>
      </c>
      <c r="BM19" s="17">
        <f>t_Presses[[#This Row],[hp2015.01]]/t_Presses[[#This Row],[ha2015.01]]</f>
        <v>0</v>
      </c>
      <c r="BN19" s="17">
        <f>t_Presses[[#This Row],[hp2015.02]]/t_Presses[[#This Row],[ha2015.02]]</f>
        <v>0</v>
      </c>
      <c r="BO19" s="17">
        <f>t_Presses[[#This Row],[hp2015.03]]/t_Presses[[#This Row],[ha2015.03]]</f>
        <v>0</v>
      </c>
      <c r="BP19" s="17">
        <f>t_Presses[[#This Row],[hp2015.04]]/t_Presses[[#This Row],[ha2015.04]]</f>
        <v>0</v>
      </c>
      <c r="BQ19" s="17">
        <f>t_Presses[[#This Row],[hp2015.05]]/t_Presses[[#This Row],[ha2015.05]]</f>
        <v>0</v>
      </c>
      <c r="BR19" s="17">
        <f>t_Presses[[#This Row],[hp2015.06]]/t_Presses[[#This Row],[ha2015.06]]</f>
        <v>0</v>
      </c>
      <c r="BS19" s="17">
        <f>t_Presses[[#This Row],[hp2015.07]]/t_Presses[[#This Row],[ha2015.07]]</f>
        <v>0</v>
      </c>
      <c r="BT19" s="17">
        <f>t_Presses[[#This Row],[hp2015.08]]/t_Presses[[#This Row],[ha2015.08]]</f>
        <v>0</v>
      </c>
      <c r="BU19" s="17">
        <f>t_Presses[[#This Row],[hp2015.09]]/t_Presses[[#This Row],[ha2015.09]]</f>
        <v>0</v>
      </c>
      <c r="BV19" s="17">
        <f>t_Presses[[#This Row],[hp2015.10]]/t_Presses[[#This Row],[ha2015.10]]</f>
        <v>0</v>
      </c>
      <c r="BW19" s="17">
        <f>t_Presses[[#This Row],[hp2015.11]]/t_Presses[[#This Row],[ha2015.11]]</f>
        <v>0</v>
      </c>
      <c r="BX19" s="17">
        <f>t_Presses[[#This Row],[hp2015.12]]/t_Presses[[#This Row],[ha2015.12]]</f>
        <v>0</v>
      </c>
      <c r="BY19" s="17">
        <f>t_Presses[[#This Row],[hp2015.FY]]/t_Presses[[#This Row],[ha2015.FY]]</f>
        <v>0</v>
      </c>
      <c r="BZ19" s="17">
        <f>t_Presses[[#This Row],[hp2016.01]]/t_Presses[[#This Row],[ha2016.01]]</f>
        <v>0</v>
      </c>
      <c r="CA19" s="17">
        <f>t_Presses[[#This Row],[hp2016.02]]/t_Presses[[#This Row],[ha2016.02]]</f>
        <v>0</v>
      </c>
      <c r="CB19" s="17">
        <f>t_Presses[[#This Row],[hp2016.03]]/t_Presses[[#This Row],[ha2016.03]]</f>
        <v>0</v>
      </c>
      <c r="CC19" s="17">
        <f>t_Presses[[#This Row],[hp2016.04]]/t_Presses[[#This Row],[ha2016.04]]</f>
        <v>0</v>
      </c>
      <c r="CD19" s="17">
        <f>t_Presses[[#This Row],[hp2016.05]]/t_Presses[[#This Row],[ha2016.05]]</f>
        <v>0</v>
      </c>
      <c r="CE19" s="17">
        <f>t_Presses[[#This Row],[hp2016.06]]/t_Presses[[#This Row],[ha2016.06]]</f>
        <v>0</v>
      </c>
      <c r="CF19" s="17">
        <f>t_Presses[[#This Row],[hp2016.07]]/t_Presses[[#This Row],[ha2016.07]]</f>
        <v>0</v>
      </c>
      <c r="CG19" s="17">
        <f>t_Presses[[#This Row],[hp2016.08]]/t_Presses[[#This Row],[ha2016.08]]</f>
        <v>0</v>
      </c>
      <c r="CH19" s="17">
        <f>t_Presses[[#This Row],[hp2016.09]]/t_Presses[[#This Row],[ha2016.09]]</f>
        <v>0</v>
      </c>
      <c r="CI19" s="17">
        <f>t_Presses[[#This Row],[hp2016.10]]/t_Presses[[#This Row],[ha2016.10]]</f>
        <v>0</v>
      </c>
      <c r="CJ19" s="17">
        <f>t_Presses[[#This Row],[hp2016.11]]/t_Presses[[#This Row],[ha2016.11]]</f>
        <v>0</v>
      </c>
      <c r="CK19" s="17">
        <f>t_Presses[[#This Row],[hp2016.12]]/t_Presses[[#This Row],[ha2016.12]]</f>
        <v>0</v>
      </c>
      <c r="CL19" s="17">
        <f>t_Presses[[#This Row],[hp2016.FY]]/t_Presses[[#This Row],[ha2016.FY]]</f>
        <v>0</v>
      </c>
      <c r="CM19" s="17">
        <f>t_Presses[[#This Row],[hp2017]]/t_Presses[[#This Row],[ha2017]]</f>
        <v>0</v>
      </c>
      <c r="CN19" s="17">
        <f>t_Presses[[#This Row],[hp2018]]/t_Presses[[#This Row],[ha2018]]</f>
        <v>0</v>
      </c>
      <c r="CO19" s="17">
        <f>t_Presses[[#This Row],[hp2019]]/t_Presses[[#This Row],[ha2019]]</f>
        <v>0</v>
      </c>
    </row>
    <row r="20" spans="1:93" x14ac:dyDescent="0.25">
      <c r="A20" s="16" t="s">
        <v>135</v>
      </c>
      <c r="B20" t="s">
        <v>9</v>
      </c>
      <c r="C20" t="s">
        <v>126</v>
      </c>
      <c r="D20">
        <v>250</v>
      </c>
      <c r="E20" s="18" t="str">
        <f t="shared" si="0"/>
        <v>0-299</v>
      </c>
      <c r="F20" s="15"/>
      <c r="G20" s="18">
        <f>VLOOKUP(t_Presses[[Plant]:[Plant]],t_Plants[],Plants!CM$1,FALSE)</f>
        <v>208</v>
      </c>
      <c r="H20">
        <f>VLOOKUP(t_Presses[[Plant]:[Plant]],t_Plants[],Plants!CN$1,FALSE)</f>
        <v>208</v>
      </c>
      <c r="I20" s="18">
        <f>VLOOKUP(t_Presses[[Plant]:[Plant]],t_Plants[],Plants!CO$1,FALSE)</f>
        <v>272</v>
      </c>
      <c r="J20" s="18">
        <f>VLOOKUP(t_Presses[[Plant]:[Plant]],t_Plants[],Plants!CP$1,FALSE)</f>
        <v>208</v>
      </c>
      <c r="K20" s="18">
        <f>VLOOKUP(t_Presses[[Plant]:[Plant]],t_Plants[],Plants!CQ$1,FALSE)</f>
        <v>208</v>
      </c>
      <c r="L20" s="18">
        <f>VLOOKUP(t_Presses[[Plant]:[Plant]],t_Plants[],Plants!CR$1,FALSE)</f>
        <v>272</v>
      </c>
      <c r="M20" s="18">
        <f>VLOOKUP(t_Presses[[Plant]:[Plant]],t_Plants[],Plants!CS$1,FALSE)</f>
        <v>208</v>
      </c>
      <c r="N20" s="18">
        <f>VLOOKUP(t_Presses[[Plant]:[Plant]],t_Plants[],Plants!CT$1,FALSE)</f>
        <v>208</v>
      </c>
      <c r="O20" s="18">
        <f>VLOOKUP(t_Presses[[Plant]:[Plant]],t_Plants[],Plants!CU$1,FALSE)</f>
        <v>272</v>
      </c>
      <c r="P20" s="18">
        <f>VLOOKUP(t_Presses[[Plant]:[Plant]],t_Plants[],Plants!CV$1,FALSE)</f>
        <v>208</v>
      </c>
      <c r="Q20" s="18">
        <f>VLOOKUP(t_Presses[[Plant]:[Plant]],t_Plants[],Plants!CW$1,FALSE)</f>
        <v>208</v>
      </c>
      <c r="R20" s="18">
        <f>VLOOKUP(t_Presses[[Plant]:[Plant]],t_Plants[],Plants!CX$1,FALSE)</f>
        <v>272</v>
      </c>
      <c r="S20" s="18">
        <f>SUM(t_Presses[[#This Row],[ha2015.01]:[ha2015.12]])</f>
        <v>2752</v>
      </c>
      <c r="T20">
        <f>VLOOKUP(t_Presses[[Plant]:[Plant]],t_Plants[],Plants!CZ$1,FALSE)</f>
        <v>208</v>
      </c>
      <c r="U20">
        <f>VLOOKUP(t_Presses[[Plant]:[Plant]],t_Plants[],Plants!DA$1,FALSE)</f>
        <v>208</v>
      </c>
      <c r="V20">
        <f>VLOOKUP(t_Presses[[Plant]:[Plant]],t_Plants[],Plants!DB$1,FALSE)</f>
        <v>272</v>
      </c>
      <c r="W20">
        <f>VLOOKUP(t_Presses[[Plant]:[Plant]],t_Plants[],Plants!DC$1,FALSE)</f>
        <v>208</v>
      </c>
      <c r="X20">
        <f>VLOOKUP(t_Presses[[Plant]:[Plant]],t_Plants[],Plants!DD$1,FALSE)</f>
        <v>208</v>
      </c>
      <c r="Y20">
        <f>VLOOKUP(t_Presses[[Plant]:[Plant]],t_Plants[],Plants!DE$1,FALSE)</f>
        <v>272</v>
      </c>
      <c r="Z20">
        <f>VLOOKUP(t_Presses[[Plant]:[Plant]],t_Plants[],Plants!DF$1,FALSE)</f>
        <v>208</v>
      </c>
      <c r="AA20">
        <f>VLOOKUP(t_Presses[[Plant]:[Plant]],t_Plants[],Plants!DG$1,FALSE)</f>
        <v>208</v>
      </c>
      <c r="AB20">
        <f>VLOOKUP(t_Presses[[Plant]:[Plant]],t_Plants[],Plants!DH$1,FALSE)</f>
        <v>272</v>
      </c>
      <c r="AC20">
        <f>VLOOKUP(t_Presses[[Plant]:[Plant]],t_Plants[],Plants!DI$1,FALSE)</f>
        <v>208</v>
      </c>
      <c r="AD20">
        <f>VLOOKUP(t_Presses[[Plant]:[Plant]],t_Plants[],Plants!DJ$1,FALSE)</f>
        <v>208</v>
      </c>
      <c r="AE20">
        <f>VLOOKUP(t_Presses[[Plant]:[Plant]],t_Plants[],Plants!DK$1,FALSE)</f>
        <v>272</v>
      </c>
      <c r="AF20" s="18">
        <f>SUM(t_Presses[[#This Row],[ha2016.01]:[ha2016.12]])</f>
        <v>2752</v>
      </c>
      <c r="AG20">
        <f>VLOOKUP(t_Presses[[Plant]:[Plant]],t_Plants[],Plants!DM$1,FALSE)</f>
        <v>2752</v>
      </c>
      <c r="AH20">
        <f>VLOOKUP(t_Presses[[Plant]:[Plant]],t_Plants[],Plants!DN$1,FALSE)</f>
        <v>2752</v>
      </c>
      <c r="AI20">
        <f>VLOOKUP(t_Presses[[Plant]:[Plant]],t_Plants[],Plants!DO$1,FALSE)</f>
        <v>2752</v>
      </c>
      <c r="AJ20" s="52">
        <f>SUMIF(r_PartPresses,t_Presses[[PRESS]:[PRESS]],t_Parts[hp2015.01])</f>
        <v>0</v>
      </c>
      <c r="AK20" s="52">
        <f>SUMIF(r_PartPresses,t_Presses[[PRESS]:[PRESS]],t_Parts[hp2015.02])</f>
        <v>0</v>
      </c>
      <c r="AL20" s="52">
        <f>SUMIF(r_PartPresses,t_Presses[[PRESS]:[PRESS]],t_Parts[hp2015.03])</f>
        <v>0</v>
      </c>
      <c r="AM20" s="52">
        <f>SUMIF(r_PartPresses,t_Presses[[PRESS]:[PRESS]],t_Parts[hp2015.04])</f>
        <v>0</v>
      </c>
      <c r="AN20" s="52">
        <f>SUMIF(r_PartPresses,t_Presses[[PRESS]:[PRESS]],t_Parts[hp2015.05])</f>
        <v>0</v>
      </c>
      <c r="AO20" s="52">
        <f>SUMIF(r_PartPresses,t_Presses[[PRESS]:[PRESS]],t_Parts[hp2015.06])</f>
        <v>0</v>
      </c>
      <c r="AP20" s="52">
        <f>SUMIF(r_PartPresses,t_Presses[[PRESS]:[PRESS]],t_Parts[hp2015.07])</f>
        <v>0</v>
      </c>
      <c r="AQ20" s="52">
        <f>SUMIF(r_PartPresses,t_Presses[[PRESS]:[PRESS]],t_Parts[hp2015.08])</f>
        <v>0</v>
      </c>
      <c r="AR20" s="52">
        <f>SUMIF(r_PartPresses,t_Presses[[PRESS]:[PRESS]],t_Parts[hp2015.09])</f>
        <v>0</v>
      </c>
      <c r="AS20" s="52">
        <f>SUMIF(r_PartPresses,t_Presses[[PRESS]:[PRESS]],t_Parts[hp2015.10])</f>
        <v>0</v>
      </c>
      <c r="AT20" s="52">
        <f>SUMIF(r_PartPresses,t_Presses[[PRESS]:[PRESS]],t_Parts[hp2015.11])</f>
        <v>0</v>
      </c>
      <c r="AU20" s="52">
        <f>SUMIF(r_PartPresses,t_Presses[[PRESS]:[PRESS]],t_Parts[hp2015.12])</f>
        <v>0</v>
      </c>
      <c r="AV20" s="52">
        <f>SUM(t_Presses[[#This Row],[hp2015.01]:[hp2015.12]])</f>
        <v>0</v>
      </c>
      <c r="AW20" s="52">
        <f>SUMIF(r_PartPresses,t_Presses[[PRESS]:[PRESS]],t_Parts[hp2016.01])</f>
        <v>0</v>
      </c>
      <c r="AX20" s="52">
        <f>SUMIF(r_PartPresses,t_Presses[[PRESS]:[PRESS]],t_Parts[hp2016.02])</f>
        <v>0</v>
      </c>
      <c r="AY20" s="52">
        <f>SUMIF(r_PartPresses,t_Presses[[PRESS]:[PRESS]],t_Parts[hp2016.03])</f>
        <v>0</v>
      </c>
      <c r="AZ20" s="52">
        <f>SUMIF(r_PartPresses,t_Presses[[PRESS]:[PRESS]],t_Parts[hp2016.04])</f>
        <v>0</v>
      </c>
      <c r="BA20" s="52">
        <f>SUMIF(r_PartPresses,t_Presses[[PRESS]:[PRESS]],t_Parts[hp2016.05])</f>
        <v>0</v>
      </c>
      <c r="BB20" s="52">
        <f>SUMIF(r_PartPresses,t_Presses[[PRESS]:[PRESS]],t_Parts[hp2016.06])</f>
        <v>0</v>
      </c>
      <c r="BC20" s="52">
        <f>SUMIF(r_PartPresses,t_Presses[[PRESS]:[PRESS]],t_Parts[hp2016.07])</f>
        <v>0</v>
      </c>
      <c r="BD20" s="52">
        <f>SUMIF(r_PartPresses,t_Presses[[PRESS]:[PRESS]],t_Parts[hp2016.08])</f>
        <v>0</v>
      </c>
      <c r="BE20" s="52">
        <f>SUMIF(r_PartPresses,t_Presses[[PRESS]:[PRESS]],t_Parts[hp2016.09])</f>
        <v>0</v>
      </c>
      <c r="BF20" s="52">
        <f>SUMIF(r_PartPresses,t_Presses[[PRESS]:[PRESS]],t_Parts[hp2016.10])</f>
        <v>0</v>
      </c>
      <c r="BG20" s="52">
        <f>SUMIF(r_PartPresses,t_Presses[[PRESS]:[PRESS]],t_Parts[hp2016.11])</f>
        <v>0</v>
      </c>
      <c r="BH20" s="52">
        <f>SUMIF(r_PartPresses,t_Presses[[PRESS]:[PRESS]],t_Parts[hp2016.12])</f>
        <v>0</v>
      </c>
      <c r="BI20" s="52">
        <f>SUMIF(r_PartPresses,t_Presses[[PRESS]:[PRESS]],t_Parts[hp2016.FY])</f>
        <v>0</v>
      </c>
      <c r="BJ20" s="52">
        <f>SUMIF(r_PartPresses,t_Presses[[PRESS]:[PRESS]],t_Parts[hp2017])</f>
        <v>0</v>
      </c>
      <c r="BK20" s="52">
        <f>SUMIF(r_PartPresses,t_Presses[[PRESS]:[PRESS]],t_Parts[hp2018])</f>
        <v>0</v>
      </c>
      <c r="BL20" s="52">
        <f>SUMIF(r_PartPresses,t_Presses[[PRESS]:[PRESS]],t_Parts[hp2019])</f>
        <v>0</v>
      </c>
      <c r="BM20" s="17">
        <f>t_Presses[[#This Row],[hp2015.01]]/t_Presses[[#This Row],[ha2015.01]]</f>
        <v>0</v>
      </c>
      <c r="BN20" s="17">
        <f>t_Presses[[#This Row],[hp2015.02]]/t_Presses[[#This Row],[ha2015.02]]</f>
        <v>0</v>
      </c>
      <c r="BO20" s="17">
        <f>t_Presses[[#This Row],[hp2015.03]]/t_Presses[[#This Row],[ha2015.03]]</f>
        <v>0</v>
      </c>
      <c r="BP20" s="17">
        <f>t_Presses[[#This Row],[hp2015.04]]/t_Presses[[#This Row],[ha2015.04]]</f>
        <v>0</v>
      </c>
      <c r="BQ20" s="17">
        <f>t_Presses[[#This Row],[hp2015.05]]/t_Presses[[#This Row],[ha2015.05]]</f>
        <v>0</v>
      </c>
      <c r="BR20" s="17">
        <f>t_Presses[[#This Row],[hp2015.06]]/t_Presses[[#This Row],[ha2015.06]]</f>
        <v>0</v>
      </c>
      <c r="BS20" s="17">
        <f>t_Presses[[#This Row],[hp2015.07]]/t_Presses[[#This Row],[ha2015.07]]</f>
        <v>0</v>
      </c>
      <c r="BT20" s="17">
        <f>t_Presses[[#This Row],[hp2015.08]]/t_Presses[[#This Row],[ha2015.08]]</f>
        <v>0</v>
      </c>
      <c r="BU20" s="17">
        <f>t_Presses[[#This Row],[hp2015.09]]/t_Presses[[#This Row],[ha2015.09]]</f>
        <v>0</v>
      </c>
      <c r="BV20" s="17">
        <f>t_Presses[[#This Row],[hp2015.10]]/t_Presses[[#This Row],[ha2015.10]]</f>
        <v>0</v>
      </c>
      <c r="BW20" s="17">
        <f>t_Presses[[#This Row],[hp2015.11]]/t_Presses[[#This Row],[ha2015.11]]</f>
        <v>0</v>
      </c>
      <c r="BX20" s="17">
        <f>t_Presses[[#This Row],[hp2015.12]]/t_Presses[[#This Row],[ha2015.12]]</f>
        <v>0</v>
      </c>
      <c r="BY20" s="17">
        <f>t_Presses[[#This Row],[hp2015.FY]]/t_Presses[[#This Row],[ha2015.FY]]</f>
        <v>0</v>
      </c>
      <c r="BZ20" s="17">
        <f>t_Presses[[#This Row],[hp2016.01]]/t_Presses[[#This Row],[ha2016.01]]</f>
        <v>0</v>
      </c>
      <c r="CA20" s="17">
        <f>t_Presses[[#This Row],[hp2016.02]]/t_Presses[[#This Row],[ha2016.02]]</f>
        <v>0</v>
      </c>
      <c r="CB20" s="17">
        <f>t_Presses[[#This Row],[hp2016.03]]/t_Presses[[#This Row],[ha2016.03]]</f>
        <v>0</v>
      </c>
      <c r="CC20" s="17">
        <f>t_Presses[[#This Row],[hp2016.04]]/t_Presses[[#This Row],[ha2016.04]]</f>
        <v>0</v>
      </c>
      <c r="CD20" s="17">
        <f>t_Presses[[#This Row],[hp2016.05]]/t_Presses[[#This Row],[ha2016.05]]</f>
        <v>0</v>
      </c>
      <c r="CE20" s="17">
        <f>t_Presses[[#This Row],[hp2016.06]]/t_Presses[[#This Row],[ha2016.06]]</f>
        <v>0</v>
      </c>
      <c r="CF20" s="17">
        <f>t_Presses[[#This Row],[hp2016.07]]/t_Presses[[#This Row],[ha2016.07]]</f>
        <v>0</v>
      </c>
      <c r="CG20" s="17">
        <f>t_Presses[[#This Row],[hp2016.08]]/t_Presses[[#This Row],[ha2016.08]]</f>
        <v>0</v>
      </c>
      <c r="CH20" s="17">
        <f>t_Presses[[#This Row],[hp2016.09]]/t_Presses[[#This Row],[ha2016.09]]</f>
        <v>0</v>
      </c>
      <c r="CI20" s="17">
        <f>t_Presses[[#This Row],[hp2016.10]]/t_Presses[[#This Row],[ha2016.10]]</f>
        <v>0</v>
      </c>
      <c r="CJ20" s="17">
        <f>t_Presses[[#This Row],[hp2016.11]]/t_Presses[[#This Row],[ha2016.11]]</f>
        <v>0</v>
      </c>
      <c r="CK20" s="17">
        <f>t_Presses[[#This Row],[hp2016.12]]/t_Presses[[#This Row],[ha2016.12]]</f>
        <v>0</v>
      </c>
      <c r="CL20" s="17">
        <f>t_Presses[[#This Row],[hp2016.FY]]/t_Presses[[#This Row],[ha2016.FY]]</f>
        <v>0</v>
      </c>
      <c r="CM20" s="17">
        <f>t_Presses[[#This Row],[hp2017]]/t_Presses[[#This Row],[ha2017]]</f>
        <v>0</v>
      </c>
      <c r="CN20" s="17">
        <f>t_Presses[[#This Row],[hp2018]]/t_Presses[[#This Row],[ha2018]]</f>
        <v>0</v>
      </c>
      <c r="CO20" s="17">
        <f>t_Presses[[#This Row],[hp2019]]/t_Presses[[#This Row],[ha2019]]</f>
        <v>0</v>
      </c>
    </row>
    <row r="21" spans="1:93" x14ac:dyDescent="0.25">
      <c r="A21" s="16" t="s">
        <v>136</v>
      </c>
      <c r="B21" t="s">
        <v>9</v>
      </c>
      <c r="C21" t="s">
        <v>126</v>
      </c>
      <c r="D21">
        <v>300</v>
      </c>
      <c r="E21" s="18" t="str">
        <f t="shared" si="0"/>
        <v>300-599</v>
      </c>
      <c r="F21" s="15"/>
      <c r="G21" s="18">
        <f>VLOOKUP(t_Presses[[Plant]:[Plant]],t_Plants[],Plants!CM$1,FALSE)</f>
        <v>208</v>
      </c>
      <c r="H21">
        <f>VLOOKUP(t_Presses[[Plant]:[Plant]],t_Plants[],Plants!CN$1,FALSE)</f>
        <v>208</v>
      </c>
      <c r="I21" s="18">
        <f>VLOOKUP(t_Presses[[Plant]:[Plant]],t_Plants[],Plants!CO$1,FALSE)</f>
        <v>272</v>
      </c>
      <c r="J21" s="18">
        <f>VLOOKUP(t_Presses[[Plant]:[Plant]],t_Plants[],Plants!CP$1,FALSE)</f>
        <v>208</v>
      </c>
      <c r="K21" s="18">
        <f>VLOOKUP(t_Presses[[Plant]:[Plant]],t_Plants[],Plants!CQ$1,FALSE)</f>
        <v>208</v>
      </c>
      <c r="L21" s="18">
        <f>VLOOKUP(t_Presses[[Plant]:[Plant]],t_Plants[],Plants!CR$1,FALSE)</f>
        <v>272</v>
      </c>
      <c r="M21" s="18">
        <f>VLOOKUP(t_Presses[[Plant]:[Plant]],t_Plants[],Plants!CS$1,FALSE)</f>
        <v>208</v>
      </c>
      <c r="N21" s="18">
        <f>VLOOKUP(t_Presses[[Plant]:[Plant]],t_Plants[],Plants!CT$1,FALSE)</f>
        <v>208</v>
      </c>
      <c r="O21" s="18">
        <f>VLOOKUP(t_Presses[[Plant]:[Plant]],t_Plants[],Plants!CU$1,FALSE)</f>
        <v>272</v>
      </c>
      <c r="P21" s="18">
        <f>VLOOKUP(t_Presses[[Plant]:[Plant]],t_Plants[],Plants!CV$1,FALSE)</f>
        <v>208</v>
      </c>
      <c r="Q21" s="18">
        <f>VLOOKUP(t_Presses[[Plant]:[Plant]],t_Plants[],Plants!CW$1,FALSE)</f>
        <v>208</v>
      </c>
      <c r="R21" s="18">
        <f>VLOOKUP(t_Presses[[Plant]:[Plant]],t_Plants[],Plants!CX$1,FALSE)</f>
        <v>272</v>
      </c>
      <c r="S21" s="18">
        <f>SUM(t_Presses[[#This Row],[ha2015.01]:[ha2015.12]])</f>
        <v>2752</v>
      </c>
      <c r="T21">
        <f>VLOOKUP(t_Presses[[Plant]:[Plant]],t_Plants[],Plants!CZ$1,FALSE)</f>
        <v>208</v>
      </c>
      <c r="U21">
        <f>VLOOKUP(t_Presses[[Plant]:[Plant]],t_Plants[],Plants!DA$1,FALSE)</f>
        <v>208</v>
      </c>
      <c r="V21">
        <f>VLOOKUP(t_Presses[[Plant]:[Plant]],t_Plants[],Plants!DB$1,FALSE)</f>
        <v>272</v>
      </c>
      <c r="W21">
        <f>VLOOKUP(t_Presses[[Plant]:[Plant]],t_Plants[],Plants!DC$1,FALSE)</f>
        <v>208</v>
      </c>
      <c r="X21">
        <f>VLOOKUP(t_Presses[[Plant]:[Plant]],t_Plants[],Plants!DD$1,FALSE)</f>
        <v>208</v>
      </c>
      <c r="Y21">
        <f>VLOOKUP(t_Presses[[Plant]:[Plant]],t_Plants[],Plants!DE$1,FALSE)</f>
        <v>272</v>
      </c>
      <c r="Z21">
        <f>VLOOKUP(t_Presses[[Plant]:[Plant]],t_Plants[],Plants!DF$1,FALSE)</f>
        <v>208</v>
      </c>
      <c r="AA21">
        <f>VLOOKUP(t_Presses[[Plant]:[Plant]],t_Plants[],Plants!DG$1,FALSE)</f>
        <v>208</v>
      </c>
      <c r="AB21">
        <f>VLOOKUP(t_Presses[[Plant]:[Plant]],t_Plants[],Plants!DH$1,FALSE)</f>
        <v>272</v>
      </c>
      <c r="AC21">
        <f>VLOOKUP(t_Presses[[Plant]:[Plant]],t_Plants[],Plants!DI$1,FALSE)</f>
        <v>208</v>
      </c>
      <c r="AD21">
        <f>VLOOKUP(t_Presses[[Plant]:[Plant]],t_Plants[],Plants!DJ$1,FALSE)</f>
        <v>208</v>
      </c>
      <c r="AE21">
        <f>VLOOKUP(t_Presses[[Plant]:[Plant]],t_Plants[],Plants!DK$1,FALSE)</f>
        <v>272</v>
      </c>
      <c r="AF21" s="18">
        <f>SUM(t_Presses[[#This Row],[ha2016.01]:[ha2016.12]])</f>
        <v>2752</v>
      </c>
      <c r="AG21">
        <f>VLOOKUP(t_Presses[[Plant]:[Plant]],t_Plants[],Plants!DM$1,FALSE)</f>
        <v>2752</v>
      </c>
      <c r="AH21">
        <f>VLOOKUP(t_Presses[[Plant]:[Plant]],t_Plants[],Plants!DN$1,FALSE)</f>
        <v>2752</v>
      </c>
      <c r="AI21">
        <f>VLOOKUP(t_Presses[[Plant]:[Plant]],t_Plants[],Plants!DO$1,FALSE)</f>
        <v>2752</v>
      </c>
      <c r="AJ21" s="52">
        <f>SUMIF(r_PartPresses,t_Presses[[PRESS]:[PRESS]],t_Parts[hp2015.01])</f>
        <v>0</v>
      </c>
      <c r="AK21" s="52">
        <f>SUMIF(r_PartPresses,t_Presses[[PRESS]:[PRESS]],t_Parts[hp2015.02])</f>
        <v>0</v>
      </c>
      <c r="AL21" s="52">
        <f>SUMIF(r_PartPresses,t_Presses[[PRESS]:[PRESS]],t_Parts[hp2015.03])</f>
        <v>0</v>
      </c>
      <c r="AM21" s="52">
        <f>SUMIF(r_PartPresses,t_Presses[[PRESS]:[PRESS]],t_Parts[hp2015.04])</f>
        <v>0</v>
      </c>
      <c r="AN21" s="52">
        <f>SUMIF(r_PartPresses,t_Presses[[PRESS]:[PRESS]],t_Parts[hp2015.05])</f>
        <v>0</v>
      </c>
      <c r="AO21" s="52">
        <f>SUMIF(r_PartPresses,t_Presses[[PRESS]:[PRESS]],t_Parts[hp2015.06])</f>
        <v>0</v>
      </c>
      <c r="AP21" s="52">
        <f>SUMIF(r_PartPresses,t_Presses[[PRESS]:[PRESS]],t_Parts[hp2015.07])</f>
        <v>0</v>
      </c>
      <c r="AQ21" s="52">
        <f>SUMIF(r_PartPresses,t_Presses[[PRESS]:[PRESS]],t_Parts[hp2015.08])</f>
        <v>0</v>
      </c>
      <c r="AR21" s="52">
        <f>SUMIF(r_PartPresses,t_Presses[[PRESS]:[PRESS]],t_Parts[hp2015.09])</f>
        <v>0</v>
      </c>
      <c r="AS21" s="52">
        <f>SUMIF(r_PartPresses,t_Presses[[PRESS]:[PRESS]],t_Parts[hp2015.10])</f>
        <v>0</v>
      </c>
      <c r="AT21" s="52">
        <f>SUMIF(r_PartPresses,t_Presses[[PRESS]:[PRESS]],t_Parts[hp2015.11])</f>
        <v>0</v>
      </c>
      <c r="AU21" s="52">
        <f>SUMIF(r_PartPresses,t_Presses[[PRESS]:[PRESS]],t_Parts[hp2015.12])</f>
        <v>0</v>
      </c>
      <c r="AV21" s="52">
        <f>SUM(t_Presses[[#This Row],[hp2015.01]:[hp2015.12]])</f>
        <v>0</v>
      </c>
      <c r="AW21" s="52">
        <f>SUMIF(r_PartPresses,t_Presses[[PRESS]:[PRESS]],t_Parts[hp2016.01])</f>
        <v>0</v>
      </c>
      <c r="AX21" s="52">
        <f>SUMIF(r_PartPresses,t_Presses[[PRESS]:[PRESS]],t_Parts[hp2016.02])</f>
        <v>0</v>
      </c>
      <c r="AY21" s="52">
        <f>SUMIF(r_PartPresses,t_Presses[[PRESS]:[PRESS]],t_Parts[hp2016.03])</f>
        <v>0</v>
      </c>
      <c r="AZ21" s="52">
        <f>SUMIF(r_PartPresses,t_Presses[[PRESS]:[PRESS]],t_Parts[hp2016.04])</f>
        <v>0</v>
      </c>
      <c r="BA21" s="52">
        <f>SUMIF(r_PartPresses,t_Presses[[PRESS]:[PRESS]],t_Parts[hp2016.05])</f>
        <v>0</v>
      </c>
      <c r="BB21" s="52">
        <f>SUMIF(r_PartPresses,t_Presses[[PRESS]:[PRESS]],t_Parts[hp2016.06])</f>
        <v>0</v>
      </c>
      <c r="BC21" s="52">
        <f>SUMIF(r_PartPresses,t_Presses[[PRESS]:[PRESS]],t_Parts[hp2016.07])</f>
        <v>0</v>
      </c>
      <c r="BD21" s="52">
        <f>SUMIF(r_PartPresses,t_Presses[[PRESS]:[PRESS]],t_Parts[hp2016.08])</f>
        <v>0</v>
      </c>
      <c r="BE21" s="52">
        <f>SUMIF(r_PartPresses,t_Presses[[PRESS]:[PRESS]],t_Parts[hp2016.09])</f>
        <v>0</v>
      </c>
      <c r="BF21" s="52">
        <f>SUMIF(r_PartPresses,t_Presses[[PRESS]:[PRESS]],t_Parts[hp2016.10])</f>
        <v>0</v>
      </c>
      <c r="BG21" s="52">
        <f>SUMIF(r_PartPresses,t_Presses[[PRESS]:[PRESS]],t_Parts[hp2016.11])</f>
        <v>0</v>
      </c>
      <c r="BH21" s="52">
        <f>SUMIF(r_PartPresses,t_Presses[[PRESS]:[PRESS]],t_Parts[hp2016.12])</f>
        <v>0</v>
      </c>
      <c r="BI21" s="52">
        <f>SUMIF(r_PartPresses,t_Presses[[PRESS]:[PRESS]],t_Parts[hp2016.FY])</f>
        <v>0</v>
      </c>
      <c r="BJ21" s="52">
        <f>SUMIF(r_PartPresses,t_Presses[[PRESS]:[PRESS]],t_Parts[hp2017])</f>
        <v>0</v>
      </c>
      <c r="BK21" s="52">
        <f>SUMIF(r_PartPresses,t_Presses[[PRESS]:[PRESS]],t_Parts[hp2018])</f>
        <v>0</v>
      </c>
      <c r="BL21" s="52">
        <f>SUMIF(r_PartPresses,t_Presses[[PRESS]:[PRESS]],t_Parts[hp2019])</f>
        <v>0</v>
      </c>
      <c r="BM21" s="17">
        <f>t_Presses[[#This Row],[hp2015.01]]/t_Presses[[#This Row],[ha2015.01]]</f>
        <v>0</v>
      </c>
      <c r="BN21" s="17">
        <f>t_Presses[[#This Row],[hp2015.02]]/t_Presses[[#This Row],[ha2015.02]]</f>
        <v>0</v>
      </c>
      <c r="BO21" s="17">
        <f>t_Presses[[#This Row],[hp2015.03]]/t_Presses[[#This Row],[ha2015.03]]</f>
        <v>0</v>
      </c>
      <c r="BP21" s="17">
        <f>t_Presses[[#This Row],[hp2015.04]]/t_Presses[[#This Row],[ha2015.04]]</f>
        <v>0</v>
      </c>
      <c r="BQ21" s="17">
        <f>t_Presses[[#This Row],[hp2015.05]]/t_Presses[[#This Row],[ha2015.05]]</f>
        <v>0</v>
      </c>
      <c r="BR21" s="17">
        <f>t_Presses[[#This Row],[hp2015.06]]/t_Presses[[#This Row],[ha2015.06]]</f>
        <v>0</v>
      </c>
      <c r="BS21" s="17">
        <f>t_Presses[[#This Row],[hp2015.07]]/t_Presses[[#This Row],[ha2015.07]]</f>
        <v>0</v>
      </c>
      <c r="BT21" s="17">
        <f>t_Presses[[#This Row],[hp2015.08]]/t_Presses[[#This Row],[ha2015.08]]</f>
        <v>0</v>
      </c>
      <c r="BU21" s="17">
        <f>t_Presses[[#This Row],[hp2015.09]]/t_Presses[[#This Row],[ha2015.09]]</f>
        <v>0</v>
      </c>
      <c r="BV21" s="17">
        <f>t_Presses[[#This Row],[hp2015.10]]/t_Presses[[#This Row],[ha2015.10]]</f>
        <v>0</v>
      </c>
      <c r="BW21" s="17">
        <f>t_Presses[[#This Row],[hp2015.11]]/t_Presses[[#This Row],[ha2015.11]]</f>
        <v>0</v>
      </c>
      <c r="BX21" s="17">
        <f>t_Presses[[#This Row],[hp2015.12]]/t_Presses[[#This Row],[ha2015.12]]</f>
        <v>0</v>
      </c>
      <c r="BY21" s="17">
        <f>t_Presses[[#This Row],[hp2015.FY]]/t_Presses[[#This Row],[ha2015.FY]]</f>
        <v>0</v>
      </c>
      <c r="BZ21" s="17">
        <f>t_Presses[[#This Row],[hp2016.01]]/t_Presses[[#This Row],[ha2016.01]]</f>
        <v>0</v>
      </c>
      <c r="CA21" s="17">
        <f>t_Presses[[#This Row],[hp2016.02]]/t_Presses[[#This Row],[ha2016.02]]</f>
        <v>0</v>
      </c>
      <c r="CB21" s="17">
        <f>t_Presses[[#This Row],[hp2016.03]]/t_Presses[[#This Row],[ha2016.03]]</f>
        <v>0</v>
      </c>
      <c r="CC21" s="17">
        <f>t_Presses[[#This Row],[hp2016.04]]/t_Presses[[#This Row],[ha2016.04]]</f>
        <v>0</v>
      </c>
      <c r="CD21" s="17">
        <f>t_Presses[[#This Row],[hp2016.05]]/t_Presses[[#This Row],[ha2016.05]]</f>
        <v>0</v>
      </c>
      <c r="CE21" s="17">
        <f>t_Presses[[#This Row],[hp2016.06]]/t_Presses[[#This Row],[ha2016.06]]</f>
        <v>0</v>
      </c>
      <c r="CF21" s="17">
        <f>t_Presses[[#This Row],[hp2016.07]]/t_Presses[[#This Row],[ha2016.07]]</f>
        <v>0</v>
      </c>
      <c r="CG21" s="17">
        <f>t_Presses[[#This Row],[hp2016.08]]/t_Presses[[#This Row],[ha2016.08]]</f>
        <v>0</v>
      </c>
      <c r="CH21" s="17">
        <f>t_Presses[[#This Row],[hp2016.09]]/t_Presses[[#This Row],[ha2016.09]]</f>
        <v>0</v>
      </c>
      <c r="CI21" s="17">
        <f>t_Presses[[#This Row],[hp2016.10]]/t_Presses[[#This Row],[ha2016.10]]</f>
        <v>0</v>
      </c>
      <c r="CJ21" s="17">
        <f>t_Presses[[#This Row],[hp2016.11]]/t_Presses[[#This Row],[ha2016.11]]</f>
        <v>0</v>
      </c>
      <c r="CK21" s="17">
        <f>t_Presses[[#This Row],[hp2016.12]]/t_Presses[[#This Row],[ha2016.12]]</f>
        <v>0</v>
      </c>
      <c r="CL21" s="17">
        <f>t_Presses[[#This Row],[hp2016.FY]]/t_Presses[[#This Row],[ha2016.FY]]</f>
        <v>0</v>
      </c>
      <c r="CM21" s="17">
        <f>t_Presses[[#This Row],[hp2017]]/t_Presses[[#This Row],[ha2017]]</f>
        <v>0</v>
      </c>
      <c r="CN21" s="17">
        <f>t_Presses[[#This Row],[hp2018]]/t_Presses[[#This Row],[ha2018]]</f>
        <v>0</v>
      </c>
      <c r="CO21" s="17">
        <f>t_Presses[[#This Row],[hp2019]]/t_Presses[[#This Row],[ha2019]]</f>
        <v>0</v>
      </c>
    </row>
    <row r="22" spans="1:93" x14ac:dyDescent="0.25">
      <c r="A22" s="16" t="s">
        <v>137</v>
      </c>
      <c r="B22" t="s">
        <v>9</v>
      </c>
      <c r="C22" t="s">
        <v>126</v>
      </c>
      <c r="D22">
        <v>200</v>
      </c>
      <c r="E22" s="18" t="str">
        <f t="shared" si="0"/>
        <v>0-299</v>
      </c>
      <c r="F22" s="15"/>
      <c r="G22" s="18">
        <f>VLOOKUP(t_Presses[[Plant]:[Plant]],t_Plants[],Plants!CM$1,FALSE)</f>
        <v>208</v>
      </c>
      <c r="H22">
        <f>VLOOKUP(t_Presses[[Plant]:[Plant]],t_Plants[],Plants!CN$1,FALSE)</f>
        <v>208</v>
      </c>
      <c r="I22" s="18">
        <f>VLOOKUP(t_Presses[[Plant]:[Plant]],t_Plants[],Plants!CO$1,FALSE)</f>
        <v>272</v>
      </c>
      <c r="J22" s="18">
        <f>VLOOKUP(t_Presses[[Plant]:[Plant]],t_Plants[],Plants!CP$1,FALSE)</f>
        <v>208</v>
      </c>
      <c r="K22" s="18">
        <f>VLOOKUP(t_Presses[[Plant]:[Plant]],t_Plants[],Plants!CQ$1,FALSE)</f>
        <v>208</v>
      </c>
      <c r="L22" s="18">
        <f>VLOOKUP(t_Presses[[Plant]:[Plant]],t_Plants[],Plants!CR$1,FALSE)</f>
        <v>272</v>
      </c>
      <c r="M22" s="18">
        <f>VLOOKUP(t_Presses[[Plant]:[Plant]],t_Plants[],Plants!CS$1,FALSE)</f>
        <v>208</v>
      </c>
      <c r="N22" s="18">
        <f>VLOOKUP(t_Presses[[Plant]:[Plant]],t_Plants[],Plants!CT$1,FALSE)</f>
        <v>208</v>
      </c>
      <c r="O22" s="18">
        <f>VLOOKUP(t_Presses[[Plant]:[Plant]],t_Plants[],Plants!CU$1,FALSE)</f>
        <v>272</v>
      </c>
      <c r="P22" s="18">
        <f>VLOOKUP(t_Presses[[Plant]:[Plant]],t_Plants[],Plants!CV$1,FALSE)</f>
        <v>208</v>
      </c>
      <c r="Q22" s="18">
        <f>VLOOKUP(t_Presses[[Plant]:[Plant]],t_Plants[],Plants!CW$1,FALSE)</f>
        <v>208</v>
      </c>
      <c r="R22" s="18">
        <f>VLOOKUP(t_Presses[[Plant]:[Plant]],t_Plants[],Plants!CX$1,FALSE)</f>
        <v>272</v>
      </c>
      <c r="S22" s="18">
        <f>SUM(t_Presses[[#This Row],[ha2015.01]:[ha2015.12]])</f>
        <v>2752</v>
      </c>
      <c r="T22">
        <f>VLOOKUP(t_Presses[[Plant]:[Plant]],t_Plants[],Plants!CZ$1,FALSE)</f>
        <v>208</v>
      </c>
      <c r="U22">
        <f>VLOOKUP(t_Presses[[Plant]:[Plant]],t_Plants[],Plants!DA$1,FALSE)</f>
        <v>208</v>
      </c>
      <c r="V22">
        <f>VLOOKUP(t_Presses[[Plant]:[Plant]],t_Plants[],Plants!DB$1,FALSE)</f>
        <v>272</v>
      </c>
      <c r="W22">
        <f>VLOOKUP(t_Presses[[Plant]:[Plant]],t_Plants[],Plants!DC$1,FALSE)</f>
        <v>208</v>
      </c>
      <c r="X22">
        <f>VLOOKUP(t_Presses[[Plant]:[Plant]],t_Plants[],Plants!DD$1,FALSE)</f>
        <v>208</v>
      </c>
      <c r="Y22">
        <f>VLOOKUP(t_Presses[[Plant]:[Plant]],t_Plants[],Plants!DE$1,FALSE)</f>
        <v>272</v>
      </c>
      <c r="Z22">
        <f>VLOOKUP(t_Presses[[Plant]:[Plant]],t_Plants[],Plants!DF$1,FALSE)</f>
        <v>208</v>
      </c>
      <c r="AA22">
        <f>VLOOKUP(t_Presses[[Plant]:[Plant]],t_Plants[],Plants!DG$1,FALSE)</f>
        <v>208</v>
      </c>
      <c r="AB22">
        <f>VLOOKUP(t_Presses[[Plant]:[Plant]],t_Plants[],Plants!DH$1,FALSE)</f>
        <v>272</v>
      </c>
      <c r="AC22">
        <f>VLOOKUP(t_Presses[[Plant]:[Plant]],t_Plants[],Plants!DI$1,FALSE)</f>
        <v>208</v>
      </c>
      <c r="AD22">
        <f>VLOOKUP(t_Presses[[Plant]:[Plant]],t_Plants[],Plants!DJ$1,FALSE)</f>
        <v>208</v>
      </c>
      <c r="AE22">
        <f>VLOOKUP(t_Presses[[Plant]:[Plant]],t_Plants[],Plants!DK$1,FALSE)</f>
        <v>272</v>
      </c>
      <c r="AF22" s="18">
        <f>SUM(t_Presses[[#This Row],[ha2016.01]:[ha2016.12]])</f>
        <v>2752</v>
      </c>
      <c r="AG22">
        <f>VLOOKUP(t_Presses[[Plant]:[Plant]],t_Plants[],Plants!DM$1,FALSE)</f>
        <v>2752</v>
      </c>
      <c r="AH22">
        <f>VLOOKUP(t_Presses[[Plant]:[Plant]],t_Plants[],Plants!DN$1,FALSE)</f>
        <v>2752</v>
      </c>
      <c r="AI22">
        <f>VLOOKUP(t_Presses[[Plant]:[Plant]],t_Plants[],Plants!DO$1,FALSE)</f>
        <v>2752</v>
      </c>
      <c r="AJ22" s="52">
        <f>SUMIF(r_PartPresses,t_Presses[[PRESS]:[PRESS]],t_Parts[hp2015.01])</f>
        <v>0</v>
      </c>
      <c r="AK22" s="52">
        <f>SUMIF(r_PartPresses,t_Presses[[PRESS]:[PRESS]],t_Parts[hp2015.02])</f>
        <v>0</v>
      </c>
      <c r="AL22" s="52">
        <f>SUMIF(r_PartPresses,t_Presses[[PRESS]:[PRESS]],t_Parts[hp2015.03])</f>
        <v>0</v>
      </c>
      <c r="AM22" s="52">
        <f>SUMIF(r_PartPresses,t_Presses[[PRESS]:[PRESS]],t_Parts[hp2015.04])</f>
        <v>0</v>
      </c>
      <c r="AN22" s="52">
        <f>SUMIF(r_PartPresses,t_Presses[[PRESS]:[PRESS]],t_Parts[hp2015.05])</f>
        <v>0</v>
      </c>
      <c r="AO22" s="52">
        <f>SUMIF(r_PartPresses,t_Presses[[PRESS]:[PRESS]],t_Parts[hp2015.06])</f>
        <v>0</v>
      </c>
      <c r="AP22" s="52">
        <f>SUMIF(r_PartPresses,t_Presses[[PRESS]:[PRESS]],t_Parts[hp2015.07])</f>
        <v>0</v>
      </c>
      <c r="AQ22" s="52">
        <f>SUMIF(r_PartPresses,t_Presses[[PRESS]:[PRESS]],t_Parts[hp2015.08])</f>
        <v>0</v>
      </c>
      <c r="AR22" s="52">
        <f>SUMIF(r_PartPresses,t_Presses[[PRESS]:[PRESS]],t_Parts[hp2015.09])</f>
        <v>0</v>
      </c>
      <c r="AS22" s="52">
        <f>SUMIF(r_PartPresses,t_Presses[[PRESS]:[PRESS]],t_Parts[hp2015.10])</f>
        <v>0</v>
      </c>
      <c r="AT22" s="52">
        <f>SUMIF(r_PartPresses,t_Presses[[PRESS]:[PRESS]],t_Parts[hp2015.11])</f>
        <v>0</v>
      </c>
      <c r="AU22" s="52">
        <f>SUMIF(r_PartPresses,t_Presses[[PRESS]:[PRESS]],t_Parts[hp2015.12])</f>
        <v>0</v>
      </c>
      <c r="AV22" s="52">
        <f>SUM(t_Presses[[#This Row],[hp2015.01]:[hp2015.12]])</f>
        <v>0</v>
      </c>
      <c r="AW22" s="52">
        <f>SUMIF(r_PartPresses,t_Presses[[PRESS]:[PRESS]],t_Parts[hp2016.01])</f>
        <v>0</v>
      </c>
      <c r="AX22" s="52">
        <f>SUMIF(r_PartPresses,t_Presses[[PRESS]:[PRESS]],t_Parts[hp2016.02])</f>
        <v>0</v>
      </c>
      <c r="AY22" s="52">
        <f>SUMIF(r_PartPresses,t_Presses[[PRESS]:[PRESS]],t_Parts[hp2016.03])</f>
        <v>0</v>
      </c>
      <c r="AZ22" s="52">
        <f>SUMIF(r_PartPresses,t_Presses[[PRESS]:[PRESS]],t_Parts[hp2016.04])</f>
        <v>0</v>
      </c>
      <c r="BA22" s="52">
        <f>SUMIF(r_PartPresses,t_Presses[[PRESS]:[PRESS]],t_Parts[hp2016.05])</f>
        <v>0</v>
      </c>
      <c r="BB22" s="52">
        <f>SUMIF(r_PartPresses,t_Presses[[PRESS]:[PRESS]],t_Parts[hp2016.06])</f>
        <v>0</v>
      </c>
      <c r="BC22" s="52">
        <f>SUMIF(r_PartPresses,t_Presses[[PRESS]:[PRESS]],t_Parts[hp2016.07])</f>
        <v>0</v>
      </c>
      <c r="BD22" s="52">
        <f>SUMIF(r_PartPresses,t_Presses[[PRESS]:[PRESS]],t_Parts[hp2016.08])</f>
        <v>0</v>
      </c>
      <c r="BE22" s="52">
        <f>SUMIF(r_PartPresses,t_Presses[[PRESS]:[PRESS]],t_Parts[hp2016.09])</f>
        <v>0</v>
      </c>
      <c r="BF22" s="52">
        <f>SUMIF(r_PartPresses,t_Presses[[PRESS]:[PRESS]],t_Parts[hp2016.10])</f>
        <v>0</v>
      </c>
      <c r="BG22" s="52">
        <f>SUMIF(r_PartPresses,t_Presses[[PRESS]:[PRESS]],t_Parts[hp2016.11])</f>
        <v>0</v>
      </c>
      <c r="BH22" s="52">
        <f>SUMIF(r_PartPresses,t_Presses[[PRESS]:[PRESS]],t_Parts[hp2016.12])</f>
        <v>0</v>
      </c>
      <c r="BI22" s="52">
        <f>SUMIF(r_PartPresses,t_Presses[[PRESS]:[PRESS]],t_Parts[hp2016.FY])</f>
        <v>0</v>
      </c>
      <c r="BJ22" s="52">
        <f>SUMIF(r_PartPresses,t_Presses[[PRESS]:[PRESS]],t_Parts[hp2017])</f>
        <v>0</v>
      </c>
      <c r="BK22" s="52">
        <f>SUMIF(r_PartPresses,t_Presses[[PRESS]:[PRESS]],t_Parts[hp2018])</f>
        <v>0</v>
      </c>
      <c r="BL22" s="52">
        <f>SUMIF(r_PartPresses,t_Presses[[PRESS]:[PRESS]],t_Parts[hp2019])</f>
        <v>0</v>
      </c>
      <c r="BM22" s="17">
        <f>t_Presses[[#This Row],[hp2015.01]]/t_Presses[[#This Row],[ha2015.01]]</f>
        <v>0</v>
      </c>
      <c r="BN22" s="17">
        <f>t_Presses[[#This Row],[hp2015.02]]/t_Presses[[#This Row],[ha2015.02]]</f>
        <v>0</v>
      </c>
      <c r="BO22" s="17">
        <f>t_Presses[[#This Row],[hp2015.03]]/t_Presses[[#This Row],[ha2015.03]]</f>
        <v>0</v>
      </c>
      <c r="BP22" s="17">
        <f>t_Presses[[#This Row],[hp2015.04]]/t_Presses[[#This Row],[ha2015.04]]</f>
        <v>0</v>
      </c>
      <c r="BQ22" s="17">
        <f>t_Presses[[#This Row],[hp2015.05]]/t_Presses[[#This Row],[ha2015.05]]</f>
        <v>0</v>
      </c>
      <c r="BR22" s="17">
        <f>t_Presses[[#This Row],[hp2015.06]]/t_Presses[[#This Row],[ha2015.06]]</f>
        <v>0</v>
      </c>
      <c r="BS22" s="17">
        <f>t_Presses[[#This Row],[hp2015.07]]/t_Presses[[#This Row],[ha2015.07]]</f>
        <v>0</v>
      </c>
      <c r="BT22" s="17">
        <f>t_Presses[[#This Row],[hp2015.08]]/t_Presses[[#This Row],[ha2015.08]]</f>
        <v>0</v>
      </c>
      <c r="BU22" s="17">
        <f>t_Presses[[#This Row],[hp2015.09]]/t_Presses[[#This Row],[ha2015.09]]</f>
        <v>0</v>
      </c>
      <c r="BV22" s="17">
        <f>t_Presses[[#This Row],[hp2015.10]]/t_Presses[[#This Row],[ha2015.10]]</f>
        <v>0</v>
      </c>
      <c r="BW22" s="17">
        <f>t_Presses[[#This Row],[hp2015.11]]/t_Presses[[#This Row],[ha2015.11]]</f>
        <v>0</v>
      </c>
      <c r="BX22" s="17">
        <f>t_Presses[[#This Row],[hp2015.12]]/t_Presses[[#This Row],[ha2015.12]]</f>
        <v>0</v>
      </c>
      <c r="BY22" s="17">
        <f>t_Presses[[#This Row],[hp2015.FY]]/t_Presses[[#This Row],[ha2015.FY]]</f>
        <v>0</v>
      </c>
      <c r="BZ22" s="17">
        <f>t_Presses[[#This Row],[hp2016.01]]/t_Presses[[#This Row],[ha2016.01]]</f>
        <v>0</v>
      </c>
      <c r="CA22" s="17">
        <f>t_Presses[[#This Row],[hp2016.02]]/t_Presses[[#This Row],[ha2016.02]]</f>
        <v>0</v>
      </c>
      <c r="CB22" s="17">
        <f>t_Presses[[#This Row],[hp2016.03]]/t_Presses[[#This Row],[ha2016.03]]</f>
        <v>0</v>
      </c>
      <c r="CC22" s="17">
        <f>t_Presses[[#This Row],[hp2016.04]]/t_Presses[[#This Row],[ha2016.04]]</f>
        <v>0</v>
      </c>
      <c r="CD22" s="17">
        <f>t_Presses[[#This Row],[hp2016.05]]/t_Presses[[#This Row],[ha2016.05]]</f>
        <v>0</v>
      </c>
      <c r="CE22" s="17">
        <f>t_Presses[[#This Row],[hp2016.06]]/t_Presses[[#This Row],[ha2016.06]]</f>
        <v>0</v>
      </c>
      <c r="CF22" s="17">
        <f>t_Presses[[#This Row],[hp2016.07]]/t_Presses[[#This Row],[ha2016.07]]</f>
        <v>0</v>
      </c>
      <c r="CG22" s="17">
        <f>t_Presses[[#This Row],[hp2016.08]]/t_Presses[[#This Row],[ha2016.08]]</f>
        <v>0</v>
      </c>
      <c r="CH22" s="17">
        <f>t_Presses[[#This Row],[hp2016.09]]/t_Presses[[#This Row],[ha2016.09]]</f>
        <v>0</v>
      </c>
      <c r="CI22" s="17">
        <f>t_Presses[[#This Row],[hp2016.10]]/t_Presses[[#This Row],[ha2016.10]]</f>
        <v>0</v>
      </c>
      <c r="CJ22" s="17">
        <f>t_Presses[[#This Row],[hp2016.11]]/t_Presses[[#This Row],[ha2016.11]]</f>
        <v>0</v>
      </c>
      <c r="CK22" s="17">
        <f>t_Presses[[#This Row],[hp2016.12]]/t_Presses[[#This Row],[ha2016.12]]</f>
        <v>0</v>
      </c>
      <c r="CL22" s="17">
        <f>t_Presses[[#This Row],[hp2016.FY]]/t_Presses[[#This Row],[ha2016.FY]]</f>
        <v>0</v>
      </c>
      <c r="CM22" s="17">
        <f>t_Presses[[#This Row],[hp2017]]/t_Presses[[#This Row],[ha2017]]</f>
        <v>0</v>
      </c>
      <c r="CN22" s="17">
        <f>t_Presses[[#This Row],[hp2018]]/t_Presses[[#This Row],[ha2018]]</f>
        <v>0</v>
      </c>
      <c r="CO22" s="17">
        <f>t_Presses[[#This Row],[hp2019]]/t_Presses[[#This Row],[ha2019]]</f>
        <v>0</v>
      </c>
    </row>
    <row r="23" spans="1:93" x14ac:dyDescent="0.25">
      <c r="A23" s="16" t="s">
        <v>138</v>
      </c>
      <c r="B23" t="s">
        <v>9</v>
      </c>
      <c r="C23" t="s">
        <v>126</v>
      </c>
      <c r="D23">
        <v>200</v>
      </c>
      <c r="E23" s="18" t="str">
        <f t="shared" si="0"/>
        <v>0-299</v>
      </c>
      <c r="F23" s="15"/>
      <c r="G23" s="18">
        <f>VLOOKUP(t_Presses[[Plant]:[Plant]],t_Plants[],Plants!CM$1,FALSE)</f>
        <v>208</v>
      </c>
      <c r="H23">
        <f>VLOOKUP(t_Presses[[Plant]:[Plant]],t_Plants[],Plants!CN$1,FALSE)</f>
        <v>208</v>
      </c>
      <c r="I23" s="18">
        <f>VLOOKUP(t_Presses[[Plant]:[Plant]],t_Plants[],Plants!CO$1,FALSE)</f>
        <v>272</v>
      </c>
      <c r="J23" s="18">
        <f>VLOOKUP(t_Presses[[Plant]:[Plant]],t_Plants[],Plants!CP$1,FALSE)</f>
        <v>208</v>
      </c>
      <c r="K23" s="18">
        <f>VLOOKUP(t_Presses[[Plant]:[Plant]],t_Plants[],Plants!CQ$1,FALSE)</f>
        <v>208</v>
      </c>
      <c r="L23" s="18">
        <f>VLOOKUP(t_Presses[[Plant]:[Plant]],t_Plants[],Plants!CR$1,FALSE)</f>
        <v>272</v>
      </c>
      <c r="M23" s="18">
        <f>VLOOKUP(t_Presses[[Plant]:[Plant]],t_Plants[],Plants!CS$1,FALSE)</f>
        <v>208</v>
      </c>
      <c r="N23" s="18">
        <f>VLOOKUP(t_Presses[[Plant]:[Plant]],t_Plants[],Plants!CT$1,FALSE)</f>
        <v>208</v>
      </c>
      <c r="O23" s="18">
        <f>VLOOKUP(t_Presses[[Plant]:[Plant]],t_Plants[],Plants!CU$1,FALSE)</f>
        <v>272</v>
      </c>
      <c r="P23" s="18">
        <f>VLOOKUP(t_Presses[[Plant]:[Plant]],t_Plants[],Plants!CV$1,FALSE)</f>
        <v>208</v>
      </c>
      <c r="Q23" s="18">
        <f>VLOOKUP(t_Presses[[Plant]:[Plant]],t_Plants[],Plants!CW$1,FALSE)</f>
        <v>208</v>
      </c>
      <c r="R23" s="18">
        <f>VLOOKUP(t_Presses[[Plant]:[Plant]],t_Plants[],Plants!CX$1,FALSE)</f>
        <v>272</v>
      </c>
      <c r="S23" s="18">
        <f>SUM(t_Presses[[#This Row],[ha2015.01]:[ha2015.12]])</f>
        <v>2752</v>
      </c>
      <c r="T23">
        <f>VLOOKUP(t_Presses[[Plant]:[Plant]],t_Plants[],Plants!CZ$1,FALSE)</f>
        <v>208</v>
      </c>
      <c r="U23">
        <f>VLOOKUP(t_Presses[[Plant]:[Plant]],t_Plants[],Plants!DA$1,FALSE)</f>
        <v>208</v>
      </c>
      <c r="V23">
        <f>VLOOKUP(t_Presses[[Plant]:[Plant]],t_Plants[],Plants!DB$1,FALSE)</f>
        <v>272</v>
      </c>
      <c r="W23">
        <f>VLOOKUP(t_Presses[[Plant]:[Plant]],t_Plants[],Plants!DC$1,FALSE)</f>
        <v>208</v>
      </c>
      <c r="X23">
        <f>VLOOKUP(t_Presses[[Plant]:[Plant]],t_Plants[],Plants!DD$1,FALSE)</f>
        <v>208</v>
      </c>
      <c r="Y23">
        <f>VLOOKUP(t_Presses[[Plant]:[Plant]],t_Plants[],Plants!DE$1,FALSE)</f>
        <v>272</v>
      </c>
      <c r="Z23">
        <f>VLOOKUP(t_Presses[[Plant]:[Plant]],t_Plants[],Plants!DF$1,FALSE)</f>
        <v>208</v>
      </c>
      <c r="AA23">
        <f>VLOOKUP(t_Presses[[Plant]:[Plant]],t_Plants[],Plants!DG$1,FALSE)</f>
        <v>208</v>
      </c>
      <c r="AB23">
        <f>VLOOKUP(t_Presses[[Plant]:[Plant]],t_Plants[],Plants!DH$1,FALSE)</f>
        <v>272</v>
      </c>
      <c r="AC23">
        <f>VLOOKUP(t_Presses[[Plant]:[Plant]],t_Plants[],Plants!DI$1,FALSE)</f>
        <v>208</v>
      </c>
      <c r="AD23">
        <f>VLOOKUP(t_Presses[[Plant]:[Plant]],t_Plants[],Plants!DJ$1,FALSE)</f>
        <v>208</v>
      </c>
      <c r="AE23">
        <f>VLOOKUP(t_Presses[[Plant]:[Plant]],t_Plants[],Plants!DK$1,FALSE)</f>
        <v>272</v>
      </c>
      <c r="AF23" s="18">
        <f>SUM(t_Presses[[#This Row],[ha2016.01]:[ha2016.12]])</f>
        <v>2752</v>
      </c>
      <c r="AG23">
        <f>VLOOKUP(t_Presses[[Plant]:[Plant]],t_Plants[],Plants!DM$1,FALSE)</f>
        <v>2752</v>
      </c>
      <c r="AH23">
        <f>VLOOKUP(t_Presses[[Plant]:[Plant]],t_Plants[],Plants!DN$1,FALSE)</f>
        <v>2752</v>
      </c>
      <c r="AI23">
        <f>VLOOKUP(t_Presses[[Plant]:[Plant]],t_Plants[],Plants!DO$1,FALSE)</f>
        <v>2752</v>
      </c>
      <c r="AJ23" s="52">
        <f>SUMIF(r_PartPresses,t_Presses[[PRESS]:[PRESS]],t_Parts[hp2015.01])</f>
        <v>0</v>
      </c>
      <c r="AK23" s="52">
        <f>SUMIF(r_PartPresses,t_Presses[[PRESS]:[PRESS]],t_Parts[hp2015.02])</f>
        <v>0</v>
      </c>
      <c r="AL23" s="52">
        <f>SUMIF(r_PartPresses,t_Presses[[PRESS]:[PRESS]],t_Parts[hp2015.03])</f>
        <v>0</v>
      </c>
      <c r="AM23" s="52">
        <f>SUMIF(r_PartPresses,t_Presses[[PRESS]:[PRESS]],t_Parts[hp2015.04])</f>
        <v>0</v>
      </c>
      <c r="AN23" s="52">
        <f>SUMIF(r_PartPresses,t_Presses[[PRESS]:[PRESS]],t_Parts[hp2015.05])</f>
        <v>0</v>
      </c>
      <c r="AO23" s="52">
        <f>SUMIF(r_PartPresses,t_Presses[[PRESS]:[PRESS]],t_Parts[hp2015.06])</f>
        <v>0</v>
      </c>
      <c r="AP23" s="52">
        <f>SUMIF(r_PartPresses,t_Presses[[PRESS]:[PRESS]],t_Parts[hp2015.07])</f>
        <v>0</v>
      </c>
      <c r="AQ23" s="52">
        <f>SUMIF(r_PartPresses,t_Presses[[PRESS]:[PRESS]],t_Parts[hp2015.08])</f>
        <v>0</v>
      </c>
      <c r="AR23" s="52">
        <f>SUMIF(r_PartPresses,t_Presses[[PRESS]:[PRESS]],t_Parts[hp2015.09])</f>
        <v>0</v>
      </c>
      <c r="AS23" s="52">
        <f>SUMIF(r_PartPresses,t_Presses[[PRESS]:[PRESS]],t_Parts[hp2015.10])</f>
        <v>0</v>
      </c>
      <c r="AT23" s="52">
        <f>SUMIF(r_PartPresses,t_Presses[[PRESS]:[PRESS]],t_Parts[hp2015.11])</f>
        <v>0</v>
      </c>
      <c r="AU23" s="52">
        <f>SUMIF(r_PartPresses,t_Presses[[PRESS]:[PRESS]],t_Parts[hp2015.12])</f>
        <v>0</v>
      </c>
      <c r="AV23" s="52">
        <f>SUM(t_Presses[[#This Row],[hp2015.01]:[hp2015.12]])</f>
        <v>0</v>
      </c>
      <c r="AW23" s="52">
        <f>SUMIF(r_PartPresses,t_Presses[[PRESS]:[PRESS]],t_Parts[hp2016.01])</f>
        <v>0</v>
      </c>
      <c r="AX23" s="52">
        <f>SUMIF(r_PartPresses,t_Presses[[PRESS]:[PRESS]],t_Parts[hp2016.02])</f>
        <v>0</v>
      </c>
      <c r="AY23" s="52">
        <f>SUMIF(r_PartPresses,t_Presses[[PRESS]:[PRESS]],t_Parts[hp2016.03])</f>
        <v>0</v>
      </c>
      <c r="AZ23" s="52">
        <f>SUMIF(r_PartPresses,t_Presses[[PRESS]:[PRESS]],t_Parts[hp2016.04])</f>
        <v>0</v>
      </c>
      <c r="BA23" s="52">
        <f>SUMIF(r_PartPresses,t_Presses[[PRESS]:[PRESS]],t_Parts[hp2016.05])</f>
        <v>0</v>
      </c>
      <c r="BB23" s="52">
        <f>SUMIF(r_PartPresses,t_Presses[[PRESS]:[PRESS]],t_Parts[hp2016.06])</f>
        <v>0</v>
      </c>
      <c r="BC23" s="52">
        <f>SUMIF(r_PartPresses,t_Presses[[PRESS]:[PRESS]],t_Parts[hp2016.07])</f>
        <v>0</v>
      </c>
      <c r="BD23" s="52">
        <f>SUMIF(r_PartPresses,t_Presses[[PRESS]:[PRESS]],t_Parts[hp2016.08])</f>
        <v>0</v>
      </c>
      <c r="BE23" s="52">
        <f>SUMIF(r_PartPresses,t_Presses[[PRESS]:[PRESS]],t_Parts[hp2016.09])</f>
        <v>0</v>
      </c>
      <c r="BF23" s="52">
        <f>SUMIF(r_PartPresses,t_Presses[[PRESS]:[PRESS]],t_Parts[hp2016.10])</f>
        <v>0</v>
      </c>
      <c r="BG23" s="52">
        <f>SUMIF(r_PartPresses,t_Presses[[PRESS]:[PRESS]],t_Parts[hp2016.11])</f>
        <v>0</v>
      </c>
      <c r="BH23" s="52">
        <f>SUMIF(r_PartPresses,t_Presses[[PRESS]:[PRESS]],t_Parts[hp2016.12])</f>
        <v>0</v>
      </c>
      <c r="BI23" s="52">
        <f>SUMIF(r_PartPresses,t_Presses[[PRESS]:[PRESS]],t_Parts[hp2016.FY])</f>
        <v>0</v>
      </c>
      <c r="BJ23" s="52">
        <f>SUMIF(r_PartPresses,t_Presses[[PRESS]:[PRESS]],t_Parts[hp2017])</f>
        <v>0</v>
      </c>
      <c r="BK23" s="52">
        <f>SUMIF(r_PartPresses,t_Presses[[PRESS]:[PRESS]],t_Parts[hp2018])</f>
        <v>0</v>
      </c>
      <c r="BL23" s="52">
        <f>SUMIF(r_PartPresses,t_Presses[[PRESS]:[PRESS]],t_Parts[hp2019])</f>
        <v>0</v>
      </c>
      <c r="BM23" s="17">
        <f>t_Presses[[#This Row],[hp2015.01]]/t_Presses[[#This Row],[ha2015.01]]</f>
        <v>0</v>
      </c>
      <c r="BN23" s="17">
        <f>t_Presses[[#This Row],[hp2015.02]]/t_Presses[[#This Row],[ha2015.02]]</f>
        <v>0</v>
      </c>
      <c r="BO23" s="17">
        <f>t_Presses[[#This Row],[hp2015.03]]/t_Presses[[#This Row],[ha2015.03]]</f>
        <v>0</v>
      </c>
      <c r="BP23" s="17">
        <f>t_Presses[[#This Row],[hp2015.04]]/t_Presses[[#This Row],[ha2015.04]]</f>
        <v>0</v>
      </c>
      <c r="BQ23" s="17">
        <f>t_Presses[[#This Row],[hp2015.05]]/t_Presses[[#This Row],[ha2015.05]]</f>
        <v>0</v>
      </c>
      <c r="BR23" s="17">
        <f>t_Presses[[#This Row],[hp2015.06]]/t_Presses[[#This Row],[ha2015.06]]</f>
        <v>0</v>
      </c>
      <c r="BS23" s="17">
        <f>t_Presses[[#This Row],[hp2015.07]]/t_Presses[[#This Row],[ha2015.07]]</f>
        <v>0</v>
      </c>
      <c r="BT23" s="17">
        <f>t_Presses[[#This Row],[hp2015.08]]/t_Presses[[#This Row],[ha2015.08]]</f>
        <v>0</v>
      </c>
      <c r="BU23" s="17">
        <f>t_Presses[[#This Row],[hp2015.09]]/t_Presses[[#This Row],[ha2015.09]]</f>
        <v>0</v>
      </c>
      <c r="BV23" s="17">
        <f>t_Presses[[#This Row],[hp2015.10]]/t_Presses[[#This Row],[ha2015.10]]</f>
        <v>0</v>
      </c>
      <c r="BW23" s="17">
        <f>t_Presses[[#This Row],[hp2015.11]]/t_Presses[[#This Row],[ha2015.11]]</f>
        <v>0</v>
      </c>
      <c r="BX23" s="17">
        <f>t_Presses[[#This Row],[hp2015.12]]/t_Presses[[#This Row],[ha2015.12]]</f>
        <v>0</v>
      </c>
      <c r="BY23" s="17">
        <f>t_Presses[[#This Row],[hp2015.FY]]/t_Presses[[#This Row],[ha2015.FY]]</f>
        <v>0</v>
      </c>
      <c r="BZ23" s="17">
        <f>t_Presses[[#This Row],[hp2016.01]]/t_Presses[[#This Row],[ha2016.01]]</f>
        <v>0</v>
      </c>
      <c r="CA23" s="17">
        <f>t_Presses[[#This Row],[hp2016.02]]/t_Presses[[#This Row],[ha2016.02]]</f>
        <v>0</v>
      </c>
      <c r="CB23" s="17">
        <f>t_Presses[[#This Row],[hp2016.03]]/t_Presses[[#This Row],[ha2016.03]]</f>
        <v>0</v>
      </c>
      <c r="CC23" s="17">
        <f>t_Presses[[#This Row],[hp2016.04]]/t_Presses[[#This Row],[ha2016.04]]</f>
        <v>0</v>
      </c>
      <c r="CD23" s="17">
        <f>t_Presses[[#This Row],[hp2016.05]]/t_Presses[[#This Row],[ha2016.05]]</f>
        <v>0</v>
      </c>
      <c r="CE23" s="17">
        <f>t_Presses[[#This Row],[hp2016.06]]/t_Presses[[#This Row],[ha2016.06]]</f>
        <v>0</v>
      </c>
      <c r="CF23" s="17">
        <f>t_Presses[[#This Row],[hp2016.07]]/t_Presses[[#This Row],[ha2016.07]]</f>
        <v>0</v>
      </c>
      <c r="CG23" s="17">
        <f>t_Presses[[#This Row],[hp2016.08]]/t_Presses[[#This Row],[ha2016.08]]</f>
        <v>0</v>
      </c>
      <c r="CH23" s="17">
        <f>t_Presses[[#This Row],[hp2016.09]]/t_Presses[[#This Row],[ha2016.09]]</f>
        <v>0</v>
      </c>
      <c r="CI23" s="17">
        <f>t_Presses[[#This Row],[hp2016.10]]/t_Presses[[#This Row],[ha2016.10]]</f>
        <v>0</v>
      </c>
      <c r="CJ23" s="17">
        <f>t_Presses[[#This Row],[hp2016.11]]/t_Presses[[#This Row],[ha2016.11]]</f>
        <v>0</v>
      </c>
      <c r="CK23" s="17">
        <f>t_Presses[[#This Row],[hp2016.12]]/t_Presses[[#This Row],[ha2016.12]]</f>
        <v>0</v>
      </c>
      <c r="CL23" s="17">
        <f>t_Presses[[#This Row],[hp2016.FY]]/t_Presses[[#This Row],[ha2016.FY]]</f>
        <v>0</v>
      </c>
      <c r="CM23" s="17">
        <f>t_Presses[[#This Row],[hp2017]]/t_Presses[[#This Row],[ha2017]]</f>
        <v>0</v>
      </c>
      <c r="CN23" s="17">
        <f>t_Presses[[#This Row],[hp2018]]/t_Presses[[#This Row],[ha2018]]</f>
        <v>0</v>
      </c>
      <c r="CO23" s="17">
        <f>t_Presses[[#This Row],[hp2019]]/t_Presses[[#This Row],[ha2019]]</f>
        <v>0</v>
      </c>
    </row>
    <row r="24" spans="1:93" x14ac:dyDescent="0.25">
      <c r="A24" s="16" t="s">
        <v>139</v>
      </c>
      <c r="B24" t="s">
        <v>9</v>
      </c>
      <c r="C24" t="s">
        <v>126</v>
      </c>
      <c r="D24">
        <v>600</v>
      </c>
      <c r="E24" s="18" t="str">
        <f t="shared" si="0"/>
        <v>600-899</v>
      </c>
      <c r="F24" s="15"/>
      <c r="G24" s="18">
        <f>VLOOKUP(t_Presses[[Plant]:[Plant]],t_Plants[],Plants!CM$1,FALSE)</f>
        <v>208</v>
      </c>
      <c r="H24">
        <f>VLOOKUP(t_Presses[[Plant]:[Plant]],t_Plants[],Plants!CN$1,FALSE)</f>
        <v>208</v>
      </c>
      <c r="I24" s="18">
        <f>VLOOKUP(t_Presses[[Plant]:[Plant]],t_Plants[],Plants!CO$1,FALSE)</f>
        <v>272</v>
      </c>
      <c r="J24" s="18">
        <f>VLOOKUP(t_Presses[[Plant]:[Plant]],t_Plants[],Plants!CP$1,FALSE)</f>
        <v>208</v>
      </c>
      <c r="K24" s="18">
        <f>VLOOKUP(t_Presses[[Plant]:[Plant]],t_Plants[],Plants!CQ$1,FALSE)</f>
        <v>208</v>
      </c>
      <c r="L24" s="18">
        <f>VLOOKUP(t_Presses[[Plant]:[Plant]],t_Plants[],Plants!CR$1,FALSE)</f>
        <v>272</v>
      </c>
      <c r="M24" s="18">
        <f>VLOOKUP(t_Presses[[Plant]:[Plant]],t_Plants[],Plants!CS$1,FALSE)</f>
        <v>208</v>
      </c>
      <c r="N24" s="18">
        <f>VLOOKUP(t_Presses[[Plant]:[Plant]],t_Plants[],Plants!CT$1,FALSE)</f>
        <v>208</v>
      </c>
      <c r="O24" s="18">
        <f>VLOOKUP(t_Presses[[Plant]:[Plant]],t_Plants[],Plants!CU$1,FALSE)</f>
        <v>272</v>
      </c>
      <c r="P24" s="18">
        <f>VLOOKUP(t_Presses[[Plant]:[Plant]],t_Plants[],Plants!CV$1,FALSE)</f>
        <v>208</v>
      </c>
      <c r="Q24" s="18">
        <f>VLOOKUP(t_Presses[[Plant]:[Plant]],t_Plants[],Plants!CW$1,FALSE)</f>
        <v>208</v>
      </c>
      <c r="R24" s="18">
        <f>VLOOKUP(t_Presses[[Plant]:[Plant]],t_Plants[],Plants!CX$1,FALSE)</f>
        <v>272</v>
      </c>
      <c r="S24" s="18">
        <f>SUM(t_Presses[[#This Row],[ha2015.01]:[ha2015.12]])</f>
        <v>2752</v>
      </c>
      <c r="T24">
        <f>VLOOKUP(t_Presses[[Plant]:[Plant]],t_Plants[],Plants!CZ$1,FALSE)</f>
        <v>208</v>
      </c>
      <c r="U24">
        <f>VLOOKUP(t_Presses[[Plant]:[Plant]],t_Plants[],Plants!DA$1,FALSE)</f>
        <v>208</v>
      </c>
      <c r="V24">
        <f>VLOOKUP(t_Presses[[Plant]:[Plant]],t_Plants[],Plants!DB$1,FALSE)</f>
        <v>272</v>
      </c>
      <c r="W24">
        <f>VLOOKUP(t_Presses[[Plant]:[Plant]],t_Plants[],Plants!DC$1,FALSE)</f>
        <v>208</v>
      </c>
      <c r="X24">
        <f>VLOOKUP(t_Presses[[Plant]:[Plant]],t_Plants[],Plants!DD$1,FALSE)</f>
        <v>208</v>
      </c>
      <c r="Y24">
        <f>VLOOKUP(t_Presses[[Plant]:[Plant]],t_Plants[],Plants!DE$1,FALSE)</f>
        <v>272</v>
      </c>
      <c r="Z24">
        <f>VLOOKUP(t_Presses[[Plant]:[Plant]],t_Plants[],Plants!DF$1,FALSE)</f>
        <v>208</v>
      </c>
      <c r="AA24">
        <f>VLOOKUP(t_Presses[[Plant]:[Plant]],t_Plants[],Plants!DG$1,FALSE)</f>
        <v>208</v>
      </c>
      <c r="AB24">
        <f>VLOOKUP(t_Presses[[Plant]:[Plant]],t_Plants[],Plants!DH$1,FALSE)</f>
        <v>272</v>
      </c>
      <c r="AC24">
        <f>VLOOKUP(t_Presses[[Plant]:[Plant]],t_Plants[],Plants!DI$1,FALSE)</f>
        <v>208</v>
      </c>
      <c r="AD24">
        <f>VLOOKUP(t_Presses[[Plant]:[Plant]],t_Plants[],Plants!DJ$1,FALSE)</f>
        <v>208</v>
      </c>
      <c r="AE24">
        <f>VLOOKUP(t_Presses[[Plant]:[Plant]],t_Plants[],Plants!DK$1,FALSE)</f>
        <v>272</v>
      </c>
      <c r="AF24" s="18">
        <f>SUM(t_Presses[[#This Row],[ha2016.01]:[ha2016.12]])</f>
        <v>2752</v>
      </c>
      <c r="AG24">
        <f>VLOOKUP(t_Presses[[Plant]:[Plant]],t_Plants[],Plants!DM$1,FALSE)</f>
        <v>2752</v>
      </c>
      <c r="AH24">
        <f>VLOOKUP(t_Presses[[Plant]:[Plant]],t_Plants[],Plants!DN$1,FALSE)</f>
        <v>2752</v>
      </c>
      <c r="AI24">
        <f>VLOOKUP(t_Presses[[Plant]:[Plant]],t_Plants[],Plants!DO$1,FALSE)</f>
        <v>2752</v>
      </c>
      <c r="AJ24" s="52">
        <f>SUMIF(r_PartPresses,t_Presses[[PRESS]:[PRESS]],t_Parts[hp2015.01])</f>
        <v>0</v>
      </c>
      <c r="AK24" s="52">
        <f>SUMIF(r_PartPresses,t_Presses[[PRESS]:[PRESS]],t_Parts[hp2015.02])</f>
        <v>0</v>
      </c>
      <c r="AL24" s="52">
        <f>SUMIF(r_PartPresses,t_Presses[[PRESS]:[PRESS]],t_Parts[hp2015.03])</f>
        <v>0</v>
      </c>
      <c r="AM24" s="52">
        <f>SUMIF(r_PartPresses,t_Presses[[PRESS]:[PRESS]],t_Parts[hp2015.04])</f>
        <v>0</v>
      </c>
      <c r="AN24" s="52">
        <f>SUMIF(r_PartPresses,t_Presses[[PRESS]:[PRESS]],t_Parts[hp2015.05])</f>
        <v>0</v>
      </c>
      <c r="AO24" s="52">
        <f>SUMIF(r_PartPresses,t_Presses[[PRESS]:[PRESS]],t_Parts[hp2015.06])</f>
        <v>0</v>
      </c>
      <c r="AP24" s="52">
        <f>SUMIF(r_PartPresses,t_Presses[[PRESS]:[PRESS]],t_Parts[hp2015.07])</f>
        <v>0</v>
      </c>
      <c r="AQ24" s="52">
        <f>SUMIF(r_PartPresses,t_Presses[[PRESS]:[PRESS]],t_Parts[hp2015.08])</f>
        <v>0</v>
      </c>
      <c r="AR24" s="52">
        <f>SUMIF(r_PartPresses,t_Presses[[PRESS]:[PRESS]],t_Parts[hp2015.09])</f>
        <v>0</v>
      </c>
      <c r="AS24" s="52">
        <f>SUMIF(r_PartPresses,t_Presses[[PRESS]:[PRESS]],t_Parts[hp2015.10])</f>
        <v>0</v>
      </c>
      <c r="AT24" s="52">
        <f>SUMIF(r_PartPresses,t_Presses[[PRESS]:[PRESS]],t_Parts[hp2015.11])</f>
        <v>0</v>
      </c>
      <c r="AU24" s="52">
        <f>SUMIF(r_PartPresses,t_Presses[[PRESS]:[PRESS]],t_Parts[hp2015.12])</f>
        <v>0</v>
      </c>
      <c r="AV24" s="52">
        <f>SUM(t_Presses[[#This Row],[hp2015.01]:[hp2015.12]])</f>
        <v>0</v>
      </c>
      <c r="AW24" s="52">
        <f>SUMIF(r_PartPresses,t_Presses[[PRESS]:[PRESS]],t_Parts[hp2016.01])</f>
        <v>0</v>
      </c>
      <c r="AX24" s="52">
        <f>SUMIF(r_PartPresses,t_Presses[[PRESS]:[PRESS]],t_Parts[hp2016.02])</f>
        <v>0</v>
      </c>
      <c r="AY24" s="52">
        <f>SUMIF(r_PartPresses,t_Presses[[PRESS]:[PRESS]],t_Parts[hp2016.03])</f>
        <v>0</v>
      </c>
      <c r="AZ24" s="52">
        <f>SUMIF(r_PartPresses,t_Presses[[PRESS]:[PRESS]],t_Parts[hp2016.04])</f>
        <v>0</v>
      </c>
      <c r="BA24" s="52">
        <f>SUMIF(r_PartPresses,t_Presses[[PRESS]:[PRESS]],t_Parts[hp2016.05])</f>
        <v>0</v>
      </c>
      <c r="BB24" s="52">
        <f>SUMIF(r_PartPresses,t_Presses[[PRESS]:[PRESS]],t_Parts[hp2016.06])</f>
        <v>0</v>
      </c>
      <c r="BC24" s="52">
        <f>SUMIF(r_PartPresses,t_Presses[[PRESS]:[PRESS]],t_Parts[hp2016.07])</f>
        <v>0</v>
      </c>
      <c r="BD24" s="52">
        <f>SUMIF(r_PartPresses,t_Presses[[PRESS]:[PRESS]],t_Parts[hp2016.08])</f>
        <v>0</v>
      </c>
      <c r="BE24" s="52">
        <f>SUMIF(r_PartPresses,t_Presses[[PRESS]:[PRESS]],t_Parts[hp2016.09])</f>
        <v>0</v>
      </c>
      <c r="BF24" s="52">
        <f>SUMIF(r_PartPresses,t_Presses[[PRESS]:[PRESS]],t_Parts[hp2016.10])</f>
        <v>0</v>
      </c>
      <c r="BG24" s="52">
        <f>SUMIF(r_PartPresses,t_Presses[[PRESS]:[PRESS]],t_Parts[hp2016.11])</f>
        <v>0</v>
      </c>
      <c r="BH24" s="52">
        <f>SUMIF(r_PartPresses,t_Presses[[PRESS]:[PRESS]],t_Parts[hp2016.12])</f>
        <v>0</v>
      </c>
      <c r="BI24" s="52">
        <f>SUMIF(r_PartPresses,t_Presses[[PRESS]:[PRESS]],t_Parts[hp2016.FY])</f>
        <v>0</v>
      </c>
      <c r="BJ24" s="52">
        <f>SUMIF(r_PartPresses,t_Presses[[PRESS]:[PRESS]],t_Parts[hp2017])</f>
        <v>0</v>
      </c>
      <c r="BK24" s="52">
        <f>SUMIF(r_PartPresses,t_Presses[[PRESS]:[PRESS]],t_Parts[hp2018])</f>
        <v>0</v>
      </c>
      <c r="BL24" s="52">
        <f>SUMIF(r_PartPresses,t_Presses[[PRESS]:[PRESS]],t_Parts[hp2019])</f>
        <v>0</v>
      </c>
      <c r="BM24" s="17">
        <f>t_Presses[[#This Row],[hp2015.01]]/t_Presses[[#This Row],[ha2015.01]]</f>
        <v>0</v>
      </c>
      <c r="BN24" s="17">
        <f>t_Presses[[#This Row],[hp2015.02]]/t_Presses[[#This Row],[ha2015.02]]</f>
        <v>0</v>
      </c>
      <c r="BO24" s="17">
        <f>t_Presses[[#This Row],[hp2015.03]]/t_Presses[[#This Row],[ha2015.03]]</f>
        <v>0</v>
      </c>
      <c r="BP24" s="17">
        <f>t_Presses[[#This Row],[hp2015.04]]/t_Presses[[#This Row],[ha2015.04]]</f>
        <v>0</v>
      </c>
      <c r="BQ24" s="17">
        <f>t_Presses[[#This Row],[hp2015.05]]/t_Presses[[#This Row],[ha2015.05]]</f>
        <v>0</v>
      </c>
      <c r="BR24" s="17">
        <f>t_Presses[[#This Row],[hp2015.06]]/t_Presses[[#This Row],[ha2015.06]]</f>
        <v>0</v>
      </c>
      <c r="BS24" s="17">
        <f>t_Presses[[#This Row],[hp2015.07]]/t_Presses[[#This Row],[ha2015.07]]</f>
        <v>0</v>
      </c>
      <c r="BT24" s="17">
        <f>t_Presses[[#This Row],[hp2015.08]]/t_Presses[[#This Row],[ha2015.08]]</f>
        <v>0</v>
      </c>
      <c r="BU24" s="17">
        <f>t_Presses[[#This Row],[hp2015.09]]/t_Presses[[#This Row],[ha2015.09]]</f>
        <v>0</v>
      </c>
      <c r="BV24" s="17">
        <f>t_Presses[[#This Row],[hp2015.10]]/t_Presses[[#This Row],[ha2015.10]]</f>
        <v>0</v>
      </c>
      <c r="BW24" s="17">
        <f>t_Presses[[#This Row],[hp2015.11]]/t_Presses[[#This Row],[ha2015.11]]</f>
        <v>0</v>
      </c>
      <c r="BX24" s="17">
        <f>t_Presses[[#This Row],[hp2015.12]]/t_Presses[[#This Row],[ha2015.12]]</f>
        <v>0</v>
      </c>
      <c r="BY24" s="17">
        <f>t_Presses[[#This Row],[hp2015.FY]]/t_Presses[[#This Row],[ha2015.FY]]</f>
        <v>0</v>
      </c>
      <c r="BZ24" s="17">
        <f>t_Presses[[#This Row],[hp2016.01]]/t_Presses[[#This Row],[ha2016.01]]</f>
        <v>0</v>
      </c>
      <c r="CA24" s="17">
        <f>t_Presses[[#This Row],[hp2016.02]]/t_Presses[[#This Row],[ha2016.02]]</f>
        <v>0</v>
      </c>
      <c r="CB24" s="17">
        <f>t_Presses[[#This Row],[hp2016.03]]/t_Presses[[#This Row],[ha2016.03]]</f>
        <v>0</v>
      </c>
      <c r="CC24" s="17">
        <f>t_Presses[[#This Row],[hp2016.04]]/t_Presses[[#This Row],[ha2016.04]]</f>
        <v>0</v>
      </c>
      <c r="CD24" s="17">
        <f>t_Presses[[#This Row],[hp2016.05]]/t_Presses[[#This Row],[ha2016.05]]</f>
        <v>0</v>
      </c>
      <c r="CE24" s="17">
        <f>t_Presses[[#This Row],[hp2016.06]]/t_Presses[[#This Row],[ha2016.06]]</f>
        <v>0</v>
      </c>
      <c r="CF24" s="17">
        <f>t_Presses[[#This Row],[hp2016.07]]/t_Presses[[#This Row],[ha2016.07]]</f>
        <v>0</v>
      </c>
      <c r="CG24" s="17">
        <f>t_Presses[[#This Row],[hp2016.08]]/t_Presses[[#This Row],[ha2016.08]]</f>
        <v>0</v>
      </c>
      <c r="CH24" s="17">
        <f>t_Presses[[#This Row],[hp2016.09]]/t_Presses[[#This Row],[ha2016.09]]</f>
        <v>0</v>
      </c>
      <c r="CI24" s="17">
        <f>t_Presses[[#This Row],[hp2016.10]]/t_Presses[[#This Row],[ha2016.10]]</f>
        <v>0</v>
      </c>
      <c r="CJ24" s="17">
        <f>t_Presses[[#This Row],[hp2016.11]]/t_Presses[[#This Row],[ha2016.11]]</f>
        <v>0</v>
      </c>
      <c r="CK24" s="17">
        <f>t_Presses[[#This Row],[hp2016.12]]/t_Presses[[#This Row],[ha2016.12]]</f>
        <v>0</v>
      </c>
      <c r="CL24" s="17">
        <f>t_Presses[[#This Row],[hp2016.FY]]/t_Presses[[#This Row],[ha2016.FY]]</f>
        <v>0</v>
      </c>
      <c r="CM24" s="17">
        <f>t_Presses[[#This Row],[hp2017]]/t_Presses[[#This Row],[ha2017]]</f>
        <v>0</v>
      </c>
      <c r="CN24" s="17">
        <f>t_Presses[[#This Row],[hp2018]]/t_Presses[[#This Row],[ha2018]]</f>
        <v>0</v>
      </c>
      <c r="CO24" s="17">
        <f>t_Presses[[#This Row],[hp2019]]/t_Presses[[#This Row],[ha2019]]</f>
        <v>0</v>
      </c>
    </row>
    <row r="25" spans="1:93" x14ac:dyDescent="0.25">
      <c r="A25" s="16" t="s">
        <v>140</v>
      </c>
      <c r="B25" t="s">
        <v>9</v>
      </c>
      <c r="C25" t="s">
        <v>126</v>
      </c>
      <c r="D25">
        <v>600</v>
      </c>
      <c r="E25" s="18" t="str">
        <f t="shared" si="0"/>
        <v>600-899</v>
      </c>
      <c r="F25" s="15"/>
      <c r="G25" s="18">
        <f>VLOOKUP(t_Presses[[Plant]:[Plant]],t_Plants[],Plants!CM$1,FALSE)</f>
        <v>208</v>
      </c>
      <c r="H25">
        <f>VLOOKUP(t_Presses[[Plant]:[Plant]],t_Plants[],Plants!CN$1,FALSE)</f>
        <v>208</v>
      </c>
      <c r="I25" s="18">
        <f>VLOOKUP(t_Presses[[Plant]:[Plant]],t_Plants[],Plants!CO$1,FALSE)</f>
        <v>272</v>
      </c>
      <c r="J25" s="18">
        <f>VLOOKUP(t_Presses[[Plant]:[Plant]],t_Plants[],Plants!CP$1,FALSE)</f>
        <v>208</v>
      </c>
      <c r="K25" s="18">
        <f>VLOOKUP(t_Presses[[Plant]:[Plant]],t_Plants[],Plants!CQ$1,FALSE)</f>
        <v>208</v>
      </c>
      <c r="L25" s="18">
        <f>VLOOKUP(t_Presses[[Plant]:[Plant]],t_Plants[],Plants!CR$1,FALSE)</f>
        <v>272</v>
      </c>
      <c r="M25" s="18">
        <f>VLOOKUP(t_Presses[[Plant]:[Plant]],t_Plants[],Plants!CS$1,FALSE)</f>
        <v>208</v>
      </c>
      <c r="N25" s="18">
        <f>VLOOKUP(t_Presses[[Plant]:[Plant]],t_Plants[],Plants!CT$1,FALSE)</f>
        <v>208</v>
      </c>
      <c r="O25" s="18">
        <f>VLOOKUP(t_Presses[[Plant]:[Plant]],t_Plants[],Plants!CU$1,FALSE)</f>
        <v>272</v>
      </c>
      <c r="P25" s="18">
        <f>VLOOKUP(t_Presses[[Plant]:[Plant]],t_Plants[],Plants!CV$1,FALSE)</f>
        <v>208</v>
      </c>
      <c r="Q25" s="18">
        <f>VLOOKUP(t_Presses[[Plant]:[Plant]],t_Plants[],Plants!CW$1,FALSE)</f>
        <v>208</v>
      </c>
      <c r="R25" s="18">
        <f>VLOOKUP(t_Presses[[Plant]:[Plant]],t_Plants[],Plants!CX$1,FALSE)</f>
        <v>272</v>
      </c>
      <c r="S25" s="18">
        <f>SUM(t_Presses[[#This Row],[ha2015.01]:[ha2015.12]])</f>
        <v>2752</v>
      </c>
      <c r="T25">
        <f>VLOOKUP(t_Presses[[Plant]:[Plant]],t_Plants[],Plants!CZ$1,FALSE)</f>
        <v>208</v>
      </c>
      <c r="U25">
        <f>VLOOKUP(t_Presses[[Plant]:[Plant]],t_Plants[],Plants!DA$1,FALSE)</f>
        <v>208</v>
      </c>
      <c r="V25">
        <f>VLOOKUP(t_Presses[[Plant]:[Plant]],t_Plants[],Plants!DB$1,FALSE)</f>
        <v>272</v>
      </c>
      <c r="W25">
        <f>VLOOKUP(t_Presses[[Plant]:[Plant]],t_Plants[],Plants!DC$1,FALSE)</f>
        <v>208</v>
      </c>
      <c r="X25">
        <f>VLOOKUP(t_Presses[[Plant]:[Plant]],t_Plants[],Plants!DD$1,FALSE)</f>
        <v>208</v>
      </c>
      <c r="Y25">
        <f>VLOOKUP(t_Presses[[Plant]:[Plant]],t_Plants[],Plants!DE$1,FALSE)</f>
        <v>272</v>
      </c>
      <c r="Z25">
        <f>VLOOKUP(t_Presses[[Plant]:[Plant]],t_Plants[],Plants!DF$1,FALSE)</f>
        <v>208</v>
      </c>
      <c r="AA25">
        <f>VLOOKUP(t_Presses[[Plant]:[Plant]],t_Plants[],Plants!DG$1,FALSE)</f>
        <v>208</v>
      </c>
      <c r="AB25">
        <f>VLOOKUP(t_Presses[[Plant]:[Plant]],t_Plants[],Plants!DH$1,FALSE)</f>
        <v>272</v>
      </c>
      <c r="AC25">
        <f>VLOOKUP(t_Presses[[Plant]:[Plant]],t_Plants[],Plants!DI$1,FALSE)</f>
        <v>208</v>
      </c>
      <c r="AD25">
        <f>VLOOKUP(t_Presses[[Plant]:[Plant]],t_Plants[],Plants!DJ$1,FALSE)</f>
        <v>208</v>
      </c>
      <c r="AE25">
        <f>VLOOKUP(t_Presses[[Plant]:[Plant]],t_Plants[],Plants!DK$1,FALSE)</f>
        <v>272</v>
      </c>
      <c r="AF25" s="18">
        <f>SUM(t_Presses[[#This Row],[ha2016.01]:[ha2016.12]])</f>
        <v>2752</v>
      </c>
      <c r="AG25">
        <f>VLOOKUP(t_Presses[[Plant]:[Plant]],t_Plants[],Plants!DM$1,FALSE)</f>
        <v>2752</v>
      </c>
      <c r="AH25">
        <f>VLOOKUP(t_Presses[[Plant]:[Plant]],t_Plants[],Plants!DN$1,FALSE)</f>
        <v>2752</v>
      </c>
      <c r="AI25">
        <f>VLOOKUP(t_Presses[[Plant]:[Plant]],t_Plants[],Plants!DO$1,FALSE)</f>
        <v>2752</v>
      </c>
      <c r="AJ25" s="52">
        <f>SUMIF(r_PartPresses,t_Presses[[PRESS]:[PRESS]],t_Parts[hp2015.01])</f>
        <v>0</v>
      </c>
      <c r="AK25" s="52">
        <f>SUMIF(r_PartPresses,t_Presses[[PRESS]:[PRESS]],t_Parts[hp2015.02])</f>
        <v>0</v>
      </c>
      <c r="AL25" s="52">
        <f>SUMIF(r_PartPresses,t_Presses[[PRESS]:[PRESS]],t_Parts[hp2015.03])</f>
        <v>0</v>
      </c>
      <c r="AM25" s="52">
        <f>SUMIF(r_PartPresses,t_Presses[[PRESS]:[PRESS]],t_Parts[hp2015.04])</f>
        <v>0</v>
      </c>
      <c r="AN25" s="52">
        <f>SUMIF(r_PartPresses,t_Presses[[PRESS]:[PRESS]],t_Parts[hp2015.05])</f>
        <v>0</v>
      </c>
      <c r="AO25" s="52">
        <f>SUMIF(r_PartPresses,t_Presses[[PRESS]:[PRESS]],t_Parts[hp2015.06])</f>
        <v>0</v>
      </c>
      <c r="AP25" s="52">
        <f>SUMIF(r_PartPresses,t_Presses[[PRESS]:[PRESS]],t_Parts[hp2015.07])</f>
        <v>0</v>
      </c>
      <c r="AQ25" s="52">
        <f>SUMIF(r_PartPresses,t_Presses[[PRESS]:[PRESS]],t_Parts[hp2015.08])</f>
        <v>0</v>
      </c>
      <c r="AR25" s="52">
        <f>SUMIF(r_PartPresses,t_Presses[[PRESS]:[PRESS]],t_Parts[hp2015.09])</f>
        <v>0</v>
      </c>
      <c r="AS25" s="52">
        <f>SUMIF(r_PartPresses,t_Presses[[PRESS]:[PRESS]],t_Parts[hp2015.10])</f>
        <v>0</v>
      </c>
      <c r="AT25" s="52">
        <f>SUMIF(r_PartPresses,t_Presses[[PRESS]:[PRESS]],t_Parts[hp2015.11])</f>
        <v>0</v>
      </c>
      <c r="AU25" s="52">
        <f>SUMIF(r_PartPresses,t_Presses[[PRESS]:[PRESS]],t_Parts[hp2015.12])</f>
        <v>0</v>
      </c>
      <c r="AV25" s="52">
        <f>SUM(t_Presses[[#This Row],[hp2015.01]:[hp2015.12]])</f>
        <v>0</v>
      </c>
      <c r="AW25" s="52">
        <f>SUMIF(r_PartPresses,t_Presses[[PRESS]:[PRESS]],t_Parts[hp2016.01])</f>
        <v>0</v>
      </c>
      <c r="AX25" s="52">
        <f>SUMIF(r_PartPresses,t_Presses[[PRESS]:[PRESS]],t_Parts[hp2016.02])</f>
        <v>0</v>
      </c>
      <c r="AY25" s="52">
        <f>SUMIF(r_PartPresses,t_Presses[[PRESS]:[PRESS]],t_Parts[hp2016.03])</f>
        <v>0</v>
      </c>
      <c r="AZ25" s="52">
        <f>SUMIF(r_PartPresses,t_Presses[[PRESS]:[PRESS]],t_Parts[hp2016.04])</f>
        <v>0</v>
      </c>
      <c r="BA25" s="52">
        <f>SUMIF(r_PartPresses,t_Presses[[PRESS]:[PRESS]],t_Parts[hp2016.05])</f>
        <v>0</v>
      </c>
      <c r="BB25" s="52">
        <f>SUMIF(r_PartPresses,t_Presses[[PRESS]:[PRESS]],t_Parts[hp2016.06])</f>
        <v>0</v>
      </c>
      <c r="BC25" s="52">
        <f>SUMIF(r_PartPresses,t_Presses[[PRESS]:[PRESS]],t_Parts[hp2016.07])</f>
        <v>0</v>
      </c>
      <c r="BD25" s="52">
        <f>SUMIF(r_PartPresses,t_Presses[[PRESS]:[PRESS]],t_Parts[hp2016.08])</f>
        <v>0</v>
      </c>
      <c r="BE25" s="52">
        <f>SUMIF(r_PartPresses,t_Presses[[PRESS]:[PRESS]],t_Parts[hp2016.09])</f>
        <v>0</v>
      </c>
      <c r="BF25" s="52">
        <f>SUMIF(r_PartPresses,t_Presses[[PRESS]:[PRESS]],t_Parts[hp2016.10])</f>
        <v>0</v>
      </c>
      <c r="BG25" s="52">
        <f>SUMIF(r_PartPresses,t_Presses[[PRESS]:[PRESS]],t_Parts[hp2016.11])</f>
        <v>0</v>
      </c>
      <c r="BH25" s="52">
        <f>SUMIF(r_PartPresses,t_Presses[[PRESS]:[PRESS]],t_Parts[hp2016.12])</f>
        <v>0</v>
      </c>
      <c r="BI25" s="52">
        <f>SUMIF(r_PartPresses,t_Presses[[PRESS]:[PRESS]],t_Parts[hp2016.FY])</f>
        <v>0</v>
      </c>
      <c r="BJ25" s="52">
        <f>SUMIF(r_PartPresses,t_Presses[[PRESS]:[PRESS]],t_Parts[hp2017])</f>
        <v>0</v>
      </c>
      <c r="BK25" s="52">
        <f>SUMIF(r_PartPresses,t_Presses[[PRESS]:[PRESS]],t_Parts[hp2018])</f>
        <v>0</v>
      </c>
      <c r="BL25" s="52">
        <f>SUMIF(r_PartPresses,t_Presses[[PRESS]:[PRESS]],t_Parts[hp2019])</f>
        <v>0</v>
      </c>
      <c r="BM25" s="17">
        <f>t_Presses[[#This Row],[hp2015.01]]/t_Presses[[#This Row],[ha2015.01]]</f>
        <v>0</v>
      </c>
      <c r="BN25" s="17">
        <f>t_Presses[[#This Row],[hp2015.02]]/t_Presses[[#This Row],[ha2015.02]]</f>
        <v>0</v>
      </c>
      <c r="BO25" s="17">
        <f>t_Presses[[#This Row],[hp2015.03]]/t_Presses[[#This Row],[ha2015.03]]</f>
        <v>0</v>
      </c>
      <c r="BP25" s="17">
        <f>t_Presses[[#This Row],[hp2015.04]]/t_Presses[[#This Row],[ha2015.04]]</f>
        <v>0</v>
      </c>
      <c r="BQ25" s="17">
        <f>t_Presses[[#This Row],[hp2015.05]]/t_Presses[[#This Row],[ha2015.05]]</f>
        <v>0</v>
      </c>
      <c r="BR25" s="17">
        <f>t_Presses[[#This Row],[hp2015.06]]/t_Presses[[#This Row],[ha2015.06]]</f>
        <v>0</v>
      </c>
      <c r="BS25" s="17">
        <f>t_Presses[[#This Row],[hp2015.07]]/t_Presses[[#This Row],[ha2015.07]]</f>
        <v>0</v>
      </c>
      <c r="BT25" s="17">
        <f>t_Presses[[#This Row],[hp2015.08]]/t_Presses[[#This Row],[ha2015.08]]</f>
        <v>0</v>
      </c>
      <c r="BU25" s="17">
        <f>t_Presses[[#This Row],[hp2015.09]]/t_Presses[[#This Row],[ha2015.09]]</f>
        <v>0</v>
      </c>
      <c r="BV25" s="17">
        <f>t_Presses[[#This Row],[hp2015.10]]/t_Presses[[#This Row],[ha2015.10]]</f>
        <v>0</v>
      </c>
      <c r="BW25" s="17">
        <f>t_Presses[[#This Row],[hp2015.11]]/t_Presses[[#This Row],[ha2015.11]]</f>
        <v>0</v>
      </c>
      <c r="BX25" s="17">
        <f>t_Presses[[#This Row],[hp2015.12]]/t_Presses[[#This Row],[ha2015.12]]</f>
        <v>0</v>
      </c>
      <c r="BY25" s="17">
        <f>t_Presses[[#This Row],[hp2015.FY]]/t_Presses[[#This Row],[ha2015.FY]]</f>
        <v>0</v>
      </c>
      <c r="BZ25" s="17">
        <f>t_Presses[[#This Row],[hp2016.01]]/t_Presses[[#This Row],[ha2016.01]]</f>
        <v>0</v>
      </c>
      <c r="CA25" s="17">
        <f>t_Presses[[#This Row],[hp2016.02]]/t_Presses[[#This Row],[ha2016.02]]</f>
        <v>0</v>
      </c>
      <c r="CB25" s="17">
        <f>t_Presses[[#This Row],[hp2016.03]]/t_Presses[[#This Row],[ha2016.03]]</f>
        <v>0</v>
      </c>
      <c r="CC25" s="17">
        <f>t_Presses[[#This Row],[hp2016.04]]/t_Presses[[#This Row],[ha2016.04]]</f>
        <v>0</v>
      </c>
      <c r="CD25" s="17">
        <f>t_Presses[[#This Row],[hp2016.05]]/t_Presses[[#This Row],[ha2016.05]]</f>
        <v>0</v>
      </c>
      <c r="CE25" s="17">
        <f>t_Presses[[#This Row],[hp2016.06]]/t_Presses[[#This Row],[ha2016.06]]</f>
        <v>0</v>
      </c>
      <c r="CF25" s="17">
        <f>t_Presses[[#This Row],[hp2016.07]]/t_Presses[[#This Row],[ha2016.07]]</f>
        <v>0</v>
      </c>
      <c r="CG25" s="17">
        <f>t_Presses[[#This Row],[hp2016.08]]/t_Presses[[#This Row],[ha2016.08]]</f>
        <v>0</v>
      </c>
      <c r="CH25" s="17">
        <f>t_Presses[[#This Row],[hp2016.09]]/t_Presses[[#This Row],[ha2016.09]]</f>
        <v>0</v>
      </c>
      <c r="CI25" s="17">
        <f>t_Presses[[#This Row],[hp2016.10]]/t_Presses[[#This Row],[ha2016.10]]</f>
        <v>0</v>
      </c>
      <c r="CJ25" s="17">
        <f>t_Presses[[#This Row],[hp2016.11]]/t_Presses[[#This Row],[ha2016.11]]</f>
        <v>0</v>
      </c>
      <c r="CK25" s="17">
        <f>t_Presses[[#This Row],[hp2016.12]]/t_Presses[[#This Row],[ha2016.12]]</f>
        <v>0</v>
      </c>
      <c r="CL25" s="17">
        <f>t_Presses[[#This Row],[hp2016.FY]]/t_Presses[[#This Row],[ha2016.FY]]</f>
        <v>0</v>
      </c>
      <c r="CM25" s="17">
        <f>t_Presses[[#This Row],[hp2017]]/t_Presses[[#This Row],[ha2017]]</f>
        <v>0</v>
      </c>
      <c r="CN25" s="17">
        <f>t_Presses[[#This Row],[hp2018]]/t_Presses[[#This Row],[ha2018]]</f>
        <v>0</v>
      </c>
      <c r="CO25" s="17">
        <f>t_Presses[[#This Row],[hp2019]]/t_Presses[[#This Row],[ha2019]]</f>
        <v>0</v>
      </c>
    </row>
    <row r="26" spans="1:93" x14ac:dyDescent="0.25">
      <c r="A26" s="16" t="s">
        <v>141</v>
      </c>
      <c r="B26" t="s">
        <v>9</v>
      </c>
      <c r="C26" t="s">
        <v>126</v>
      </c>
      <c r="D26">
        <v>500</v>
      </c>
      <c r="E26" s="18" t="str">
        <f t="shared" si="0"/>
        <v>300-599</v>
      </c>
      <c r="F26" s="15"/>
      <c r="G26" s="18">
        <f>VLOOKUP(t_Presses[[Plant]:[Plant]],t_Plants[],Plants!CM$1,FALSE)</f>
        <v>208</v>
      </c>
      <c r="H26">
        <f>VLOOKUP(t_Presses[[Plant]:[Plant]],t_Plants[],Plants!CN$1,FALSE)</f>
        <v>208</v>
      </c>
      <c r="I26" s="18">
        <f>VLOOKUP(t_Presses[[Plant]:[Plant]],t_Plants[],Plants!CO$1,FALSE)</f>
        <v>272</v>
      </c>
      <c r="J26" s="18">
        <f>VLOOKUP(t_Presses[[Plant]:[Plant]],t_Plants[],Plants!CP$1,FALSE)</f>
        <v>208</v>
      </c>
      <c r="K26" s="18">
        <f>VLOOKUP(t_Presses[[Plant]:[Plant]],t_Plants[],Plants!CQ$1,FALSE)</f>
        <v>208</v>
      </c>
      <c r="L26" s="18">
        <f>VLOOKUP(t_Presses[[Plant]:[Plant]],t_Plants[],Plants!CR$1,FALSE)</f>
        <v>272</v>
      </c>
      <c r="M26" s="18">
        <f>VLOOKUP(t_Presses[[Plant]:[Plant]],t_Plants[],Plants!CS$1,FALSE)</f>
        <v>208</v>
      </c>
      <c r="N26" s="18">
        <f>VLOOKUP(t_Presses[[Plant]:[Plant]],t_Plants[],Plants!CT$1,FALSE)</f>
        <v>208</v>
      </c>
      <c r="O26" s="18">
        <f>VLOOKUP(t_Presses[[Plant]:[Plant]],t_Plants[],Plants!CU$1,FALSE)</f>
        <v>272</v>
      </c>
      <c r="P26" s="18">
        <f>VLOOKUP(t_Presses[[Plant]:[Plant]],t_Plants[],Plants!CV$1,FALSE)</f>
        <v>208</v>
      </c>
      <c r="Q26" s="18">
        <f>VLOOKUP(t_Presses[[Plant]:[Plant]],t_Plants[],Plants!CW$1,FALSE)</f>
        <v>208</v>
      </c>
      <c r="R26" s="18">
        <f>VLOOKUP(t_Presses[[Plant]:[Plant]],t_Plants[],Plants!CX$1,FALSE)</f>
        <v>272</v>
      </c>
      <c r="S26" s="18">
        <f>SUM(t_Presses[[#This Row],[ha2015.01]:[ha2015.12]])</f>
        <v>2752</v>
      </c>
      <c r="T26">
        <f>VLOOKUP(t_Presses[[Plant]:[Plant]],t_Plants[],Plants!CZ$1,FALSE)</f>
        <v>208</v>
      </c>
      <c r="U26">
        <f>VLOOKUP(t_Presses[[Plant]:[Plant]],t_Plants[],Plants!DA$1,FALSE)</f>
        <v>208</v>
      </c>
      <c r="V26">
        <f>VLOOKUP(t_Presses[[Plant]:[Plant]],t_Plants[],Plants!DB$1,FALSE)</f>
        <v>272</v>
      </c>
      <c r="W26">
        <f>VLOOKUP(t_Presses[[Plant]:[Plant]],t_Plants[],Plants!DC$1,FALSE)</f>
        <v>208</v>
      </c>
      <c r="X26">
        <f>VLOOKUP(t_Presses[[Plant]:[Plant]],t_Plants[],Plants!DD$1,FALSE)</f>
        <v>208</v>
      </c>
      <c r="Y26">
        <f>VLOOKUP(t_Presses[[Plant]:[Plant]],t_Plants[],Plants!DE$1,FALSE)</f>
        <v>272</v>
      </c>
      <c r="Z26">
        <f>VLOOKUP(t_Presses[[Plant]:[Plant]],t_Plants[],Plants!DF$1,FALSE)</f>
        <v>208</v>
      </c>
      <c r="AA26">
        <f>VLOOKUP(t_Presses[[Plant]:[Plant]],t_Plants[],Plants!DG$1,FALSE)</f>
        <v>208</v>
      </c>
      <c r="AB26">
        <f>VLOOKUP(t_Presses[[Plant]:[Plant]],t_Plants[],Plants!DH$1,FALSE)</f>
        <v>272</v>
      </c>
      <c r="AC26">
        <f>VLOOKUP(t_Presses[[Plant]:[Plant]],t_Plants[],Plants!DI$1,FALSE)</f>
        <v>208</v>
      </c>
      <c r="AD26">
        <f>VLOOKUP(t_Presses[[Plant]:[Plant]],t_Plants[],Plants!DJ$1,FALSE)</f>
        <v>208</v>
      </c>
      <c r="AE26">
        <f>VLOOKUP(t_Presses[[Plant]:[Plant]],t_Plants[],Plants!DK$1,FALSE)</f>
        <v>272</v>
      </c>
      <c r="AF26" s="18">
        <f>SUM(t_Presses[[#This Row],[ha2016.01]:[ha2016.12]])</f>
        <v>2752</v>
      </c>
      <c r="AG26">
        <f>VLOOKUP(t_Presses[[Plant]:[Plant]],t_Plants[],Plants!DM$1,FALSE)</f>
        <v>2752</v>
      </c>
      <c r="AH26">
        <f>VLOOKUP(t_Presses[[Plant]:[Plant]],t_Plants[],Plants!DN$1,FALSE)</f>
        <v>2752</v>
      </c>
      <c r="AI26">
        <f>VLOOKUP(t_Presses[[Plant]:[Plant]],t_Plants[],Plants!DO$1,FALSE)</f>
        <v>2752</v>
      </c>
      <c r="AJ26" s="52">
        <f>SUMIF(r_PartPresses,t_Presses[[PRESS]:[PRESS]],t_Parts[hp2015.01])</f>
        <v>0</v>
      </c>
      <c r="AK26" s="52">
        <f>SUMIF(r_PartPresses,t_Presses[[PRESS]:[PRESS]],t_Parts[hp2015.02])</f>
        <v>0</v>
      </c>
      <c r="AL26" s="52">
        <f>SUMIF(r_PartPresses,t_Presses[[PRESS]:[PRESS]],t_Parts[hp2015.03])</f>
        <v>0</v>
      </c>
      <c r="AM26" s="52">
        <f>SUMIF(r_PartPresses,t_Presses[[PRESS]:[PRESS]],t_Parts[hp2015.04])</f>
        <v>0</v>
      </c>
      <c r="AN26" s="52">
        <f>SUMIF(r_PartPresses,t_Presses[[PRESS]:[PRESS]],t_Parts[hp2015.05])</f>
        <v>0</v>
      </c>
      <c r="AO26" s="52">
        <f>SUMIF(r_PartPresses,t_Presses[[PRESS]:[PRESS]],t_Parts[hp2015.06])</f>
        <v>0</v>
      </c>
      <c r="AP26" s="52">
        <f>SUMIF(r_PartPresses,t_Presses[[PRESS]:[PRESS]],t_Parts[hp2015.07])</f>
        <v>0</v>
      </c>
      <c r="AQ26" s="52">
        <f>SUMIF(r_PartPresses,t_Presses[[PRESS]:[PRESS]],t_Parts[hp2015.08])</f>
        <v>0</v>
      </c>
      <c r="AR26" s="52">
        <f>SUMIF(r_PartPresses,t_Presses[[PRESS]:[PRESS]],t_Parts[hp2015.09])</f>
        <v>0</v>
      </c>
      <c r="AS26" s="52">
        <f>SUMIF(r_PartPresses,t_Presses[[PRESS]:[PRESS]],t_Parts[hp2015.10])</f>
        <v>0</v>
      </c>
      <c r="AT26" s="52">
        <f>SUMIF(r_PartPresses,t_Presses[[PRESS]:[PRESS]],t_Parts[hp2015.11])</f>
        <v>0</v>
      </c>
      <c r="AU26" s="52">
        <f>SUMIF(r_PartPresses,t_Presses[[PRESS]:[PRESS]],t_Parts[hp2015.12])</f>
        <v>0</v>
      </c>
      <c r="AV26" s="52">
        <f>SUM(t_Presses[[#This Row],[hp2015.01]:[hp2015.12]])</f>
        <v>0</v>
      </c>
      <c r="AW26" s="52">
        <f>SUMIF(r_PartPresses,t_Presses[[PRESS]:[PRESS]],t_Parts[hp2016.01])</f>
        <v>0</v>
      </c>
      <c r="AX26" s="52">
        <f>SUMIF(r_PartPresses,t_Presses[[PRESS]:[PRESS]],t_Parts[hp2016.02])</f>
        <v>0</v>
      </c>
      <c r="AY26" s="52">
        <f>SUMIF(r_PartPresses,t_Presses[[PRESS]:[PRESS]],t_Parts[hp2016.03])</f>
        <v>0</v>
      </c>
      <c r="AZ26" s="52">
        <f>SUMIF(r_PartPresses,t_Presses[[PRESS]:[PRESS]],t_Parts[hp2016.04])</f>
        <v>0</v>
      </c>
      <c r="BA26" s="52">
        <f>SUMIF(r_PartPresses,t_Presses[[PRESS]:[PRESS]],t_Parts[hp2016.05])</f>
        <v>0</v>
      </c>
      <c r="BB26" s="52">
        <f>SUMIF(r_PartPresses,t_Presses[[PRESS]:[PRESS]],t_Parts[hp2016.06])</f>
        <v>0</v>
      </c>
      <c r="BC26" s="52">
        <f>SUMIF(r_PartPresses,t_Presses[[PRESS]:[PRESS]],t_Parts[hp2016.07])</f>
        <v>0</v>
      </c>
      <c r="BD26" s="52">
        <f>SUMIF(r_PartPresses,t_Presses[[PRESS]:[PRESS]],t_Parts[hp2016.08])</f>
        <v>0</v>
      </c>
      <c r="BE26" s="52">
        <f>SUMIF(r_PartPresses,t_Presses[[PRESS]:[PRESS]],t_Parts[hp2016.09])</f>
        <v>0</v>
      </c>
      <c r="BF26" s="52">
        <f>SUMIF(r_PartPresses,t_Presses[[PRESS]:[PRESS]],t_Parts[hp2016.10])</f>
        <v>0</v>
      </c>
      <c r="BG26" s="52">
        <f>SUMIF(r_PartPresses,t_Presses[[PRESS]:[PRESS]],t_Parts[hp2016.11])</f>
        <v>0</v>
      </c>
      <c r="BH26" s="52">
        <f>SUMIF(r_PartPresses,t_Presses[[PRESS]:[PRESS]],t_Parts[hp2016.12])</f>
        <v>0</v>
      </c>
      <c r="BI26" s="52">
        <f>SUMIF(r_PartPresses,t_Presses[[PRESS]:[PRESS]],t_Parts[hp2016.FY])</f>
        <v>0</v>
      </c>
      <c r="BJ26" s="52">
        <f>SUMIF(r_PartPresses,t_Presses[[PRESS]:[PRESS]],t_Parts[hp2017])</f>
        <v>0</v>
      </c>
      <c r="BK26" s="52">
        <f>SUMIF(r_PartPresses,t_Presses[[PRESS]:[PRESS]],t_Parts[hp2018])</f>
        <v>0</v>
      </c>
      <c r="BL26" s="52">
        <f>SUMIF(r_PartPresses,t_Presses[[PRESS]:[PRESS]],t_Parts[hp2019])</f>
        <v>0</v>
      </c>
      <c r="BM26" s="17">
        <f>t_Presses[[#This Row],[hp2015.01]]/t_Presses[[#This Row],[ha2015.01]]</f>
        <v>0</v>
      </c>
      <c r="BN26" s="17">
        <f>t_Presses[[#This Row],[hp2015.02]]/t_Presses[[#This Row],[ha2015.02]]</f>
        <v>0</v>
      </c>
      <c r="BO26" s="17">
        <f>t_Presses[[#This Row],[hp2015.03]]/t_Presses[[#This Row],[ha2015.03]]</f>
        <v>0</v>
      </c>
      <c r="BP26" s="17">
        <f>t_Presses[[#This Row],[hp2015.04]]/t_Presses[[#This Row],[ha2015.04]]</f>
        <v>0</v>
      </c>
      <c r="BQ26" s="17">
        <f>t_Presses[[#This Row],[hp2015.05]]/t_Presses[[#This Row],[ha2015.05]]</f>
        <v>0</v>
      </c>
      <c r="BR26" s="17">
        <f>t_Presses[[#This Row],[hp2015.06]]/t_Presses[[#This Row],[ha2015.06]]</f>
        <v>0</v>
      </c>
      <c r="BS26" s="17">
        <f>t_Presses[[#This Row],[hp2015.07]]/t_Presses[[#This Row],[ha2015.07]]</f>
        <v>0</v>
      </c>
      <c r="BT26" s="17">
        <f>t_Presses[[#This Row],[hp2015.08]]/t_Presses[[#This Row],[ha2015.08]]</f>
        <v>0</v>
      </c>
      <c r="BU26" s="17">
        <f>t_Presses[[#This Row],[hp2015.09]]/t_Presses[[#This Row],[ha2015.09]]</f>
        <v>0</v>
      </c>
      <c r="BV26" s="17">
        <f>t_Presses[[#This Row],[hp2015.10]]/t_Presses[[#This Row],[ha2015.10]]</f>
        <v>0</v>
      </c>
      <c r="BW26" s="17">
        <f>t_Presses[[#This Row],[hp2015.11]]/t_Presses[[#This Row],[ha2015.11]]</f>
        <v>0</v>
      </c>
      <c r="BX26" s="17">
        <f>t_Presses[[#This Row],[hp2015.12]]/t_Presses[[#This Row],[ha2015.12]]</f>
        <v>0</v>
      </c>
      <c r="BY26" s="17">
        <f>t_Presses[[#This Row],[hp2015.FY]]/t_Presses[[#This Row],[ha2015.FY]]</f>
        <v>0</v>
      </c>
      <c r="BZ26" s="17">
        <f>t_Presses[[#This Row],[hp2016.01]]/t_Presses[[#This Row],[ha2016.01]]</f>
        <v>0</v>
      </c>
      <c r="CA26" s="17">
        <f>t_Presses[[#This Row],[hp2016.02]]/t_Presses[[#This Row],[ha2016.02]]</f>
        <v>0</v>
      </c>
      <c r="CB26" s="17">
        <f>t_Presses[[#This Row],[hp2016.03]]/t_Presses[[#This Row],[ha2016.03]]</f>
        <v>0</v>
      </c>
      <c r="CC26" s="17">
        <f>t_Presses[[#This Row],[hp2016.04]]/t_Presses[[#This Row],[ha2016.04]]</f>
        <v>0</v>
      </c>
      <c r="CD26" s="17">
        <f>t_Presses[[#This Row],[hp2016.05]]/t_Presses[[#This Row],[ha2016.05]]</f>
        <v>0</v>
      </c>
      <c r="CE26" s="17">
        <f>t_Presses[[#This Row],[hp2016.06]]/t_Presses[[#This Row],[ha2016.06]]</f>
        <v>0</v>
      </c>
      <c r="CF26" s="17">
        <f>t_Presses[[#This Row],[hp2016.07]]/t_Presses[[#This Row],[ha2016.07]]</f>
        <v>0</v>
      </c>
      <c r="CG26" s="17">
        <f>t_Presses[[#This Row],[hp2016.08]]/t_Presses[[#This Row],[ha2016.08]]</f>
        <v>0</v>
      </c>
      <c r="CH26" s="17">
        <f>t_Presses[[#This Row],[hp2016.09]]/t_Presses[[#This Row],[ha2016.09]]</f>
        <v>0</v>
      </c>
      <c r="CI26" s="17">
        <f>t_Presses[[#This Row],[hp2016.10]]/t_Presses[[#This Row],[ha2016.10]]</f>
        <v>0</v>
      </c>
      <c r="CJ26" s="17">
        <f>t_Presses[[#This Row],[hp2016.11]]/t_Presses[[#This Row],[ha2016.11]]</f>
        <v>0</v>
      </c>
      <c r="CK26" s="17">
        <f>t_Presses[[#This Row],[hp2016.12]]/t_Presses[[#This Row],[ha2016.12]]</f>
        <v>0</v>
      </c>
      <c r="CL26" s="17">
        <f>t_Presses[[#This Row],[hp2016.FY]]/t_Presses[[#This Row],[ha2016.FY]]</f>
        <v>0</v>
      </c>
      <c r="CM26" s="17">
        <f>t_Presses[[#This Row],[hp2017]]/t_Presses[[#This Row],[ha2017]]</f>
        <v>0</v>
      </c>
      <c r="CN26" s="17">
        <f>t_Presses[[#This Row],[hp2018]]/t_Presses[[#This Row],[ha2018]]</f>
        <v>0</v>
      </c>
      <c r="CO26" s="17">
        <f>t_Presses[[#This Row],[hp2019]]/t_Presses[[#This Row],[ha2019]]</f>
        <v>0</v>
      </c>
    </row>
    <row r="27" spans="1:93" x14ac:dyDescent="0.25">
      <c r="A27" s="16" t="s">
        <v>142</v>
      </c>
      <c r="B27" t="s">
        <v>9</v>
      </c>
      <c r="C27" t="s">
        <v>126</v>
      </c>
      <c r="D27">
        <v>600</v>
      </c>
      <c r="E27" s="18" t="str">
        <f t="shared" si="0"/>
        <v>600-899</v>
      </c>
      <c r="F27" s="15"/>
      <c r="G27" s="18">
        <f>VLOOKUP(t_Presses[[Plant]:[Plant]],t_Plants[],Plants!CM$1,FALSE)</f>
        <v>208</v>
      </c>
      <c r="H27">
        <f>VLOOKUP(t_Presses[[Plant]:[Plant]],t_Plants[],Plants!CN$1,FALSE)</f>
        <v>208</v>
      </c>
      <c r="I27" s="18">
        <f>VLOOKUP(t_Presses[[Plant]:[Plant]],t_Plants[],Plants!CO$1,FALSE)</f>
        <v>272</v>
      </c>
      <c r="J27" s="18">
        <f>VLOOKUP(t_Presses[[Plant]:[Plant]],t_Plants[],Plants!CP$1,FALSE)</f>
        <v>208</v>
      </c>
      <c r="K27" s="18">
        <f>VLOOKUP(t_Presses[[Plant]:[Plant]],t_Plants[],Plants!CQ$1,FALSE)</f>
        <v>208</v>
      </c>
      <c r="L27" s="18">
        <f>VLOOKUP(t_Presses[[Plant]:[Plant]],t_Plants[],Plants!CR$1,FALSE)</f>
        <v>272</v>
      </c>
      <c r="M27" s="18">
        <f>VLOOKUP(t_Presses[[Plant]:[Plant]],t_Plants[],Plants!CS$1,FALSE)</f>
        <v>208</v>
      </c>
      <c r="N27" s="18">
        <f>VLOOKUP(t_Presses[[Plant]:[Plant]],t_Plants[],Plants!CT$1,FALSE)</f>
        <v>208</v>
      </c>
      <c r="O27" s="18">
        <f>VLOOKUP(t_Presses[[Plant]:[Plant]],t_Plants[],Plants!CU$1,FALSE)</f>
        <v>272</v>
      </c>
      <c r="P27" s="18">
        <f>VLOOKUP(t_Presses[[Plant]:[Plant]],t_Plants[],Plants!CV$1,FALSE)</f>
        <v>208</v>
      </c>
      <c r="Q27" s="18">
        <f>VLOOKUP(t_Presses[[Plant]:[Plant]],t_Plants[],Plants!CW$1,FALSE)</f>
        <v>208</v>
      </c>
      <c r="R27" s="18">
        <f>VLOOKUP(t_Presses[[Plant]:[Plant]],t_Plants[],Plants!CX$1,FALSE)</f>
        <v>272</v>
      </c>
      <c r="S27" s="18">
        <f>SUM(t_Presses[[#This Row],[ha2015.01]:[ha2015.12]])</f>
        <v>2752</v>
      </c>
      <c r="T27">
        <f>VLOOKUP(t_Presses[[Plant]:[Plant]],t_Plants[],Plants!CZ$1,FALSE)</f>
        <v>208</v>
      </c>
      <c r="U27">
        <f>VLOOKUP(t_Presses[[Plant]:[Plant]],t_Plants[],Plants!DA$1,FALSE)</f>
        <v>208</v>
      </c>
      <c r="V27">
        <f>VLOOKUP(t_Presses[[Plant]:[Plant]],t_Plants[],Plants!DB$1,FALSE)</f>
        <v>272</v>
      </c>
      <c r="W27">
        <f>VLOOKUP(t_Presses[[Plant]:[Plant]],t_Plants[],Plants!DC$1,FALSE)</f>
        <v>208</v>
      </c>
      <c r="X27">
        <f>VLOOKUP(t_Presses[[Plant]:[Plant]],t_Plants[],Plants!DD$1,FALSE)</f>
        <v>208</v>
      </c>
      <c r="Y27">
        <f>VLOOKUP(t_Presses[[Plant]:[Plant]],t_Plants[],Plants!DE$1,FALSE)</f>
        <v>272</v>
      </c>
      <c r="Z27">
        <f>VLOOKUP(t_Presses[[Plant]:[Plant]],t_Plants[],Plants!DF$1,FALSE)</f>
        <v>208</v>
      </c>
      <c r="AA27">
        <f>VLOOKUP(t_Presses[[Plant]:[Plant]],t_Plants[],Plants!DG$1,FALSE)</f>
        <v>208</v>
      </c>
      <c r="AB27">
        <f>VLOOKUP(t_Presses[[Plant]:[Plant]],t_Plants[],Plants!DH$1,FALSE)</f>
        <v>272</v>
      </c>
      <c r="AC27">
        <f>VLOOKUP(t_Presses[[Plant]:[Plant]],t_Plants[],Plants!DI$1,FALSE)</f>
        <v>208</v>
      </c>
      <c r="AD27">
        <f>VLOOKUP(t_Presses[[Plant]:[Plant]],t_Plants[],Plants!DJ$1,FALSE)</f>
        <v>208</v>
      </c>
      <c r="AE27">
        <f>VLOOKUP(t_Presses[[Plant]:[Plant]],t_Plants[],Plants!DK$1,FALSE)</f>
        <v>272</v>
      </c>
      <c r="AF27" s="18">
        <f>SUM(t_Presses[[#This Row],[ha2016.01]:[ha2016.12]])</f>
        <v>2752</v>
      </c>
      <c r="AG27">
        <f>VLOOKUP(t_Presses[[Plant]:[Plant]],t_Plants[],Plants!DM$1,FALSE)</f>
        <v>2752</v>
      </c>
      <c r="AH27">
        <f>VLOOKUP(t_Presses[[Plant]:[Plant]],t_Plants[],Plants!DN$1,FALSE)</f>
        <v>2752</v>
      </c>
      <c r="AI27">
        <f>VLOOKUP(t_Presses[[Plant]:[Plant]],t_Plants[],Plants!DO$1,FALSE)</f>
        <v>2752</v>
      </c>
      <c r="AJ27" s="52">
        <f>SUMIF(r_PartPresses,t_Presses[[PRESS]:[PRESS]],t_Parts[hp2015.01])</f>
        <v>0</v>
      </c>
      <c r="AK27" s="52">
        <f>SUMIF(r_PartPresses,t_Presses[[PRESS]:[PRESS]],t_Parts[hp2015.02])</f>
        <v>0</v>
      </c>
      <c r="AL27" s="52">
        <f>SUMIF(r_PartPresses,t_Presses[[PRESS]:[PRESS]],t_Parts[hp2015.03])</f>
        <v>0</v>
      </c>
      <c r="AM27" s="52">
        <f>SUMIF(r_PartPresses,t_Presses[[PRESS]:[PRESS]],t_Parts[hp2015.04])</f>
        <v>0</v>
      </c>
      <c r="AN27" s="52">
        <f>SUMIF(r_PartPresses,t_Presses[[PRESS]:[PRESS]],t_Parts[hp2015.05])</f>
        <v>0</v>
      </c>
      <c r="AO27" s="52">
        <f>SUMIF(r_PartPresses,t_Presses[[PRESS]:[PRESS]],t_Parts[hp2015.06])</f>
        <v>0</v>
      </c>
      <c r="AP27" s="52">
        <f>SUMIF(r_PartPresses,t_Presses[[PRESS]:[PRESS]],t_Parts[hp2015.07])</f>
        <v>0</v>
      </c>
      <c r="AQ27" s="52">
        <f>SUMIF(r_PartPresses,t_Presses[[PRESS]:[PRESS]],t_Parts[hp2015.08])</f>
        <v>0</v>
      </c>
      <c r="AR27" s="52">
        <f>SUMIF(r_PartPresses,t_Presses[[PRESS]:[PRESS]],t_Parts[hp2015.09])</f>
        <v>0</v>
      </c>
      <c r="AS27" s="52">
        <f>SUMIF(r_PartPresses,t_Presses[[PRESS]:[PRESS]],t_Parts[hp2015.10])</f>
        <v>0</v>
      </c>
      <c r="AT27" s="52">
        <f>SUMIF(r_PartPresses,t_Presses[[PRESS]:[PRESS]],t_Parts[hp2015.11])</f>
        <v>0</v>
      </c>
      <c r="AU27" s="52">
        <f>SUMIF(r_PartPresses,t_Presses[[PRESS]:[PRESS]],t_Parts[hp2015.12])</f>
        <v>0</v>
      </c>
      <c r="AV27" s="52">
        <f>SUM(t_Presses[[#This Row],[hp2015.01]:[hp2015.12]])</f>
        <v>0</v>
      </c>
      <c r="AW27" s="52">
        <f>SUMIF(r_PartPresses,t_Presses[[PRESS]:[PRESS]],t_Parts[hp2016.01])</f>
        <v>0</v>
      </c>
      <c r="AX27" s="52">
        <f>SUMIF(r_PartPresses,t_Presses[[PRESS]:[PRESS]],t_Parts[hp2016.02])</f>
        <v>0</v>
      </c>
      <c r="AY27" s="52">
        <f>SUMIF(r_PartPresses,t_Presses[[PRESS]:[PRESS]],t_Parts[hp2016.03])</f>
        <v>0</v>
      </c>
      <c r="AZ27" s="52">
        <f>SUMIF(r_PartPresses,t_Presses[[PRESS]:[PRESS]],t_Parts[hp2016.04])</f>
        <v>0</v>
      </c>
      <c r="BA27" s="52">
        <f>SUMIF(r_PartPresses,t_Presses[[PRESS]:[PRESS]],t_Parts[hp2016.05])</f>
        <v>0</v>
      </c>
      <c r="BB27" s="52">
        <f>SUMIF(r_PartPresses,t_Presses[[PRESS]:[PRESS]],t_Parts[hp2016.06])</f>
        <v>0</v>
      </c>
      <c r="BC27" s="52">
        <f>SUMIF(r_PartPresses,t_Presses[[PRESS]:[PRESS]],t_Parts[hp2016.07])</f>
        <v>0</v>
      </c>
      <c r="BD27" s="52">
        <f>SUMIF(r_PartPresses,t_Presses[[PRESS]:[PRESS]],t_Parts[hp2016.08])</f>
        <v>0</v>
      </c>
      <c r="BE27" s="52">
        <f>SUMIF(r_PartPresses,t_Presses[[PRESS]:[PRESS]],t_Parts[hp2016.09])</f>
        <v>0</v>
      </c>
      <c r="BF27" s="52">
        <f>SUMIF(r_PartPresses,t_Presses[[PRESS]:[PRESS]],t_Parts[hp2016.10])</f>
        <v>0</v>
      </c>
      <c r="BG27" s="52">
        <f>SUMIF(r_PartPresses,t_Presses[[PRESS]:[PRESS]],t_Parts[hp2016.11])</f>
        <v>0</v>
      </c>
      <c r="BH27" s="52">
        <f>SUMIF(r_PartPresses,t_Presses[[PRESS]:[PRESS]],t_Parts[hp2016.12])</f>
        <v>0</v>
      </c>
      <c r="BI27" s="52">
        <f>SUMIF(r_PartPresses,t_Presses[[PRESS]:[PRESS]],t_Parts[hp2016.FY])</f>
        <v>0</v>
      </c>
      <c r="BJ27" s="52">
        <f>SUMIF(r_PartPresses,t_Presses[[PRESS]:[PRESS]],t_Parts[hp2017])</f>
        <v>0</v>
      </c>
      <c r="BK27" s="52">
        <f>SUMIF(r_PartPresses,t_Presses[[PRESS]:[PRESS]],t_Parts[hp2018])</f>
        <v>0</v>
      </c>
      <c r="BL27" s="52">
        <f>SUMIF(r_PartPresses,t_Presses[[PRESS]:[PRESS]],t_Parts[hp2019])</f>
        <v>0</v>
      </c>
      <c r="BM27" s="17">
        <f>t_Presses[[#This Row],[hp2015.01]]/t_Presses[[#This Row],[ha2015.01]]</f>
        <v>0</v>
      </c>
      <c r="BN27" s="17">
        <f>t_Presses[[#This Row],[hp2015.02]]/t_Presses[[#This Row],[ha2015.02]]</f>
        <v>0</v>
      </c>
      <c r="BO27" s="17">
        <f>t_Presses[[#This Row],[hp2015.03]]/t_Presses[[#This Row],[ha2015.03]]</f>
        <v>0</v>
      </c>
      <c r="BP27" s="17">
        <f>t_Presses[[#This Row],[hp2015.04]]/t_Presses[[#This Row],[ha2015.04]]</f>
        <v>0</v>
      </c>
      <c r="BQ27" s="17">
        <f>t_Presses[[#This Row],[hp2015.05]]/t_Presses[[#This Row],[ha2015.05]]</f>
        <v>0</v>
      </c>
      <c r="BR27" s="17">
        <f>t_Presses[[#This Row],[hp2015.06]]/t_Presses[[#This Row],[ha2015.06]]</f>
        <v>0</v>
      </c>
      <c r="BS27" s="17">
        <f>t_Presses[[#This Row],[hp2015.07]]/t_Presses[[#This Row],[ha2015.07]]</f>
        <v>0</v>
      </c>
      <c r="BT27" s="17">
        <f>t_Presses[[#This Row],[hp2015.08]]/t_Presses[[#This Row],[ha2015.08]]</f>
        <v>0</v>
      </c>
      <c r="BU27" s="17">
        <f>t_Presses[[#This Row],[hp2015.09]]/t_Presses[[#This Row],[ha2015.09]]</f>
        <v>0</v>
      </c>
      <c r="BV27" s="17">
        <f>t_Presses[[#This Row],[hp2015.10]]/t_Presses[[#This Row],[ha2015.10]]</f>
        <v>0</v>
      </c>
      <c r="BW27" s="17">
        <f>t_Presses[[#This Row],[hp2015.11]]/t_Presses[[#This Row],[ha2015.11]]</f>
        <v>0</v>
      </c>
      <c r="BX27" s="17">
        <f>t_Presses[[#This Row],[hp2015.12]]/t_Presses[[#This Row],[ha2015.12]]</f>
        <v>0</v>
      </c>
      <c r="BY27" s="17">
        <f>t_Presses[[#This Row],[hp2015.FY]]/t_Presses[[#This Row],[ha2015.FY]]</f>
        <v>0</v>
      </c>
      <c r="BZ27" s="17">
        <f>t_Presses[[#This Row],[hp2016.01]]/t_Presses[[#This Row],[ha2016.01]]</f>
        <v>0</v>
      </c>
      <c r="CA27" s="17">
        <f>t_Presses[[#This Row],[hp2016.02]]/t_Presses[[#This Row],[ha2016.02]]</f>
        <v>0</v>
      </c>
      <c r="CB27" s="17">
        <f>t_Presses[[#This Row],[hp2016.03]]/t_Presses[[#This Row],[ha2016.03]]</f>
        <v>0</v>
      </c>
      <c r="CC27" s="17">
        <f>t_Presses[[#This Row],[hp2016.04]]/t_Presses[[#This Row],[ha2016.04]]</f>
        <v>0</v>
      </c>
      <c r="CD27" s="17">
        <f>t_Presses[[#This Row],[hp2016.05]]/t_Presses[[#This Row],[ha2016.05]]</f>
        <v>0</v>
      </c>
      <c r="CE27" s="17">
        <f>t_Presses[[#This Row],[hp2016.06]]/t_Presses[[#This Row],[ha2016.06]]</f>
        <v>0</v>
      </c>
      <c r="CF27" s="17">
        <f>t_Presses[[#This Row],[hp2016.07]]/t_Presses[[#This Row],[ha2016.07]]</f>
        <v>0</v>
      </c>
      <c r="CG27" s="17">
        <f>t_Presses[[#This Row],[hp2016.08]]/t_Presses[[#This Row],[ha2016.08]]</f>
        <v>0</v>
      </c>
      <c r="CH27" s="17">
        <f>t_Presses[[#This Row],[hp2016.09]]/t_Presses[[#This Row],[ha2016.09]]</f>
        <v>0</v>
      </c>
      <c r="CI27" s="17">
        <f>t_Presses[[#This Row],[hp2016.10]]/t_Presses[[#This Row],[ha2016.10]]</f>
        <v>0</v>
      </c>
      <c r="CJ27" s="17">
        <f>t_Presses[[#This Row],[hp2016.11]]/t_Presses[[#This Row],[ha2016.11]]</f>
        <v>0</v>
      </c>
      <c r="CK27" s="17">
        <f>t_Presses[[#This Row],[hp2016.12]]/t_Presses[[#This Row],[ha2016.12]]</f>
        <v>0</v>
      </c>
      <c r="CL27" s="17">
        <f>t_Presses[[#This Row],[hp2016.FY]]/t_Presses[[#This Row],[ha2016.FY]]</f>
        <v>0</v>
      </c>
      <c r="CM27" s="17">
        <f>t_Presses[[#This Row],[hp2017]]/t_Presses[[#This Row],[ha2017]]</f>
        <v>0</v>
      </c>
      <c r="CN27" s="17">
        <f>t_Presses[[#This Row],[hp2018]]/t_Presses[[#This Row],[ha2018]]</f>
        <v>0</v>
      </c>
      <c r="CO27" s="17">
        <f>t_Presses[[#This Row],[hp2019]]/t_Presses[[#This Row],[ha2019]]</f>
        <v>0</v>
      </c>
    </row>
    <row r="28" spans="1:93" x14ac:dyDescent="0.25">
      <c r="A28" s="16" t="s">
        <v>143</v>
      </c>
      <c r="B28" t="s">
        <v>9</v>
      </c>
      <c r="C28" t="s">
        <v>127</v>
      </c>
      <c r="D28">
        <v>1000</v>
      </c>
      <c r="E28" s="18" t="str">
        <f t="shared" si="0"/>
        <v>900-1199</v>
      </c>
      <c r="F28" s="15"/>
      <c r="G28" s="18">
        <f>VLOOKUP(t_Presses[[Plant]:[Plant]],t_Plants[],Plants!CM$1,FALSE)</f>
        <v>208</v>
      </c>
      <c r="H28">
        <f>VLOOKUP(t_Presses[[Plant]:[Plant]],t_Plants[],Plants!CN$1,FALSE)</f>
        <v>208</v>
      </c>
      <c r="I28" s="18">
        <f>VLOOKUP(t_Presses[[Plant]:[Plant]],t_Plants[],Plants!CO$1,FALSE)</f>
        <v>272</v>
      </c>
      <c r="J28" s="18">
        <f>VLOOKUP(t_Presses[[Plant]:[Plant]],t_Plants[],Plants!CP$1,FALSE)</f>
        <v>208</v>
      </c>
      <c r="K28" s="18">
        <f>VLOOKUP(t_Presses[[Plant]:[Plant]],t_Plants[],Plants!CQ$1,FALSE)</f>
        <v>208</v>
      </c>
      <c r="L28" s="18">
        <f>VLOOKUP(t_Presses[[Plant]:[Plant]],t_Plants[],Plants!CR$1,FALSE)</f>
        <v>272</v>
      </c>
      <c r="M28" s="18">
        <f>VLOOKUP(t_Presses[[Plant]:[Plant]],t_Plants[],Plants!CS$1,FALSE)</f>
        <v>208</v>
      </c>
      <c r="N28" s="18">
        <f>VLOOKUP(t_Presses[[Plant]:[Plant]],t_Plants[],Plants!CT$1,FALSE)</f>
        <v>208</v>
      </c>
      <c r="O28" s="18">
        <f>VLOOKUP(t_Presses[[Plant]:[Plant]],t_Plants[],Plants!CU$1,FALSE)</f>
        <v>272</v>
      </c>
      <c r="P28" s="18">
        <f>VLOOKUP(t_Presses[[Plant]:[Plant]],t_Plants[],Plants!CV$1,FALSE)</f>
        <v>208</v>
      </c>
      <c r="Q28" s="18">
        <f>VLOOKUP(t_Presses[[Plant]:[Plant]],t_Plants[],Plants!CW$1,FALSE)</f>
        <v>208</v>
      </c>
      <c r="R28" s="18">
        <f>VLOOKUP(t_Presses[[Plant]:[Plant]],t_Plants[],Plants!CX$1,FALSE)</f>
        <v>272</v>
      </c>
      <c r="S28" s="18">
        <f>SUM(t_Presses[[#This Row],[ha2015.01]:[ha2015.12]])</f>
        <v>2752</v>
      </c>
      <c r="T28">
        <f>VLOOKUP(t_Presses[[Plant]:[Plant]],t_Plants[],Plants!CZ$1,FALSE)</f>
        <v>208</v>
      </c>
      <c r="U28">
        <f>VLOOKUP(t_Presses[[Plant]:[Plant]],t_Plants[],Plants!DA$1,FALSE)</f>
        <v>208</v>
      </c>
      <c r="V28">
        <f>VLOOKUP(t_Presses[[Plant]:[Plant]],t_Plants[],Plants!DB$1,FALSE)</f>
        <v>272</v>
      </c>
      <c r="W28">
        <f>VLOOKUP(t_Presses[[Plant]:[Plant]],t_Plants[],Plants!DC$1,FALSE)</f>
        <v>208</v>
      </c>
      <c r="X28">
        <f>VLOOKUP(t_Presses[[Plant]:[Plant]],t_Plants[],Plants!DD$1,FALSE)</f>
        <v>208</v>
      </c>
      <c r="Y28">
        <f>VLOOKUP(t_Presses[[Plant]:[Plant]],t_Plants[],Plants!DE$1,FALSE)</f>
        <v>272</v>
      </c>
      <c r="Z28">
        <f>VLOOKUP(t_Presses[[Plant]:[Plant]],t_Plants[],Plants!DF$1,FALSE)</f>
        <v>208</v>
      </c>
      <c r="AA28">
        <f>VLOOKUP(t_Presses[[Plant]:[Plant]],t_Plants[],Plants!DG$1,FALSE)</f>
        <v>208</v>
      </c>
      <c r="AB28">
        <f>VLOOKUP(t_Presses[[Plant]:[Plant]],t_Plants[],Plants!DH$1,FALSE)</f>
        <v>272</v>
      </c>
      <c r="AC28">
        <f>VLOOKUP(t_Presses[[Plant]:[Plant]],t_Plants[],Plants!DI$1,FALSE)</f>
        <v>208</v>
      </c>
      <c r="AD28">
        <f>VLOOKUP(t_Presses[[Plant]:[Plant]],t_Plants[],Plants!DJ$1,FALSE)</f>
        <v>208</v>
      </c>
      <c r="AE28">
        <f>VLOOKUP(t_Presses[[Plant]:[Plant]],t_Plants[],Plants!DK$1,FALSE)</f>
        <v>272</v>
      </c>
      <c r="AF28" s="18">
        <f>SUM(t_Presses[[#This Row],[ha2016.01]:[ha2016.12]])</f>
        <v>2752</v>
      </c>
      <c r="AG28">
        <f>VLOOKUP(t_Presses[[Plant]:[Plant]],t_Plants[],Plants!DM$1,FALSE)</f>
        <v>2752</v>
      </c>
      <c r="AH28">
        <f>VLOOKUP(t_Presses[[Plant]:[Plant]],t_Plants[],Plants!DN$1,FALSE)</f>
        <v>2752</v>
      </c>
      <c r="AI28">
        <f>VLOOKUP(t_Presses[[Plant]:[Plant]],t_Plants[],Plants!DO$1,FALSE)</f>
        <v>2752</v>
      </c>
      <c r="AJ28" s="52">
        <f>SUMIF(r_PartPresses,t_Presses[[PRESS]:[PRESS]],t_Parts[hp2015.01])</f>
        <v>0</v>
      </c>
      <c r="AK28" s="52">
        <f>SUMIF(r_PartPresses,t_Presses[[PRESS]:[PRESS]],t_Parts[hp2015.02])</f>
        <v>0</v>
      </c>
      <c r="AL28" s="52">
        <f>SUMIF(r_PartPresses,t_Presses[[PRESS]:[PRESS]],t_Parts[hp2015.03])</f>
        <v>0</v>
      </c>
      <c r="AM28" s="52">
        <f>SUMIF(r_PartPresses,t_Presses[[PRESS]:[PRESS]],t_Parts[hp2015.04])</f>
        <v>0</v>
      </c>
      <c r="AN28" s="52">
        <f>SUMIF(r_PartPresses,t_Presses[[PRESS]:[PRESS]],t_Parts[hp2015.05])</f>
        <v>0</v>
      </c>
      <c r="AO28" s="52">
        <f>SUMIF(r_PartPresses,t_Presses[[PRESS]:[PRESS]],t_Parts[hp2015.06])</f>
        <v>0</v>
      </c>
      <c r="AP28" s="52">
        <f>SUMIF(r_PartPresses,t_Presses[[PRESS]:[PRESS]],t_Parts[hp2015.07])</f>
        <v>0</v>
      </c>
      <c r="AQ28" s="52">
        <f>SUMIF(r_PartPresses,t_Presses[[PRESS]:[PRESS]],t_Parts[hp2015.08])</f>
        <v>0</v>
      </c>
      <c r="AR28" s="52">
        <f>SUMIF(r_PartPresses,t_Presses[[PRESS]:[PRESS]],t_Parts[hp2015.09])</f>
        <v>0</v>
      </c>
      <c r="AS28" s="52">
        <f>SUMIF(r_PartPresses,t_Presses[[PRESS]:[PRESS]],t_Parts[hp2015.10])</f>
        <v>0</v>
      </c>
      <c r="AT28" s="52">
        <f>SUMIF(r_PartPresses,t_Presses[[PRESS]:[PRESS]],t_Parts[hp2015.11])</f>
        <v>0</v>
      </c>
      <c r="AU28" s="52">
        <f>SUMIF(r_PartPresses,t_Presses[[PRESS]:[PRESS]],t_Parts[hp2015.12])</f>
        <v>0</v>
      </c>
      <c r="AV28" s="52">
        <f>SUM(t_Presses[[#This Row],[hp2015.01]:[hp2015.12]])</f>
        <v>0</v>
      </c>
      <c r="AW28" s="52">
        <f>SUMIF(r_PartPresses,t_Presses[[PRESS]:[PRESS]],t_Parts[hp2016.01])</f>
        <v>0</v>
      </c>
      <c r="AX28" s="52">
        <f>SUMIF(r_PartPresses,t_Presses[[PRESS]:[PRESS]],t_Parts[hp2016.02])</f>
        <v>0</v>
      </c>
      <c r="AY28" s="52">
        <f>SUMIF(r_PartPresses,t_Presses[[PRESS]:[PRESS]],t_Parts[hp2016.03])</f>
        <v>0</v>
      </c>
      <c r="AZ28" s="52">
        <f>SUMIF(r_PartPresses,t_Presses[[PRESS]:[PRESS]],t_Parts[hp2016.04])</f>
        <v>0</v>
      </c>
      <c r="BA28" s="52">
        <f>SUMIF(r_PartPresses,t_Presses[[PRESS]:[PRESS]],t_Parts[hp2016.05])</f>
        <v>0</v>
      </c>
      <c r="BB28" s="52">
        <f>SUMIF(r_PartPresses,t_Presses[[PRESS]:[PRESS]],t_Parts[hp2016.06])</f>
        <v>0</v>
      </c>
      <c r="BC28" s="52">
        <f>SUMIF(r_PartPresses,t_Presses[[PRESS]:[PRESS]],t_Parts[hp2016.07])</f>
        <v>0</v>
      </c>
      <c r="BD28" s="52">
        <f>SUMIF(r_PartPresses,t_Presses[[PRESS]:[PRESS]],t_Parts[hp2016.08])</f>
        <v>0</v>
      </c>
      <c r="BE28" s="52">
        <f>SUMIF(r_PartPresses,t_Presses[[PRESS]:[PRESS]],t_Parts[hp2016.09])</f>
        <v>0</v>
      </c>
      <c r="BF28" s="52">
        <f>SUMIF(r_PartPresses,t_Presses[[PRESS]:[PRESS]],t_Parts[hp2016.10])</f>
        <v>0</v>
      </c>
      <c r="BG28" s="52">
        <f>SUMIF(r_PartPresses,t_Presses[[PRESS]:[PRESS]],t_Parts[hp2016.11])</f>
        <v>0</v>
      </c>
      <c r="BH28" s="52">
        <f>SUMIF(r_PartPresses,t_Presses[[PRESS]:[PRESS]],t_Parts[hp2016.12])</f>
        <v>0</v>
      </c>
      <c r="BI28" s="52">
        <f>SUMIF(r_PartPresses,t_Presses[[PRESS]:[PRESS]],t_Parts[hp2016.FY])</f>
        <v>0</v>
      </c>
      <c r="BJ28" s="52">
        <f>SUMIF(r_PartPresses,t_Presses[[PRESS]:[PRESS]],t_Parts[hp2017])</f>
        <v>0</v>
      </c>
      <c r="BK28" s="52">
        <f>SUMIF(r_PartPresses,t_Presses[[PRESS]:[PRESS]],t_Parts[hp2018])</f>
        <v>0</v>
      </c>
      <c r="BL28" s="52">
        <f>SUMIF(r_PartPresses,t_Presses[[PRESS]:[PRESS]],t_Parts[hp2019])</f>
        <v>0</v>
      </c>
      <c r="BM28" s="17">
        <f>t_Presses[[#This Row],[hp2015.01]]/t_Presses[[#This Row],[ha2015.01]]</f>
        <v>0</v>
      </c>
      <c r="BN28" s="17">
        <f>t_Presses[[#This Row],[hp2015.02]]/t_Presses[[#This Row],[ha2015.02]]</f>
        <v>0</v>
      </c>
      <c r="BO28" s="17">
        <f>t_Presses[[#This Row],[hp2015.03]]/t_Presses[[#This Row],[ha2015.03]]</f>
        <v>0</v>
      </c>
      <c r="BP28" s="17">
        <f>t_Presses[[#This Row],[hp2015.04]]/t_Presses[[#This Row],[ha2015.04]]</f>
        <v>0</v>
      </c>
      <c r="BQ28" s="17">
        <f>t_Presses[[#This Row],[hp2015.05]]/t_Presses[[#This Row],[ha2015.05]]</f>
        <v>0</v>
      </c>
      <c r="BR28" s="17">
        <f>t_Presses[[#This Row],[hp2015.06]]/t_Presses[[#This Row],[ha2015.06]]</f>
        <v>0</v>
      </c>
      <c r="BS28" s="17">
        <f>t_Presses[[#This Row],[hp2015.07]]/t_Presses[[#This Row],[ha2015.07]]</f>
        <v>0</v>
      </c>
      <c r="BT28" s="17">
        <f>t_Presses[[#This Row],[hp2015.08]]/t_Presses[[#This Row],[ha2015.08]]</f>
        <v>0</v>
      </c>
      <c r="BU28" s="17">
        <f>t_Presses[[#This Row],[hp2015.09]]/t_Presses[[#This Row],[ha2015.09]]</f>
        <v>0</v>
      </c>
      <c r="BV28" s="17">
        <f>t_Presses[[#This Row],[hp2015.10]]/t_Presses[[#This Row],[ha2015.10]]</f>
        <v>0</v>
      </c>
      <c r="BW28" s="17">
        <f>t_Presses[[#This Row],[hp2015.11]]/t_Presses[[#This Row],[ha2015.11]]</f>
        <v>0</v>
      </c>
      <c r="BX28" s="17">
        <f>t_Presses[[#This Row],[hp2015.12]]/t_Presses[[#This Row],[ha2015.12]]</f>
        <v>0</v>
      </c>
      <c r="BY28" s="17">
        <f>t_Presses[[#This Row],[hp2015.FY]]/t_Presses[[#This Row],[ha2015.FY]]</f>
        <v>0</v>
      </c>
      <c r="BZ28" s="17">
        <f>t_Presses[[#This Row],[hp2016.01]]/t_Presses[[#This Row],[ha2016.01]]</f>
        <v>0</v>
      </c>
      <c r="CA28" s="17">
        <f>t_Presses[[#This Row],[hp2016.02]]/t_Presses[[#This Row],[ha2016.02]]</f>
        <v>0</v>
      </c>
      <c r="CB28" s="17">
        <f>t_Presses[[#This Row],[hp2016.03]]/t_Presses[[#This Row],[ha2016.03]]</f>
        <v>0</v>
      </c>
      <c r="CC28" s="17">
        <f>t_Presses[[#This Row],[hp2016.04]]/t_Presses[[#This Row],[ha2016.04]]</f>
        <v>0</v>
      </c>
      <c r="CD28" s="17">
        <f>t_Presses[[#This Row],[hp2016.05]]/t_Presses[[#This Row],[ha2016.05]]</f>
        <v>0</v>
      </c>
      <c r="CE28" s="17">
        <f>t_Presses[[#This Row],[hp2016.06]]/t_Presses[[#This Row],[ha2016.06]]</f>
        <v>0</v>
      </c>
      <c r="CF28" s="17">
        <f>t_Presses[[#This Row],[hp2016.07]]/t_Presses[[#This Row],[ha2016.07]]</f>
        <v>0</v>
      </c>
      <c r="CG28" s="17">
        <f>t_Presses[[#This Row],[hp2016.08]]/t_Presses[[#This Row],[ha2016.08]]</f>
        <v>0</v>
      </c>
      <c r="CH28" s="17">
        <f>t_Presses[[#This Row],[hp2016.09]]/t_Presses[[#This Row],[ha2016.09]]</f>
        <v>0</v>
      </c>
      <c r="CI28" s="17">
        <f>t_Presses[[#This Row],[hp2016.10]]/t_Presses[[#This Row],[ha2016.10]]</f>
        <v>0</v>
      </c>
      <c r="CJ28" s="17">
        <f>t_Presses[[#This Row],[hp2016.11]]/t_Presses[[#This Row],[ha2016.11]]</f>
        <v>0</v>
      </c>
      <c r="CK28" s="17">
        <f>t_Presses[[#This Row],[hp2016.12]]/t_Presses[[#This Row],[ha2016.12]]</f>
        <v>0</v>
      </c>
      <c r="CL28" s="17">
        <f>t_Presses[[#This Row],[hp2016.FY]]/t_Presses[[#This Row],[ha2016.FY]]</f>
        <v>0</v>
      </c>
      <c r="CM28" s="17">
        <f>t_Presses[[#This Row],[hp2017]]/t_Presses[[#This Row],[ha2017]]</f>
        <v>0</v>
      </c>
      <c r="CN28" s="17">
        <f>t_Presses[[#This Row],[hp2018]]/t_Presses[[#This Row],[ha2018]]</f>
        <v>0</v>
      </c>
      <c r="CO28" s="17">
        <f>t_Presses[[#This Row],[hp2019]]/t_Presses[[#This Row],[ha2019]]</f>
        <v>0</v>
      </c>
    </row>
    <row r="29" spans="1:93" x14ac:dyDescent="0.25">
      <c r="A29" s="16" t="s">
        <v>144</v>
      </c>
      <c r="B29" t="s">
        <v>9</v>
      </c>
      <c r="C29" t="s">
        <v>127</v>
      </c>
      <c r="D29">
        <v>1000</v>
      </c>
      <c r="E29" s="18" t="str">
        <f t="shared" si="0"/>
        <v>900-1199</v>
      </c>
      <c r="F29" s="15"/>
      <c r="G29" s="18">
        <f>VLOOKUP(t_Presses[[Plant]:[Plant]],t_Plants[],Plants!CM$1,FALSE)</f>
        <v>208</v>
      </c>
      <c r="H29">
        <f>VLOOKUP(t_Presses[[Plant]:[Plant]],t_Plants[],Plants!CN$1,FALSE)</f>
        <v>208</v>
      </c>
      <c r="I29" s="18">
        <f>VLOOKUP(t_Presses[[Plant]:[Plant]],t_Plants[],Plants!CO$1,FALSE)</f>
        <v>272</v>
      </c>
      <c r="J29" s="18">
        <f>VLOOKUP(t_Presses[[Plant]:[Plant]],t_Plants[],Plants!CP$1,FALSE)</f>
        <v>208</v>
      </c>
      <c r="K29" s="18">
        <f>VLOOKUP(t_Presses[[Plant]:[Plant]],t_Plants[],Plants!CQ$1,FALSE)</f>
        <v>208</v>
      </c>
      <c r="L29" s="18">
        <f>VLOOKUP(t_Presses[[Plant]:[Plant]],t_Plants[],Plants!CR$1,FALSE)</f>
        <v>272</v>
      </c>
      <c r="M29" s="18">
        <f>VLOOKUP(t_Presses[[Plant]:[Plant]],t_Plants[],Plants!CS$1,FALSE)</f>
        <v>208</v>
      </c>
      <c r="N29" s="18">
        <f>VLOOKUP(t_Presses[[Plant]:[Plant]],t_Plants[],Plants!CT$1,FALSE)</f>
        <v>208</v>
      </c>
      <c r="O29" s="18">
        <f>VLOOKUP(t_Presses[[Plant]:[Plant]],t_Plants[],Plants!CU$1,FALSE)</f>
        <v>272</v>
      </c>
      <c r="P29" s="18">
        <f>VLOOKUP(t_Presses[[Plant]:[Plant]],t_Plants[],Plants!CV$1,FALSE)</f>
        <v>208</v>
      </c>
      <c r="Q29" s="18">
        <f>VLOOKUP(t_Presses[[Plant]:[Plant]],t_Plants[],Plants!CW$1,FALSE)</f>
        <v>208</v>
      </c>
      <c r="R29" s="18">
        <f>VLOOKUP(t_Presses[[Plant]:[Plant]],t_Plants[],Plants!CX$1,FALSE)</f>
        <v>272</v>
      </c>
      <c r="S29" s="18">
        <f>SUM(t_Presses[[#This Row],[ha2015.01]:[ha2015.12]])</f>
        <v>2752</v>
      </c>
      <c r="T29">
        <f>VLOOKUP(t_Presses[[Plant]:[Plant]],t_Plants[],Plants!CZ$1,FALSE)</f>
        <v>208</v>
      </c>
      <c r="U29">
        <f>VLOOKUP(t_Presses[[Plant]:[Plant]],t_Plants[],Plants!DA$1,FALSE)</f>
        <v>208</v>
      </c>
      <c r="V29">
        <f>VLOOKUP(t_Presses[[Plant]:[Plant]],t_Plants[],Plants!DB$1,FALSE)</f>
        <v>272</v>
      </c>
      <c r="W29">
        <f>VLOOKUP(t_Presses[[Plant]:[Plant]],t_Plants[],Plants!DC$1,FALSE)</f>
        <v>208</v>
      </c>
      <c r="X29">
        <f>VLOOKUP(t_Presses[[Plant]:[Plant]],t_Plants[],Plants!DD$1,FALSE)</f>
        <v>208</v>
      </c>
      <c r="Y29">
        <f>VLOOKUP(t_Presses[[Plant]:[Plant]],t_Plants[],Plants!DE$1,FALSE)</f>
        <v>272</v>
      </c>
      <c r="Z29">
        <f>VLOOKUP(t_Presses[[Plant]:[Plant]],t_Plants[],Plants!DF$1,FALSE)</f>
        <v>208</v>
      </c>
      <c r="AA29">
        <f>VLOOKUP(t_Presses[[Plant]:[Plant]],t_Plants[],Plants!DG$1,FALSE)</f>
        <v>208</v>
      </c>
      <c r="AB29">
        <f>VLOOKUP(t_Presses[[Plant]:[Plant]],t_Plants[],Plants!DH$1,FALSE)</f>
        <v>272</v>
      </c>
      <c r="AC29">
        <f>VLOOKUP(t_Presses[[Plant]:[Plant]],t_Plants[],Plants!DI$1,FALSE)</f>
        <v>208</v>
      </c>
      <c r="AD29">
        <f>VLOOKUP(t_Presses[[Plant]:[Plant]],t_Plants[],Plants!DJ$1,FALSE)</f>
        <v>208</v>
      </c>
      <c r="AE29">
        <f>VLOOKUP(t_Presses[[Plant]:[Plant]],t_Plants[],Plants!DK$1,FALSE)</f>
        <v>272</v>
      </c>
      <c r="AF29" s="18">
        <f>SUM(t_Presses[[#This Row],[ha2016.01]:[ha2016.12]])</f>
        <v>2752</v>
      </c>
      <c r="AG29">
        <f>VLOOKUP(t_Presses[[Plant]:[Plant]],t_Plants[],Plants!DM$1,FALSE)</f>
        <v>2752</v>
      </c>
      <c r="AH29">
        <f>VLOOKUP(t_Presses[[Plant]:[Plant]],t_Plants[],Plants!DN$1,FALSE)</f>
        <v>2752</v>
      </c>
      <c r="AI29">
        <f>VLOOKUP(t_Presses[[Plant]:[Plant]],t_Plants[],Plants!DO$1,FALSE)</f>
        <v>2752</v>
      </c>
      <c r="AJ29" s="52">
        <f>SUMIF(r_PartPresses,t_Presses[[PRESS]:[PRESS]],t_Parts[hp2015.01])</f>
        <v>0</v>
      </c>
      <c r="AK29" s="52">
        <f>SUMIF(r_PartPresses,t_Presses[[PRESS]:[PRESS]],t_Parts[hp2015.02])</f>
        <v>0</v>
      </c>
      <c r="AL29" s="52">
        <f>SUMIF(r_PartPresses,t_Presses[[PRESS]:[PRESS]],t_Parts[hp2015.03])</f>
        <v>0</v>
      </c>
      <c r="AM29" s="52">
        <f>SUMIF(r_PartPresses,t_Presses[[PRESS]:[PRESS]],t_Parts[hp2015.04])</f>
        <v>0</v>
      </c>
      <c r="AN29" s="52">
        <f>SUMIF(r_PartPresses,t_Presses[[PRESS]:[PRESS]],t_Parts[hp2015.05])</f>
        <v>0</v>
      </c>
      <c r="AO29" s="52">
        <f>SUMIF(r_PartPresses,t_Presses[[PRESS]:[PRESS]],t_Parts[hp2015.06])</f>
        <v>0</v>
      </c>
      <c r="AP29" s="52">
        <f>SUMIF(r_PartPresses,t_Presses[[PRESS]:[PRESS]],t_Parts[hp2015.07])</f>
        <v>0</v>
      </c>
      <c r="AQ29" s="52">
        <f>SUMIF(r_PartPresses,t_Presses[[PRESS]:[PRESS]],t_Parts[hp2015.08])</f>
        <v>0</v>
      </c>
      <c r="AR29" s="52">
        <f>SUMIF(r_PartPresses,t_Presses[[PRESS]:[PRESS]],t_Parts[hp2015.09])</f>
        <v>0</v>
      </c>
      <c r="AS29" s="52">
        <f>SUMIF(r_PartPresses,t_Presses[[PRESS]:[PRESS]],t_Parts[hp2015.10])</f>
        <v>0</v>
      </c>
      <c r="AT29" s="52">
        <f>SUMIF(r_PartPresses,t_Presses[[PRESS]:[PRESS]],t_Parts[hp2015.11])</f>
        <v>0</v>
      </c>
      <c r="AU29" s="52">
        <f>SUMIF(r_PartPresses,t_Presses[[PRESS]:[PRESS]],t_Parts[hp2015.12])</f>
        <v>0</v>
      </c>
      <c r="AV29" s="52">
        <f>SUM(t_Presses[[#This Row],[hp2015.01]:[hp2015.12]])</f>
        <v>0</v>
      </c>
      <c r="AW29" s="52">
        <f>SUMIF(r_PartPresses,t_Presses[[PRESS]:[PRESS]],t_Parts[hp2016.01])</f>
        <v>0</v>
      </c>
      <c r="AX29" s="52">
        <f>SUMIF(r_PartPresses,t_Presses[[PRESS]:[PRESS]],t_Parts[hp2016.02])</f>
        <v>0</v>
      </c>
      <c r="AY29" s="52">
        <f>SUMIF(r_PartPresses,t_Presses[[PRESS]:[PRESS]],t_Parts[hp2016.03])</f>
        <v>0</v>
      </c>
      <c r="AZ29" s="52">
        <f>SUMIF(r_PartPresses,t_Presses[[PRESS]:[PRESS]],t_Parts[hp2016.04])</f>
        <v>0</v>
      </c>
      <c r="BA29" s="52">
        <f>SUMIF(r_PartPresses,t_Presses[[PRESS]:[PRESS]],t_Parts[hp2016.05])</f>
        <v>0</v>
      </c>
      <c r="BB29" s="52">
        <f>SUMIF(r_PartPresses,t_Presses[[PRESS]:[PRESS]],t_Parts[hp2016.06])</f>
        <v>0</v>
      </c>
      <c r="BC29" s="52">
        <f>SUMIF(r_PartPresses,t_Presses[[PRESS]:[PRESS]],t_Parts[hp2016.07])</f>
        <v>0</v>
      </c>
      <c r="BD29" s="52">
        <f>SUMIF(r_PartPresses,t_Presses[[PRESS]:[PRESS]],t_Parts[hp2016.08])</f>
        <v>0</v>
      </c>
      <c r="BE29" s="52">
        <f>SUMIF(r_PartPresses,t_Presses[[PRESS]:[PRESS]],t_Parts[hp2016.09])</f>
        <v>0</v>
      </c>
      <c r="BF29" s="52">
        <f>SUMIF(r_PartPresses,t_Presses[[PRESS]:[PRESS]],t_Parts[hp2016.10])</f>
        <v>0</v>
      </c>
      <c r="BG29" s="52">
        <f>SUMIF(r_PartPresses,t_Presses[[PRESS]:[PRESS]],t_Parts[hp2016.11])</f>
        <v>0</v>
      </c>
      <c r="BH29" s="52">
        <f>SUMIF(r_PartPresses,t_Presses[[PRESS]:[PRESS]],t_Parts[hp2016.12])</f>
        <v>0</v>
      </c>
      <c r="BI29" s="52">
        <f>SUMIF(r_PartPresses,t_Presses[[PRESS]:[PRESS]],t_Parts[hp2016.FY])</f>
        <v>0</v>
      </c>
      <c r="BJ29" s="52">
        <f>SUMIF(r_PartPresses,t_Presses[[PRESS]:[PRESS]],t_Parts[hp2017])</f>
        <v>0</v>
      </c>
      <c r="BK29" s="52">
        <f>SUMIF(r_PartPresses,t_Presses[[PRESS]:[PRESS]],t_Parts[hp2018])</f>
        <v>0</v>
      </c>
      <c r="BL29" s="52">
        <f>SUMIF(r_PartPresses,t_Presses[[PRESS]:[PRESS]],t_Parts[hp2019])</f>
        <v>0</v>
      </c>
      <c r="BM29" s="17">
        <f>t_Presses[[#This Row],[hp2015.01]]/t_Presses[[#This Row],[ha2015.01]]</f>
        <v>0</v>
      </c>
      <c r="BN29" s="17">
        <f>t_Presses[[#This Row],[hp2015.02]]/t_Presses[[#This Row],[ha2015.02]]</f>
        <v>0</v>
      </c>
      <c r="BO29" s="17">
        <f>t_Presses[[#This Row],[hp2015.03]]/t_Presses[[#This Row],[ha2015.03]]</f>
        <v>0</v>
      </c>
      <c r="BP29" s="17">
        <f>t_Presses[[#This Row],[hp2015.04]]/t_Presses[[#This Row],[ha2015.04]]</f>
        <v>0</v>
      </c>
      <c r="BQ29" s="17">
        <f>t_Presses[[#This Row],[hp2015.05]]/t_Presses[[#This Row],[ha2015.05]]</f>
        <v>0</v>
      </c>
      <c r="BR29" s="17">
        <f>t_Presses[[#This Row],[hp2015.06]]/t_Presses[[#This Row],[ha2015.06]]</f>
        <v>0</v>
      </c>
      <c r="BS29" s="17">
        <f>t_Presses[[#This Row],[hp2015.07]]/t_Presses[[#This Row],[ha2015.07]]</f>
        <v>0</v>
      </c>
      <c r="BT29" s="17">
        <f>t_Presses[[#This Row],[hp2015.08]]/t_Presses[[#This Row],[ha2015.08]]</f>
        <v>0</v>
      </c>
      <c r="BU29" s="17">
        <f>t_Presses[[#This Row],[hp2015.09]]/t_Presses[[#This Row],[ha2015.09]]</f>
        <v>0</v>
      </c>
      <c r="BV29" s="17">
        <f>t_Presses[[#This Row],[hp2015.10]]/t_Presses[[#This Row],[ha2015.10]]</f>
        <v>0</v>
      </c>
      <c r="BW29" s="17">
        <f>t_Presses[[#This Row],[hp2015.11]]/t_Presses[[#This Row],[ha2015.11]]</f>
        <v>0</v>
      </c>
      <c r="BX29" s="17">
        <f>t_Presses[[#This Row],[hp2015.12]]/t_Presses[[#This Row],[ha2015.12]]</f>
        <v>0</v>
      </c>
      <c r="BY29" s="17">
        <f>t_Presses[[#This Row],[hp2015.FY]]/t_Presses[[#This Row],[ha2015.FY]]</f>
        <v>0</v>
      </c>
      <c r="BZ29" s="17">
        <f>t_Presses[[#This Row],[hp2016.01]]/t_Presses[[#This Row],[ha2016.01]]</f>
        <v>0</v>
      </c>
      <c r="CA29" s="17">
        <f>t_Presses[[#This Row],[hp2016.02]]/t_Presses[[#This Row],[ha2016.02]]</f>
        <v>0</v>
      </c>
      <c r="CB29" s="17">
        <f>t_Presses[[#This Row],[hp2016.03]]/t_Presses[[#This Row],[ha2016.03]]</f>
        <v>0</v>
      </c>
      <c r="CC29" s="17">
        <f>t_Presses[[#This Row],[hp2016.04]]/t_Presses[[#This Row],[ha2016.04]]</f>
        <v>0</v>
      </c>
      <c r="CD29" s="17">
        <f>t_Presses[[#This Row],[hp2016.05]]/t_Presses[[#This Row],[ha2016.05]]</f>
        <v>0</v>
      </c>
      <c r="CE29" s="17">
        <f>t_Presses[[#This Row],[hp2016.06]]/t_Presses[[#This Row],[ha2016.06]]</f>
        <v>0</v>
      </c>
      <c r="CF29" s="17">
        <f>t_Presses[[#This Row],[hp2016.07]]/t_Presses[[#This Row],[ha2016.07]]</f>
        <v>0</v>
      </c>
      <c r="CG29" s="17">
        <f>t_Presses[[#This Row],[hp2016.08]]/t_Presses[[#This Row],[ha2016.08]]</f>
        <v>0</v>
      </c>
      <c r="CH29" s="17">
        <f>t_Presses[[#This Row],[hp2016.09]]/t_Presses[[#This Row],[ha2016.09]]</f>
        <v>0</v>
      </c>
      <c r="CI29" s="17">
        <f>t_Presses[[#This Row],[hp2016.10]]/t_Presses[[#This Row],[ha2016.10]]</f>
        <v>0</v>
      </c>
      <c r="CJ29" s="17">
        <f>t_Presses[[#This Row],[hp2016.11]]/t_Presses[[#This Row],[ha2016.11]]</f>
        <v>0</v>
      </c>
      <c r="CK29" s="17">
        <f>t_Presses[[#This Row],[hp2016.12]]/t_Presses[[#This Row],[ha2016.12]]</f>
        <v>0</v>
      </c>
      <c r="CL29" s="17">
        <f>t_Presses[[#This Row],[hp2016.FY]]/t_Presses[[#This Row],[ha2016.FY]]</f>
        <v>0</v>
      </c>
      <c r="CM29" s="17">
        <f>t_Presses[[#This Row],[hp2017]]/t_Presses[[#This Row],[ha2017]]</f>
        <v>0</v>
      </c>
      <c r="CN29" s="17">
        <f>t_Presses[[#This Row],[hp2018]]/t_Presses[[#This Row],[ha2018]]</f>
        <v>0</v>
      </c>
      <c r="CO29" s="17">
        <f>t_Presses[[#This Row],[hp2019]]/t_Presses[[#This Row],[ha2019]]</f>
        <v>0</v>
      </c>
    </row>
    <row r="30" spans="1:93" x14ac:dyDescent="0.25">
      <c r="A30" s="16" t="s">
        <v>145</v>
      </c>
      <c r="B30" t="s">
        <v>9</v>
      </c>
      <c r="C30" t="s">
        <v>127</v>
      </c>
      <c r="D30">
        <v>1000</v>
      </c>
      <c r="E30" s="18" t="str">
        <f t="shared" si="0"/>
        <v>900-1199</v>
      </c>
      <c r="F30" s="15"/>
      <c r="G30" s="18">
        <f>VLOOKUP(t_Presses[[Plant]:[Plant]],t_Plants[],Plants!CM$1,FALSE)</f>
        <v>208</v>
      </c>
      <c r="H30">
        <f>VLOOKUP(t_Presses[[Plant]:[Plant]],t_Plants[],Plants!CN$1,FALSE)</f>
        <v>208</v>
      </c>
      <c r="I30" s="18">
        <f>VLOOKUP(t_Presses[[Plant]:[Plant]],t_Plants[],Plants!CO$1,FALSE)</f>
        <v>272</v>
      </c>
      <c r="J30" s="18">
        <f>VLOOKUP(t_Presses[[Plant]:[Plant]],t_Plants[],Plants!CP$1,FALSE)</f>
        <v>208</v>
      </c>
      <c r="K30" s="18">
        <f>VLOOKUP(t_Presses[[Plant]:[Plant]],t_Plants[],Plants!CQ$1,FALSE)</f>
        <v>208</v>
      </c>
      <c r="L30" s="18">
        <f>VLOOKUP(t_Presses[[Plant]:[Plant]],t_Plants[],Plants!CR$1,FALSE)</f>
        <v>272</v>
      </c>
      <c r="M30" s="18">
        <f>VLOOKUP(t_Presses[[Plant]:[Plant]],t_Plants[],Plants!CS$1,FALSE)</f>
        <v>208</v>
      </c>
      <c r="N30" s="18">
        <f>VLOOKUP(t_Presses[[Plant]:[Plant]],t_Plants[],Plants!CT$1,FALSE)</f>
        <v>208</v>
      </c>
      <c r="O30" s="18">
        <f>VLOOKUP(t_Presses[[Plant]:[Plant]],t_Plants[],Plants!CU$1,FALSE)</f>
        <v>272</v>
      </c>
      <c r="P30" s="18">
        <f>VLOOKUP(t_Presses[[Plant]:[Plant]],t_Plants[],Plants!CV$1,FALSE)</f>
        <v>208</v>
      </c>
      <c r="Q30" s="18">
        <f>VLOOKUP(t_Presses[[Plant]:[Plant]],t_Plants[],Plants!CW$1,FALSE)</f>
        <v>208</v>
      </c>
      <c r="R30" s="18">
        <f>VLOOKUP(t_Presses[[Plant]:[Plant]],t_Plants[],Plants!CX$1,FALSE)</f>
        <v>272</v>
      </c>
      <c r="S30" s="18">
        <f>SUM(t_Presses[[#This Row],[ha2015.01]:[ha2015.12]])</f>
        <v>2752</v>
      </c>
      <c r="T30">
        <f>VLOOKUP(t_Presses[[Plant]:[Plant]],t_Plants[],Plants!CZ$1,FALSE)</f>
        <v>208</v>
      </c>
      <c r="U30">
        <f>VLOOKUP(t_Presses[[Plant]:[Plant]],t_Plants[],Plants!DA$1,FALSE)</f>
        <v>208</v>
      </c>
      <c r="V30">
        <f>VLOOKUP(t_Presses[[Plant]:[Plant]],t_Plants[],Plants!DB$1,FALSE)</f>
        <v>272</v>
      </c>
      <c r="W30">
        <f>VLOOKUP(t_Presses[[Plant]:[Plant]],t_Plants[],Plants!DC$1,FALSE)</f>
        <v>208</v>
      </c>
      <c r="X30">
        <f>VLOOKUP(t_Presses[[Plant]:[Plant]],t_Plants[],Plants!DD$1,FALSE)</f>
        <v>208</v>
      </c>
      <c r="Y30">
        <f>VLOOKUP(t_Presses[[Plant]:[Plant]],t_Plants[],Plants!DE$1,FALSE)</f>
        <v>272</v>
      </c>
      <c r="Z30">
        <f>VLOOKUP(t_Presses[[Plant]:[Plant]],t_Plants[],Plants!DF$1,FALSE)</f>
        <v>208</v>
      </c>
      <c r="AA30">
        <f>VLOOKUP(t_Presses[[Plant]:[Plant]],t_Plants[],Plants!DG$1,FALSE)</f>
        <v>208</v>
      </c>
      <c r="AB30">
        <f>VLOOKUP(t_Presses[[Plant]:[Plant]],t_Plants[],Plants!DH$1,FALSE)</f>
        <v>272</v>
      </c>
      <c r="AC30">
        <f>VLOOKUP(t_Presses[[Plant]:[Plant]],t_Plants[],Plants!DI$1,FALSE)</f>
        <v>208</v>
      </c>
      <c r="AD30">
        <f>VLOOKUP(t_Presses[[Plant]:[Plant]],t_Plants[],Plants!DJ$1,FALSE)</f>
        <v>208</v>
      </c>
      <c r="AE30">
        <f>VLOOKUP(t_Presses[[Plant]:[Plant]],t_Plants[],Plants!DK$1,FALSE)</f>
        <v>272</v>
      </c>
      <c r="AF30" s="18">
        <f>SUM(t_Presses[[#This Row],[ha2016.01]:[ha2016.12]])</f>
        <v>2752</v>
      </c>
      <c r="AG30">
        <f>VLOOKUP(t_Presses[[Plant]:[Plant]],t_Plants[],Plants!DM$1,FALSE)</f>
        <v>2752</v>
      </c>
      <c r="AH30">
        <f>VLOOKUP(t_Presses[[Plant]:[Plant]],t_Plants[],Plants!DN$1,FALSE)</f>
        <v>2752</v>
      </c>
      <c r="AI30">
        <f>VLOOKUP(t_Presses[[Plant]:[Plant]],t_Plants[],Plants!DO$1,FALSE)</f>
        <v>2752</v>
      </c>
      <c r="AJ30" s="52">
        <f>SUMIF(r_PartPresses,t_Presses[[PRESS]:[PRESS]],t_Parts[hp2015.01])</f>
        <v>0</v>
      </c>
      <c r="AK30" s="52">
        <f>SUMIF(r_PartPresses,t_Presses[[PRESS]:[PRESS]],t_Parts[hp2015.02])</f>
        <v>0</v>
      </c>
      <c r="AL30" s="52">
        <f>SUMIF(r_PartPresses,t_Presses[[PRESS]:[PRESS]],t_Parts[hp2015.03])</f>
        <v>0</v>
      </c>
      <c r="AM30" s="52">
        <f>SUMIF(r_PartPresses,t_Presses[[PRESS]:[PRESS]],t_Parts[hp2015.04])</f>
        <v>0</v>
      </c>
      <c r="AN30" s="52">
        <f>SUMIF(r_PartPresses,t_Presses[[PRESS]:[PRESS]],t_Parts[hp2015.05])</f>
        <v>0</v>
      </c>
      <c r="AO30" s="52">
        <f>SUMIF(r_PartPresses,t_Presses[[PRESS]:[PRESS]],t_Parts[hp2015.06])</f>
        <v>0</v>
      </c>
      <c r="AP30" s="52">
        <f>SUMIF(r_PartPresses,t_Presses[[PRESS]:[PRESS]],t_Parts[hp2015.07])</f>
        <v>0</v>
      </c>
      <c r="AQ30" s="52">
        <f>SUMIF(r_PartPresses,t_Presses[[PRESS]:[PRESS]],t_Parts[hp2015.08])</f>
        <v>0</v>
      </c>
      <c r="AR30" s="52">
        <f>SUMIF(r_PartPresses,t_Presses[[PRESS]:[PRESS]],t_Parts[hp2015.09])</f>
        <v>0</v>
      </c>
      <c r="AS30" s="52">
        <f>SUMIF(r_PartPresses,t_Presses[[PRESS]:[PRESS]],t_Parts[hp2015.10])</f>
        <v>0</v>
      </c>
      <c r="AT30" s="52">
        <f>SUMIF(r_PartPresses,t_Presses[[PRESS]:[PRESS]],t_Parts[hp2015.11])</f>
        <v>0</v>
      </c>
      <c r="AU30" s="52">
        <f>SUMIF(r_PartPresses,t_Presses[[PRESS]:[PRESS]],t_Parts[hp2015.12])</f>
        <v>0</v>
      </c>
      <c r="AV30" s="52">
        <f>SUM(t_Presses[[#This Row],[hp2015.01]:[hp2015.12]])</f>
        <v>0</v>
      </c>
      <c r="AW30" s="52">
        <f>SUMIF(r_PartPresses,t_Presses[[PRESS]:[PRESS]],t_Parts[hp2016.01])</f>
        <v>0</v>
      </c>
      <c r="AX30" s="52">
        <f>SUMIF(r_PartPresses,t_Presses[[PRESS]:[PRESS]],t_Parts[hp2016.02])</f>
        <v>0</v>
      </c>
      <c r="AY30" s="52">
        <f>SUMIF(r_PartPresses,t_Presses[[PRESS]:[PRESS]],t_Parts[hp2016.03])</f>
        <v>0</v>
      </c>
      <c r="AZ30" s="52">
        <f>SUMIF(r_PartPresses,t_Presses[[PRESS]:[PRESS]],t_Parts[hp2016.04])</f>
        <v>0</v>
      </c>
      <c r="BA30" s="52">
        <f>SUMIF(r_PartPresses,t_Presses[[PRESS]:[PRESS]],t_Parts[hp2016.05])</f>
        <v>0</v>
      </c>
      <c r="BB30" s="52">
        <f>SUMIF(r_PartPresses,t_Presses[[PRESS]:[PRESS]],t_Parts[hp2016.06])</f>
        <v>0</v>
      </c>
      <c r="BC30" s="52">
        <f>SUMIF(r_PartPresses,t_Presses[[PRESS]:[PRESS]],t_Parts[hp2016.07])</f>
        <v>0</v>
      </c>
      <c r="BD30" s="52">
        <f>SUMIF(r_PartPresses,t_Presses[[PRESS]:[PRESS]],t_Parts[hp2016.08])</f>
        <v>0</v>
      </c>
      <c r="BE30" s="52">
        <f>SUMIF(r_PartPresses,t_Presses[[PRESS]:[PRESS]],t_Parts[hp2016.09])</f>
        <v>0</v>
      </c>
      <c r="BF30" s="52">
        <f>SUMIF(r_PartPresses,t_Presses[[PRESS]:[PRESS]],t_Parts[hp2016.10])</f>
        <v>0</v>
      </c>
      <c r="BG30" s="52">
        <f>SUMIF(r_PartPresses,t_Presses[[PRESS]:[PRESS]],t_Parts[hp2016.11])</f>
        <v>0</v>
      </c>
      <c r="BH30" s="52">
        <f>SUMIF(r_PartPresses,t_Presses[[PRESS]:[PRESS]],t_Parts[hp2016.12])</f>
        <v>0</v>
      </c>
      <c r="BI30" s="52">
        <f>SUMIF(r_PartPresses,t_Presses[[PRESS]:[PRESS]],t_Parts[hp2016.FY])</f>
        <v>0</v>
      </c>
      <c r="BJ30" s="52">
        <f>SUMIF(r_PartPresses,t_Presses[[PRESS]:[PRESS]],t_Parts[hp2017])</f>
        <v>0</v>
      </c>
      <c r="BK30" s="52">
        <f>SUMIF(r_PartPresses,t_Presses[[PRESS]:[PRESS]],t_Parts[hp2018])</f>
        <v>0</v>
      </c>
      <c r="BL30" s="52">
        <f>SUMIF(r_PartPresses,t_Presses[[PRESS]:[PRESS]],t_Parts[hp2019])</f>
        <v>0</v>
      </c>
      <c r="BM30" s="17">
        <f>t_Presses[[#This Row],[hp2015.01]]/t_Presses[[#This Row],[ha2015.01]]</f>
        <v>0</v>
      </c>
      <c r="BN30" s="17">
        <f>t_Presses[[#This Row],[hp2015.02]]/t_Presses[[#This Row],[ha2015.02]]</f>
        <v>0</v>
      </c>
      <c r="BO30" s="17">
        <f>t_Presses[[#This Row],[hp2015.03]]/t_Presses[[#This Row],[ha2015.03]]</f>
        <v>0</v>
      </c>
      <c r="BP30" s="17">
        <f>t_Presses[[#This Row],[hp2015.04]]/t_Presses[[#This Row],[ha2015.04]]</f>
        <v>0</v>
      </c>
      <c r="BQ30" s="17">
        <f>t_Presses[[#This Row],[hp2015.05]]/t_Presses[[#This Row],[ha2015.05]]</f>
        <v>0</v>
      </c>
      <c r="BR30" s="17">
        <f>t_Presses[[#This Row],[hp2015.06]]/t_Presses[[#This Row],[ha2015.06]]</f>
        <v>0</v>
      </c>
      <c r="BS30" s="17">
        <f>t_Presses[[#This Row],[hp2015.07]]/t_Presses[[#This Row],[ha2015.07]]</f>
        <v>0</v>
      </c>
      <c r="BT30" s="17">
        <f>t_Presses[[#This Row],[hp2015.08]]/t_Presses[[#This Row],[ha2015.08]]</f>
        <v>0</v>
      </c>
      <c r="BU30" s="17">
        <f>t_Presses[[#This Row],[hp2015.09]]/t_Presses[[#This Row],[ha2015.09]]</f>
        <v>0</v>
      </c>
      <c r="BV30" s="17">
        <f>t_Presses[[#This Row],[hp2015.10]]/t_Presses[[#This Row],[ha2015.10]]</f>
        <v>0</v>
      </c>
      <c r="BW30" s="17">
        <f>t_Presses[[#This Row],[hp2015.11]]/t_Presses[[#This Row],[ha2015.11]]</f>
        <v>0</v>
      </c>
      <c r="BX30" s="17">
        <f>t_Presses[[#This Row],[hp2015.12]]/t_Presses[[#This Row],[ha2015.12]]</f>
        <v>0</v>
      </c>
      <c r="BY30" s="17">
        <f>t_Presses[[#This Row],[hp2015.FY]]/t_Presses[[#This Row],[ha2015.FY]]</f>
        <v>0</v>
      </c>
      <c r="BZ30" s="17">
        <f>t_Presses[[#This Row],[hp2016.01]]/t_Presses[[#This Row],[ha2016.01]]</f>
        <v>0</v>
      </c>
      <c r="CA30" s="17">
        <f>t_Presses[[#This Row],[hp2016.02]]/t_Presses[[#This Row],[ha2016.02]]</f>
        <v>0</v>
      </c>
      <c r="CB30" s="17">
        <f>t_Presses[[#This Row],[hp2016.03]]/t_Presses[[#This Row],[ha2016.03]]</f>
        <v>0</v>
      </c>
      <c r="CC30" s="17">
        <f>t_Presses[[#This Row],[hp2016.04]]/t_Presses[[#This Row],[ha2016.04]]</f>
        <v>0</v>
      </c>
      <c r="CD30" s="17">
        <f>t_Presses[[#This Row],[hp2016.05]]/t_Presses[[#This Row],[ha2016.05]]</f>
        <v>0</v>
      </c>
      <c r="CE30" s="17">
        <f>t_Presses[[#This Row],[hp2016.06]]/t_Presses[[#This Row],[ha2016.06]]</f>
        <v>0</v>
      </c>
      <c r="CF30" s="17">
        <f>t_Presses[[#This Row],[hp2016.07]]/t_Presses[[#This Row],[ha2016.07]]</f>
        <v>0</v>
      </c>
      <c r="CG30" s="17">
        <f>t_Presses[[#This Row],[hp2016.08]]/t_Presses[[#This Row],[ha2016.08]]</f>
        <v>0</v>
      </c>
      <c r="CH30" s="17">
        <f>t_Presses[[#This Row],[hp2016.09]]/t_Presses[[#This Row],[ha2016.09]]</f>
        <v>0</v>
      </c>
      <c r="CI30" s="17">
        <f>t_Presses[[#This Row],[hp2016.10]]/t_Presses[[#This Row],[ha2016.10]]</f>
        <v>0</v>
      </c>
      <c r="CJ30" s="17">
        <f>t_Presses[[#This Row],[hp2016.11]]/t_Presses[[#This Row],[ha2016.11]]</f>
        <v>0</v>
      </c>
      <c r="CK30" s="17">
        <f>t_Presses[[#This Row],[hp2016.12]]/t_Presses[[#This Row],[ha2016.12]]</f>
        <v>0</v>
      </c>
      <c r="CL30" s="17">
        <f>t_Presses[[#This Row],[hp2016.FY]]/t_Presses[[#This Row],[ha2016.FY]]</f>
        <v>0</v>
      </c>
      <c r="CM30" s="17">
        <f>t_Presses[[#This Row],[hp2017]]/t_Presses[[#This Row],[ha2017]]</f>
        <v>0</v>
      </c>
      <c r="CN30" s="17">
        <f>t_Presses[[#This Row],[hp2018]]/t_Presses[[#This Row],[ha2018]]</f>
        <v>0</v>
      </c>
      <c r="CO30" s="17">
        <f>t_Presses[[#This Row],[hp2019]]/t_Presses[[#This Row],[ha2019]]</f>
        <v>0</v>
      </c>
    </row>
    <row r="31" spans="1:93" hidden="1" x14ac:dyDescent="0.25">
      <c r="A31" s="16" t="s">
        <v>146</v>
      </c>
      <c r="B31" t="s">
        <v>12</v>
      </c>
      <c r="C31" t="s">
        <v>126</v>
      </c>
      <c r="D31">
        <v>200</v>
      </c>
      <c r="E31" s="18" t="str">
        <f t="shared" si="0"/>
        <v>0-299</v>
      </c>
      <c r="F31" s="15"/>
      <c r="G31" s="18">
        <f>VLOOKUP(t_Presses[[Plant]:[Plant]],t_Plants[],Plants!CM$1,FALSE)</f>
        <v>250</v>
      </c>
      <c r="H31">
        <f>VLOOKUP(t_Presses[[Plant]:[Plant]],t_Plants[],Plants!CN$1,FALSE)</f>
        <v>260</v>
      </c>
      <c r="I31" s="18">
        <f>VLOOKUP(t_Presses[[Plant]:[Plant]],t_Plants[],Plants!CO$1,FALSE)</f>
        <v>340</v>
      </c>
      <c r="J31" s="18">
        <f>VLOOKUP(t_Presses[[Plant]:[Plant]],t_Plants[],Plants!CP$1,FALSE)</f>
        <v>250</v>
      </c>
      <c r="K31" s="18">
        <f>VLOOKUP(t_Presses[[Plant]:[Plant]],t_Plants[],Plants!CQ$1,FALSE)</f>
        <v>260</v>
      </c>
      <c r="L31" s="18">
        <f>VLOOKUP(t_Presses[[Plant]:[Plant]],t_Plants[],Plants!CR$1,FALSE)</f>
        <v>340</v>
      </c>
      <c r="M31" s="18">
        <f>VLOOKUP(t_Presses[[Plant]:[Plant]],t_Plants[],Plants!CS$1,FALSE)</f>
        <v>250</v>
      </c>
      <c r="N31" s="18">
        <f>VLOOKUP(t_Presses[[Plant]:[Plant]],t_Plants[],Plants!CT$1,FALSE)</f>
        <v>260</v>
      </c>
      <c r="O31" s="18">
        <f>VLOOKUP(t_Presses[[Plant]:[Plant]],t_Plants[],Plants!CU$1,FALSE)</f>
        <v>340</v>
      </c>
      <c r="P31" s="18">
        <f>VLOOKUP(t_Presses[[Plant]:[Plant]],t_Plants[],Plants!CV$1,FALSE)</f>
        <v>250</v>
      </c>
      <c r="Q31" s="18">
        <f>VLOOKUP(t_Presses[[Plant]:[Plant]],t_Plants[],Plants!CW$1,FALSE)</f>
        <v>260</v>
      </c>
      <c r="R31" s="18">
        <f>VLOOKUP(t_Presses[[Plant]:[Plant]],t_Plants[],Plants!CX$1,FALSE)</f>
        <v>340</v>
      </c>
      <c r="S31" s="18">
        <f>SUM(t_Presses[[#This Row],[ha2015.01]:[ha2015.12]])</f>
        <v>3400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>
        <f>SUM(t_Presses[[#This Row],[ha2016.01]:[ha2016.12]])</f>
        <v>0</v>
      </c>
      <c r="AG31" s="18"/>
      <c r="AH31" s="18"/>
      <c r="AI31" s="18"/>
      <c r="AJ31" s="52">
        <f>SUMIF(r_PartPresses,t_Presses[[PRESS]:[PRESS]],t_Parts[hp2015.01])</f>
        <v>0</v>
      </c>
      <c r="AK31" s="52">
        <f>SUMIF(r_PartPresses,t_Presses[[PRESS]:[PRESS]],t_Parts[hp2015.02])</f>
        <v>0</v>
      </c>
      <c r="AL31" s="52">
        <f>SUMIF(r_PartPresses,t_Presses[[PRESS]:[PRESS]],t_Parts[hp2015.03])</f>
        <v>0</v>
      </c>
      <c r="AM31" s="52">
        <f>SUMIF(r_PartPresses,t_Presses[[PRESS]:[PRESS]],t_Parts[hp2015.04])</f>
        <v>0</v>
      </c>
      <c r="AN31" s="52">
        <f>SUMIF(r_PartPresses,t_Presses[[PRESS]:[PRESS]],t_Parts[hp2015.05])</f>
        <v>0</v>
      </c>
      <c r="AO31" s="52">
        <f>SUMIF(r_PartPresses,t_Presses[[PRESS]:[PRESS]],t_Parts[hp2015.06])</f>
        <v>0</v>
      </c>
      <c r="AP31" s="52">
        <f>SUMIF(r_PartPresses,t_Presses[[PRESS]:[PRESS]],t_Parts[hp2015.07])</f>
        <v>0</v>
      </c>
      <c r="AQ31" s="52">
        <f>SUMIF(r_PartPresses,t_Presses[[PRESS]:[PRESS]],t_Parts[hp2015.08])</f>
        <v>0</v>
      </c>
      <c r="AR31" s="52">
        <f>SUMIF(r_PartPresses,t_Presses[[PRESS]:[PRESS]],t_Parts[hp2015.09])</f>
        <v>0</v>
      </c>
      <c r="AS31" s="52">
        <f>SUMIF(r_PartPresses,t_Presses[[PRESS]:[PRESS]],t_Parts[hp2015.10])</f>
        <v>0</v>
      </c>
      <c r="AT31" s="52">
        <f>SUMIF(r_PartPresses,t_Presses[[PRESS]:[PRESS]],t_Parts[hp2015.11])</f>
        <v>0</v>
      </c>
      <c r="AU31" s="52">
        <f>SUMIF(r_PartPresses,t_Presses[[PRESS]:[PRESS]],t_Parts[hp2015.12])</f>
        <v>0</v>
      </c>
      <c r="AV31" s="52">
        <f>SUM(t_Presses[[#This Row],[hp2015.01]:[hp2015.12]])</f>
        <v>0</v>
      </c>
      <c r="AW31" s="52">
        <f>SUMIF(r_PartPresses,t_Presses[[PRESS]:[PRESS]],t_Parts[hp2016.01])</f>
        <v>0</v>
      </c>
      <c r="AX31" s="52"/>
      <c r="AY31" s="52"/>
      <c r="AZ31" s="52"/>
      <c r="BA31" s="52"/>
      <c r="BB31" s="52"/>
      <c r="BC31" s="52"/>
      <c r="BD31" s="52"/>
      <c r="BE31" s="52"/>
      <c r="BF31" s="52"/>
      <c r="BG31" s="52"/>
      <c r="BH31" s="52"/>
      <c r="BI31" s="52"/>
      <c r="BJ31" s="52"/>
      <c r="BK31" s="52"/>
      <c r="BL31" s="52"/>
      <c r="BM31" s="17">
        <f>t_Presses[[#This Row],[hp2015.01]]/t_Presses[[#This Row],[ha2015.01]]</f>
        <v>0</v>
      </c>
      <c r="BN31" s="17">
        <f>t_Presses[[#This Row],[hp2015.02]]/t_Presses[[#This Row],[ha2015.02]]</f>
        <v>0</v>
      </c>
      <c r="BO31" s="17">
        <f>t_Presses[[#This Row],[hp2015.03]]/t_Presses[[#This Row],[ha2015.03]]</f>
        <v>0</v>
      </c>
      <c r="BP31" s="17">
        <f>t_Presses[[#This Row],[hp2015.04]]/t_Presses[[#This Row],[ha2015.04]]</f>
        <v>0</v>
      </c>
      <c r="BQ31" s="17">
        <f>t_Presses[[#This Row],[hp2015.05]]/t_Presses[[#This Row],[ha2015.05]]</f>
        <v>0</v>
      </c>
      <c r="BR31" s="17">
        <f>t_Presses[[#This Row],[hp2015.06]]/t_Presses[[#This Row],[ha2015.06]]</f>
        <v>0</v>
      </c>
      <c r="BS31" s="17">
        <f>t_Presses[[#This Row],[hp2015.07]]/t_Presses[[#This Row],[ha2015.07]]</f>
        <v>0</v>
      </c>
      <c r="BT31" s="17">
        <f>t_Presses[[#This Row],[hp2015.08]]/t_Presses[[#This Row],[ha2015.08]]</f>
        <v>0</v>
      </c>
      <c r="BU31" s="17">
        <f>t_Presses[[#This Row],[hp2015.09]]/t_Presses[[#This Row],[ha2015.09]]</f>
        <v>0</v>
      </c>
      <c r="BV31" s="17">
        <f>t_Presses[[#This Row],[hp2015.10]]/t_Presses[[#This Row],[ha2015.10]]</f>
        <v>0</v>
      </c>
      <c r="BW31" s="17">
        <f>t_Presses[[#This Row],[hp2015.11]]/t_Presses[[#This Row],[ha2015.11]]</f>
        <v>0</v>
      </c>
      <c r="BX31" s="17">
        <f>t_Presses[[#This Row],[hp2015.12]]/t_Presses[[#This Row],[ha2015.12]]</f>
        <v>0</v>
      </c>
      <c r="BY31" s="17">
        <f>t_Presses[[#This Row],[hp2015.FY]]/t_Presses[[#This Row],[ha2015.FY]]</f>
        <v>0</v>
      </c>
      <c r="BZ31" s="17" t="e">
        <f>t_Presses[[#This Row],[hp2016.01]]/t_Presses[[#This Row],[ha2016.01]]</f>
        <v>#DIV/0!</v>
      </c>
      <c r="CA31" s="17"/>
      <c r="CB31" s="17"/>
      <c r="CC31" s="17"/>
      <c r="CD31" s="17"/>
      <c r="CE31" s="17"/>
      <c r="CF31" s="17"/>
      <c r="CG31" s="17"/>
      <c r="CH31" s="17"/>
      <c r="CI31" s="17"/>
      <c r="CJ31" s="17"/>
      <c r="CK31" s="17"/>
      <c r="CL31" s="17" t="e">
        <f>t_Presses[[#This Row],[hp2016.FY]]/t_Presses[[#This Row],[ha2016.FY]]</f>
        <v>#DIV/0!</v>
      </c>
      <c r="CM31" s="17"/>
      <c r="CN31" s="17"/>
      <c r="CO31" s="17"/>
    </row>
    <row r="32" spans="1:93" hidden="1" x14ac:dyDescent="0.25">
      <c r="A32" s="16" t="s">
        <v>147</v>
      </c>
      <c r="B32" t="s">
        <v>12</v>
      </c>
      <c r="C32" t="s">
        <v>126</v>
      </c>
      <c r="D32">
        <v>150</v>
      </c>
      <c r="E32" s="18" t="str">
        <f t="shared" si="0"/>
        <v>0-299</v>
      </c>
      <c r="F32" s="15"/>
      <c r="G32" s="18">
        <f>VLOOKUP(t_Presses[[Plant]:[Plant]],t_Plants[],Plants!CM$1,FALSE)</f>
        <v>250</v>
      </c>
      <c r="H32">
        <f>VLOOKUP(t_Presses[[Plant]:[Plant]],t_Plants[],Plants!CN$1,FALSE)</f>
        <v>260</v>
      </c>
      <c r="I32" s="18">
        <f>VLOOKUP(t_Presses[[Plant]:[Plant]],t_Plants[],Plants!CO$1,FALSE)</f>
        <v>340</v>
      </c>
      <c r="J32" s="18">
        <f>VLOOKUP(t_Presses[[Plant]:[Plant]],t_Plants[],Plants!CP$1,FALSE)</f>
        <v>250</v>
      </c>
      <c r="K32" s="18">
        <f>VLOOKUP(t_Presses[[Plant]:[Plant]],t_Plants[],Plants!CQ$1,FALSE)</f>
        <v>260</v>
      </c>
      <c r="L32" s="18">
        <f>VLOOKUP(t_Presses[[Plant]:[Plant]],t_Plants[],Plants!CR$1,FALSE)</f>
        <v>340</v>
      </c>
      <c r="M32" s="18">
        <f>VLOOKUP(t_Presses[[Plant]:[Plant]],t_Plants[],Plants!CS$1,FALSE)</f>
        <v>250</v>
      </c>
      <c r="N32" s="18">
        <f>VLOOKUP(t_Presses[[Plant]:[Plant]],t_Plants[],Plants!CT$1,FALSE)</f>
        <v>260</v>
      </c>
      <c r="O32" s="18">
        <f>VLOOKUP(t_Presses[[Plant]:[Plant]],t_Plants[],Plants!CU$1,FALSE)</f>
        <v>340</v>
      </c>
      <c r="P32" s="18">
        <f>VLOOKUP(t_Presses[[Plant]:[Plant]],t_Plants[],Plants!CV$1,FALSE)</f>
        <v>250</v>
      </c>
      <c r="Q32" s="18">
        <f>VLOOKUP(t_Presses[[Plant]:[Plant]],t_Plants[],Plants!CW$1,FALSE)</f>
        <v>260</v>
      </c>
      <c r="R32" s="18">
        <f>VLOOKUP(t_Presses[[Plant]:[Plant]],t_Plants[],Plants!CX$1,FALSE)</f>
        <v>340</v>
      </c>
      <c r="S32" s="18">
        <f>SUM(t_Presses[[#This Row],[ha2015.01]:[ha2015.12]])</f>
        <v>3400</v>
      </c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>
        <f>SUM(t_Presses[[#This Row],[ha2016.01]:[ha2016.12]])</f>
        <v>0</v>
      </c>
      <c r="AG32" s="18"/>
      <c r="AH32" s="18"/>
      <c r="AI32" s="18"/>
      <c r="AJ32" s="52">
        <f>SUMIF(r_PartPresses,t_Presses[[PRESS]:[PRESS]],t_Parts[hp2015.01])</f>
        <v>0</v>
      </c>
      <c r="AK32" s="52">
        <f>SUMIF(r_PartPresses,t_Presses[[PRESS]:[PRESS]],t_Parts[hp2015.02])</f>
        <v>0</v>
      </c>
      <c r="AL32" s="52">
        <f>SUMIF(r_PartPresses,t_Presses[[PRESS]:[PRESS]],t_Parts[hp2015.03])</f>
        <v>0</v>
      </c>
      <c r="AM32" s="52">
        <f>SUMIF(r_PartPresses,t_Presses[[PRESS]:[PRESS]],t_Parts[hp2015.04])</f>
        <v>0</v>
      </c>
      <c r="AN32" s="52">
        <f>SUMIF(r_PartPresses,t_Presses[[PRESS]:[PRESS]],t_Parts[hp2015.05])</f>
        <v>0</v>
      </c>
      <c r="AO32" s="52">
        <f>SUMIF(r_PartPresses,t_Presses[[PRESS]:[PRESS]],t_Parts[hp2015.06])</f>
        <v>0</v>
      </c>
      <c r="AP32" s="52">
        <f>SUMIF(r_PartPresses,t_Presses[[PRESS]:[PRESS]],t_Parts[hp2015.07])</f>
        <v>0</v>
      </c>
      <c r="AQ32" s="52">
        <f>SUMIF(r_PartPresses,t_Presses[[PRESS]:[PRESS]],t_Parts[hp2015.08])</f>
        <v>0</v>
      </c>
      <c r="AR32" s="52">
        <f>SUMIF(r_PartPresses,t_Presses[[PRESS]:[PRESS]],t_Parts[hp2015.09])</f>
        <v>0</v>
      </c>
      <c r="AS32" s="52">
        <f>SUMIF(r_PartPresses,t_Presses[[PRESS]:[PRESS]],t_Parts[hp2015.10])</f>
        <v>0</v>
      </c>
      <c r="AT32" s="52">
        <f>SUMIF(r_PartPresses,t_Presses[[PRESS]:[PRESS]],t_Parts[hp2015.11])</f>
        <v>0</v>
      </c>
      <c r="AU32" s="52">
        <f>SUMIF(r_PartPresses,t_Presses[[PRESS]:[PRESS]],t_Parts[hp2015.12])</f>
        <v>0</v>
      </c>
      <c r="AV32" s="52">
        <f>SUM(t_Presses[[#This Row],[hp2015.01]:[hp2015.12]])</f>
        <v>0</v>
      </c>
      <c r="AW32" s="52">
        <f>SUMIF(r_PartPresses,t_Presses[[PRESS]:[PRESS]],t_Parts[hp2016.01])</f>
        <v>0</v>
      </c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52"/>
      <c r="BJ32" s="52"/>
      <c r="BK32" s="52"/>
      <c r="BL32" s="52"/>
      <c r="BM32" s="17">
        <f>t_Presses[[#This Row],[hp2015.01]]/t_Presses[[#This Row],[ha2015.01]]</f>
        <v>0</v>
      </c>
      <c r="BN32" s="17">
        <f>t_Presses[[#This Row],[hp2015.02]]/t_Presses[[#This Row],[ha2015.02]]</f>
        <v>0</v>
      </c>
      <c r="BO32" s="17">
        <f>t_Presses[[#This Row],[hp2015.03]]/t_Presses[[#This Row],[ha2015.03]]</f>
        <v>0</v>
      </c>
      <c r="BP32" s="17">
        <f>t_Presses[[#This Row],[hp2015.04]]/t_Presses[[#This Row],[ha2015.04]]</f>
        <v>0</v>
      </c>
      <c r="BQ32" s="17">
        <f>t_Presses[[#This Row],[hp2015.05]]/t_Presses[[#This Row],[ha2015.05]]</f>
        <v>0</v>
      </c>
      <c r="BR32" s="17">
        <f>t_Presses[[#This Row],[hp2015.06]]/t_Presses[[#This Row],[ha2015.06]]</f>
        <v>0</v>
      </c>
      <c r="BS32" s="17">
        <f>t_Presses[[#This Row],[hp2015.07]]/t_Presses[[#This Row],[ha2015.07]]</f>
        <v>0</v>
      </c>
      <c r="BT32" s="17">
        <f>t_Presses[[#This Row],[hp2015.08]]/t_Presses[[#This Row],[ha2015.08]]</f>
        <v>0</v>
      </c>
      <c r="BU32" s="17">
        <f>t_Presses[[#This Row],[hp2015.09]]/t_Presses[[#This Row],[ha2015.09]]</f>
        <v>0</v>
      </c>
      <c r="BV32" s="17">
        <f>t_Presses[[#This Row],[hp2015.10]]/t_Presses[[#This Row],[ha2015.10]]</f>
        <v>0</v>
      </c>
      <c r="BW32" s="17">
        <f>t_Presses[[#This Row],[hp2015.11]]/t_Presses[[#This Row],[ha2015.11]]</f>
        <v>0</v>
      </c>
      <c r="BX32" s="17">
        <f>t_Presses[[#This Row],[hp2015.12]]/t_Presses[[#This Row],[ha2015.12]]</f>
        <v>0</v>
      </c>
      <c r="BY32" s="17">
        <f>t_Presses[[#This Row],[hp2015.FY]]/t_Presses[[#This Row],[ha2015.FY]]</f>
        <v>0</v>
      </c>
      <c r="BZ32" s="17" t="e">
        <f>t_Presses[[#This Row],[hp2016.01]]/t_Presses[[#This Row],[ha2016.01]]</f>
        <v>#DIV/0!</v>
      </c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 t="e">
        <f>t_Presses[[#This Row],[hp2016.FY]]/t_Presses[[#This Row],[ha2016.FY]]</f>
        <v>#DIV/0!</v>
      </c>
      <c r="CM32" s="17"/>
      <c r="CN32" s="17"/>
      <c r="CO32" s="17"/>
    </row>
    <row r="33" spans="1:93" hidden="1" x14ac:dyDescent="0.25">
      <c r="A33" s="16" t="s">
        <v>148</v>
      </c>
      <c r="B33" t="s">
        <v>12</v>
      </c>
      <c r="C33" t="s">
        <v>126</v>
      </c>
      <c r="D33">
        <v>200</v>
      </c>
      <c r="E33" s="18" t="str">
        <f t="shared" si="0"/>
        <v>0-299</v>
      </c>
      <c r="F33" s="15"/>
      <c r="G33" s="18">
        <f>VLOOKUP(t_Presses[[Plant]:[Plant]],t_Plants[],Plants!CM$1,FALSE)</f>
        <v>250</v>
      </c>
      <c r="H33">
        <f>VLOOKUP(t_Presses[[Plant]:[Plant]],t_Plants[],Plants!CN$1,FALSE)</f>
        <v>260</v>
      </c>
      <c r="I33" s="18">
        <f>VLOOKUP(t_Presses[[Plant]:[Plant]],t_Plants[],Plants!CO$1,FALSE)</f>
        <v>340</v>
      </c>
      <c r="J33" s="18">
        <f>VLOOKUP(t_Presses[[Plant]:[Plant]],t_Plants[],Plants!CP$1,FALSE)</f>
        <v>250</v>
      </c>
      <c r="K33" s="18">
        <f>VLOOKUP(t_Presses[[Plant]:[Plant]],t_Plants[],Plants!CQ$1,FALSE)</f>
        <v>260</v>
      </c>
      <c r="L33" s="18">
        <f>VLOOKUP(t_Presses[[Plant]:[Plant]],t_Plants[],Plants!CR$1,FALSE)</f>
        <v>340</v>
      </c>
      <c r="M33" s="18">
        <f>VLOOKUP(t_Presses[[Plant]:[Plant]],t_Plants[],Plants!CS$1,FALSE)</f>
        <v>250</v>
      </c>
      <c r="N33" s="18">
        <f>VLOOKUP(t_Presses[[Plant]:[Plant]],t_Plants[],Plants!CT$1,FALSE)</f>
        <v>260</v>
      </c>
      <c r="O33" s="18">
        <f>VLOOKUP(t_Presses[[Plant]:[Plant]],t_Plants[],Plants!CU$1,FALSE)</f>
        <v>340</v>
      </c>
      <c r="P33" s="18">
        <f>VLOOKUP(t_Presses[[Plant]:[Plant]],t_Plants[],Plants!CV$1,FALSE)</f>
        <v>250</v>
      </c>
      <c r="Q33" s="18">
        <f>VLOOKUP(t_Presses[[Plant]:[Plant]],t_Plants[],Plants!CW$1,FALSE)</f>
        <v>260</v>
      </c>
      <c r="R33" s="18">
        <f>VLOOKUP(t_Presses[[Plant]:[Plant]],t_Plants[],Plants!CX$1,FALSE)</f>
        <v>340</v>
      </c>
      <c r="S33" s="18">
        <f>SUM(t_Presses[[#This Row],[ha2015.01]:[ha2015.12]])</f>
        <v>3400</v>
      </c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>
        <f>SUM(t_Presses[[#This Row],[ha2016.01]:[ha2016.12]])</f>
        <v>0</v>
      </c>
      <c r="AG33" s="18"/>
      <c r="AH33" s="18"/>
      <c r="AI33" s="18"/>
      <c r="AJ33" s="52">
        <f>SUMIF(r_PartPresses,t_Presses[[PRESS]:[PRESS]],t_Parts[hp2015.01])</f>
        <v>0</v>
      </c>
      <c r="AK33" s="52">
        <f>SUMIF(r_PartPresses,t_Presses[[PRESS]:[PRESS]],t_Parts[hp2015.02])</f>
        <v>0</v>
      </c>
      <c r="AL33" s="52">
        <f>SUMIF(r_PartPresses,t_Presses[[PRESS]:[PRESS]],t_Parts[hp2015.03])</f>
        <v>0</v>
      </c>
      <c r="AM33" s="52">
        <f>SUMIF(r_PartPresses,t_Presses[[PRESS]:[PRESS]],t_Parts[hp2015.04])</f>
        <v>0</v>
      </c>
      <c r="AN33" s="52">
        <f>SUMIF(r_PartPresses,t_Presses[[PRESS]:[PRESS]],t_Parts[hp2015.05])</f>
        <v>0</v>
      </c>
      <c r="AO33" s="52">
        <f>SUMIF(r_PartPresses,t_Presses[[PRESS]:[PRESS]],t_Parts[hp2015.06])</f>
        <v>0</v>
      </c>
      <c r="AP33" s="52">
        <f>SUMIF(r_PartPresses,t_Presses[[PRESS]:[PRESS]],t_Parts[hp2015.07])</f>
        <v>0</v>
      </c>
      <c r="AQ33" s="52">
        <f>SUMIF(r_PartPresses,t_Presses[[PRESS]:[PRESS]],t_Parts[hp2015.08])</f>
        <v>0</v>
      </c>
      <c r="AR33" s="52">
        <f>SUMIF(r_PartPresses,t_Presses[[PRESS]:[PRESS]],t_Parts[hp2015.09])</f>
        <v>0</v>
      </c>
      <c r="AS33" s="52">
        <f>SUMIF(r_PartPresses,t_Presses[[PRESS]:[PRESS]],t_Parts[hp2015.10])</f>
        <v>0</v>
      </c>
      <c r="AT33" s="52">
        <f>SUMIF(r_PartPresses,t_Presses[[PRESS]:[PRESS]],t_Parts[hp2015.11])</f>
        <v>0</v>
      </c>
      <c r="AU33" s="52">
        <f>SUMIF(r_PartPresses,t_Presses[[PRESS]:[PRESS]],t_Parts[hp2015.12])</f>
        <v>0</v>
      </c>
      <c r="AV33" s="52">
        <f>SUM(t_Presses[[#This Row],[hp2015.01]:[hp2015.12]])</f>
        <v>0</v>
      </c>
      <c r="AW33" s="52">
        <f>SUMIF(r_PartPresses,t_Presses[[PRESS]:[PRESS]],t_Parts[hp2016.01])</f>
        <v>0</v>
      </c>
      <c r="AX33" s="52"/>
      <c r="AY33" s="52"/>
      <c r="AZ33" s="52"/>
      <c r="BA33" s="52"/>
      <c r="BB33" s="52"/>
      <c r="BC33" s="52"/>
      <c r="BD33" s="52"/>
      <c r="BE33" s="52"/>
      <c r="BF33" s="52"/>
      <c r="BG33" s="52"/>
      <c r="BH33" s="52"/>
      <c r="BI33" s="52"/>
      <c r="BJ33" s="52"/>
      <c r="BK33" s="52"/>
      <c r="BL33" s="52"/>
      <c r="BM33" s="17">
        <f>t_Presses[[#This Row],[hp2015.01]]/t_Presses[[#This Row],[ha2015.01]]</f>
        <v>0</v>
      </c>
      <c r="BN33" s="17">
        <f>t_Presses[[#This Row],[hp2015.02]]/t_Presses[[#This Row],[ha2015.02]]</f>
        <v>0</v>
      </c>
      <c r="BO33" s="17">
        <f>t_Presses[[#This Row],[hp2015.03]]/t_Presses[[#This Row],[ha2015.03]]</f>
        <v>0</v>
      </c>
      <c r="BP33" s="17">
        <f>t_Presses[[#This Row],[hp2015.04]]/t_Presses[[#This Row],[ha2015.04]]</f>
        <v>0</v>
      </c>
      <c r="BQ33" s="17">
        <f>t_Presses[[#This Row],[hp2015.05]]/t_Presses[[#This Row],[ha2015.05]]</f>
        <v>0</v>
      </c>
      <c r="BR33" s="17">
        <f>t_Presses[[#This Row],[hp2015.06]]/t_Presses[[#This Row],[ha2015.06]]</f>
        <v>0</v>
      </c>
      <c r="BS33" s="17">
        <f>t_Presses[[#This Row],[hp2015.07]]/t_Presses[[#This Row],[ha2015.07]]</f>
        <v>0</v>
      </c>
      <c r="BT33" s="17">
        <f>t_Presses[[#This Row],[hp2015.08]]/t_Presses[[#This Row],[ha2015.08]]</f>
        <v>0</v>
      </c>
      <c r="BU33" s="17">
        <f>t_Presses[[#This Row],[hp2015.09]]/t_Presses[[#This Row],[ha2015.09]]</f>
        <v>0</v>
      </c>
      <c r="BV33" s="17">
        <f>t_Presses[[#This Row],[hp2015.10]]/t_Presses[[#This Row],[ha2015.10]]</f>
        <v>0</v>
      </c>
      <c r="BW33" s="17">
        <f>t_Presses[[#This Row],[hp2015.11]]/t_Presses[[#This Row],[ha2015.11]]</f>
        <v>0</v>
      </c>
      <c r="BX33" s="17">
        <f>t_Presses[[#This Row],[hp2015.12]]/t_Presses[[#This Row],[ha2015.12]]</f>
        <v>0</v>
      </c>
      <c r="BY33" s="17">
        <f>t_Presses[[#This Row],[hp2015.FY]]/t_Presses[[#This Row],[ha2015.FY]]</f>
        <v>0</v>
      </c>
      <c r="BZ33" s="17" t="e">
        <f>t_Presses[[#This Row],[hp2016.01]]/t_Presses[[#This Row],[ha2016.01]]</f>
        <v>#DIV/0!</v>
      </c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 t="e">
        <f>t_Presses[[#This Row],[hp2016.FY]]/t_Presses[[#This Row],[ha2016.FY]]</f>
        <v>#DIV/0!</v>
      </c>
      <c r="CM33" s="17"/>
      <c r="CN33" s="17"/>
      <c r="CO33" s="17"/>
    </row>
    <row r="34" spans="1:93" hidden="1" x14ac:dyDescent="0.25">
      <c r="A34" s="16" t="s">
        <v>149</v>
      </c>
      <c r="B34" t="s">
        <v>12</v>
      </c>
      <c r="C34" t="s">
        <v>126</v>
      </c>
      <c r="D34">
        <v>180</v>
      </c>
      <c r="E34" s="18" t="str">
        <f t="shared" si="0"/>
        <v>0-299</v>
      </c>
      <c r="F34" s="15"/>
      <c r="G34" s="18">
        <f>VLOOKUP(t_Presses[[Plant]:[Plant]],t_Plants[],Plants!CM$1,FALSE)</f>
        <v>250</v>
      </c>
      <c r="H34">
        <f>VLOOKUP(t_Presses[[Plant]:[Plant]],t_Plants[],Plants!CN$1,FALSE)</f>
        <v>260</v>
      </c>
      <c r="I34" s="18">
        <f>VLOOKUP(t_Presses[[Plant]:[Plant]],t_Plants[],Plants!CO$1,FALSE)</f>
        <v>340</v>
      </c>
      <c r="J34" s="18">
        <f>VLOOKUP(t_Presses[[Plant]:[Plant]],t_Plants[],Plants!CP$1,FALSE)</f>
        <v>250</v>
      </c>
      <c r="K34" s="18">
        <f>VLOOKUP(t_Presses[[Plant]:[Plant]],t_Plants[],Plants!CQ$1,FALSE)</f>
        <v>260</v>
      </c>
      <c r="L34" s="18">
        <f>VLOOKUP(t_Presses[[Plant]:[Plant]],t_Plants[],Plants!CR$1,FALSE)</f>
        <v>340</v>
      </c>
      <c r="M34" s="18">
        <f>VLOOKUP(t_Presses[[Plant]:[Plant]],t_Plants[],Plants!CS$1,FALSE)</f>
        <v>250</v>
      </c>
      <c r="N34" s="18">
        <f>VLOOKUP(t_Presses[[Plant]:[Plant]],t_Plants[],Plants!CT$1,FALSE)</f>
        <v>260</v>
      </c>
      <c r="O34" s="18">
        <f>VLOOKUP(t_Presses[[Plant]:[Plant]],t_Plants[],Plants!CU$1,FALSE)</f>
        <v>340</v>
      </c>
      <c r="P34" s="18">
        <f>VLOOKUP(t_Presses[[Plant]:[Plant]],t_Plants[],Plants!CV$1,FALSE)</f>
        <v>250</v>
      </c>
      <c r="Q34" s="18">
        <f>VLOOKUP(t_Presses[[Plant]:[Plant]],t_Plants[],Plants!CW$1,FALSE)</f>
        <v>260</v>
      </c>
      <c r="R34" s="18">
        <f>VLOOKUP(t_Presses[[Plant]:[Plant]],t_Plants[],Plants!CX$1,FALSE)</f>
        <v>340</v>
      </c>
      <c r="S34" s="18">
        <f>SUM(t_Presses[[#This Row],[ha2015.01]:[ha2015.12]])</f>
        <v>3400</v>
      </c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>
        <f>SUM(t_Presses[[#This Row],[ha2016.01]:[ha2016.12]])</f>
        <v>0</v>
      </c>
      <c r="AG34" s="18"/>
      <c r="AH34" s="18"/>
      <c r="AI34" s="18"/>
      <c r="AJ34" s="52">
        <f>SUMIF(r_PartPresses,t_Presses[[PRESS]:[PRESS]],t_Parts[hp2015.01])</f>
        <v>0</v>
      </c>
      <c r="AK34" s="52">
        <f>SUMIF(r_PartPresses,t_Presses[[PRESS]:[PRESS]],t_Parts[hp2015.02])</f>
        <v>0</v>
      </c>
      <c r="AL34" s="52">
        <f>SUMIF(r_PartPresses,t_Presses[[PRESS]:[PRESS]],t_Parts[hp2015.03])</f>
        <v>0</v>
      </c>
      <c r="AM34" s="52">
        <f>SUMIF(r_PartPresses,t_Presses[[PRESS]:[PRESS]],t_Parts[hp2015.04])</f>
        <v>0</v>
      </c>
      <c r="AN34" s="52">
        <f>SUMIF(r_PartPresses,t_Presses[[PRESS]:[PRESS]],t_Parts[hp2015.05])</f>
        <v>0</v>
      </c>
      <c r="AO34" s="52">
        <f>SUMIF(r_PartPresses,t_Presses[[PRESS]:[PRESS]],t_Parts[hp2015.06])</f>
        <v>0</v>
      </c>
      <c r="AP34" s="52">
        <f>SUMIF(r_PartPresses,t_Presses[[PRESS]:[PRESS]],t_Parts[hp2015.07])</f>
        <v>0</v>
      </c>
      <c r="AQ34" s="52">
        <f>SUMIF(r_PartPresses,t_Presses[[PRESS]:[PRESS]],t_Parts[hp2015.08])</f>
        <v>0</v>
      </c>
      <c r="AR34" s="52">
        <f>SUMIF(r_PartPresses,t_Presses[[PRESS]:[PRESS]],t_Parts[hp2015.09])</f>
        <v>0</v>
      </c>
      <c r="AS34" s="52">
        <f>SUMIF(r_PartPresses,t_Presses[[PRESS]:[PRESS]],t_Parts[hp2015.10])</f>
        <v>0</v>
      </c>
      <c r="AT34" s="52">
        <f>SUMIF(r_PartPresses,t_Presses[[PRESS]:[PRESS]],t_Parts[hp2015.11])</f>
        <v>0</v>
      </c>
      <c r="AU34" s="52">
        <f>SUMIF(r_PartPresses,t_Presses[[PRESS]:[PRESS]],t_Parts[hp2015.12])</f>
        <v>0</v>
      </c>
      <c r="AV34" s="52">
        <f>SUM(t_Presses[[#This Row],[hp2015.01]:[hp2015.12]])</f>
        <v>0</v>
      </c>
      <c r="AW34" s="52">
        <f>SUMIF(r_PartPresses,t_Presses[[PRESS]:[PRESS]],t_Parts[hp2016.01])</f>
        <v>0</v>
      </c>
      <c r="AX34" s="52"/>
      <c r="AY34" s="52"/>
      <c r="AZ34" s="52"/>
      <c r="BA34" s="52"/>
      <c r="BB34" s="52"/>
      <c r="BC34" s="52"/>
      <c r="BD34" s="52"/>
      <c r="BE34" s="52"/>
      <c r="BF34" s="52"/>
      <c r="BG34" s="52"/>
      <c r="BH34" s="52"/>
      <c r="BI34" s="52"/>
      <c r="BJ34" s="52"/>
      <c r="BK34" s="52"/>
      <c r="BL34" s="52"/>
      <c r="BM34" s="17">
        <f>t_Presses[[#This Row],[hp2015.01]]/t_Presses[[#This Row],[ha2015.01]]</f>
        <v>0</v>
      </c>
      <c r="BN34" s="17">
        <f>t_Presses[[#This Row],[hp2015.02]]/t_Presses[[#This Row],[ha2015.02]]</f>
        <v>0</v>
      </c>
      <c r="BO34" s="17">
        <f>t_Presses[[#This Row],[hp2015.03]]/t_Presses[[#This Row],[ha2015.03]]</f>
        <v>0</v>
      </c>
      <c r="BP34" s="17">
        <f>t_Presses[[#This Row],[hp2015.04]]/t_Presses[[#This Row],[ha2015.04]]</f>
        <v>0</v>
      </c>
      <c r="BQ34" s="17">
        <f>t_Presses[[#This Row],[hp2015.05]]/t_Presses[[#This Row],[ha2015.05]]</f>
        <v>0</v>
      </c>
      <c r="BR34" s="17">
        <f>t_Presses[[#This Row],[hp2015.06]]/t_Presses[[#This Row],[ha2015.06]]</f>
        <v>0</v>
      </c>
      <c r="BS34" s="17">
        <f>t_Presses[[#This Row],[hp2015.07]]/t_Presses[[#This Row],[ha2015.07]]</f>
        <v>0</v>
      </c>
      <c r="BT34" s="17">
        <f>t_Presses[[#This Row],[hp2015.08]]/t_Presses[[#This Row],[ha2015.08]]</f>
        <v>0</v>
      </c>
      <c r="BU34" s="17">
        <f>t_Presses[[#This Row],[hp2015.09]]/t_Presses[[#This Row],[ha2015.09]]</f>
        <v>0</v>
      </c>
      <c r="BV34" s="17">
        <f>t_Presses[[#This Row],[hp2015.10]]/t_Presses[[#This Row],[ha2015.10]]</f>
        <v>0</v>
      </c>
      <c r="BW34" s="17">
        <f>t_Presses[[#This Row],[hp2015.11]]/t_Presses[[#This Row],[ha2015.11]]</f>
        <v>0</v>
      </c>
      <c r="BX34" s="17">
        <f>t_Presses[[#This Row],[hp2015.12]]/t_Presses[[#This Row],[ha2015.12]]</f>
        <v>0</v>
      </c>
      <c r="BY34" s="17">
        <f>t_Presses[[#This Row],[hp2015.FY]]/t_Presses[[#This Row],[ha2015.FY]]</f>
        <v>0</v>
      </c>
      <c r="BZ34" s="17" t="e">
        <f>t_Presses[[#This Row],[hp2016.01]]/t_Presses[[#This Row],[ha2016.01]]</f>
        <v>#DIV/0!</v>
      </c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 t="e">
        <f>t_Presses[[#This Row],[hp2016.FY]]/t_Presses[[#This Row],[ha2016.FY]]</f>
        <v>#DIV/0!</v>
      </c>
      <c r="CM34" s="17"/>
      <c r="CN34" s="17"/>
      <c r="CO34" s="17"/>
    </row>
    <row r="35" spans="1:93" hidden="1" x14ac:dyDescent="0.25">
      <c r="A35" s="16" t="s">
        <v>150</v>
      </c>
      <c r="B35" t="s">
        <v>12</v>
      </c>
      <c r="C35" t="s">
        <v>126</v>
      </c>
      <c r="D35">
        <v>150</v>
      </c>
      <c r="E35" s="18" t="str">
        <f t="shared" si="0"/>
        <v>0-299</v>
      </c>
      <c r="F35" s="15"/>
      <c r="G35" s="18">
        <f>VLOOKUP(t_Presses[[Plant]:[Plant]],t_Plants[],Plants!CM$1,FALSE)</f>
        <v>250</v>
      </c>
      <c r="H35">
        <f>VLOOKUP(t_Presses[[Plant]:[Plant]],t_Plants[],Plants!CN$1,FALSE)</f>
        <v>260</v>
      </c>
      <c r="I35" s="18">
        <f>VLOOKUP(t_Presses[[Plant]:[Plant]],t_Plants[],Plants!CO$1,FALSE)</f>
        <v>340</v>
      </c>
      <c r="J35" s="18">
        <f>VLOOKUP(t_Presses[[Plant]:[Plant]],t_Plants[],Plants!CP$1,FALSE)</f>
        <v>250</v>
      </c>
      <c r="K35" s="18">
        <f>VLOOKUP(t_Presses[[Plant]:[Plant]],t_Plants[],Plants!CQ$1,FALSE)</f>
        <v>260</v>
      </c>
      <c r="L35" s="18">
        <f>VLOOKUP(t_Presses[[Plant]:[Plant]],t_Plants[],Plants!CR$1,FALSE)</f>
        <v>340</v>
      </c>
      <c r="M35" s="18">
        <f>VLOOKUP(t_Presses[[Plant]:[Plant]],t_Plants[],Plants!CS$1,FALSE)</f>
        <v>250</v>
      </c>
      <c r="N35" s="18">
        <f>VLOOKUP(t_Presses[[Plant]:[Plant]],t_Plants[],Plants!CT$1,FALSE)</f>
        <v>260</v>
      </c>
      <c r="O35" s="18">
        <f>VLOOKUP(t_Presses[[Plant]:[Plant]],t_Plants[],Plants!CU$1,FALSE)</f>
        <v>340</v>
      </c>
      <c r="P35" s="18">
        <f>VLOOKUP(t_Presses[[Plant]:[Plant]],t_Plants[],Plants!CV$1,FALSE)</f>
        <v>250</v>
      </c>
      <c r="Q35" s="18">
        <f>VLOOKUP(t_Presses[[Plant]:[Plant]],t_Plants[],Plants!CW$1,FALSE)</f>
        <v>260</v>
      </c>
      <c r="R35" s="18">
        <f>VLOOKUP(t_Presses[[Plant]:[Plant]],t_Plants[],Plants!CX$1,FALSE)</f>
        <v>340</v>
      </c>
      <c r="S35" s="18">
        <f>SUM(t_Presses[[#This Row],[ha2015.01]:[ha2015.12]])</f>
        <v>3400</v>
      </c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>
        <f>SUM(t_Presses[[#This Row],[ha2016.01]:[ha2016.12]])</f>
        <v>0</v>
      </c>
      <c r="AG35" s="18"/>
      <c r="AH35" s="18"/>
      <c r="AI35" s="18"/>
      <c r="AJ35" s="52">
        <f>SUMIF(r_PartPresses,t_Presses[[PRESS]:[PRESS]],t_Parts[hp2015.01])</f>
        <v>0</v>
      </c>
      <c r="AK35" s="52">
        <f>SUMIF(r_PartPresses,t_Presses[[PRESS]:[PRESS]],t_Parts[hp2015.02])</f>
        <v>0</v>
      </c>
      <c r="AL35" s="52">
        <f>SUMIF(r_PartPresses,t_Presses[[PRESS]:[PRESS]],t_Parts[hp2015.03])</f>
        <v>0</v>
      </c>
      <c r="AM35" s="52">
        <f>SUMIF(r_PartPresses,t_Presses[[PRESS]:[PRESS]],t_Parts[hp2015.04])</f>
        <v>0</v>
      </c>
      <c r="AN35" s="52">
        <f>SUMIF(r_PartPresses,t_Presses[[PRESS]:[PRESS]],t_Parts[hp2015.05])</f>
        <v>0</v>
      </c>
      <c r="AO35" s="52">
        <f>SUMIF(r_PartPresses,t_Presses[[PRESS]:[PRESS]],t_Parts[hp2015.06])</f>
        <v>0</v>
      </c>
      <c r="AP35" s="52">
        <f>SUMIF(r_PartPresses,t_Presses[[PRESS]:[PRESS]],t_Parts[hp2015.07])</f>
        <v>0</v>
      </c>
      <c r="AQ35" s="52">
        <f>SUMIF(r_PartPresses,t_Presses[[PRESS]:[PRESS]],t_Parts[hp2015.08])</f>
        <v>0</v>
      </c>
      <c r="AR35" s="52">
        <f>SUMIF(r_PartPresses,t_Presses[[PRESS]:[PRESS]],t_Parts[hp2015.09])</f>
        <v>0</v>
      </c>
      <c r="AS35" s="52">
        <f>SUMIF(r_PartPresses,t_Presses[[PRESS]:[PRESS]],t_Parts[hp2015.10])</f>
        <v>0</v>
      </c>
      <c r="AT35" s="52">
        <f>SUMIF(r_PartPresses,t_Presses[[PRESS]:[PRESS]],t_Parts[hp2015.11])</f>
        <v>0</v>
      </c>
      <c r="AU35" s="52">
        <f>SUMIF(r_PartPresses,t_Presses[[PRESS]:[PRESS]],t_Parts[hp2015.12])</f>
        <v>0</v>
      </c>
      <c r="AV35" s="52">
        <f>SUM(t_Presses[[#This Row],[hp2015.01]:[hp2015.12]])</f>
        <v>0</v>
      </c>
      <c r="AW35" s="52">
        <f>SUMIF(r_PartPresses,t_Presses[[PRESS]:[PRESS]],t_Parts[hp2016.01])</f>
        <v>0</v>
      </c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52"/>
      <c r="BJ35" s="52"/>
      <c r="BK35" s="52"/>
      <c r="BL35" s="52"/>
      <c r="BM35" s="17">
        <f>t_Presses[[#This Row],[hp2015.01]]/t_Presses[[#This Row],[ha2015.01]]</f>
        <v>0</v>
      </c>
      <c r="BN35" s="17">
        <f>t_Presses[[#This Row],[hp2015.02]]/t_Presses[[#This Row],[ha2015.02]]</f>
        <v>0</v>
      </c>
      <c r="BO35" s="17">
        <f>t_Presses[[#This Row],[hp2015.03]]/t_Presses[[#This Row],[ha2015.03]]</f>
        <v>0</v>
      </c>
      <c r="BP35" s="17">
        <f>t_Presses[[#This Row],[hp2015.04]]/t_Presses[[#This Row],[ha2015.04]]</f>
        <v>0</v>
      </c>
      <c r="BQ35" s="17">
        <f>t_Presses[[#This Row],[hp2015.05]]/t_Presses[[#This Row],[ha2015.05]]</f>
        <v>0</v>
      </c>
      <c r="BR35" s="17">
        <f>t_Presses[[#This Row],[hp2015.06]]/t_Presses[[#This Row],[ha2015.06]]</f>
        <v>0</v>
      </c>
      <c r="BS35" s="17">
        <f>t_Presses[[#This Row],[hp2015.07]]/t_Presses[[#This Row],[ha2015.07]]</f>
        <v>0</v>
      </c>
      <c r="BT35" s="17">
        <f>t_Presses[[#This Row],[hp2015.08]]/t_Presses[[#This Row],[ha2015.08]]</f>
        <v>0</v>
      </c>
      <c r="BU35" s="17">
        <f>t_Presses[[#This Row],[hp2015.09]]/t_Presses[[#This Row],[ha2015.09]]</f>
        <v>0</v>
      </c>
      <c r="BV35" s="17">
        <f>t_Presses[[#This Row],[hp2015.10]]/t_Presses[[#This Row],[ha2015.10]]</f>
        <v>0</v>
      </c>
      <c r="BW35" s="17">
        <f>t_Presses[[#This Row],[hp2015.11]]/t_Presses[[#This Row],[ha2015.11]]</f>
        <v>0</v>
      </c>
      <c r="BX35" s="17">
        <f>t_Presses[[#This Row],[hp2015.12]]/t_Presses[[#This Row],[ha2015.12]]</f>
        <v>0</v>
      </c>
      <c r="BY35" s="17">
        <f>t_Presses[[#This Row],[hp2015.FY]]/t_Presses[[#This Row],[ha2015.FY]]</f>
        <v>0</v>
      </c>
      <c r="BZ35" s="17" t="e">
        <f>t_Presses[[#This Row],[hp2016.01]]/t_Presses[[#This Row],[ha2016.01]]</f>
        <v>#DIV/0!</v>
      </c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 t="e">
        <f>t_Presses[[#This Row],[hp2016.FY]]/t_Presses[[#This Row],[ha2016.FY]]</f>
        <v>#DIV/0!</v>
      </c>
      <c r="CM35" s="17"/>
      <c r="CN35" s="17"/>
      <c r="CO35" s="17"/>
    </row>
    <row r="36" spans="1:93" hidden="1" x14ac:dyDescent="0.25">
      <c r="A36" s="16" t="s">
        <v>151</v>
      </c>
      <c r="B36" t="s">
        <v>12</v>
      </c>
      <c r="C36" t="s">
        <v>126</v>
      </c>
      <c r="D36">
        <v>330</v>
      </c>
      <c r="E36" s="18" t="str">
        <f t="shared" si="0"/>
        <v>300-599</v>
      </c>
      <c r="F36" s="15"/>
      <c r="G36" s="18">
        <f>VLOOKUP(t_Presses[[Plant]:[Plant]],t_Plants[],Plants!CM$1,FALSE)</f>
        <v>250</v>
      </c>
      <c r="H36">
        <f>VLOOKUP(t_Presses[[Plant]:[Plant]],t_Plants[],Plants!CN$1,FALSE)</f>
        <v>260</v>
      </c>
      <c r="I36" s="18">
        <f>VLOOKUP(t_Presses[[Plant]:[Plant]],t_Plants[],Plants!CO$1,FALSE)</f>
        <v>340</v>
      </c>
      <c r="J36" s="18">
        <f>VLOOKUP(t_Presses[[Plant]:[Plant]],t_Plants[],Plants!CP$1,FALSE)</f>
        <v>250</v>
      </c>
      <c r="K36" s="18">
        <f>VLOOKUP(t_Presses[[Plant]:[Plant]],t_Plants[],Plants!CQ$1,FALSE)</f>
        <v>260</v>
      </c>
      <c r="L36" s="18">
        <f>VLOOKUP(t_Presses[[Plant]:[Plant]],t_Plants[],Plants!CR$1,FALSE)</f>
        <v>340</v>
      </c>
      <c r="M36" s="18">
        <f>VLOOKUP(t_Presses[[Plant]:[Plant]],t_Plants[],Plants!CS$1,FALSE)</f>
        <v>250</v>
      </c>
      <c r="N36" s="18">
        <f>VLOOKUP(t_Presses[[Plant]:[Plant]],t_Plants[],Plants!CT$1,FALSE)</f>
        <v>260</v>
      </c>
      <c r="O36" s="18">
        <f>VLOOKUP(t_Presses[[Plant]:[Plant]],t_Plants[],Plants!CU$1,FALSE)</f>
        <v>340</v>
      </c>
      <c r="P36" s="18">
        <f>VLOOKUP(t_Presses[[Plant]:[Plant]],t_Plants[],Plants!CV$1,FALSE)</f>
        <v>250</v>
      </c>
      <c r="Q36" s="18">
        <f>VLOOKUP(t_Presses[[Plant]:[Plant]],t_Plants[],Plants!CW$1,FALSE)</f>
        <v>260</v>
      </c>
      <c r="R36" s="18">
        <f>VLOOKUP(t_Presses[[Plant]:[Plant]],t_Plants[],Plants!CX$1,FALSE)</f>
        <v>340</v>
      </c>
      <c r="S36" s="18">
        <f>SUM(t_Presses[[#This Row],[ha2015.01]:[ha2015.12]])</f>
        <v>3400</v>
      </c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>
        <f>SUM(t_Presses[[#This Row],[ha2016.01]:[ha2016.12]])</f>
        <v>0</v>
      </c>
      <c r="AG36" s="18"/>
      <c r="AH36" s="18"/>
      <c r="AI36" s="18"/>
      <c r="AJ36" s="52">
        <f>SUMIF(r_PartPresses,t_Presses[[PRESS]:[PRESS]],t_Parts[hp2015.01])</f>
        <v>0</v>
      </c>
      <c r="AK36" s="52">
        <f>SUMIF(r_PartPresses,t_Presses[[PRESS]:[PRESS]],t_Parts[hp2015.02])</f>
        <v>0</v>
      </c>
      <c r="AL36" s="52">
        <f>SUMIF(r_PartPresses,t_Presses[[PRESS]:[PRESS]],t_Parts[hp2015.03])</f>
        <v>0</v>
      </c>
      <c r="AM36" s="52">
        <f>SUMIF(r_PartPresses,t_Presses[[PRESS]:[PRESS]],t_Parts[hp2015.04])</f>
        <v>0</v>
      </c>
      <c r="AN36" s="52">
        <f>SUMIF(r_PartPresses,t_Presses[[PRESS]:[PRESS]],t_Parts[hp2015.05])</f>
        <v>0</v>
      </c>
      <c r="AO36" s="52">
        <f>SUMIF(r_PartPresses,t_Presses[[PRESS]:[PRESS]],t_Parts[hp2015.06])</f>
        <v>0</v>
      </c>
      <c r="AP36" s="52">
        <f>SUMIF(r_PartPresses,t_Presses[[PRESS]:[PRESS]],t_Parts[hp2015.07])</f>
        <v>0</v>
      </c>
      <c r="AQ36" s="52">
        <f>SUMIF(r_PartPresses,t_Presses[[PRESS]:[PRESS]],t_Parts[hp2015.08])</f>
        <v>0</v>
      </c>
      <c r="AR36" s="52">
        <f>SUMIF(r_PartPresses,t_Presses[[PRESS]:[PRESS]],t_Parts[hp2015.09])</f>
        <v>0</v>
      </c>
      <c r="AS36" s="52">
        <f>SUMIF(r_PartPresses,t_Presses[[PRESS]:[PRESS]],t_Parts[hp2015.10])</f>
        <v>0</v>
      </c>
      <c r="AT36" s="52">
        <f>SUMIF(r_PartPresses,t_Presses[[PRESS]:[PRESS]],t_Parts[hp2015.11])</f>
        <v>0</v>
      </c>
      <c r="AU36" s="52">
        <f>SUMIF(r_PartPresses,t_Presses[[PRESS]:[PRESS]],t_Parts[hp2015.12])</f>
        <v>0</v>
      </c>
      <c r="AV36" s="52">
        <f>SUM(t_Presses[[#This Row],[hp2015.01]:[hp2015.12]])</f>
        <v>0</v>
      </c>
      <c r="AW36" s="52">
        <f>SUMIF(r_PartPresses,t_Presses[[PRESS]:[PRESS]],t_Parts[hp2016.01])</f>
        <v>0</v>
      </c>
      <c r="AX36" s="52"/>
      <c r="AY36" s="52"/>
      <c r="AZ36" s="52"/>
      <c r="BA36" s="52"/>
      <c r="BB36" s="52"/>
      <c r="BC36" s="52"/>
      <c r="BD36" s="52"/>
      <c r="BE36" s="52"/>
      <c r="BF36" s="52"/>
      <c r="BG36" s="52"/>
      <c r="BH36" s="52"/>
      <c r="BI36" s="52"/>
      <c r="BJ36" s="52"/>
      <c r="BK36" s="52"/>
      <c r="BL36" s="52"/>
      <c r="BM36" s="17">
        <f>t_Presses[[#This Row],[hp2015.01]]/t_Presses[[#This Row],[ha2015.01]]</f>
        <v>0</v>
      </c>
      <c r="BN36" s="17">
        <f>t_Presses[[#This Row],[hp2015.02]]/t_Presses[[#This Row],[ha2015.02]]</f>
        <v>0</v>
      </c>
      <c r="BO36" s="17">
        <f>t_Presses[[#This Row],[hp2015.03]]/t_Presses[[#This Row],[ha2015.03]]</f>
        <v>0</v>
      </c>
      <c r="BP36" s="17">
        <f>t_Presses[[#This Row],[hp2015.04]]/t_Presses[[#This Row],[ha2015.04]]</f>
        <v>0</v>
      </c>
      <c r="BQ36" s="17">
        <f>t_Presses[[#This Row],[hp2015.05]]/t_Presses[[#This Row],[ha2015.05]]</f>
        <v>0</v>
      </c>
      <c r="BR36" s="17">
        <f>t_Presses[[#This Row],[hp2015.06]]/t_Presses[[#This Row],[ha2015.06]]</f>
        <v>0</v>
      </c>
      <c r="BS36" s="17">
        <f>t_Presses[[#This Row],[hp2015.07]]/t_Presses[[#This Row],[ha2015.07]]</f>
        <v>0</v>
      </c>
      <c r="BT36" s="17">
        <f>t_Presses[[#This Row],[hp2015.08]]/t_Presses[[#This Row],[ha2015.08]]</f>
        <v>0</v>
      </c>
      <c r="BU36" s="17">
        <f>t_Presses[[#This Row],[hp2015.09]]/t_Presses[[#This Row],[ha2015.09]]</f>
        <v>0</v>
      </c>
      <c r="BV36" s="17">
        <f>t_Presses[[#This Row],[hp2015.10]]/t_Presses[[#This Row],[ha2015.10]]</f>
        <v>0</v>
      </c>
      <c r="BW36" s="17">
        <f>t_Presses[[#This Row],[hp2015.11]]/t_Presses[[#This Row],[ha2015.11]]</f>
        <v>0</v>
      </c>
      <c r="BX36" s="17">
        <f>t_Presses[[#This Row],[hp2015.12]]/t_Presses[[#This Row],[ha2015.12]]</f>
        <v>0</v>
      </c>
      <c r="BY36" s="17">
        <f>t_Presses[[#This Row],[hp2015.FY]]/t_Presses[[#This Row],[ha2015.FY]]</f>
        <v>0</v>
      </c>
      <c r="BZ36" s="17" t="e">
        <f>t_Presses[[#This Row],[hp2016.01]]/t_Presses[[#This Row],[ha2016.01]]</f>
        <v>#DIV/0!</v>
      </c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 t="e">
        <f>t_Presses[[#This Row],[hp2016.FY]]/t_Presses[[#This Row],[ha2016.FY]]</f>
        <v>#DIV/0!</v>
      </c>
      <c r="CM36" s="17"/>
      <c r="CN36" s="17"/>
      <c r="CO36" s="17"/>
    </row>
    <row r="37" spans="1:93" hidden="1" x14ac:dyDescent="0.25">
      <c r="A37" s="16" t="s">
        <v>152</v>
      </c>
      <c r="B37" t="s">
        <v>12</v>
      </c>
      <c r="C37" t="s">
        <v>126</v>
      </c>
      <c r="D37">
        <v>400</v>
      </c>
      <c r="E37" s="18" t="str">
        <f t="shared" si="0"/>
        <v>300-599</v>
      </c>
      <c r="F37" s="15"/>
      <c r="G37" s="18">
        <f>VLOOKUP(t_Presses[[Plant]:[Plant]],t_Plants[],Plants!CM$1,FALSE)</f>
        <v>250</v>
      </c>
      <c r="H37">
        <f>VLOOKUP(t_Presses[[Plant]:[Plant]],t_Plants[],Plants!CN$1,FALSE)</f>
        <v>260</v>
      </c>
      <c r="I37" s="18">
        <f>VLOOKUP(t_Presses[[Plant]:[Plant]],t_Plants[],Plants!CO$1,FALSE)</f>
        <v>340</v>
      </c>
      <c r="J37" s="18">
        <f>VLOOKUP(t_Presses[[Plant]:[Plant]],t_Plants[],Plants!CP$1,FALSE)</f>
        <v>250</v>
      </c>
      <c r="K37" s="18">
        <f>VLOOKUP(t_Presses[[Plant]:[Plant]],t_Plants[],Plants!CQ$1,FALSE)</f>
        <v>260</v>
      </c>
      <c r="L37" s="18">
        <f>VLOOKUP(t_Presses[[Plant]:[Plant]],t_Plants[],Plants!CR$1,FALSE)</f>
        <v>340</v>
      </c>
      <c r="M37" s="18">
        <f>VLOOKUP(t_Presses[[Plant]:[Plant]],t_Plants[],Plants!CS$1,FALSE)</f>
        <v>250</v>
      </c>
      <c r="N37" s="18">
        <f>VLOOKUP(t_Presses[[Plant]:[Plant]],t_Plants[],Plants!CT$1,FALSE)</f>
        <v>260</v>
      </c>
      <c r="O37" s="18">
        <f>VLOOKUP(t_Presses[[Plant]:[Plant]],t_Plants[],Plants!CU$1,FALSE)</f>
        <v>340</v>
      </c>
      <c r="P37" s="18">
        <f>VLOOKUP(t_Presses[[Plant]:[Plant]],t_Plants[],Plants!CV$1,FALSE)</f>
        <v>250</v>
      </c>
      <c r="Q37" s="18">
        <f>VLOOKUP(t_Presses[[Plant]:[Plant]],t_Plants[],Plants!CW$1,FALSE)</f>
        <v>260</v>
      </c>
      <c r="R37" s="18">
        <f>VLOOKUP(t_Presses[[Plant]:[Plant]],t_Plants[],Plants!CX$1,FALSE)</f>
        <v>340</v>
      </c>
      <c r="S37" s="18">
        <f>SUM(t_Presses[[#This Row],[ha2015.01]:[ha2015.12]])</f>
        <v>3400</v>
      </c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>
        <f>SUM(t_Presses[[#This Row],[ha2016.01]:[ha2016.12]])</f>
        <v>0</v>
      </c>
      <c r="AG37" s="18"/>
      <c r="AH37" s="18"/>
      <c r="AI37" s="18"/>
      <c r="AJ37" s="52">
        <f>SUMIF(r_PartPresses,t_Presses[[PRESS]:[PRESS]],t_Parts[hp2015.01])</f>
        <v>0</v>
      </c>
      <c r="AK37" s="52">
        <f>SUMIF(r_PartPresses,t_Presses[[PRESS]:[PRESS]],t_Parts[hp2015.02])</f>
        <v>0</v>
      </c>
      <c r="AL37" s="52">
        <f>SUMIF(r_PartPresses,t_Presses[[PRESS]:[PRESS]],t_Parts[hp2015.03])</f>
        <v>0</v>
      </c>
      <c r="AM37" s="52">
        <f>SUMIF(r_PartPresses,t_Presses[[PRESS]:[PRESS]],t_Parts[hp2015.04])</f>
        <v>0</v>
      </c>
      <c r="AN37" s="52">
        <f>SUMIF(r_PartPresses,t_Presses[[PRESS]:[PRESS]],t_Parts[hp2015.05])</f>
        <v>0</v>
      </c>
      <c r="AO37" s="52">
        <f>SUMIF(r_PartPresses,t_Presses[[PRESS]:[PRESS]],t_Parts[hp2015.06])</f>
        <v>0</v>
      </c>
      <c r="AP37" s="52">
        <f>SUMIF(r_PartPresses,t_Presses[[PRESS]:[PRESS]],t_Parts[hp2015.07])</f>
        <v>0</v>
      </c>
      <c r="AQ37" s="52">
        <f>SUMIF(r_PartPresses,t_Presses[[PRESS]:[PRESS]],t_Parts[hp2015.08])</f>
        <v>0</v>
      </c>
      <c r="AR37" s="52">
        <f>SUMIF(r_PartPresses,t_Presses[[PRESS]:[PRESS]],t_Parts[hp2015.09])</f>
        <v>0</v>
      </c>
      <c r="AS37" s="52">
        <f>SUMIF(r_PartPresses,t_Presses[[PRESS]:[PRESS]],t_Parts[hp2015.10])</f>
        <v>0</v>
      </c>
      <c r="AT37" s="52">
        <f>SUMIF(r_PartPresses,t_Presses[[PRESS]:[PRESS]],t_Parts[hp2015.11])</f>
        <v>0</v>
      </c>
      <c r="AU37" s="52">
        <f>SUMIF(r_PartPresses,t_Presses[[PRESS]:[PRESS]],t_Parts[hp2015.12])</f>
        <v>0</v>
      </c>
      <c r="AV37" s="52">
        <f>SUM(t_Presses[[#This Row],[hp2015.01]:[hp2015.12]])</f>
        <v>0</v>
      </c>
      <c r="AW37" s="52">
        <f>SUMIF(r_PartPresses,t_Presses[[PRESS]:[PRESS]],t_Parts[hp2016.01])</f>
        <v>0</v>
      </c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52"/>
      <c r="BJ37" s="52"/>
      <c r="BK37" s="52"/>
      <c r="BL37" s="52"/>
      <c r="BM37" s="17">
        <f>t_Presses[[#This Row],[hp2015.01]]/t_Presses[[#This Row],[ha2015.01]]</f>
        <v>0</v>
      </c>
      <c r="BN37" s="17">
        <f>t_Presses[[#This Row],[hp2015.02]]/t_Presses[[#This Row],[ha2015.02]]</f>
        <v>0</v>
      </c>
      <c r="BO37" s="17">
        <f>t_Presses[[#This Row],[hp2015.03]]/t_Presses[[#This Row],[ha2015.03]]</f>
        <v>0</v>
      </c>
      <c r="BP37" s="17">
        <f>t_Presses[[#This Row],[hp2015.04]]/t_Presses[[#This Row],[ha2015.04]]</f>
        <v>0</v>
      </c>
      <c r="BQ37" s="17">
        <f>t_Presses[[#This Row],[hp2015.05]]/t_Presses[[#This Row],[ha2015.05]]</f>
        <v>0</v>
      </c>
      <c r="BR37" s="17">
        <f>t_Presses[[#This Row],[hp2015.06]]/t_Presses[[#This Row],[ha2015.06]]</f>
        <v>0</v>
      </c>
      <c r="BS37" s="17">
        <f>t_Presses[[#This Row],[hp2015.07]]/t_Presses[[#This Row],[ha2015.07]]</f>
        <v>0</v>
      </c>
      <c r="BT37" s="17">
        <f>t_Presses[[#This Row],[hp2015.08]]/t_Presses[[#This Row],[ha2015.08]]</f>
        <v>0</v>
      </c>
      <c r="BU37" s="17">
        <f>t_Presses[[#This Row],[hp2015.09]]/t_Presses[[#This Row],[ha2015.09]]</f>
        <v>0</v>
      </c>
      <c r="BV37" s="17">
        <f>t_Presses[[#This Row],[hp2015.10]]/t_Presses[[#This Row],[ha2015.10]]</f>
        <v>0</v>
      </c>
      <c r="BW37" s="17">
        <f>t_Presses[[#This Row],[hp2015.11]]/t_Presses[[#This Row],[ha2015.11]]</f>
        <v>0</v>
      </c>
      <c r="BX37" s="17">
        <f>t_Presses[[#This Row],[hp2015.12]]/t_Presses[[#This Row],[ha2015.12]]</f>
        <v>0</v>
      </c>
      <c r="BY37" s="17">
        <f>t_Presses[[#This Row],[hp2015.FY]]/t_Presses[[#This Row],[ha2015.FY]]</f>
        <v>0</v>
      </c>
      <c r="BZ37" s="17" t="e">
        <f>t_Presses[[#This Row],[hp2016.01]]/t_Presses[[#This Row],[ha2016.01]]</f>
        <v>#DIV/0!</v>
      </c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 t="e">
        <f>t_Presses[[#This Row],[hp2016.FY]]/t_Presses[[#This Row],[ha2016.FY]]</f>
        <v>#DIV/0!</v>
      </c>
      <c r="CM37" s="17"/>
      <c r="CN37" s="17"/>
      <c r="CO37" s="17"/>
    </row>
    <row r="38" spans="1:93" hidden="1" x14ac:dyDescent="0.25">
      <c r="A38" s="16" t="s">
        <v>153</v>
      </c>
      <c r="B38" t="s">
        <v>12</v>
      </c>
      <c r="C38" t="s">
        <v>126</v>
      </c>
      <c r="D38">
        <v>100</v>
      </c>
      <c r="E38" s="18" t="str">
        <f t="shared" si="0"/>
        <v>0-299</v>
      </c>
      <c r="F38" s="15"/>
      <c r="G38" s="18">
        <f>VLOOKUP(t_Presses[[Plant]:[Plant]],t_Plants[],Plants!CM$1,FALSE)</f>
        <v>250</v>
      </c>
      <c r="H38">
        <f>VLOOKUP(t_Presses[[Plant]:[Plant]],t_Plants[],Plants!CN$1,FALSE)</f>
        <v>260</v>
      </c>
      <c r="I38" s="18">
        <f>VLOOKUP(t_Presses[[Plant]:[Plant]],t_Plants[],Plants!CO$1,FALSE)</f>
        <v>340</v>
      </c>
      <c r="J38" s="18">
        <f>VLOOKUP(t_Presses[[Plant]:[Plant]],t_Plants[],Plants!CP$1,FALSE)</f>
        <v>250</v>
      </c>
      <c r="K38" s="18">
        <f>VLOOKUP(t_Presses[[Plant]:[Plant]],t_Plants[],Plants!CQ$1,FALSE)</f>
        <v>260</v>
      </c>
      <c r="L38" s="18">
        <f>VLOOKUP(t_Presses[[Plant]:[Plant]],t_Plants[],Plants!CR$1,FALSE)</f>
        <v>340</v>
      </c>
      <c r="M38" s="18">
        <f>VLOOKUP(t_Presses[[Plant]:[Plant]],t_Plants[],Plants!CS$1,FALSE)</f>
        <v>250</v>
      </c>
      <c r="N38" s="18">
        <f>VLOOKUP(t_Presses[[Plant]:[Plant]],t_Plants[],Plants!CT$1,FALSE)</f>
        <v>260</v>
      </c>
      <c r="O38" s="18">
        <f>VLOOKUP(t_Presses[[Plant]:[Plant]],t_Plants[],Plants!CU$1,FALSE)</f>
        <v>340</v>
      </c>
      <c r="P38" s="18">
        <f>VLOOKUP(t_Presses[[Plant]:[Plant]],t_Plants[],Plants!CV$1,FALSE)</f>
        <v>250</v>
      </c>
      <c r="Q38" s="18">
        <f>VLOOKUP(t_Presses[[Plant]:[Plant]],t_Plants[],Plants!CW$1,FALSE)</f>
        <v>260</v>
      </c>
      <c r="R38" s="18">
        <f>VLOOKUP(t_Presses[[Plant]:[Plant]],t_Plants[],Plants!CX$1,FALSE)</f>
        <v>340</v>
      </c>
      <c r="S38" s="18">
        <f>SUM(t_Presses[[#This Row],[ha2015.01]:[ha2015.12]])</f>
        <v>3400</v>
      </c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>
        <f>SUM(t_Presses[[#This Row],[ha2016.01]:[ha2016.12]])</f>
        <v>0</v>
      </c>
      <c r="AG38" s="18"/>
      <c r="AH38" s="18"/>
      <c r="AI38" s="18"/>
      <c r="AJ38" s="52">
        <f>SUMIF(r_PartPresses,t_Presses[[PRESS]:[PRESS]],t_Parts[hp2015.01])</f>
        <v>0</v>
      </c>
      <c r="AK38" s="52">
        <f>SUMIF(r_PartPresses,t_Presses[[PRESS]:[PRESS]],t_Parts[hp2015.02])</f>
        <v>0</v>
      </c>
      <c r="AL38" s="52">
        <f>SUMIF(r_PartPresses,t_Presses[[PRESS]:[PRESS]],t_Parts[hp2015.03])</f>
        <v>0</v>
      </c>
      <c r="AM38" s="52">
        <f>SUMIF(r_PartPresses,t_Presses[[PRESS]:[PRESS]],t_Parts[hp2015.04])</f>
        <v>0</v>
      </c>
      <c r="AN38" s="52">
        <f>SUMIF(r_PartPresses,t_Presses[[PRESS]:[PRESS]],t_Parts[hp2015.05])</f>
        <v>0</v>
      </c>
      <c r="AO38" s="52">
        <f>SUMIF(r_PartPresses,t_Presses[[PRESS]:[PRESS]],t_Parts[hp2015.06])</f>
        <v>0</v>
      </c>
      <c r="AP38" s="52">
        <f>SUMIF(r_PartPresses,t_Presses[[PRESS]:[PRESS]],t_Parts[hp2015.07])</f>
        <v>0</v>
      </c>
      <c r="AQ38" s="52">
        <f>SUMIF(r_PartPresses,t_Presses[[PRESS]:[PRESS]],t_Parts[hp2015.08])</f>
        <v>0</v>
      </c>
      <c r="AR38" s="52">
        <f>SUMIF(r_PartPresses,t_Presses[[PRESS]:[PRESS]],t_Parts[hp2015.09])</f>
        <v>0</v>
      </c>
      <c r="AS38" s="52">
        <f>SUMIF(r_PartPresses,t_Presses[[PRESS]:[PRESS]],t_Parts[hp2015.10])</f>
        <v>0</v>
      </c>
      <c r="AT38" s="52">
        <f>SUMIF(r_PartPresses,t_Presses[[PRESS]:[PRESS]],t_Parts[hp2015.11])</f>
        <v>0</v>
      </c>
      <c r="AU38" s="52">
        <f>SUMIF(r_PartPresses,t_Presses[[PRESS]:[PRESS]],t_Parts[hp2015.12])</f>
        <v>0</v>
      </c>
      <c r="AV38" s="52">
        <f>SUM(t_Presses[[#This Row],[hp2015.01]:[hp2015.12]])</f>
        <v>0</v>
      </c>
      <c r="AW38" s="52">
        <f>SUMIF(r_PartPresses,t_Presses[[PRESS]:[PRESS]],t_Parts[hp2016.01])</f>
        <v>0</v>
      </c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52"/>
      <c r="BJ38" s="52"/>
      <c r="BK38" s="52"/>
      <c r="BL38" s="52"/>
      <c r="BM38" s="17">
        <f>t_Presses[[#This Row],[hp2015.01]]/t_Presses[[#This Row],[ha2015.01]]</f>
        <v>0</v>
      </c>
      <c r="BN38" s="17">
        <f>t_Presses[[#This Row],[hp2015.02]]/t_Presses[[#This Row],[ha2015.02]]</f>
        <v>0</v>
      </c>
      <c r="BO38" s="17">
        <f>t_Presses[[#This Row],[hp2015.03]]/t_Presses[[#This Row],[ha2015.03]]</f>
        <v>0</v>
      </c>
      <c r="BP38" s="17">
        <f>t_Presses[[#This Row],[hp2015.04]]/t_Presses[[#This Row],[ha2015.04]]</f>
        <v>0</v>
      </c>
      <c r="BQ38" s="17">
        <f>t_Presses[[#This Row],[hp2015.05]]/t_Presses[[#This Row],[ha2015.05]]</f>
        <v>0</v>
      </c>
      <c r="BR38" s="17">
        <f>t_Presses[[#This Row],[hp2015.06]]/t_Presses[[#This Row],[ha2015.06]]</f>
        <v>0</v>
      </c>
      <c r="BS38" s="17">
        <f>t_Presses[[#This Row],[hp2015.07]]/t_Presses[[#This Row],[ha2015.07]]</f>
        <v>0</v>
      </c>
      <c r="BT38" s="17">
        <f>t_Presses[[#This Row],[hp2015.08]]/t_Presses[[#This Row],[ha2015.08]]</f>
        <v>0</v>
      </c>
      <c r="BU38" s="17">
        <f>t_Presses[[#This Row],[hp2015.09]]/t_Presses[[#This Row],[ha2015.09]]</f>
        <v>0</v>
      </c>
      <c r="BV38" s="17">
        <f>t_Presses[[#This Row],[hp2015.10]]/t_Presses[[#This Row],[ha2015.10]]</f>
        <v>0</v>
      </c>
      <c r="BW38" s="17">
        <f>t_Presses[[#This Row],[hp2015.11]]/t_Presses[[#This Row],[ha2015.11]]</f>
        <v>0</v>
      </c>
      <c r="BX38" s="17">
        <f>t_Presses[[#This Row],[hp2015.12]]/t_Presses[[#This Row],[ha2015.12]]</f>
        <v>0</v>
      </c>
      <c r="BY38" s="17">
        <f>t_Presses[[#This Row],[hp2015.FY]]/t_Presses[[#This Row],[ha2015.FY]]</f>
        <v>0</v>
      </c>
      <c r="BZ38" s="17" t="e">
        <f>t_Presses[[#This Row],[hp2016.01]]/t_Presses[[#This Row],[ha2016.01]]</f>
        <v>#DIV/0!</v>
      </c>
      <c r="CA38" s="17"/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 t="e">
        <f>t_Presses[[#This Row],[hp2016.FY]]/t_Presses[[#This Row],[ha2016.FY]]</f>
        <v>#DIV/0!</v>
      </c>
      <c r="CM38" s="17"/>
      <c r="CN38" s="17"/>
      <c r="CO38" s="17"/>
    </row>
    <row r="39" spans="1:93" hidden="1" x14ac:dyDescent="0.25">
      <c r="A39" s="16" t="s">
        <v>154</v>
      </c>
      <c r="B39" t="s">
        <v>12</v>
      </c>
      <c r="C39" t="s">
        <v>126</v>
      </c>
      <c r="D39">
        <v>400</v>
      </c>
      <c r="E39" s="18" t="str">
        <f t="shared" si="0"/>
        <v>300-599</v>
      </c>
      <c r="F39" s="15"/>
      <c r="G39" s="18">
        <f>VLOOKUP(t_Presses[[Plant]:[Plant]],t_Plants[],Plants!CM$1,FALSE)</f>
        <v>250</v>
      </c>
      <c r="H39">
        <f>VLOOKUP(t_Presses[[Plant]:[Plant]],t_Plants[],Plants!CN$1,FALSE)</f>
        <v>260</v>
      </c>
      <c r="I39" s="18">
        <f>VLOOKUP(t_Presses[[Plant]:[Plant]],t_Plants[],Plants!CO$1,FALSE)</f>
        <v>340</v>
      </c>
      <c r="J39" s="18">
        <f>VLOOKUP(t_Presses[[Plant]:[Plant]],t_Plants[],Plants!CP$1,FALSE)</f>
        <v>250</v>
      </c>
      <c r="K39" s="18">
        <f>VLOOKUP(t_Presses[[Plant]:[Plant]],t_Plants[],Plants!CQ$1,FALSE)</f>
        <v>260</v>
      </c>
      <c r="L39" s="18">
        <f>VLOOKUP(t_Presses[[Plant]:[Plant]],t_Plants[],Plants!CR$1,FALSE)</f>
        <v>340</v>
      </c>
      <c r="M39" s="18">
        <f>VLOOKUP(t_Presses[[Plant]:[Plant]],t_Plants[],Plants!CS$1,FALSE)</f>
        <v>250</v>
      </c>
      <c r="N39" s="18">
        <f>VLOOKUP(t_Presses[[Plant]:[Plant]],t_Plants[],Plants!CT$1,FALSE)</f>
        <v>260</v>
      </c>
      <c r="O39" s="18">
        <f>VLOOKUP(t_Presses[[Plant]:[Plant]],t_Plants[],Plants!CU$1,FALSE)</f>
        <v>340</v>
      </c>
      <c r="P39" s="18">
        <f>VLOOKUP(t_Presses[[Plant]:[Plant]],t_Plants[],Plants!CV$1,FALSE)</f>
        <v>250</v>
      </c>
      <c r="Q39" s="18">
        <f>VLOOKUP(t_Presses[[Plant]:[Plant]],t_Plants[],Plants!CW$1,FALSE)</f>
        <v>260</v>
      </c>
      <c r="R39" s="18">
        <f>VLOOKUP(t_Presses[[Plant]:[Plant]],t_Plants[],Plants!CX$1,FALSE)</f>
        <v>340</v>
      </c>
      <c r="S39" s="18">
        <f>SUM(t_Presses[[#This Row],[ha2015.01]:[ha2015.12]])</f>
        <v>3400</v>
      </c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>
        <f>SUM(t_Presses[[#This Row],[ha2016.01]:[ha2016.12]])</f>
        <v>0</v>
      </c>
      <c r="AG39" s="18"/>
      <c r="AH39" s="18"/>
      <c r="AI39" s="18"/>
      <c r="AJ39" s="52">
        <f>SUMIF(r_PartPresses,t_Presses[[PRESS]:[PRESS]],t_Parts[hp2015.01])</f>
        <v>0</v>
      </c>
      <c r="AK39" s="52">
        <f>SUMIF(r_PartPresses,t_Presses[[PRESS]:[PRESS]],t_Parts[hp2015.02])</f>
        <v>0</v>
      </c>
      <c r="AL39" s="52">
        <f>SUMIF(r_PartPresses,t_Presses[[PRESS]:[PRESS]],t_Parts[hp2015.03])</f>
        <v>0</v>
      </c>
      <c r="AM39" s="52">
        <f>SUMIF(r_PartPresses,t_Presses[[PRESS]:[PRESS]],t_Parts[hp2015.04])</f>
        <v>0</v>
      </c>
      <c r="AN39" s="52">
        <f>SUMIF(r_PartPresses,t_Presses[[PRESS]:[PRESS]],t_Parts[hp2015.05])</f>
        <v>0</v>
      </c>
      <c r="AO39" s="52">
        <f>SUMIF(r_PartPresses,t_Presses[[PRESS]:[PRESS]],t_Parts[hp2015.06])</f>
        <v>0</v>
      </c>
      <c r="AP39" s="52">
        <f>SUMIF(r_PartPresses,t_Presses[[PRESS]:[PRESS]],t_Parts[hp2015.07])</f>
        <v>0</v>
      </c>
      <c r="AQ39" s="52">
        <f>SUMIF(r_PartPresses,t_Presses[[PRESS]:[PRESS]],t_Parts[hp2015.08])</f>
        <v>0</v>
      </c>
      <c r="AR39" s="52">
        <f>SUMIF(r_PartPresses,t_Presses[[PRESS]:[PRESS]],t_Parts[hp2015.09])</f>
        <v>0</v>
      </c>
      <c r="AS39" s="52">
        <f>SUMIF(r_PartPresses,t_Presses[[PRESS]:[PRESS]],t_Parts[hp2015.10])</f>
        <v>0</v>
      </c>
      <c r="AT39" s="52">
        <f>SUMIF(r_PartPresses,t_Presses[[PRESS]:[PRESS]],t_Parts[hp2015.11])</f>
        <v>0</v>
      </c>
      <c r="AU39" s="52">
        <f>SUMIF(r_PartPresses,t_Presses[[PRESS]:[PRESS]],t_Parts[hp2015.12])</f>
        <v>0</v>
      </c>
      <c r="AV39" s="52">
        <f>SUM(t_Presses[[#This Row],[hp2015.01]:[hp2015.12]])</f>
        <v>0</v>
      </c>
      <c r="AW39" s="52">
        <f>SUMIF(r_PartPresses,t_Presses[[PRESS]:[PRESS]],t_Parts[hp2016.01])</f>
        <v>0</v>
      </c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52"/>
      <c r="BJ39" s="52"/>
      <c r="BK39" s="52"/>
      <c r="BL39" s="52"/>
      <c r="BM39" s="17">
        <f>t_Presses[[#This Row],[hp2015.01]]/t_Presses[[#This Row],[ha2015.01]]</f>
        <v>0</v>
      </c>
      <c r="BN39" s="17">
        <f>t_Presses[[#This Row],[hp2015.02]]/t_Presses[[#This Row],[ha2015.02]]</f>
        <v>0</v>
      </c>
      <c r="BO39" s="17">
        <f>t_Presses[[#This Row],[hp2015.03]]/t_Presses[[#This Row],[ha2015.03]]</f>
        <v>0</v>
      </c>
      <c r="BP39" s="17">
        <f>t_Presses[[#This Row],[hp2015.04]]/t_Presses[[#This Row],[ha2015.04]]</f>
        <v>0</v>
      </c>
      <c r="BQ39" s="17">
        <f>t_Presses[[#This Row],[hp2015.05]]/t_Presses[[#This Row],[ha2015.05]]</f>
        <v>0</v>
      </c>
      <c r="BR39" s="17">
        <f>t_Presses[[#This Row],[hp2015.06]]/t_Presses[[#This Row],[ha2015.06]]</f>
        <v>0</v>
      </c>
      <c r="BS39" s="17">
        <f>t_Presses[[#This Row],[hp2015.07]]/t_Presses[[#This Row],[ha2015.07]]</f>
        <v>0</v>
      </c>
      <c r="BT39" s="17">
        <f>t_Presses[[#This Row],[hp2015.08]]/t_Presses[[#This Row],[ha2015.08]]</f>
        <v>0</v>
      </c>
      <c r="BU39" s="17">
        <f>t_Presses[[#This Row],[hp2015.09]]/t_Presses[[#This Row],[ha2015.09]]</f>
        <v>0</v>
      </c>
      <c r="BV39" s="17">
        <f>t_Presses[[#This Row],[hp2015.10]]/t_Presses[[#This Row],[ha2015.10]]</f>
        <v>0</v>
      </c>
      <c r="BW39" s="17">
        <f>t_Presses[[#This Row],[hp2015.11]]/t_Presses[[#This Row],[ha2015.11]]</f>
        <v>0</v>
      </c>
      <c r="BX39" s="17">
        <f>t_Presses[[#This Row],[hp2015.12]]/t_Presses[[#This Row],[ha2015.12]]</f>
        <v>0</v>
      </c>
      <c r="BY39" s="17">
        <f>t_Presses[[#This Row],[hp2015.FY]]/t_Presses[[#This Row],[ha2015.FY]]</f>
        <v>0</v>
      </c>
      <c r="BZ39" s="17" t="e">
        <f>t_Presses[[#This Row],[hp2016.01]]/t_Presses[[#This Row],[ha2016.01]]</f>
        <v>#DIV/0!</v>
      </c>
      <c r="CA39" s="17"/>
      <c r="CB39" s="17"/>
      <c r="CC39" s="17"/>
      <c r="CD39" s="17"/>
      <c r="CE39" s="17"/>
      <c r="CF39" s="17"/>
      <c r="CG39" s="17"/>
      <c r="CH39" s="17"/>
      <c r="CI39" s="17"/>
      <c r="CJ39" s="17"/>
      <c r="CK39" s="17"/>
      <c r="CL39" s="17" t="e">
        <f>t_Presses[[#This Row],[hp2016.FY]]/t_Presses[[#This Row],[ha2016.FY]]</f>
        <v>#DIV/0!</v>
      </c>
      <c r="CM39" s="17"/>
      <c r="CN39" s="17"/>
      <c r="CO39" s="17"/>
    </row>
    <row r="40" spans="1:93" hidden="1" x14ac:dyDescent="0.25">
      <c r="A40" s="16" t="s">
        <v>155</v>
      </c>
      <c r="B40" t="s">
        <v>12</v>
      </c>
      <c r="C40" t="s">
        <v>126</v>
      </c>
      <c r="D40">
        <v>300</v>
      </c>
      <c r="E40" s="18" t="str">
        <f t="shared" si="0"/>
        <v>300-599</v>
      </c>
      <c r="F40" s="15"/>
      <c r="G40" s="18">
        <f>VLOOKUP(t_Presses[[Plant]:[Plant]],t_Plants[],Plants!CM$1,FALSE)</f>
        <v>250</v>
      </c>
      <c r="H40">
        <f>VLOOKUP(t_Presses[[Plant]:[Plant]],t_Plants[],Plants!CN$1,FALSE)</f>
        <v>260</v>
      </c>
      <c r="I40" s="18">
        <f>VLOOKUP(t_Presses[[Plant]:[Plant]],t_Plants[],Plants!CO$1,FALSE)</f>
        <v>340</v>
      </c>
      <c r="J40" s="18">
        <f>VLOOKUP(t_Presses[[Plant]:[Plant]],t_Plants[],Plants!CP$1,FALSE)</f>
        <v>250</v>
      </c>
      <c r="K40" s="18">
        <f>VLOOKUP(t_Presses[[Plant]:[Plant]],t_Plants[],Plants!CQ$1,FALSE)</f>
        <v>260</v>
      </c>
      <c r="L40" s="18">
        <f>VLOOKUP(t_Presses[[Plant]:[Plant]],t_Plants[],Plants!CR$1,FALSE)</f>
        <v>340</v>
      </c>
      <c r="M40" s="18">
        <f>VLOOKUP(t_Presses[[Plant]:[Plant]],t_Plants[],Plants!CS$1,FALSE)</f>
        <v>250</v>
      </c>
      <c r="N40" s="18">
        <f>VLOOKUP(t_Presses[[Plant]:[Plant]],t_Plants[],Plants!CT$1,FALSE)</f>
        <v>260</v>
      </c>
      <c r="O40" s="18">
        <f>VLOOKUP(t_Presses[[Plant]:[Plant]],t_Plants[],Plants!CU$1,FALSE)</f>
        <v>340</v>
      </c>
      <c r="P40" s="18">
        <f>VLOOKUP(t_Presses[[Plant]:[Plant]],t_Plants[],Plants!CV$1,FALSE)</f>
        <v>250</v>
      </c>
      <c r="Q40" s="18">
        <f>VLOOKUP(t_Presses[[Plant]:[Plant]],t_Plants[],Plants!CW$1,FALSE)</f>
        <v>260</v>
      </c>
      <c r="R40" s="18">
        <f>VLOOKUP(t_Presses[[Plant]:[Plant]],t_Plants[],Plants!CX$1,FALSE)</f>
        <v>340</v>
      </c>
      <c r="S40" s="18">
        <f>SUM(t_Presses[[#This Row],[ha2015.01]:[ha2015.12]])</f>
        <v>3400</v>
      </c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>
        <f>SUM(t_Presses[[#This Row],[ha2016.01]:[ha2016.12]])</f>
        <v>0</v>
      </c>
      <c r="AG40" s="18"/>
      <c r="AH40" s="18"/>
      <c r="AI40" s="18"/>
      <c r="AJ40" s="52">
        <f>SUMIF(r_PartPresses,t_Presses[[PRESS]:[PRESS]],t_Parts[hp2015.01])</f>
        <v>0</v>
      </c>
      <c r="AK40" s="52">
        <f>SUMIF(r_PartPresses,t_Presses[[PRESS]:[PRESS]],t_Parts[hp2015.02])</f>
        <v>0</v>
      </c>
      <c r="AL40" s="52">
        <f>SUMIF(r_PartPresses,t_Presses[[PRESS]:[PRESS]],t_Parts[hp2015.03])</f>
        <v>0</v>
      </c>
      <c r="AM40" s="52">
        <f>SUMIF(r_PartPresses,t_Presses[[PRESS]:[PRESS]],t_Parts[hp2015.04])</f>
        <v>0</v>
      </c>
      <c r="AN40" s="52">
        <f>SUMIF(r_PartPresses,t_Presses[[PRESS]:[PRESS]],t_Parts[hp2015.05])</f>
        <v>0</v>
      </c>
      <c r="AO40" s="52">
        <f>SUMIF(r_PartPresses,t_Presses[[PRESS]:[PRESS]],t_Parts[hp2015.06])</f>
        <v>0</v>
      </c>
      <c r="AP40" s="52">
        <f>SUMIF(r_PartPresses,t_Presses[[PRESS]:[PRESS]],t_Parts[hp2015.07])</f>
        <v>0</v>
      </c>
      <c r="AQ40" s="52">
        <f>SUMIF(r_PartPresses,t_Presses[[PRESS]:[PRESS]],t_Parts[hp2015.08])</f>
        <v>0</v>
      </c>
      <c r="AR40" s="52">
        <f>SUMIF(r_PartPresses,t_Presses[[PRESS]:[PRESS]],t_Parts[hp2015.09])</f>
        <v>0</v>
      </c>
      <c r="AS40" s="52">
        <f>SUMIF(r_PartPresses,t_Presses[[PRESS]:[PRESS]],t_Parts[hp2015.10])</f>
        <v>0</v>
      </c>
      <c r="AT40" s="52">
        <f>SUMIF(r_PartPresses,t_Presses[[PRESS]:[PRESS]],t_Parts[hp2015.11])</f>
        <v>0</v>
      </c>
      <c r="AU40" s="52">
        <f>SUMIF(r_PartPresses,t_Presses[[PRESS]:[PRESS]],t_Parts[hp2015.12])</f>
        <v>0</v>
      </c>
      <c r="AV40" s="52">
        <f>SUM(t_Presses[[#This Row],[hp2015.01]:[hp2015.12]])</f>
        <v>0</v>
      </c>
      <c r="AW40" s="52">
        <f>SUMIF(r_PartPresses,t_Presses[[PRESS]:[PRESS]],t_Parts[hp2016.01])</f>
        <v>0</v>
      </c>
      <c r="AX40" s="52"/>
      <c r="AY40" s="52"/>
      <c r="AZ40" s="52"/>
      <c r="BA40" s="52"/>
      <c r="BB40" s="52"/>
      <c r="BC40" s="52"/>
      <c r="BD40" s="52"/>
      <c r="BE40" s="52"/>
      <c r="BF40" s="52"/>
      <c r="BG40" s="52"/>
      <c r="BH40" s="52"/>
      <c r="BI40" s="52"/>
      <c r="BJ40" s="52"/>
      <c r="BK40" s="52"/>
      <c r="BL40" s="52"/>
      <c r="BM40" s="17">
        <f>t_Presses[[#This Row],[hp2015.01]]/t_Presses[[#This Row],[ha2015.01]]</f>
        <v>0</v>
      </c>
      <c r="BN40" s="17">
        <f>t_Presses[[#This Row],[hp2015.02]]/t_Presses[[#This Row],[ha2015.02]]</f>
        <v>0</v>
      </c>
      <c r="BO40" s="17">
        <f>t_Presses[[#This Row],[hp2015.03]]/t_Presses[[#This Row],[ha2015.03]]</f>
        <v>0</v>
      </c>
      <c r="BP40" s="17">
        <f>t_Presses[[#This Row],[hp2015.04]]/t_Presses[[#This Row],[ha2015.04]]</f>
        <v>0</v>
      </c>
      <c r="BQ40" s="17">
        <f>t_Presses[[#This Row],[hp2015.05]]/t_Presses[[#This Row],[ha2015.05]]</f>
        <v>0</v>
      </c>
      <c r="BR40" s="17">
        <f>t_Presses[[#This Row],[hp2015.06]]/t_Presses[[#This Row],[ha2015.06]]</f>
        <v>0</v>
      </c>
      <c r="BS40" s="17">
        <f>t_Presses[[#This Row],[hp2015.07]]/t_Presses[[#This Row],[ha2015.07]]</f>
        <v>0</v>
      </c>
      <c r="BT40" s="17">
        <f>t_Presses[[#This Row],[hp2015.08]]/t_Presses[[#This Row],[ha2015.08]]</f>
        <v>0</v>
      </c>
      <c r="BU40" s="17">
        <f>t_Presses[[#This Row],[hp2015.09]]/t_Presses[[#This Row],[ha2015.09]]</f>
        <v>0</v>
      </c>
      <c r="BV40" s="17">
        <f>t_Presses[[#This Row],[hp2015.10]]/t_Presses[[#This Row],[ha2015.10]]</f>
        <v>0</v>
      </c>
      <c r="BW40" s="17">
        <f>t_Presses[[#This Row],[hp2015.11]]/t_Presses[[#This Row],[ha2015.11]]</f>
        <v>0</v>
      </c>
      <c r="BX40" s="17">
        <f>t_Presses[[#This Row],[hp2015.12]]/t_Presses[[#This Row],[ha2015.12]]</f>
        <v>0</v>
      </c>
      <c r="BY40" s="17">
        <f>t_Presses[[#This Row],[hp2015.FY]]/t_Presses[[#This Row],[ha2015.FY]]</f>
        <v>0</v>
      </c>
      <c r="BZ40" s="17" t="e">
        <f>t_Presses[[#This Row],[hp2016.01]]/t_Presses[[#This Row],[ha2016.01]]</f>
        <v>#DIV/0!</v>
      </c>
      <c r="CA40" s="17"/>
      <c r="CB40" s="17"/>
      <c r="CC40" s="17"/>
      <c r="CD40" s="17"/>
      <c r="CE40" s="17"/>
      <c r="CF40" s="17"/>
      <c r="CG40" s="17"/>
      <c r="CH40" s="17"/>
      <c r="CI40" s="17"/>
      <c r="CJ40" s="17"/>
      <c r="CK40" s="17"/>
      <c r="CL40" s="17" t="e">
        <f>t_Presses[[#This Row],[hp2016.FY]]/t_Presses[[#This Row],[ha2016.FY]]</f>
        <v>#DIV/0!</v>
      </c>
      <c r="CM40" s="17"/>
      <c r="CN40" s="17"/>
      <c r="CO40" s="17"/>
    </row>
    <row r="41" spans="1:93" hidden="1" x14ac:dyDescent="0.25">
      <c r="A41" s="16" t="s">
        <v>156</v>
      </c>
      <c r="B41" t="s">
        <v>12</v>
      </c>
      <c r="C41" t="s">
        <v>126</v>
      </c>
      <c r="D41">
        <v>330</v>
      </c>
      <c r="E41" s="18" t="str">
        <f t="shared" si="0"/>
        <v>300-599</v>
      </c>
      <c r="F41" s="15"/>
      <c r="G41" s="18">
        <f>VLOOKUP(t_Presses[[Plant]:[Plant]],t_Plants[],Plants!CM$1,FALSE)</f>
        <v>250</v>
      </c>
      <c r="H41">
        <f>VLOOKUP(t_Presses[[Plant]:[Plant]],t_Plants[],Plants!CN$1,FALSE)</f>
        <v>260</v>
      </c>
      <c r="I41" s="18">
        <f>VLOOKUP(t_Presses[[Plant]:[Plant]],t_Plants[],Plants!CO$1,FALSE)</f>
        <v>340</v>
      </c>
      <c r="J41" s="18">
        <f>VLOOKUP(t_Presses[[Plant]:[Plant]],t_Plants[],Plants!CP$1,FALSE)</f>
        <v>250</v>
      </c>
      <c r="K41" s="18">
        <f>VLOOKUP(t_Presses[[Plant]:[Plant]],t_Plants[],Plants!CQ$1,FALSE)</f>
        <v>260</v>
      </c>
      <c r="L41" s="18">
        <f>VLOOKUP(t_Presses[[Plant]:[Plant]],t_Plants[],Plants!CR$1,FALSE)</f>
        <v>340</v>
      </c>
      <c r="M41" s="18">
        <f>VLOOKUP(t_Presses[[Plant]:[Plant]],t_Plants[],Plants!CS$1,FALSE)</f>
        <v>250</v>
      </c>
      <c r="N41" s="18">
        <f>VLOOKUP(t_Presses[[Plant]:[Plant]],t_Plants[],Plants!CT$1,FALSE)</f>
        <v>260</v>
      </c>
      <c r="O41" s="18">
        <f>VLOOKUP(t_Presses[[Plant]:[Plant]],t_Plants[],Plants!CU$1,FALSE)</f>
        <v>340</v>
      </c>
      <c r="P41" s="18">
        <f>VLOOKUP(t_Presses[[Plant]:[Plant]],t_Plants[],Plants!CV$1,FALSE)</f>
        <v>250</v>
      </c>
      <c r="Q41" s="18">
        <f>VLOOKUP(t_Presses[[Plant]:[Plant]],t_Plants[],Plants!CW$1,FALSE)</f>
        <v>260</v>
      </c>
      <c r="R41" s="18">
        <f>VLOOKUP(t_Presses[[Plant]:[Plant]],t_Plants[],Plants!CX$1,FALSE)</f>
        <v>340</v>
      </c>
      <c r="S41" s="18">
        <f>SUM(t_Presses[[#This Row],[ha2015.01]:[ha2015.12]])</f>
        <v>3400</v>
      </c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>
        <f>SUM(t_Presses[[#This Row],[ha2016.01]:[ha2016.12]])</f>
        <v>0</v>
      </c>
      <c r="AG41" s="18"/>
      <c r="AH41" s="18"/>
      <c r="AI41" s="18"/>
      <c r="AJ41" s="52">
        <f>SUMIF(r_PartPresses,t_Presses[[PRESS]:[PRESS]],t_Parts[hp2015.01])</f>
        <v>0</v>
      </c>
      <c r="AK41" s="52">
        <f>SUMIF(r_PartPresses,t_Presses[[PRESS]:[PRESS]],t_Parts[hp2015.02])</f>
        <v>0</v>
      </c>
      <c r="AL41" s="52">
        <f>SUMIF(r_PartPresses,t_Presses[[PRESS]:[PRESS]],t_Parts[hp2015.03])</f>
        <v>0</v>
      </c>
      <c r="AM41" s="52">
        <f>SUMIF(r_PartPresses,t_Presses[[PRESS]:[PRESS]],t_Parts[hp2015.04])</f>
        <v>0</v>
      </c>
      <c r="AN41" s="52">
        <f>SUMIF(r_PartPresses,t_Presses[[PRESS]:[PRESS]],t_Parts[hp2015.05])</f>
        <v>0</v>
      </c>
      <c r="AO41" s="52">
        <f>SUMIF(r_PartPresses,t_Presses[[PRESS]:[PRESS]],t_Parts[hp2015.06])</f>
        <v>0</v>
      </c>
      <c r="AP41" s="52">
        <f>SUMIF(r_PartPresses,t_Presses[[PRESS]:[PRESS]],t_Parts[hp2015.07])</f>
        <v>0</v>
      </c>
      <c r="AQ41" s="52">
        <f>SUMIF(r_PartPresses,t_Presses[[PRESS]:[PRESS]],t_Parts[hp2015.08])</f>
        <v>0</v>
      </c>
      <c r="AR41" s="52">
        <f>SUMIF(r_PartPresses,t_Presses[[PRESS]:[PRESS]],t_Parts[hp2015.09])</f>
        <v>0</v>
      </c>
      <c r="AS41" s="52">
        <f>SUMIF(r_PartPresses,t_Presses[[PRESS]:[PRESS]],t_Parts[hp2015.10])</f>
        <v>0</v>
      </c>
      <c r="AT41" s="52">
        <f>SUMIF(r_PartPresses,t_Presses[[PRESS]:[PRESS]],t_Parts[hp2015.11])</f>
        <v>0</v>
      </c>
      <c r="AU41" s="52">
        <f>SUMIF(r_PartPresses,t_Presses[[PRESS]:[PRESS]],t_Parts[hp2015.12])</f>
        <v>0</v>
      </c>
      <c r="AV41" s="52">
        <f>SUM(t_Presses[[#This Row],[hp2015.01]:[hp2015.12]])</f>
        <v>0</v>
      </c>
      <c r="AW41" s="52">
        <f>SUMIF(r_PartPresses,t_Presses[[PRESS]:[PRESS]],t_Parts[hp2016.01])</f>
        <v>0</v>
      </c>
      <c r="AX41" s="52"/>
      <c r="AY41" s="52"/>
      <c r="AZ41" s="52"/>
      <c r="BA41" s="52"/>
      <c r="BB41" s="52"/>
      <c r="BC41" s="52"/>
      <c r="BD41" s="52"/>
      <c r="BE41" s="52"/>
      <c r="BF41" s="52"/>
      <c r="BG41" s="52"/>
      <c r="BH41" s="52"/>
      <c r="BI41" s="52"/>
      <c r="BJ41" s="52"/>
      <c r="BK41" s="52"/>
      <c r="BL41" s="52"/>
      <c r="BM41" s="17">
        <f>t_Presses[[#This Row],[hp2015.01]]/t_Presses[[#This Row],[ha2015.01]]</f>
        <v>0</v>
      </c>
      <c r="BN41" s="17">
        <f>t_Presses[[#This Row],[hp2015.02]]/t_Presses[[#This Row],[ha2015.02]]</f>
        <v>0</v>
      </c>
      <c r="BO41" s="17">
        <f>t_Presses[[#This Row],[hp2015.03]]/t_Presses[[#This Row],[ha2015.03]]</f>
        <v>0</v>
      </c>
      <c r="BP41" s="17">
        <f>t_Presses[[#This Row],[hp2015.04]]/t_Presses[[#This Row],[ha2015.04]]</f>
        <v>0</v>
      </c>
      <c r="BQ41" s="17">
        <f>t_Presses[[#This Row],[hp2015.05]]/t_Presses[[#This Row],[ha2015.05]]</f>
        <v>0</v>
      </c>
      <c r="BR41" s="17">
        <f>t_Presses[[#This Row],[hp2015.06]]/t_Presses[[#This Row],[ha2015.06]]</f>
        <v>0</v>
      </c>
      <c r="BS41" s="17">
        <f>t_Presses[[#This Row],[hp2015.07]]/t_Presses[[#This Row],[ha2015.07]]</f>
        <v>0</v>
      </c>
      <c r="BT41" s="17">
        <f>t_Presses[[#This Row],[hp2015.08]]/t_Presses[[#This Row],[ha2015.08]]</f>
        <v>0</v>
      </c>
      <c r="BU41" s="17">
        <f>t_Presses[[#This Row],[hp2015.09]]/t_Presses[[#This Row],[ha2015.09]]</f>
        <v>0</v>
      </c>
      <c r="BV41" s="17">
        <f>t_Presses[[#This Row],[hp2015.10]]/t_Presses[[#This Row],[ha2015.10]]</f>
        <v>0</v>
      </c>
      <c r="BW41" s="17">
        <f>t_Presses[[#This Row],[hp2015.11]]/t_Presses[[#This Row],[ha2015.11]]</f>
        <v>0</v>
      </c>
      <c r="BX41" s="17">
        <f>t_Presses[[#This Row],[hp2015.12]]/t_Presses[[#This Row],[ha2015.12]]</f>
        <v>0</v>
      </c>
      <c r="BY41" s="17">
        <f>t_Presses[[#This Row],[hp2015.FY]]/t_Presses[[#This Row],[ha2015.FY]]</f>
        <v>0</v>
      </c>
      <c r="BZ41" s="17" t="e">
        <f>t_Presses[[#This Row],[hp2016.01]]/t_Presses[[#This Row],[ha2016.01]]</f>
        <v>#DIV/0!</v>
      </c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 t="e">
        <f>t_Presses[[#This Row],[hp2016.FY]]/t_Presses[[#This Row],[ha2016.FY]]</f>
        <v>#DIV/0!</v>
      </c>
      <c r="CM41" s="17"/>
      <c r="CN41" s="17"/>
      <c r="CO41" s="17"/>
    </row>
    <row r="42" spans="1:93" hidden="1" x14ac:dyDescent="0.25">
      <c r="A42" s="16" t="s">
        <v>157</v>
      </c>
      <c r="B42" t="s">
        <v>12</v>
      </c>
      <c r="C42" t="s">
        <v>126</v>
      </c>
      <c r="D42">
        <v>600</v>
      </c>
      <c r="E42" s="18" t="str">
        <f t="shared" si="0"/>
        <v>600-899</v>
      </c>
      <c r="F42" s="15"/>
      <c r="G42" s="18">
        <f>VLOOKUP(t_Presses[[Plant]:[Plant]],t_Plants[],Plants!CM$1,FALSE)</f>
        <v>250</v>
      </c>
      <c r="H42">
        <f>VLOOKUP(t_Presses[[Plant]:[Plant]],t_Plants[],Plants!CN$1,FALSE)</f>
        <v>260</v>
      </c>
      <c r="I42" s="18">
        <f>VLOOKUP(t_Presses[[Plant]:[Plant]],t_Plants[],Plants!CO$1,FALSE)</f>
        <v>340</v>
      </c>
      <c r="J42" s="18">
        <f>VLOOKUP(t_Presses[[Plant]:[Plant]],t_Plants[],Plants!CP$1,FALSE)</f>
        <v>250</v>
      </c>
      <c r="K42" s="18">
        <f>VLOOKUP(t_Presses[[Plant]:[Plant]],t_Plants[],Plants!CQ$1,FALSE)</f>
        <v>260</v>
      </c>
      <c r="L42" s="18">
        <f>VLOOKUP(t_Presses[[Plant]:[Plant]],t_Plants[],Plants!CR$1,FALSE)</f>
        <v>340</v>
      </c>
      <c r="M42" s="18">
        <f>VLOOKUP(t_Presses[[Plant]:[Plant]],t_Plants[],Plants!CS$1,FALSE)</f>
        <v>250</v>
      </c>
      <c r="N42" s="18">
        <f>VLOOKUP(t_Presses[[Plant]:[Plant]],t_Plants[],Plants!CT$1,FALSE)</f>
        <v>260</v>
      </c>
      <c r="O42" s="18">
        <f>VLOOKUP(t_Presses[[Plant]:[Plant]],t_Plants[],Plants!CU$1,FALSE)</f>
        <v>340</v>
      </c>
      <c r="P42" s="18">
        <f>VLOOKUP(t_Presses[[Plant]:[Plant]],t_Plants[],Plants!CV$1,FALSE)</f>
        <v>250</v>
      </c>
      <c r="Q42" s="18">
        <f>VLOOKUP(t_Presses[[Plant]:[Plant]],t_Plants[],Plants!CW$1,FALSE)</f>
        <v>260</v>
      </c>
      <c r="R42" s="18">
        <f>VLOOKUP(t_Presses[[Plant]:[Plant]],t_Plants[],Plants!CX$1,FALSE)</f>
        <v>340</v>
      </c>
      <c r="S42" s="18">
        <f>SUM(t_Presses[[#This Row],[ha2015.01]:[ha2015.12]])</f>
        <v>3400</v>
      </c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>
        <f>SUM(t_Presses[[#This Row],[ha2016.01]:[ha2016.12]])</f>
        <v>0</v>
      </c>
      <c r="AG42" s="18"/>
      <c r="AH42" s="18"/>
      <c r="AI42" s="18"/>
      <c r="AJ42" s="52">
        <f>SUMIF(r_PartPresses,t_Presses[[PRESS]:[PRESS]],t_Parts[hp2015.01])</f>
        <v>0</v>
      </c>
      <c r="AK42" s="52">
        <f>SUMIF(r_PartPresses,t_Presses[[PRESS]:[PRESS]],t_Parts[hp2015.02])</f>
        <v>0</v>
      </c>
      <c r="AL42" s="52">
        <f>SUMIF(r_PartPresses,t_Presses[[PRESS]:[PRESS]],t_Parts[hp2015.03])</f>
        <v>0</v>
      </c>
      <c r="AM42" s="52">
        <f>SUMIF(r_PartPresses,t_Presses[[PRESS]:[PRESS]],t_Parts[hp2015.04])</f>
        <v>0</v>
      </c>
      <c r="AN42" s="52">
        <f>SUMIF(r_PartPresses,t_Presses[[PRESS]:[PRESS]],t_Parts[hp2015.05])</f>
        <v>0</v>
      </c>
      <c r="AO42" s="52">
        <f>SUMIF(r_PartPresses,t_Presses[[PRESS]:[PRESS]],t_Parts[hp2015.06])</f>
        <v>0</v>
      </c>
      <c r="AP42" s="52">
        <f>SUMIF(r_PartPresses,t_Presses[[PRESS]:[PRESS]],t_Parts[hp2015.07])</f>
        <v>0</v>
      </c>
      <c r="AQ42" s="52">
        <f>SUMIF(r_PartPresses,t_Presses[[PRESS]:[PRESS]],t_Parts[hp2015.08])</f>
        <v>0</v>
      </c>
      <c r="AR42" s="52">
        <f>SUMIF(r_PartPresses,t_Presses[[PRESS]:[PRESS]],t_Parts[hp2015.09])</f>
        <v>0</v>
      </c>
      <c r="AS42" s="52">
        <f>SUMIF(r_PartPresses,t_Presses[[PRESS]:[PRESS]],t_Parts[hp2015.10])</f>
        <v>0</v>
      </c>
      <c r="AT42" s="52">
        <f>SUMIF(r_PartPresses,t_Presses[[PRESS]:[PRESS]],t_Parts[hp2015.11])</f>
        <v>0</v>
      </c>
      <c r="AU42" s="52">
        <f>SUMIF(r_PartPresses,t_Presses[[PRESS]:[PRESS]],t_Parts[hp2015.12])</f>
        <v>0</v>
      </c>
      <c r="AV42" s="52">
        <f>SUM(t_Presses[[#This Row],[hp2015.01]:[hp2015.12]])</f>
        <v>0</v>
      </c>
      <c r="AW42" s="52">
        <f>SUMIF(r_PartPresses,t_Presses[[PRESS]:[PRESS]],t_Parts[hp2016.01])</f>
        <v>0</v>
      </c>
      <c r="AX42" s="52"/>
      <c r="AY42" s="52"/>
      <c r="AZ42" s="52"/>
      <c r="BA42" s="52"/>
      <c r="BB42" s="52"/>
      <c r="BC42" s="52"/>
      <c r="BD42" s="52"/>
      <c r="BE42" s="52"/>
      <c r="BF42" s="52"/>
      <c r="BG42" s="52"/>
      <c r="BH42" s="52"/>
      <c r="BI42" s="52"/>
      <c r="BJ42" s="52"/>
      <c r="BK42" s="52"/>
      <c r="BL42" s="52"/>
      <c r="BM42" s="17">
        <f>t_Presses[[#This Row],[hp2015.01]]/t_Presses[[#This Row],[ha2015.01]]</f>
        <v>0</v>
      </c>
      <c r="BN42" s="17">
        <f>t_Presses[[#This Row],[hp2015.02]]/t_Presses[[#This Row],[ha2015.02]]</f>
        <v>0</v>
      </c>
      <c r="BO42" s="17">
        <f>t_Presses[[#This Row],[hp2015.03]]/t_Presses[[#This Row],[ha2015.03]]</f>
        <v>0</v>
      </c>
      <c r="BP42" s="17">
        <f>t_Presses[[#This Row],[hp2015.04]]/t_Presses[[#This Row],[ha2015.04]]</f>
        <v>0</v>
      </c>
      <c r="BQ42" s="17">
        <f>t_Presses[[#This Row],[hp2015.05]]/t_Presses[[#This Row],[ha2015.05]]</f>
        <v>0</v>
      </c>
      <c r="BR42" s="17">
        <f>t_Presses[[#This Row],[hp2015.06]]/t_Presses[[#This Row],[ha2015.06]]</f>
        <v>0</v>
      </c>
      <c r="BS42" s="17">
        <f>t_Presses[[#This Row],[hp2015.07]]/t_Presses[[#This Row],[ha2015.07]]</f>
        <v>0</v>
      </c>
      <c r="BT42" s="17">
        <f>t_Presses[[#This Row],[hp2015.08]]/t_Presses[[#This Row],[ha2015.08]]</f>
        <v>0</v>
      </c>
      <c r="BU42" s="17">
        <f>t_Presses[[#This Row],[hp2015.09]]/t_Presses[[#This Row],[ha2015.09]]</f>
        <v>0</v>
      </c>
      <c r="BV42" s="17">
        <f>t_Presses[[#This Row],[hp2015.10]]/t_Presses[[#This Row],[ha2015.10]]</f>
        <v>0</v>
      </c>
      <c r="BW42" s="17">
        <f>t_Presses[[#This Row],[hp2015.11]]/t_Presses[[#This Row],[ha2015.11]]</f>
        <v>0</v>
      </c>
      <c r="BX42" s="17">
        <f>t_Presses[[#This Row],[hp2015.12]]/t_Presses[[#This Row],[ha2015.12]]</f>
        <v>0</v>
      </c>
      <c r="BY42" s="17">
        <f>t_Presses[[#This Row],[hp2015.FY]]/t_Presses[[#This Row],[ha2015.FY]]</f>
        <v>0</v>
      </c>
      <c r="BZ42" s="17" t="e">
        <f>t_Presses[[#This Row],[hp2016.01]]/t_Presses[[#This Row],[ha2016.01]]</f>
        <v>#DIV/0!</v>
      </c>
      <c r="CA42" s="17"/>
      <c r="CB42" s="17"/>
      <c r="CC42" s="17"/>
      <c r="CD42" s="17"/>
      <c r="CE42" s="17"/>
      <c r="CF42" s="17"/>
      <c r="CG42" s="17"/>
      <c r="CH42" s="17"/>
      <c r="CI42" s="17"/>
      <c r="CJ42" s="17"/>
      <c r="CK42" s="17"/>
      <c r="CL42" s="17" t="e">
        <f>t_Presses[[#This Row],[hp2016.FY]]/t_Presses[[#This Row],[ha2016.FY]]</f>
        <v>#DIV/0!</v>
      </c>
      <c r="CM42" s="17"/>
      <c r="CN42" s="17"/>
      <c r="CO42" s="17"/>
    </row>
    <row r="43" spans="1:93" hidden="1" x14ac:dyDescent="0.25">
      <c r="A43" s="16" t="s">
        <v>158</v>
      </c>
      <c r="B43" t="s">
        <v>12</v>
      </c>
      <c r="C43" t="s">
        <v>127</v>
      </c>
      <c r="D43">
        <v>800</v>
      </c>
      <c r="E43" s="18" t="str">
        <f t="shared" si="0"/>
        <v>600-899</v>
      </c>
      <c r="F43" s="15"/>
      <c r="G43" s="18">
        <f>VLOOKUP(t_Presses[[Plant]:[Plant]],t_Plants[],Plants!CM$1,FALSE)</f>
        <v>250</v>
      </c>
      <c r="H43">
        <f>VLOOKUP(t_Presses[[Plant]:[Plant]],t_Plants[],Plants!CN$1,FALSE)</f>
        <v>260</v>
      </c>
      <c r="I43" s="18">
        <f>VLOOKUP(t_Presses[[Plant]:[Plant]],t_Plants[],Plants!CO$1,FALSE)</f>
        <v>340</v>
      </c>
      <c r="J43" s="18">
        <f>VLOOKUP(t_Presses[[Plant]:[Plant]],t_Plants[],Plants!CP$1,FALSE)</f>
        <v>250</v>
      </c>
      <c r="K43" s="18">
        <f>VLOOKUP(t_Presses[[Plant]:[Plant]],t_Plants[],Plants!CQ$1,FALSE)</f>
        <v>260</v>
      </c>
      <c r="L43" s="18">
        <f>VLOOKUP(t_Presses[[Plant]:[Plant]],t_Plants[],Plants!CR$1,FALSE)</f>
        <v>340</v>
      </c>
      <c r="M43" s="18">
        <f>VLOOKUP(t_Presses[[Plant]:[Plant]],t_Plants[],Plants!CS$1,FALSE)</f>
        <v>250</v>
      </c>
      <c r="N43" s="18">
        <f>VLOOKUP(t_Presses[[Plant]:[Plant]],t_Plants[],Plants!CT$1,FALSE)</f>
        <v>260</v>
      </c>
      <c r="O43" s="18">
        <f>VLOOKUP(t_Presses[[Plant]:[Plant]],t_Plants[],Plants!CU$1,FALSE)</f>
        <v>340</v>
      </c>
      <c r="P43" s="18">
        <f>VLOOKUP(t_Presses[[Plant]:[Plant]],t_Plants[],Plants!CV$1,FALSE)</f>
        <v>250</v>
      </c>
      <c r="Q43" s="18">
        <f>VLOOKUP(t_Presses[[Plant]:[Plant]],t_Plants[],Plants!CW$1,FALSE)</f>
        <v>260</v>
      </c>
      <c r="R43" s="18">
        <f>VLOOKUP(t_Presses[[Plant]:[Plant]],t_Plants[],Plants!CX$1,FALSE)</f>
        <v>340</v>
      </c>
      <c r="S43" s="18">
        <f>SUM(t_Presses[[#This Row],[ha2015.01]:[ha2015.12]])</f>
        <v>3400</v>
      </c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>
        <f>SUM(t_Presses[[#This Row],[ha2016.01]:[ha2016.12]])</f>
        <v>0</v>
      </c>
      <c r="AG43" s="18"/>
      <c r="AH43" s="18"/>
      <c r="AI43" s="18"/>
      <c r="AJ43" s="52">
        <f>SUMIF(r_PartPresses,t_Presses[[PRESS]:[PRESS]],t_Parts[hp2015.01])</f>
        <v>0</v>
      </c>
      <c r="AK43" s="52">
        <f>SUMIF(r_PartPresses,t_Presses[[PRESS]:[PRESS]],t_Parts[hp2015.02])</f>
        <v>0</v>
      </c>
      <c r="AL43" s="52">
        <f>SUMIF(r_PartPresses,t_Presses[[PRESS]:[PRESS]],t_Parts[hp2015.03])</f>
        <v>0</v>
      </c>
      <c r="AM43" s="52">
        <f>SUMIF(r_PartPresses,t_Presses[[PRESS]:[PRESS]],t_Parts[hp2015.04])</f>
        <v>0</v>
      </c>
      <c r="AN43" s="52">
        <f>SUMIF(r_PartPresses,t_Presses[[PRESS]:[PRESS]],t_Parts[hp2015.05])</f>
        <v>0</v>
      </c>
      <c r="AO43" s="52">
        <f>SUMIF(r_PartPresses,t_Presses[[PRESS]:[PRESS]],t_Parts[hp2015.06])</f>
        <v>0</v>
      </c>
      <c r="AP43" s="52">
        <f>SUMIF(r_PartPresses,t_Presses[[PRESS]:[PRESS]],t_Parts[hp2015.07])</f>
        <v>0</v>
      </c>
      <c r="AQ43" s="52">
        <f>SUMIF(r_PartPresses,t_Presses[[PRESS]:[PRESS]],t_Parts[hp2015.08])</f>
        <v>0</v>
      </c>
      <c r="AR43" s="52">
        <f>SUMIF(r_PartPresses,t_Presses[[PRESS]:[PRESS]],t_Parts[hp2015.09])</f>
        <v>0</v>
      </c>
      <c r="AS43" s="52">
        <f>SUMIF(r_PartPresses,t_Presses[[PRESS]:[PRESS]],t_Parts[hp2015.10])</f>
        <v>0</v>
      </c>
      <c r="AT43" s="52">
        <f>SUMIF(r_PartPresses,t_Presses[[PRESS]:[PRESS]],t_Parts[hp2015.11])</f>
        <v>0</v>
      </c>
      <c r="AU43" s="52">
        <f>SUMIF(r_PartPresses,t_Presses[[PRESS]:[PRESS]],t_Parts[hp2015.12])</f>
        <v>0</v>
      </c>
      <c r="AV43" s="52">
        <f>SUM(t_Presses[[#This Row],[hp2015.01]:[hp2015.12]])</f>
        <v>0</v>
      </c>
      <c r="AW43" s="52">
        <f>SUMIF(r_PartPresses,t_Presses[[PRESS]:[PRESS]],t_Parts[hp2016.01])</f>
        <v>0</v>
      </c>
      <c r="AX43" s="52"/>
      <c r="AY43" s="52"/>
      <c r="AZ43" s="52"/>
      <c r="BA43" s="52"/>
      <c r="BB43" s="52"/>
      <c r="BC43" s="52"/>
      <c r="BD43" s="52"/>
      <c r="BE43" s="52"/>
      <c r="BF43" s="52"/>
      <c r="BG43" s="52"/>
      <c r="BH43" s="52"/>
      <c r="BI43" s="52"/>
      <c r="BJ43" s="52"/>
      <c r="BK43" s="52"/>
      <c r="BL43" s="52"/>
      <c r="BM43" s="17">
        <f>t_Presses[[#This Row],[hp2015.01]]/t_Presses[[#This Row],[ha2015.01]]</f>
        <v>0</v>
      </c>
      <c r="BN43" s="17">
        <f>t_Presses[[#This Row],[hp2015.02]]/t_Presses[[#This Row],[ha2015.02]]</f>
        <v>0</v>
      </c>
      <c r="BO43" s="17">
        <f>t_Presses[[#This Row],[hp2015.03]]/t_Presses[[#This Row],[ha2015.03]]</f>
        <v>0</v>
      </c>
      <c r="BP43" s="17">
        <f>t_Presses[[#This Row],[hp2015.04]]/t_Presses[[#This Row],[ha2015.04]]</f>
        <v>0</v>
      </c>
      <c r="BQ43" s="17">
        <f>t_Presses[[#This Row],[hp2015.05]]/t_Presses[[#This Row],[ha2015.05]]</f>
        <v>0</v>
      </c>
      <c r="BR43" s="17">
        <f>t_Presses[[#This Row],[hp2015.06]]/t_Presses[[#This Row],[ha2015.06]]</f>
        <v>0</v>
      </c>
      <c r="BS43" s="17">
        <f>t_Presses[[#This Row],[hp2015.07]]/t_Presses[[#This Row],[ha2015.07]]</f>
        <v>0</v>
      </c>
      <c r="BT43" s="17">
        <f>t_Presses[[#This Row],[hp2015.08]]/t_Presses[[#This Row],[ha2015.08]]</f>
        <v>0</v>
      </c>
      <c r="BU43" s="17">
        <f>t_Presses[[#This Row],[hp2015.09]]/t_Presses[[#This Row],[ha2015.09]]</f>
        <v>0</v>
      </c>
      <c r="BV43" s="17">
        <f>t_Presses[[#This Row],[hp2015.10]]/t_Presses[[#This Row],[ha2015.10]]</f>
        <v>0</v>
      </c>
      <c r="BW43" s="17">
        <f>t_Presses[[#This Row],[hp2015.11]]/t_Presses[[#This Row],[ha2015.11]]</f>
        <v>0</v>
      </c>
      <c r="BX43" s="17">
        <f>t_Presses[[#This Row],[hp2015.12]]/t_Presses[[#This Row],[ha2015.12]]</f>
        <v>0</v>
      </c>
      <c r="BY43" s="17">
        <f>t_Presses[[#This Row],[hp2015.FY]]/t_Presses[[#This Row],[ha2015.FY]]</f>
        <v>0</v>
      </c>
      <c r="BZ43" s="17" t="e">
        <f>t_Presses[[#This Row],[hp2016.01]]/t_Presses[[#This Row],[ha2016.01]]</f>
        <v>#DIV/0!</v>
      </c>
      <c r="CA43" s="17"/>
      <c r="CB43" s="17"/>
      <c r="CC43" s="17"/>
      <c r="CD43" s="17"/>
      <c r="CE43" s="17"/>
      <c r="CF43" s="17"/>
      <c r="CG43" s="17"/>
      <c r="CH43" s="17"/>
      <c r="CI43" s="17"/>
      <c r="CJ43" s="17"/>
      <c r="CK43" s="17"/>
      <c r="CL43" s="17" t="e">
        <f>t_Presses[[#This Row],[hp2016.FY]]/t_Presses[[#This Row],[ha2016.FY]]</f>
        <v>#DIV/0!</v>
      </c>
      <c r="CM43" s="17"/>
      <c r="CN43" s="17"/>
      <c r="CO43" s="17"/>
    </row>
    <row r="44" spans="1:93" hidden="1" x14ac:dyDescent="0.25">
      <c r="A44" s="16" t="s">
        <v>159</v>
      </c>
      <c r="B44" t="s">
        <v>12</v>
      </c>
      <c r="C44" t="s">
        <v>126</v>
      </c>
      <c r="D44">
        <v>400</v>
      </c>
      <c r="E44" s="18" t="str">
        <f t="shared" si="0"/>
        <v>300-599</v>
      </c>
      <c r="F44" s="15"/>
      <c r="G44" s="18">
        <f>VLOOKUP(t_Presses[[Plant]:[Plant]],t_Plants[],Plants!CM$1,FALSE)</f>
        <v>250</v>
      </c>
      <c r="H44">
        <f>VLOOKUP(t_Presses[[Plant]:[Plant]],t_Plants[],Plants!CN$1,FALSE)</f>
        <v>260</v>
      </c>
      <c r="I44" s="18">
        <f>VLOOKUP(t_Presses[[Plant]:[Plant]],t_Plants[],Plants!CO$1,FALSE)</f>
        <v>340</v>
      </c>
      <c r="J44" s="18">
        <f>VLOOKUP(t_Presses[[Plant]:[Plant]],t_Plants[],Plants!CP$1,FALSE)</f>
        <v>250</v>
      </c>
      <c r="K44" s="18">
        <f>VLOOKUP(t_Presses[[Plant]:[Plant]],t_Plants[],Plants!CQ$1,FALSE)</f>
        <v>260</v>
      </c>
      <c r="L44" s="18">
        <f>VLOOKUP(t_Presses[[Plant]:[Plant]],t_Plants[],Plants!CR$1,FALSE)</f>
        <v>340</v>
      </c>
      <c r="M44" s="18">
        <f>VLOOKUP(t_Presses[[Plant]:[Plant]],t_Plants[],Plants!CS$1,FALSE)</f>
        <v>250</v>
      </c>
      <c r="N44" s="18">
        <f>VLOOKUP(t_Presses[[Plant]:[Plant]],t_Plants[],Plants!CT$1,FALSE)</f>
        <v>260</v>
      </c>
      <c r="O44" s="18">
        <f>VLOOKUP(t_Presses[[Plant]:[Plant]],t_Plants[],Plants!CU$1,FALSE)</f>
        <v>340</v>
      </c>
      <c r="P44" s="18">
        <f>VLOOKUP(t_Presses[[Plant]:[Plant]],t_Plants[],Plants!CV$1,FALSE)</f>
        <v>250</v>
      </c>
      <c r="Q44" s="18">
        <f>VLOOKUP(t_Presses[[Plant]:[Plant]],t_Plants[],Plants!CW$1,FALSE)</f>
        <v>260</v>
      </c>
      <c r="R44" s="18">
        <f>VLOOKUP(t_Presses[[Plant]:[Plant]],t_Plants[],Plants!CX$1,FALSE)</f>
        <v>340</v>
      </c>
      <c r="S44" s="18">
        <f>SUM(t_Presses[[#This Row],[ha2015.01]:[ha2015.12]])</f>
        <v>3400</v>
      </c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>
        <f>SUM(t_Presses[[#This Row],[ha2016.01]:[ha2016.12]])</f>
        <v>0</v>
      </c>
      <c r="AG44" s="18"/>
      <c r="AH44" s="18"/>
      <c r="AI44" s="18"/>
      <c r="AJ44" s="52">
        <f>SUMIF(r_PartPresses,t_Presses[[PRESS]:[PRESS]],t_Parts[hp2015.01])</f>
        <v>0</v>
      </c>
      <c r="AK44" s="52">
        <f>SUMIF(r_PartPresses,t_Presses[[PRESS]:[PRESS]],t_Parts[hp2015.02])</f>
        <v>0</v>
      </c>
      <c r="AL44" s="52">
        <f>SUMIF(r_PartPresses,t_Presses[[PRESS]:[PRESS]],t_Parts[hp2015.03])</f>
        <v>0</v>
      </c>
      <c r="AM44" s="52">
        <f>SUMIF(r_PartPresses,t_Presses[[PRESS]:[PRESS]],t_Parts[hp2015.04])</f>
        <v>0</v>
      </c>
      <c r="AN44" s="52">
        <f>SUMIF(r_PartPresses,t_Presses[[PRESS]:[PRESS]],t_Parts[hp2015.05])</f>
        <v>0</v>
      </c>
      <c r="AO44" s="52">
        <f>SUMIF(r_PartPresses,t_Presses[[PRESS]:[PRESS]],t_Parts[hp2015.06])</f>
        <v>0</v>
      </c>
      <c r="AP44" s="52">
        <f>SUMIF(r_PartPresses,t_Presses[[PRESS]:[PRESS]],t_Parts[hp2015.07])</f>
        <v>0</v>
      </c>
      <c r="AQ44" s="52">
        <f>SUMIF(r_PartPresses,t_Presses[[PRESS]:[PRESS]],t_Parts[hp2015.08])</f>
        <v>0</v>
      </c>
      <c r="AR44" s="52">
        <f>SUMIF(r_PartPresses,t_Presses[[PRESS]:[PRESS]],t_Parts[hp2015.09])</f>
        <v>0</v>
      </c>
      <c r="AS44" s="52">
        <f>SUMIF(r_PartPresses,t_Presses[[PRESS]:[PRESS]],t_Parts[hp2015.10])</f>
        <v>0</v>
      </c>
      <c r="AT44" s="52">
        <f>SUMIF(r_PartPresses,t_Presses[[PRESS]:[PRESS]],t_Parts[hp2015.11])</f>
        <v>0</v>
      </c>
      <c r="AU44" s="52">
        <f>SUMIF(r_PartPresses,t_Presses[[PRESS]:[PRESS]],t_Parts[hp2015.12])</f>
        <v>0</v>
      </c>
      <c r="AV44" s="52">
        <f>SUM(t_Presses[[#This Row],[hp2015.01]:[hp2015.12]])</f>
        <v>0</v>
      </c>
      <c r="AW44" s="52">
        <f>SUMIF(r_PartPresses,t_Presses[[PRESS]:[PRESS]],t_Parts[hp2016.01])</f>
        <v>0</v>
      </c>
      <c r="AX44" s="52"/>
      <c r="AY44" s="52"/>
      <c r="AZ44" s="52"/>
      <c r="BA44" s="52"/>
      <c r="BB44" s="52"/>
      <c r="BC44" s="52"/>
      <c r="BD44" s="52"/>
      <c r="BE44" s="52"/>
      <c r="BF44" s="52"/>
      <c r="BG44" s="52"/>
      <c r="BH44" s="52"/>
      <c r="BI44" s="52"/>
      <c r="BJ44" s="52"/>
      <c r="BK44" s="52"/>
      <c r="BL44" s="52"/>
      <c r="BM44" s="17">
        <f>t_Presses[[#This Row],[hp2015.01]]/t_Presses[[#This Row],[ha2015.01]]</f>
        <v>0</v>
      </c>
      <c r="BN44" s="17">
        <f>t_Presses[[#This Row],[hp2015.02]]/t_Presses[[#This Row],[ha2015.02]]</f>
        <v>0</v>
      </c>
      <c r="BO44" s="17">
        <f>t_Presses[[#This Row],[hp2015.03]]/t_Presses[[#This Row],[ha2015.03]]</f>
        <v>0</v>
      </c>
      <c r="BP44" s="17">
        <f>t_Presses[[#This Row],[hp2015.04]]/t_Presses[[#This Row],[ha2015.04]]</f>
        <v>0</v>
      </c>
      <c r="BQ44" s="17">
        <f>t_Presses[[#This Row],[hp2015.05]]/t_Presses[[#This Row],[ha2015.05]]</f>
        <v>0</v>
      </c>
      <c r="BR44" s="17">
        <f>t_Presses[[#This Row],[hp2015.06]]/t_Presses[[#This Row],[ha2015.06]]</f>
        <v>0</v>
      </c>
      <c r="BS44" s="17">
        <f>t_Presses[[#This Row],[hp2015.07]]/t_Presses[[#This Row],[ha2015.07]]</f>
        <v>0</v>
      </c>
      <c r="BT44" s="17">
        <f>t_Presses[[#This Row],[hp2015.08]]/t_Presses[[#This Row],[ha2015.08]]</f>
        <v>0</v>
      </c>
      <c r="BU44" s="17">
        <f>t_Presses[[#This Row],[hp2015.09]]/t_Presses[[#This Row],[ha2015.09]]</f>
        <v>0</v>
      </c>
      <c r="BV44" s="17">
        <f>t_Presses[[#This Row],[hp2015.10]]/t_Presses[[#This Row],[ha2015.10]]</f>
        <v>0</v>
      </c>
      <c r="BW44" s="17">
        <f>t_Presses[[#This Row],[hp2015.11]]/t_Presses[[#This Row],[ha2015.11]]</f>
        <v>0</v>
      </c>
      <c r="BX44" s="17">
        <f>t_Presses[[#This Row],[hp2015.12]]/t_Presses[[#This Row],[ha2015.12]]</f>
        <v>0</v>
      </c>
      <c r="BY44" s="17">
        <f>t_Presses[[#This Row],[hp2015.FY]]/t_Presses[[#This Row],[ha2015.FY]]</f>
        <v>0</v>
      </c>
      <c r="BZ44" s="17" t="e">
        <f>t_Presses[[#This Row],[hp2016.01]]/t_Presses[[#This Row],[ha2016.01]]</f>
        <v>#DIV/0!</v>
      </c>
      <c r="CA44" s="17"/>
      <c r="CB44" s="17"/>
      <c r="CC44" s="17"/>
      <c r="CD44" s="17"/>
      <c r="CE44" s="17"/>
      <c r="CF44" s="17"/>
      <c r="CG44" s="17"/>
      <c r="CH44" s="17"/>
      <c r="CI44" s="17"/>
      <c r="CJ44" s="17"/>
      <c r="CK44" s="17"/>
      <c r="CL44" s="17" t="e">
        <f>t_Presses[[#This Row],[hp2016.FY]]/t_Presses[[#This Row],[ha2016.FY]]</f>
        <v>#DIV/0!</v>
      </c>
      <c r="CM44" s="17"/>
      <c r="CN44" s="17"/>
      <c r="CO44" s="17"/>
    </row>
    <row r="45" spans="1:93" hidden="1" x14ac:dyDescent="0.25">
      <c r="A45" s="16" t="s">
        <v>160</v>
      </c>
      <c r="B45" t="s">
        <v>11</v>
      </c>
      <c r="C45" t="s">
        <v>126</v>
      </c>
      <c r="D45">
        <v>200</v>
      </c>
      <c r="E45" s="18" t="str">
        <f t="shared" si="0"/>
        <v>0-299</v>
      </c>
      <c r="F45" s="15"/>
      <c r="G45" s="18">
        <f>VLOOKUP(t_Presses[[Plant]:[Plant]],t_Plants[],Plants!CM$1,FALSE)</f>
        <v>300</v>
      </c>
      <c r="H45">
        <f>VLOOKUP(t_Presses[[Plant]:[Plant]],t_Plants[],Plants!CN$1,FALSE)</f>
        <v>312</v>
      </c>
      <c r="I45" s="18">
        <f>VLOOKUP(t_Presses[[Plant]:[Plant]],t_Plants[],Plants!CO$1,FALSE)</f>
        <v>408</v>
      </c>
      <c r="J45" s="18">
        <f>VLOOKUP(t_Presses[[Plant]:[Plant]],t_Plants[],Plants!CP$1,FALSE)</f>
        <v>300</v>
      </c>
      <c r="K45" s="18">
        <f>VLOOKUP(t_Presses[[Plant]:[Plant]],t_Plants[],Plants!CQ$1,FALSE)</f>
        <v>312</v>
      </c>
      <c r="L45" s="18">
        <f>VLOOKUP(t_Presses[[Plant]:[Plant]],t_Plants[],Plants!CR$1,FALSE)</f>
        <v>408</v>
      </c>
      <c r="M45" s="18">
        <f>VLOOKUP(t_Presses[[Plant]:[Plant]],t_Plants[],Plants!CS$1,FALSE)</f>
        <v>300</v>
      </c>
      <c r="N45" s="18">
        <f>VLOOKUP(t_Presses[[Plant]:[Plant]],t_Plants[],Plants!CT$1,FALSE)</f>
        <v>312</v>
      </c>
      <c r="O45" s="18">
        <f>VLOOKUP(t_Presses[[Plant]:[Plant]],t_Plants[],Plants!CU$1,FALSE)</f>
        <v>408</v>
      </c>
      <c r="P45" s="18">
        <f>VLOOKUP(t_Presses[[Plant]:[Plant]],t_Plants[],Plants!CV$1,FALSE)</f>
        <v>300</v>
      </c>
      <c r="Q45" s="18">
        <f>VLOOKUP(t_Presses[[Plant]:[Plant]],t_Plants[],Plants!CW$1,FALSE)</f>
        <v>312</v>
      </c>
      <c r="R45" s="18">
        <f>VLOOKUP(t_Presses[[Plant]:[Plant]],t_Plants[],Plants!CX$1,FALSE)</f>
        <v>408</v>
      </c>
      <c r="S45" s="18">
        <f>SUM(t_Presses[[#This Row],[ha2015.01]:[ha2015.12]])</f>
        <v>4080</v>
      </c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>
        <f>SUM(t_Presses[[#This Row],[ha2016.01]:[ha2016.12]])</f>
        <v>0</v>
      </c>
      <c r="AG45" s="18"/>
      <c r="AH45" s="18"/>
      <c r="AI45" s="18"/>
      <c r="AJ45" s="52">
        <f>SUMIF(r_PartPresses,t_Presses[[PRESS]:[PRESS]],t_Parts[hp2015.01])</f>
        <v>0</v>
      </c>
      <c r="AK45" s="52">
        <f>SUMIF(r_PartPresses,t_Presses[[PRESS]:[PRESS]],t_Parts[hp2015.02])</f>
        <v>0</v>
      </c>
      <c r="AL45" s="52">
        <f>SUMIF(r_PartPresses,t_Presses[[PRESS]:[PRESS]],t_Parts[hp2015.03])</f>
        <v>0</v>
      </c>
      <c r="AM45" s="52">
        <f>SUMIF(r_PartPresses,t_Presses[[PRESS]:[PRESS]],t_Parts[hp2015.04])</f>
        <v>0</v>
      </c>
      <c r="AN45" s="52">
        <f>SUMIF(r_PartPresses,t_Presses[[PRESS]:[PRESS]],t_Parts[hp2015.05])</f>
        <v>0</v>
      </c>
      <c r="AO45" s="52">
        <f>SUMIF(r_PartPresses,t_Presses[[PRESS]:[PRESS]],t_Parts[hp2015.06])</f>
        <v>0</v>
      </c>
      <c r="AP45" s="52">
        <f>SUMIF(r_PartPresses,t_Presses[[PRESS]:[PRESS]],t_Parts[hp2015.07])</f>
        <v>0</v>
      </c>
      <c r="AQ45" s="52">
        <f>SUMIF(r_PartPresses,t_Presses[[PRESS]:[PRESS]],t_Parts[hp2015.08])</f>
        <v>0</v>
      </c>
      <c r="AR45" s="52">
        <f>SUMIF(r_PartPresses,t_Presses[[PRESS]:[PRESS]],t_Parts[hp2015.09])</f>
        <v>0</v>
      </c>
      <c r="AS45" s="52">
        <f>SUMIF(r_PartPresses,t_Presses[[PRESS]:[PRESS]],t_Parts[hp2015.10])</f>
        <v>0</v>
      </c>
      <c r="AT45" s="52">
        <f>SUMIF(r_PartPresses,t_Presses[[PRESS]:[PRESS]],t_Parts[hp2015.11])</f>
        <v>0</v>
      </c>
      <c r="AU45" s="52">
        <f>SUMIF(r_PartPresses,t_Presses[[PRESS]:[PRESS]],t_Parts[hp2015.12])</f>
        <v>0</v>
      </c>
      <c r="AV45" s="52">
        <f>SUM(t_Presses[[#This Row],[hp2015.01]:[hp2015.12]])</f>
        <v>0</v>
      </c>
      <c r="AW45" s="52">
        <f>SUMIF(r_PartPresses,t_Presses[[PRESS]:[PRESS]],t_Parts[hp2016.01])</f>
        <v>0</v>
      </c>
      <c r="AX45" s="52"/>
      <c r="AY45" s="52"/>
      <c r="AZ45" s="52"/>
      <c r="BA45" s="52"/>
      <c r="BB45" s="52"/>
      <c r="BC45" s="52"/>
      <c r="BD45" s="52"/>
      <c r="BE45" s="52"/>
      <c r="BF45" s="52"/>
      <c r="BG45" s="52"/>
      <c r="BH45" s="52"/>
      <c r="BI45" s="52"/>
      <c r="BJ45" s="52"/>
      <c r="BK45" s="52"/>
      <c r="BL45" s="52"/>
      <c r="BM45" s="17">
        <f>t_Presses[[#This Row],[hp2015.01]]/t_Presses[[#This Row],[ha2015.01]]</f>
        <v>0</v>
      </c>
      <c r="BN45" s="17">
        <f>t_Presses[[#This Row],[hp2015.02]]/t_Presses[[#This Row],[ha2015.02]]</f>
        <v>0</v>
      </c>
      <c r="BO45" s="17">
        <f>t_Presses[[#This Row],[hp2015.03]]/t_Presses[[#This Row],[ha2015.03]]</f>
        <v>0</v>
      </c>
      <c r="BP45" s="17">
        <f>t_Presses[[#This Row],[hp2015.04]]/t_Presses[[#This Row],[ha2015.04]]</f>
        <v>0</v>
      </c>
      <c r="BQ45" s="17">
        <f>t_Presses[[#This Row],[hp2015.05]]/t_Presses[[#This Row],[ha2015.05]]</f>
        <v>0</v>
      </c>
      <c r="BR45" s="17">
        <f>t_Presses[[#This Row],[hp2015.06]]/t_Presses[[#This Row],[ha2015.06]]</f>
        <v>0</v>
      </c>
      <c r="BS45" s="17">
        <f>t_Presses[[#This Row],[hp2015.07]]/t_Presses[[#This Row],[ha2015.07]]</f>
        <v>0</v>
      </c>
      <c r="BT45" s="17">
        <f>t_Presses[[#This Row],[hp2015.08]]/t_Presses[[#This Row],[ha2015.08]]</f>
        <v>0</v>
      </c>
      <c r="BU45" s="17">
        <f>t_Presses[[#This Row],[hp2015.09]]/t_Presses[[#This Row],[ha2015.09]]</f>
        <v>0</v>
      </c>
      <c r="BV45" s="17">
        <f>t_Presses[[#This Row],[hp2015.10]]/t_Presses[[#This Row],[ha2015.10]]</f>
        <v>0</v>
      </c>
      <c r="BW45" s="17">
        <f>t_Presses[[#This Row],[hp2015.11]]/t_Presses[[#This Row],[ha2015.11]]</f>
        <v>0</v>
      </c>
      <c r="BX45" s="17">
        <f>t_Presses[[#This Row],[hp2015.12]]/t_Presses[[#This Row],[ha2015.12]]</f>
        <v>0</v>
      </c>
      <c r="BY45" s="17">
        <f>t_Presses[[#This Row],[hp2015.FY]]/t_Presses[[#This Row],[ha2015.FY]]</f>
        <v>0</v>
      </c>
      <c r="BZ45" s="17" t="e">
        <f>t_Presses[[#This Row],[hp2016.01]]/t_Presses[[#This Row],[ha2016.01]]</f>
        <v>#DIV/0!</v>
      </c>
      <c r="CA45" s="17"/>
      <c r="CB45" s="17"/>
      <c r="CC45" s="17"/>
      <c r="CD45" s="17"/>
      <c r="CE45" s="17"/>
      <c r="CF45" s="17"/>
      <c r="CG45" s="17"/>
      <c r="CH45" s="17"/>
      <c r="CI45" s="17"/>
      <c r="CJ45" s="17"/>
      <c r="CK45" s="17"/>
      <c r="CL45" s="17" t="e">
        <f>t_Presses[[#This Row],[hp2016.FY]]/t_Presses[[#This Row],[ha2016.FY]]</f>
        <v>#DIV/0!</v>
      </c>
      <c r="CM45" s="17"/>
      <c r="CN45" s="17"/>
      <c r="CO45" s="17"/>
    </row>
    <row r="46" spans="1:93" hidden="1" x14ac:dyDescent="0.25">
      <c r="A46" s="16" t="s">
        <v>161</v>
      </c>
      <c r="B46" t="s">
        <v>11</v>
      </c>
      <c r="C46" t="s">
        <v>126</v>
      </c>
      <c r="D46">
        <v>300</v>
      </c>
      <c r="E46" s="18" t="str">
        <f t="shared" si="0"/>
        <v>300-599</v>
      </c>
      <c r="F46" s="15"/>
      <c r="G46" s="18">
        <f>VLOOKUP(t_Presses[[Plant]:[Plant]],t_Plants[],Plants!CM$1,FALSE)</f>
        <v>300</v>
      </c>
      <c r="H46">
        <f>VLOOKUP(t_Presses[[Plant]:[Plant]],t_Plants[],Plants!CN$1,FALSE)</f>
        <v>312</v>
      </c>
      <c r="I46" s="18">
        <f>VLOOKUP(t_Presses[[Plant]:[Plant]],t_Plants[],Plants!CO$1,FALSE)</f>
        <v>408</v>
      </c>
      <c r="J46" s="18">
        <f>VLOOKUP(t_Presses[[Plant]:[Plant]],t_Plants[],Plants!CP$1,FALSE)</f>
        <v>300</v>
      </c>
      <c r="K46" s="18">
        <f>VLOOKUP(t_Presses[[Plant]:[Plant]],t_Plants[],Plants!CQ$1,FALSE)</f>
        <v>312</v>
      </c>
      <c r="L46" s="18">
        <f>VLOOKUP(t_Presses[[Plant]:[Plant]],t_Plants[],Plants!CR$1,FALSE)</f>
        <v>408</v>
      </c>
      <c r="M46" s="18">
        <f>VLOOKUP(t_Presses[[Plant]:[Plant]],t_Plants[],Plants!CS$1,FALSE)</f>
        <v>300</v>
      </c>
      <c r="N46" s="18">
        <f>VLOOKUP(t_Presses[[Plant]:[Plant]],t_Plants[],Plants!CT$1,FALSE)</f>
        <v>312</v>
      </c>
      <c r="O46" s="18">
        <f>VLOOKUP(t_Presses[[Plant]:[Plant]],t_Plants[],Plants!CU$1,FALSE)</f>
        <v>408</v>
      </c>
      <c r="P46" s="18">
        <f>VLOOKUP(t_Presses[[Plant]:[Plant]],t_Plants[],Plants!CV$1,FALSE)</f>
        <v>300</v>
      </c>
      <c r="Q46" s="18">
        <f>VLOOKUP(t_Presses[[Plant]:[Plant]],t_Plants[],Plants!CW$1,FALSE)</f>
        <v>312</v>
      </c>
      <c r="R46" s="18">
        <f>VLOOKUP(t_Presses[[Plant]:[Plant]],t_Plants[],Plants!CX$1,FALSE)</f>
        <v>408</v>
      </c>
      <c r="S46" s="18">
        <f>SUM(t_Presses[[#This Row],[ha2015.01]:[ha2015.12]])</f>
        <v>4080</v>
      </c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>
        <f>SUM(t_Presses[[#This Row],[ha2016.01]:[ha2016.12]])</f>
        <v>0</v>
      </c>
      <c r="AG46" s="18"/>
      <c r="AH46" s="18"/>
      <c r="AI46" s="18"/>
      <c r="AJ46" s="52">
        <f>SUMIF(r_PartPresses,t_Presses[[PRESS]:[PRESS]],t_Parts[hp2015.01])</f>
        <v>0</v>
      </c>
      <c r="AK46" s="52">
        <f>SUMIF(r_PartPresses,t_Presses[[PRESS]:[PRESS]],t_Parts[hp2015.02])</f>
        <v>0</v>
      </c>
      <c r="AL46" s="52">
        <f>SUMIF(r_PartPresses,t_Presses[[PRESS]:[PRESS]],t_Parts[hp2015.03])</f>
        <v>0</v>
      </c>
      <c r="AM46" s="52">
        <f>SUMIF(r_PartPresses,t_Presses[[PRESS]:[PRESS]],t_Parts[hp2015.04])</f>
        <v>0</v>
      </c>
      <c r="AN46" s="52">
        <f>SUMIF(r_PartPresses,t_Presses[[PRESS]:[PRESS]],t_Parts[hp2015.05])</f>
        <v>0</v>
      </c>
      <c r="AO46" s="52">
        <f>SUMIF(r_PartPresses,t_Presses[[PRESS]:[PRESS]],t_Parts[hp2015.06])</f>
        <v>0</v>
      </c>
      <c r="AP46" s="52">
        <f>SUMIF(r_PartPresses,t_Presses[[PRESS]:[PRESS]],t_Parts[hp2015.07])</f>
        <v>0</v>
      </c>
      <c r="AQ46" s="52">
        <f>SUMIF(r_PartPresses,t_Presses[[PRESS]:[PRESS]],t_Parts[hp2015.08])</f>
        <v>0</v>
      </c>
      <c r="AR46" s="52">
        <f>SUMIF(r_PartPresses,t_Presses[[PRESS]:[PRESS]],t_Parts[hp2015.09])</f>
        <v>0</v>
      </c>
      <c r="AS46" s="52">
        <f>SUMIF(r_PartPresses,t_Presses[[PRESS]:[PRESS]],t_Parts[hp2015.10])</f>
        <v>0</v>
      </c>
      <c r="AT46" s="52">
        <f>SUMIF(r_PartPresses,t_Presses[[PRESS]:[PRESS]],t_Parts[hp2015.11])</f>
        <v>0</v>
      </c>
      <c r="AU46" s="52">
        <f>SUMIF(r_PartPresses,t_Presses[[PRESS]:[PRESS]],t_Parts[hp2015.12])</f>
        <v>0</v>
      </c>
      <c r="AV46" s="52">
        <f>SUM(t_Presses[[#This Row],[hp2015.01]:[hp2015.12]])</f>
        <v>0</v>
      </c>
      <c r="AW46" s="52">
        <f>SUMIF(r_PartPresses,t_Presses[[PRESS]:[PRESS]],t_Parts[hp2016.01])</f>
        <v>0</v>
      </c>
      <c r="AX46" s="52"/>
      <c r="AY46" s="52"/>
      <c r="AZ46" s="52"/>
      <c r="BA46" s="52"/>
      <c r="BB46" s="52"/>
      <c r="BC46" s="52"/>
      <c r="BD46" s="52"/>
      <c r="BE46" s="52"/>
      <c r="BF46" s="52"/>
      <c r="BG46" s="52"/>
      <c r="BH46" s="52"/>
      <c r="BI46" s="52"/>
      <c r="BJ46" s="52"/>
      <c r="BK46" s="52"/>
      <c r="BL46" s="52"/>
      <c r="BM46" s="17">
        <f>t_Presses[[#This Row],[hp2015.01]]/t_Presses[[#This Row],[ha2015.01]]</f>
        <v>0</v>
      </c>
      <c r="BN46" s="17">
        <f>t_Presses[[#This Row],[hp2015.02]]/t_Presses[[#This Row],[ha2015.02]]</f>
        <v>0</v>
      </c>
      <c r="BO46" s="17">
        <f>t_Presses[[#This Row],[hp2015.03]]/t_Presses[[#This Row],[ha2015.03]]</f>
        <v>0</v>
      </c>
      <c r="BP46" s="17">
        <f>t_Presses[[#This Row],[hp2015.04]]/t_Presses[[#This Row],[ha2015.04]]</f>
        <v>0</v>
      </c>
      <c r="BQ46" s="17">
        <f>t_Presses[[#This Row],[hp2015.05]]/t_Presses[[#This Row],[ha2015.05]]</f>
        <v>0</v>
      </c>
      <c r="BR46" s="17">
        <f>t_Presses[[#This Row],[hp2015.06]]/t_Presses[[#This Row],[ha2015.06]]</f>
        <v>0</v>
      </c>
      <c r="BS46" s="17">
        <f>t_Presses[[#This Row],[hp2015.07]]/t_Presses[[#This Row],[ha2015.07]]</f>
        <v>0</v>
      </c>
      <c r="BT46" s="17">
        <f>t_Presses[[#This Row],[hp2015.08]]/t_Presses[[#This Row],[ha2015.08]]</f>
        <v>0</v>
      </c>
      <c r="BU46" s="17">
        <f>t_Presses[[#This Row],[hp2015.09]]/t_Presses[[#This Row],[ha2015.09]]</f>
        <v>0</v>
      </c>
      <c r="BV46" s="17">
        <f>t_Presses[[#This Row],[hp2015.10]]/t_Presses[[#This Row],[ha2015.10]]</f>
        <v>0</v>
      </c>
      <c r="BW46" s="17">
        <f>t_Presses[[#This Row],[hp2015.11]]/t_Presses[[#This Row],[ha2015.11]]</f>
        <v>0</v>
      </c>
      <c r="BX46" s="17">
        <f>t_Presses[[#This Row],[hp2015.12]]/t_Presses[[#This Row],[ha2015.12]]</f>
        <v>0</v>
      </c>
      <c r="BY46" s="17">
        <f>t_Presses[[#This Row],[hp2015.FY]]/t_Presses[[#This Row],[ha2015.FY]]</f>
        <v>0</v>
      </c>
      <c r="BZ46" s="17" t="e">
        <f>t_Presses[[#This Row],[hp2016.01]]/t_Presses[[#This Row],[ha2016.01]]</f>
        <v>#DIV/0!</v>
      </c>
      <c r="CA46" s="17"/>
      <c r="CB46" s="17"/>
      <c r="CC46" s="17"/>
      <c r="CD46" s="17"/>
      <c r="CE46" s="17"/>
      <c r="CF46" s="17"/>
      <c r="CG46" s="17"/>
      <c r="CH46" s="17"/>
      <c r="CI46" s="17"/>
      <c r="CJ46" s="17"/>
      <c r="CK46" s="17"/>
      <c r="CL46" s="17" t="e">
        <f>t_Presses[[#This Row],[hp2016.FY]]/t_Presses[[#This Row],[ha2016.FY]]</f>
        <v>#DIV/0!</v>
      </c>
      <c r="CM46" s="17"/>
      <c r="CN46" s="17"/>
      <c r="CO46" s="17"/>
    </row>
    <row r="47" spans="1:93" hidden="1" x14ac:dyDescent="0.25">
      <c r="A47" s="16" t="s">
        <v>162</v>
      </c>
      <c r="B47" t="s">
        <v>11</v>
      </c>
      <c r="C47" t="s">
        <v>126</v>
      </c>
      <c r="D47">
        <v>400</v>
      </c>
      <c r="E47" s="18" t="str">
        <f t="shared" si="0"/>
        <v>300-599</v>
      </c>
      <c r="F47" s="15"/>
      <c r="G47" s="18">
        <f>VLOOKUP(t_Presses[[Plant]:[Plant]],t_Plants[],Plants!CM$1,FALSE)</f>
        <v>300</v>
      </c>
      <c r="H47">
        <f>VLOOKUP(t_Presses[[Plant]:[Plant]],t_Plants[],Plants!CN$1,FALSE)</f>
        <v>312</v>
      </c>
      <c r="I47" s="18">
        <f>VLOOKUP(t_Presses[[Plant]:[Plant]],t_Plants[],Plants!CO$1,FALSE)</f>
        <v>408</v>
      </c>
      <c r="J47" s="18">
        <f>VLOOKUP(t_Presses[[Plant]:[Plant]],t_Plants[],Plants!CP$1,FALSE)</f>
        <v>300</v>
      </c>
      <c r="K47" s="18">
        <f>VLOOKUP(t_Presses[[Plant]:[Plant]],t_Plants[],Plants!CQ$1,FALSE)</f>
        <v>312</v>
      </c>
      <c r="L47" s="18">
        <f>VLOOKUP(t_Presses[[Plant]:[Plant]],t_Plants[],Plants!CR$1,FALSE)</f>
        <v>408</v>
      </c>
      <c r="M47" s="18">
        <f>VLOOKUP(t_Presses[[Plant]:[Plant]],t_Plants[],Plants!CS$1,FALSE)</f>
        <v>300</v>
      </c>
      <c r="N47" s="18">
        <f>VLOOKUP(t_Presses[[Plant]:[Plant]],t_Plants[],Plants!CT$1,FALSE)</f>
        <v>312</v>
      </c>
      <c r="O47" s="18">
        <f>VLOOKUP(t_Presses[[Plant]:[Plant]],t_Plants[],Plants!CU$1,FALSE)</f>
        <v>408</v>
      </c>
      <c r="P47" s="18">
        <f>VLOOKUP(t_Presses[[Plant]:[Plant]],t_Plants[],Plants!CV$1,FALSE)</f>
        <v>300</v>
      </c>
      <c r="Q47" s="18">
        <f>VLOOKUP(t_Presses[[Plant]:[Plant]],t_Plants[],Plants!CW$1,FALSE)</f>
        <v>312</v>
      </c>
      <c r="R47" s="18">
        <f>VLOOKUP(t_Presses[[Plant]:[Plant]],t_Plants[],Plants!CX$1,FALSE)</f>
        <v>408</v>
      </c>
      <c r="S47" s="18">
        <f>SUM(t_Presses[[#This Row],[ha2015.01]:[ha2015.12]])</f>
        <v>4080</v>
      </c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>
        <f>SUM(t_Presses[[#This Row],[ha2016.01]:[ha2016.12]])</f>
        <v>0</v>
      </c>
      <c r="AG47" s="18"/>
      <c r="AH47" s="18"/>
      <c r="AI47" s="18"/>
      <c r="AJ47" s="52">
        <f>SUMIF(r_PartPresses,t_Presses[[PRESS]:[PRESS]],t_Parts[hp2015.01])</f>
        <v>0</v>
      </c>
      <c r="AK47" s="52">
        <f>SUMIF(r_PartPresses,t_Presses[[PRESS]:[PRESS]],t_Parts[hp2015.02])</f>
        <v>0</v>
      </c>
      <c r="AL47" s="52">
        <f>SUMIF(r_PartPresses,t_Presses[[PRESS]:[PRESS]],t_Parts[hp2015.03])</f>
        <v>0</v>
      </c>
      <c r="AM47" s="52">
        <f>SUMIF(r_PartPresses,t_Presses[[PRESS]:[PRESS]],t_Parts[hp2015.04])</f>
        <v>0</v>
      </c>
      <c r="AN47" s="52">
        <f>SUMIF(r_PartPresses,t_Presses[[PRESS]:[PRESS]],t_Parts[hp2015.05])</f>
        <v>0</v>
      </c>
      <c r="AO47" s="52">
        <f>SUMIF(r_PartPresses,t_Presses[[PRESS]:[PRESS]],t_Parts[hp2015.06])</f>
        <v>0</v>
      </c>
      <c r="AP47" s="52">
        <f>SUMIF(r_PartPresses,t_Presses[[PRESS]:[PRESS]],t_Parts[hp2015.07])</f>
        <v>0</v>
      </c>
      <c r="AQ47" s="52">
        <f>SUMIF(r_PartPresses,t_Presses[[PRESS]:[PRESS]],t_Parts[hp2015.08])</f>
        <v>0</v>
      </c>
      <c r="AR47" s="52">
        <f>SUMIF(r_PartPresses,t_Presses[[PRESS]:[PRESS]],t_Parts[hp2015.09])</f>
        <v>0</v>
      </c>
      <c r="AS47" s="52">
        <f>SUMIF(r_PartPresses,t_Presses[[PRESS]:[PRESS]],t_Parts[hp2015.10])</f>
        <v>0</v>
      </c>
      <c r="AT47" s="52">
        <f>SUMIF(r_PartPresses,t_Presses[[PRESS]:[PRESS]],t_Parts[hp2015.11])</f>
        <v>0</v>
      </c>
      <c r="AU47" s="52">
        <f>SUMIF(r_PartPresses,t_Presses[[PRESS]:[PRESS]],t_Parts[hp2015.12])</f>
        <v>0</v>
      </c>
      <c r="AV47" s="52">
        <f>SUM(t_Presses[[#This Row],[hp2015.01]:[hp2015.12]])</f>
        <v>0</v>
      </c>
      <c r="AW47" s="52">
        <f>SUMIF(r_PartPresses,t_Presses[[PRESS]:[PRESS]],t_Parts[hp2016.01])</f>
        <v>0</v>
      </c>
      <c r="AX47" s="52"/>
      <c r="AY47" s="52"/>
      <c r="AZ47" s="52"/>
      <c r="BA47" s="52"/>
      <c r="BB47" s="52"/>
      <c r="BC47" s="52"/>
      <c r="BD47" s="52"/>
      <c r="BE47" s="52"/>
      <c r="BF47" s="52"/>
      <c r="BG47" s="52"/>
      <c r="BH47" s="52"/>
      <c r="BI47" s="52"/>
      <c r="BJ47" s="52"/>
      <c r="BK47" s="52"/>
      <c r="BL47" s="52"/>
      <c r="BM47" s="17">
        <f>t_Presses[[#This Row],[hp2015.01]]/t_Presses[[#This Row],[ha2015.01]]</f>
        <v>0</v>
      </c>
      <c r="BN47" s="17">
        <f>t_Presses[[#This Row],[hp2015.02]]/t_Presses[[#This Row],[ha2015.02]]</f>
        <v>0</v>
      </c>
      <c r="BO47" s="17">
        <f>t_Presses[[#This Row],[hp2015.03]]/t_Presses[[#This Row],[ha2015.03]]</f>
        <v>0</v>
      </c>
      <c r="BP47" s="17">
        <f>t_Presses[[#This Row],[hp2015.04]]/t_Presses[[#This Row],[ha2015.04]]</f>
        <v>0</v>
      </c>
      <c r="BQ47" s="17">
        <f>t_Presses[[#This Row],[hp2015.05]]/t_Presses[[#This Row],[ha2015.05]]</f>
        <v>0</v>
      </c>
      <c r="BR47" s="17">
        <f>t_Presses[[#This Row],[hp2015.06]]/t_Presses[[#This Row],[ha2015.06]]</f>
        <v>0</v>
      </c>
      <c r="BS47" s="17">
        <f>t_Presses[[#This Row],[hp2015.07]]/t_Presses[[#This Row],[ha2015.07]]</f>
        <v>0</v>
      </c>
      <c r="BT47" s="17">
        <f>t_Presses[[#This Row],[hp2015.08]]/t_Presses[[#This Row],[ha2015.08]]</f>
        <v>0</v>
      </c>
      <c r="BU47" s="17">
        <f>t_Presses[[#This Row],[hp2015.09]]/t_Presses[[#This Row],[ha2015.09]]</f>
        <v>0</v>
      </c>
      <c r="BV47" s="17">
        <f>t_Presses[[#This Row],[hp2015.10]]/t_Presses[[#This Row],[ha2015.10]]</f>
        <v>0</v>
      </c>
      <c r="BW47" s="17">
        <f>t_Presses[[#This Row],[hp2015.11]]/t_Presses[[#This Row],[ha2015.11]]</f>
        <v>0</v>
      </c>
      <c r="BX47" s="17">
        <f>t_Presses[[#This Row],[hp2015.12]]/t_Presses[[#This Row],[ha2015.12]]</f>
        <v>0</v>
      </c>
      <c r="BY47" s="17">
        <f>t_Presses[[#This Row],[hp2015.FY]]/t_Presses[[#This Row],[ha2015.FY]]</f>
        <v>0</v>
      </c>
      <c r="BZ47" s="17" t="e">
        <f>t_Presses[[#This Row],[hp2016.01]]/t_Presses[[#This Row],[ha2016.01]]</f>
        <v>#DIV/0!</v>
      </c>
      <c r="CA47" s="17"/>
      <c r="CB47" s="17"/>
      <c r="CC47" s="17"/>
      <c r="CD47" s="17"/>
      <c r="CE47" s="17"/>
      <c r="CF47" s="17"/>
      <c r="CG47" s="17"/>
      <c r="CH47" s="17"/>
      <c r="CI47" s="17"/>
      <c r="CJ47" s="17"/>
      <c r="CK47" s="17"/>
      <c r="CL47" s="17" t="e">
        <f>t_Presses[[#This Row],[hp2016.FY]]/t_Presses[[#This Row],[ha2016.FY]]</f>
        <v>#DIV/0!</v>
      </c>
      <c r="CM47" s="17"/>
      <c r="CN47" s="17"/>
      <c r="CO47" s="17"/>
    </row>
    <row r="48" spans="1:93" hidden="1" x14ac:dyDescent="0.25">
      <c r="A48" s="16" t="s">
        <v>163</v>
      </c>
      <c r="B48" t="s">
        <v>11</v>
      </c>
      <c r="C48" t="s">
        <v>127</v>
      </c>
      <c r="D48">
        <v>600</v>
      </c>
      <c r="E48" s="18" t="str">
        <f t="shared" si="0"/>
        <v>600-899</v>
      </c>
      <c r="F48" s="15"/>
      <c r="G48" s="18">
        <f>VLOOKUP(t_Presses[[Plant]:[Plant]],t_Plants[],Plants!CM$1,FALSE)</f>
        <v>300</v>
      </c>
      <c r="H48">
        <f>VLOOKUP(t_Presses[[Plant]:[Plant]],t_Plants[],Plants!CN$1,FALSE)</f>
        <v>312</v>
      </c>
      <c r="I48" s="18">
        <f>VLOOKUP(t_Presses[[Plant]:[Plant]],t_Plants[],Plants!CO$1,FALSE)</f>
        <v>408</v>
      </c>
      <c r="J48" s="18">
        <f>VLOOKUP(t_Presses[[Plant]:[Plant]],t_Plants[],Plants!CP$1,FALSE)</f>
        <v>300</v>
      </c>
      <c r="K48" s="18">
        <f>VLOOKUP(t_Presses[[Plant]:[Plant]],t_Plants[],Plants!CQ$1,FALSE)</f>
        <v>312</v>
      </c>
      <c r="L48" s="18">
        <f>VLOOKUP(t_Presses[[Plant]:[Plant]],t_Plants[],Plants!CR$1,FALSE)</f>
        <v>408</v>
      </c>
      <c r="M48" s="18">
        <f>VLOOKUP(t_Presses[[Plant]:[Plant]],t_Plants[],Plants!CS$1,FALSE)</f>
        <v>300</v>
      </c>
      <c r="N48" s="18">
        <f>VLOOKUP(t_Presses[[Plant]:[Plant]],t_Plants[],Plants!CT$1,FALSE)</f>
        <v>312</v>
      </c>
      <c r="O48" s="18">
        <f>VLOOKUP(t_Presses[[Plant]:[Plant]],t_Plants[],Plants!CU$1,FALSE)</f>
        <v>408</v>
      </c>
      <c r="P48" s="18">
        <f>VLOOKUP(t_Presses[[Plant]:[Plant]],t_Plants[],Plants!CV$1,FALSE)</f>
        <v>300</v>
      </c>
      <c r="Q48" s="18">
        <f>VLOOKUP(t_Presses[[Plant]:[Plant]],t_Plants[],Plants!CW$1,FALSE)</f>
        <v>312</v>
      </c>
      <c r="R48" s="18">
        <f>VLOOKUP(t_Presses[[Plant]:[Plant]],t_Plants[],Plants!CX$1,FALSE)</f>
        <v>408</v>
      </c>
      <c r="S48" s="18">
        <f>SUM(t_Presses[[#This Row],[ha2015.01]:[ha2015.12]])</f>
        <v>4080</v>
      </c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>
        <f>SUM(t_Presses[[#This Row],[ha2016.01]:[ha2016.12]])</f>
        <v>0</v>
      </c>
      <c r="AG48" s="18"/>
      <c r="AH48" s="18"/>
      <c r="AI48" s="18"/>
      <c r="AJ48" s="52">
        <f>SUMIF(r_PartPresses,t_Presses[[PRESS]:[PRESS]],t_Parts[hp2015.01])</f>
        <v>0</v>
      </c>
      <c r="AK48" s="52">
        <f>SUMIF(r_PartPresses,t_Presses[[PRESS]:[PRESS]],t_Parts[hp2015.02])</f>
        <v>0</v>
      </c>
      <c r="AL48" s="52">
        <f>SUMIF(r_PartPresses,t_Presses[[PRESS]:[PRESS]],t_Parts[hp2015.03])</f>
        <v>0</v>
      </c>
      <c r="AM48" s="52">
        <f>SUMIF(r_PartPresses,t_Presses[[PRESS]:[PRESS]],t_Parts[hp2015.04])</f>
        <v>0</v>
      </c>
      <c r="AN48" s="52">
        <f>SUMIF(r_PartPresses,t_Presses[[PRESS]:[PRESS]],t_Parts[hp2015.05])</f>
        <v>0</v>
      </c>
      <c r="AO48" s="52">
        <f>SUMIF(r_PartPresses,t_Presses[[PRESS]:[PRESS]],t_Parts[hp2015.06])</f>
        <v>0</v>
      </c>
      <c r="AP48" s="52">
        <f>SUMIF(r_PartPresses,t_Presses[[PRESS]:[PRESS]],t_Parts[hp2015.07])</f>
        <v>0</v>
      </c>
      <c r="AQ48" s="52">
        <f>SUMIF(r_PartPresses,t_Presses[[PRESS]:[PRESS]],t_Parts[hp2015.08])</f>
        <v>0</v>
      </c>
      <c r="AR48" s="52">
        <f>SUMIF(r_PartPresses,t_Presses[[PRESS]:[PRESS]],t_Parts[hp2015.09])</f>
        <v>0</v>
      </c>
      <c r="AS48" s="52">
        <f>SUMIF(r_PartPresses,t_Presses[[PRESS]:[PRESS]],t_Parts[hp2015.10])</f>
        <v>0</v>
      </c>
      <c r="AT48" s="52">
        <f>SUMIF(r_PartPresses,t_Presses[[PRESS]:[PRESS]],t_Parts[hp2015.11])</f>
        <v>0</v>
      </c>
      <c r="AU48" s="52">
        <f>SUMIF(r_PartPresses,t_Presses[[PRESS]:[PRESS]],t_Parts[hp2015.12])</f>
        <v>0</v>
      </c>
      <c r="AV48" s="52">
        <f>SUM(t_Presses[[#This Row],[hp2015.01]:[hp2015.12]])</f>
        <v>0</v>
      </c>
      <c r="AW48" s="52">
        <f>SUMIF(r_PartPresses,t_Presses[[PRESS]:[PRESS]],t_Parts[hp2016.01])</f>
        <v>0</v>
      </c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52"/>
      <c r="BI48" s="52"/>
      <c r="BJ48" s="52"/>
      <c r="BK48" s="52"/>
      <c r="BL48" s="52"/>
      <c r="BM48" s="17">
        <f>t_Presses[[#This Row],[hp2015.01]]/t_Presses[[#This Row],[ha2015.01]]</f>
        <v>0</v>
      </c>
      <c r="BN48" s="17">
        <f>t_Presses[[#This Row],[hp2015.02]]/t_Presses[[#This Row],[ha2015.02]]</f>
        <v>0</v>
      </c>
      <c r="BO48" s="17">
        <f>t_Presses[[#This Row],[hp2015.03]]/t_Presses[[#This Row],[ha2015.03]]</f>
        <v>0</v>
      </c>
      <c r="BP48" s="17">
        <f>t_Presses[[#This Row],[hp2015.04]]/t_Presses[[#This Row],[ha2015.04]]</f>
        <v>0</v>
      </c>
      <c r="BQ48" s="17">
        <f>t_Presses[[#This Row],[hp2015.05]]/t_Presses[[#This Row],[ha2015.05]]</f>
        <v>0</v>
      </c>
      <c r="BR48" s="17">
        <f>t_Presses[[#This Row],[hp2015.06]]/t_Presses[[#This Row],[ha2015.06]]</f>
        <v>0</v>
      </c>
      <c r="BS48" s="17">
        <f>t_Presses[[#This Row],[hp2015.07]]/t_Presses[[#This Row],[ha2015.07]]</f>
        <v>0</v>
      </c>
      <c r="BT48" s="17">
        <f>t_Presses[[#This Row],[hp2015.08]]/t_Presses[[#This Row],[ha2015.08]]</f>
        <v>0</v>
      </c>
      <c r="BU48" s="17">
        <f>t_Presses[[#This Row],[hp2015.09]]/t_Presses[[#This Row],[ha2015.09]]</f>
        <v>0</v>
      </c>
      <c r="BV48" s="17">
        <f>t_Presses[[#This Row],[hp2015.10]]/t_Presses[[#This Row],[ha2015.10]]</f>
        <v>0</v>
      </c>
      <c r="BW48" s="17">
        <f>t_Presses[[#This Row],[hp2015.11]]/t_Presses[[#This Row],[ha2015.11]]</f>
        <v>0</v>
      </c>
      <c r="BX48" s="17">
        <f>t_Presses[[#This Row],[hp2015.12]]/t_Presses[[#This Row],[ha2015.12]]</f>
        <v>0</v>
      </c>
      <c r="BY48" s="17">
        <f>t_Presses[[#This Row],[hp2015.FY]]/t_Presses[[#This Row],[ha2015.FY]]</f>
        <v>0</v>
      </c>
      <c r="BZ48" s="17" t="e">
        <f>t_Presses[[#This Row],[hp2016.01]]/t_Presses[[#This Row],[ha2016.01]]</f>
        <v>#DIV/0!</v>
      </c>
      <c r="CA48" s="17"/>
      <c r="CB48" s="17"/>
      <c r="CC48" s="17"/>
      <c r="CD48" s="17"/>
      <c r="CE48" s="17"/>
      <c r="CF48" s="17"/>
      <c r="CG48" s="17"/>
      <c r="CH48" s="17"/>
      <c r="CI48" s="17"/>
      <c r="CJ48" s="17"/>
      <c r="CK48" s="17"/>
      <c r="CL48" s="17" t="e">
        <f>t_Presses[[#This Row],[hp2016.FY]]/t_Presses[[#This Row],[ha2016.FY]]</f>
        <v>#DIV/0!</v>
      </c>
      <c r="CM48" s="17"/>
      <c r="CN48" s="17"/>
      <c r="CO48" s="17"/>
    </row>
    <row r="49" spans="1:93" hidden="1" x14ac:dyDescent="0.25">
      <c r="A49" s="16" t="s">
        <v>164</v>
      </c>
      <c r="B49" t="s">
        <v>11</v>
      </c>
      <c r="C49" t="s">
        <v>127</v>
      </c>
      <c r="D49">
        <v>600</v>
      </c>
      <c r="E49" s="18" t="str">
        <f t="shared" si="0"/>
        <v>600-899</v>
      </c>
      <c r="F49" s="15"/>
      <c r="G49" s="18">
        <f>VLOOKUP(t_Presses[[Plant]:[Plant]],t_Plants[],Plants!CM$1,FALSE)</f>
        <v>300</v>
      </c>
      <c r="H49">
        <f>VLOOKUP(t_Presses[[Plant]:[Plant]],t_Plants[],Plants!CN$1,FALSE)</f>
        <v>312</v>
      </c>
      <c r="I49" s="18">
        <f>VLOOKUP(t_Presses[[Plant]:[Plant]],t_Plants[],Plants!CO$1,FALSE)</f>
        <v>408</v>
      </c>
      <c r="J49" s="18">
        <f>VLOOKUP(t_Presses[[Plant]:[Plant]],t_Plants[],Plants!CP$1,FALSE)</f>
        <v>300</v>
      </c>
      <c r="K49" s="18">
        <f>VLOOKUP(t_Presses[[Plant]:[Plant]],t_Plants[],Plants!CQ$1,FALSE)</f>
        <v>312</v>
      </c>
      <c r="L49" s="18">
        <f>VLOOKUP(t_Presses[[Plant]:[Plant]],t_Plants[],Plants!CR$1,FALSE)</f>
        <v>408</v>
      </c>
      <c r="M49" s="18">
        <f>VLOOKUP(t_Presses[[Plant]:[Plant]],t_Plants[],Plants!CS$1,FALSE)</f>
        <v>300</v>
      </c>
      <c r="N49" s="18">
        <f>VLOOKUP(t_Presses[[Plant]:[Plant]],t_Plants[],Plants!CT$1,FALSE)</f>
        <v>312</v>
      </c>
      <c r="O49" s="18">
        <f>VLOOKUP(t_Presses[[Plant]:[Plant]],t_Plants[],Plants!CU$1,FALSE)</f>
        <v>408</v>
      </c>
      <c r="P49" s="18">
        <f>VLOOKUP(t_Presses[[Plant]:[Plant]],t_Plants[],Plants!CV$1,FALSE)</f>
        <v>300</v>
      </c>
      <c r="Q49" s="18">
        <f>VLOOKUP(t_Presses[[Plant]:[Plant]],t_Plants[],Plants!CW$1,FALSE)</f>
        <v>312</v>
      </c>
      <c r="R49" s="18">
        <f>VLOOKUP(t_Presses[[Plant]:[Plant]],t_Plants[],Plants!CX$1,FALSE)</f>
        <v>408</v>
      </c>
      <c r="S49" s="18">
        <f>SUM(t_Presses[[#This Row],[ha2015.01]:[ha2015.12]])</f>
        <v>4080</v>
      </c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>
        <f>SUM(t_Presses[[#This Row],[ha2016.01]:[ha2016.12]])</f>
        <v>0</v>
      </c>
      <c r="AG49" s="18"/>
      <c r="AH49" s="18"/>
      <c r="AI49" s="18"/>
      <c r="AJ49" s="52">
        <f>SUMIF(r_PartPresses,t_Presses[[PRESS]:[PRESS]],t_Parts[hp2015.01])</f>
        <v>0</v>
      </c>
      <c r="AK49" s="52">
        <f>SUMIF(r_PartPresses,t_Presses[[PRESS]:[PRESS]],t_Parts[hp2015.02])</f>
        <v>0</v>
      </c>
      <c r="AL49" s="52">
        <f>SUMIF(r_PartPresses,t_Presses[[PRESS]:[PRESS]],t_Parts[hp2015.03])</f>
        <v>0</v>
      </c>
      <c r="AM49" s="52">
        <f>SUMIF(r_PartPresses,t_Presses[[PRESS]:[PRESS]],t_Parts[hp2015.04])</f>
        <v>0</v>
      </c>
      <c r="AN49" s="52">
        <f>SUMIF(r_PartPresses,t_Presses[[PRESS]:[PRESS]],t_Parts[hp2015.05])</f>
        <v>0</v>
      </c>
      <c r="AO49" s="52">
        <f>SUMIF(r_PartPresses,t_Presses[[PRESS]:[PRESS]],t_Parts[hp2015.06])</f>
        <v>0</v>
      </c>
      <c r="AP49" s="52">
        <f>SUMIF(r_PartPresses,t_Presses[[PRESS]:[PRESS]],t_Parts[hp2015.07])</f>
        <v>0</v>
      </c>
      <c r="AQ49" s="52">
        <f>SUMIF(r_PartPresses,t_Presses[[PRESS]:[PRESS]],t_Parts[hp2015.08])</f>
        <v>0</v>
      </c>
      <c r="AR49" s="52">
        <f>SUMIF(r_PartPresses,t_Presses[[PRESS]:[PRESS]],t_Parts[hp2015.09])</f>
        <v>0</v>
      </c>
      <c r="AS49" s="52">
        <f>SUMIF(r_PartPresses,t_Presses[[PRESS]:[PRESS]],t_Parts[hp2015.10])</f>
        <v>0</v>
      </c>
      <c r="AT49" s="52">
        <f>SUMIF(r_PartPresses,t_Presses[[PRESS]:[PRESS]],t_Parts[hp2015.11])</f>
        <v>0</v>
      </c>
      <c r="AU49" s="52">
        <f>SUMIF(r_PartPresses,t_Presses[[PRESS]:[PRESS]],t_Parts[hp2015.12])</f>
        <v>0</v>
      </c>
      <c r="AV49" s="52">
        <f>SUM(t_Presses[[#This Row],[hp2015.01]:[hp2015.12]])</f>
        <v>0</v>
      </c>
      <c r="AW49" s="52">
        <f>SUMIF(r_PartPresses,t_Presses[[PRESS]:[PRESS]],t_Parts[hp2016.01])</f>
        <v>0</v>
      </c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K49" s="52"/>
      <c r="BL49" s="52"/>
      <c r="BM49" s="17">
        <f>t_Presses[[#This Row],[hp2015.01]]/t_Presses[[#This Row],[ha2015.01]]</f>
        <v>0</v>
      </c>
      <c r="BN49" s="17">
        <f>t_Presses[[#This Row],[hp2015.02]]/t_Presses[[#This Row],[ha2015.02]]</f>
        <v>0</v>
      </c>
      <c r="BO49" s="17">
        <f>t_Presses[[#This Row],[hp2015.03]]/t_Presses[[#This Row],[ha2015.03]]</f>
        <v>0</v>
      </c>
      <c r="BP49" s="17">
        <f>t_Presses[[#This Row],[hp2015.04]]/t_Presses[[#This Row],[ha2015.04]]</f>
        <v>0</v>
      </c>
      <c r="BQ49" s="17">
        <f>t_Presses[[#This Row],[hp2015.05]]/t_Presses[[#This Row],[ha2015.05]]</f>
        <v>0</v>
      </c>
      <c r="BR49" s="17">
        <f>t_Presses[[#This Row],[hp2015.06]]/t_Presses[[#This Row],[ha2015.06]]</f>
        <v>0</v>
      </c>
      <c r="BS49" s="17">
        <f>t_Presses[[#This Row],[hp2015.07]]/t_Presses[[#This Row],[ha2015.07]]</f>
        <v>0</v>
      </c>
      <c r="BT49" s="17">
        <f>t_Presses[[#This Row],[hp2015.08]]/t_Presses[[#This Row],[ha2015.08]]</f>
        <v>0</v>
      </c>
      <c r="BU49" s="17">
        <f>t_Presses[[#This Row],[hp2015.09]]/t_Presses[[#This Row],[ha2015.09]]</f>
        <v>0</v>
      </c>
      <c r="BV49" s="17">
        <f>t_Presses[[#This Row],[hp2015.10]]/t_Presses[[#This Row],[ha2015.10]]</f>
        <v>0</v>
      </c>
      <c r="BW49" s="17">
        <f>t_Presses[[#This Row],[hp2015.11]]/t_Presses[[#This Row],[ha2015.11]]</f>
        <v>0</v>
      </c>
      <c r="BX49" s="17">
        <f>t_Presses[[#This Row],[hp2015.12]]/t_Presses[[#This Row],[ha2015.12]]</f>
        <v>0</v>
      </c>
      <c r="BY49" s="17">
        <f>t_Presses[[#This Row],[hp2015.FY]]/t_Presses[[#This Row],[ha2015.FY]]</f>
        <v>0</v>
      </c>
      <c r="BZ49" s="17" t="e">
        <f>t_Presses[[#This Row],[hp2016.01]]/t_Presses[[#This Row],[ha2016.01]]</f>
        <v>#DIV/0!</v>
      </c>
      <c r="CA49" s="17"/>
      <c r="CB49" s="17"/>
      <c r="CC49" s="17"/>
      <c r="CD49" s="17"/>
      <c r="CE49" s="17"/>
      <c r="CF49" s="17"/>
      <c r="CG49" s="17"/>
      <c r="CH49" s="17"/>
      <c r="CI49" s="17"/>
      <c r="CJ49" s="17"/>
      <c r="CK49" s="17"/>
      <c r="CL49" s="17" t="e">
        <f>t_Presses[[#This Row],[hp2016.FY]]/t_Presses[[#This Row],[ha2016.FY]]</f>
        <v>#DIV/0!</v>
      </c>
      <c r="CM49" s="17"/>
      <c r="CN49" s="17"/>
      <c r="CO49" s="17"/>
    </row>
    <row r="51" spans="1:93" x14ac:dyDescent="0.25">
      <c r="BM51" s="4"/>
    </row>
    <row r="54" spans="1:93" x14ac:dyDescent="0.25">
      <c r="G54" s="3"/>
    </row>
  </sheetData>
  <conditionalFormatting sqref="BM31:CA49 BM5:CK30 CL5:CO5 CM6:CO30">
    <cfRule type="cellIs" dxfId="4" priority="1" stopIfTrue="1" operator="greaterThan">
      <formula>v_uRed</formula>
    </cfRule>
    <cfRule type="cellIs" dxfId="3" priority="2" stopIfTrue="1" operator="greaterThan">
      <formula>v_uYel</formula>
    </cfRule>
    <cfRule type="cellIs" dxfId="2" priority="3" operator="greaterThan">
      <formula>v_uGrn</formula>
    </cfRule>
  </conditionalFormatting>
  <dataValidations count="2">
    <dataValidation type="list" allowBlank="1" showInputMessage="1" showErrorMessage="1" sqref="B5:B49">
      <formula1>list_Plants</formula1>
    </dataValidation>
    <dataValidation type="list" allowBlank="1" showInputMessage="1" showErrorMessage="1" sqref="C5:C49">
      <formula1>"Prog, Transfer"</formula1>
    </dataValidation>
  </dataValidations>
  <hyperlinks>
    <hyperlink ref="E3" location="Variables!C3" display="Bucket Size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R28"/>
  <sheetViews>
    <sheetView workbookViewId="0">
      <pane xSplit="1" ySplit="4" topLeftCell="B8" activePane="bottomRight" state="frozen"/>
      <selection pane="topRight" activeCell="B1" sqref="B1"/>
      <selection pane="bottomLeft" activeCell="A5" sqref="A5"/>
      <selection pane="bottomRight" activeCell="B24" sqref="B24:B28"/>
    </sheetView>
  </sheetViews>
  <sheetFormatPr defaultRowHeight="15" outlineLevelCol="2" x14ac:dyDescent="0.25"/>
  <cols>
    <col min="1" max="1" width="15.140625" style="16" customWidth="1"/>
    <col min="2" max="2" width="9.140625" customWidth="1"/>
    <col min="9" max="13" width="9.85546875" customWidth="1"/>
    <col min="14" max="17" width="11" hidden="1" customWidth="1" outlineLevel="1"/>
    <col min="18" max="18" width="15.28515625" hidden="1" customWidth="1" outlineLevel="1"/>
    <col min="19" max="19" width="14.5703125" hidden="1" customWidth="1" outlineLevel="1"/>
    <col min="20" max="20" width="11" hidden="1" customWidth="1" outlineLevel="1"/>
    <col min="21" max="21" width="9.140625" hidden="1" customWidth="1"/>
    <col min="22" max="27" width="9.140625" hidden="1" customWidth="1" outlineLevel="1"/>
    <col min="28" max="28" width="11" hidden="1" customWidth="1" outlineLevel="1"/>
    <col min="29" max="29" width="13.42578125" customWidth="1" collapsed="1"/>
    <col min="30" max="30" width="9.140625" hidden="1" customWidth="1" outlineLevel="2"/>
    <col min="31" max="31" width="11.42578125" hidden="1" customWidth="1" outlineLevel="2"/>
    <col min="32" max="36" width="9.140625" hidden="1" customWidth="1" outlineLevel="2"/>
    <col min="37" max="37" width="10" hidden="1" customWidth="1" outlineLevel="2"/>
    <col min="38" max="38" width="11.28515625" hidden="1" customWidth="1" outlineLevel="2"/>
    <col min="39" max="39" width="11.140625" hidden="1" customWidth="1" outlineLevel="2"/>
    <col min="40" max="41" width="10.140625" hidden="1" customWidth="1" outlineLevel="2"/>
    <col min="42" max="42" width="12.28515625" hidden="1" customWidth="1" outlineLevel="1" collapsed="1"/>
    <col min="43" max="43" width="12.28515625" hidden="1" customWidth="1" outlineLevel="2"/>
    <col min="44" max="45" width="15.140625" hidden="1" customWidth="1" outlineLevel="2"/>
    <col min="46" max="47" width="9.140625" hidden="1" customWidth="1" outlineLevel="2"/>
    <col min="48" max="49" width="11" hidden="1" customWidth="1" outlineLevel="2"/>
    <col min="50" max="50" width="11.7109375" hidden="1" customWidth="1" outlineLevel="2"/>
    <col min="51" max="54" width="9.140625" hidden="1" customWidth="1" outlineLevel="2"/>
    <col min="55" max="56" width="11.85546875" hidden="1" customWidth="1" outlineLevel="2"/>
    <col min="57" max="57" width="11.85546875" hidden="1" customWidth="1" outlineLevel="1" collapsed="1"/>
    <col min="58" max="58" width="11.85546875" customWidth="1" collapsed="1"/>
    <col min="59" max="75" width="11.85546875" hidden="1" customWidth="1" outlineLevel="1"/>
    <col min="76" max="76" width="9.140625" hidden="1" customWidth="1" outlineLevel="1"/>
    <col min="77" max="86" width="11.85546875" hidden="1" customWidth="1" outlineLevel="1"/>
    <col min="87" max="87" width="11.85546875" customWidth="1" collapsed="1"/>
    <col min="88" max="104" width="11.85546875" hidden="1" customWidth="1" outlineLevel="1"/>
    <col min="105" max="105" width="9.140625" hidden="1" customWidth="1" outlineLevel="1"/>
    <col min="106" max="114" width="11.85546875" hidden="1" customWidth="1" outlineLevel="1"/>
    <col min="115" max="115" width="12" hidden="1" customWidth="1" outlineLevel="1"/>
    <col min="116" max="116" width="12" customWidth="1" collapsed="1"/>
    <col min="117" max="143" width="12" customWidth="1" outlineLevel="1"/>
    <col min="144" max="144" width="9.7109375" customWidth="1" outlineLevel="1"/>
    <col min="145" max="145" width="9.7109375" customWidth="1"/>
    <col min="146" max="146" width="15" hidden="1" customWidth="1" outlineLevel="1"/>
    <col min="147" max="156" width="9.7109375" hidden="1" customWidth="1" outlineLevel="1"/>
    <col min="157" max="157" width="12" hidden="1" customWidth="1" outlineLevel="1"/>
    <col min="158" max="158" width="12.42578125" hidden="1" customWidth="1" outlineLevel="1"/>
    <col min="159" max="159" width="12.5703125" hidden="1" customWidth="1" outlineLevel="1"/>
    <col min="160" max="160" width="13.5703125" hidden="1" customWidth="1" outlineLevel="1"/>
    <col min="161" max="169" width="9.7109375" hidden="1" customWidth="1" outlineLevel="1"/>
    <col min="170" max="173" width="13.7109375" hidden="1" customWidth="1" outlineLevel="1"/>
    <col min="174" max="174" width="14.5703125" customWidth="1" collapsed="1"/>
  </cols>
  <sheetData>
    <row r="1" spans="1:174" ht="25.5" customHeight="1" x14ac:dyDescent="0.25"/>
    <row r="2" spans="1:174" s="16" customFormat="1" x14ac:dyDescent="0.25">
      <c r="A2" s="12" t="s">
        <v>36</v>
      </c>
      <c r="B2" s="13"/>
      <c r="C2" s="22"/>
      <c r="D2" s="22"/>
      <c r="E2" s="22"/>
      <c r="F2" s="22"/>
      <c r="G2" s="22"/>
      <c r="H2" s="22"/>
      <c r="I2" s="22" t="s">
        <v>102</v>
      </c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6" t="s">
        <v>191</v>
      </c>
      <c r="V2" s="22"/>
      <c r="W2" s="22"/>
      <c r="X2" s="22"/>
      <c r="Y2" s="22"/>
      <c r="Z2" s="22"/>
      <c r="AA2" s="22"/>
      <c r="AB2" s="22"/>
      <c r="AC2" s="6" t="s">
        <v>123</v>
      </c>
      <c r="AD2" s="23">
        <v>2015.01</v>
      </c>
      <c r="AE2" s="23">
        <v>2015.02</v>
      </c>
      <c r="AF2" s="23">
        <v>2015.03</v>
      </c>
      <c r="AG2" s="23">
        <v>2015.04</v>
      </c>
      <c r="AH2" s="23">
        <v>2015.05</v>
      </c>
      <c r="AI2" s="23">
        <v>2015.06</v>
      </c>
      <c r="AJ2" s="23">
        <v>2015.07</v>
      </c>
      <c r="AK2" s="23">
        <v>2015.08</v>
      </c>
      <c r="AL2" s="23">
        <v>2015.09</v>
      </c>
      <c r="AM2" s="23">
        <v>2015.1</v>
      </c>
      <c r="AN2" s="23">
        <v>2015.11</v>
      </c>
      <c r="AO2" s="23">
        <v>2015.12</v>
      </c>
      <c r="AP2" s="23">
        <v>2015.13</v>
      </c>
      <c r="AQ2" s="23">
        <v>2016.01</v>
      </c>
      <c r="AR2" s="23">
        <v>2016.02</v>
      </c>
      <c r="AS2" s="23">
        <v>2016.03</v>
      </c>
      <c r="AT2" s="23">
        <v>2016.04</v>
      </c>
      <c r="AU2" s="23">
        <v>2016.05</v>
      </c>
      <c r="AV2" s="23">
        <v>2016.06</v>
      </c>
      <c r="AW2" s="23">
        <v>2016.07</v>
      </c>
      <c r="AX2" s="23">
        <v>2016.08</v>
      </c>
      <c r="AY2" s="23">
        <v>2016.09</v>
      </c>
      <c r="AZ2" s="23">
        <v>2016.1</v>
      </c>
      <c r="BA2" s="23">
        <v>2016.11</v>
      </c>
      <c r="BB2" s="23">
        <v>2016.12</v>
      </c>
      <c r="BC2" s="23">
        <v>2016.13</v>
      </c>
      <c r="BD2" s="23">
        <v>2017</v>
      </c>
      <c r="BE2" s="23">
        <v>2018</v>
      </c>
      <c r="BF2" s="23">
        <v>2019</v>
      </c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2"/>
      <c r="BT2" s="30"/>
      <c r="BU2" s="30"/>
      <c r="BV2" s="30"/>
      <c r="BW2" s="30"/>
      <c r="BX2" s="30"/>
      <c r="BY2" s="30"/>
      <c r="BZ2" s="30"/>
      <c r="CA2" s="30"/>
      <c r="CB2" s="30"/>
      <c r="CC2" s="30"/>
      <c r="CD2" s="30"/>
      <c r="CE2" s="30"/>
      <c r="CF2" s="30"/>
      <c r="CG2" s="30"/>
      <c r="CH2" s="30"/>
      <c r="CI2" s="65"/>
      <c r="CJ2" s="33"/>
      <c r="CK2" s="33"/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2" t="s">
        <v>7</v>
      </c>
      <c r="DN2" s="51"/>
      <c r="DO2" s="51"/>
      <c r="DP2" s="50" t="s">
        <v>5</v>
      </c>
      <c r="DQ2" s="51"/>
      <c r="DR2" s="51"/>
      <c r="DS2" s="51"/>
      <c r="DT2" s="51"/>
      <c r="DU2" s="51"/>
      <c r="DV2" s="51"/>
      <c r="DW2" s="51"/>
      <c r="DX2" s="51"/>
      <c r="DY2" s="2" t="s">
        <v>121</v>
      </c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66" t="s">
        <v>436</v>
      </c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6"/>
      <c r="FI2" s="66"/>
      <c r="FJ2" s="66"/>
      <c r="FK2" s="66"/>
      <c r="FL2" s="66"/>
      <c r="FM2" s="66"/>
      <c r="FN2" s="66"/>
      <c r="FO2" s="66"/>
      <c r="FP2" s="66"/>
      <c r="FQ2" s="66"/>
      <c r="FR2" s="69" t="s">
        <v>452</v>
      </c>
    </row>
    <row r="3" spans="1:174" x14ac:dyDescent="0.25">
      <c r="A3" s="21"/>
      <c r="B3" s="6"/>
      <c r="C3" s="6"/>
      <c r="D3" s="6"/>
      <c r="E3" s="6"/>
      <c r="F3" s="6"/>
      <c r="G3" s="6" t="s">
        <v>451</v>
      </c>
      <c r="H3" s="6"/>
      <c r="I3" s="28" t="s">
        <v>19</v>
      </c>
      <c r="J3" s="28" t="s">
        <v>20</v>
      </c>
      <c r="K3" s="28" t="s">
        <v>21</v>
      </c>
      <c r="L3" s="28" t="s">
        <v>22</v>
      </c>
      <c r="M3" s="28" t="s">
        <v>23</v>
      </c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 t="s">
        <v>405</v>
      </c>
      <c r="AD3" s="11" t="s">
        <v>122</v>
      </c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61" t="s">
        <v>124</v>
      </c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24" t="s">
        <v>124</v>
      </c>
      <c r="BG3" s="31" t="s">
        <v>3</v>
      </c>
      <c r="BH3" s="31"/>
      <c r="BI3" s="31"/>
      <c r="BJ3" s="31"/>
      <c r="BK3" s="31"/>
      <c r="BL3" s="31"/>
      <c r="BM3" s="31"/>
      <c r="BN3" s="31"/>
      <c r="BO3" s="31"/>
      <c r="BP3" s="31"/>
      <c r="BQ3" s="31"/>
      <c r="BR3" s="31"/>
      <c r="BS3" s="32" t="s">
        <v>54</v>
      </c>
      <c r="BT3" s="31"/>
      <c r="BU3" s="31"/>
      <c r="BV3" s="31"/>
      <c r="BW3" s="31"/>
      <c r="BX3" s="31"/>
      <c r="BY3" s="31"/>
      <c r="BZ3" s="31"/>
      <c r="CA3" s="31"/>
      <c r="CB3" s="31"/>
      <c r="CC3" s="31"/>
      <c r="CD3" s="31"/>
      <c r="CE3" s="31"/>
      <c r="CF3" s="31"/>
      <c r="CG3" s="31"/>
      <c r="CH3" s="31"/>
      <c r="CI3" s="65" t="s">
        <v>54</v>
      </c>
      <c r="CJ3" s="19" t="s">
        <v>68</v>
      </c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34" t="s">
        <v>100</v>
      </c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 t="s">
        <v>100</v>
      </c>
      <c r="DM3" s="2"/>
      <c r="DN3" s="2"/>
      <c r="DO3" s="2"/>
      <c r="DP3" s="50"/>
      <c r="DQ3" s="2"/>
      <c r="DR3" s="2"/>
      <c r="DS3" s="2"/>
      <c r="DT3" s="2"/>
      <c r="DU3" s="2"/>
      <c r="DV3" s="2"/>
      <c r="DW3" s="2"/>
      <c r="DX3" s="2"/>
      <c r="DY3" s="2" t="s">
        <v>103</v>
      </c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67"/>
      <c r="EQ3" s="67"/>
      <c r="ER3" s="67"/>
      <c r="ES3" s="67"/>
      <c r="ET3" s="67"/>
      <c r="EU3" s="67"/>
      <c r="EV3" s="67"/>
      <c r="EW3" s="67"/>
      <c r="EX3" s="67"/>
      <c r="EY3" s="67"/>
      <c r="EZ3" s="67"/>
      <c r="FA3" s="67"/>
      <c r="FB3" s="67"/>
      <c r="FC3" s="67"/>
      <c r="FD3" s="67"/>
      <c r="FE3" s="67"/>
      <c r="FF3" s="67"/>
      <c r="FG3" s="67"/>
      <c r="FH3" s="67"/>
      <c r="FI3" s="67"/>
      <c r="FJ3" s="67"/>
      <c r="FK3" s="67"/>
      <c r="FL3" s="67"/>
      <c r="FM3" s="67"/>
      <c r="FN3" s="67"/>
      <c r="FO3" s="67"/>
      <c r="FP3" s="67"/>
      <c r="FQ3" s="67"/>
      <c r="FR3" s="67"/>
    </row>
    <row r="4" spans="1:174" x14ac:dyDescent="0.25">
      <c r="A4" s="37" t="s">
        <v>406</v>
      </c>
      <c r="B4" s="7" t="s">
        <v>37</v>
      </c>
      <c r="C4" s="7" t="s">
        <v>107</v>
      </c>
      <c r="D4" s="7" t="s">
        <v>104</v>
      </c>
      <c r="E4" s="7" t="s">
        <v>105</v>
      </c>
      <c r="F4" s="7" t="s">
        <v>106</v>
      </c>
      <c r="G4" s="7" t="s">
        <v>96</v>
      </c>
      <c r="H4" s="7" t="s">
        <v>97</v>
      </c>
      <c r="I4" s="29" t="s">
        <v>367</v>
      </c>
      <c r="J4" s="29" t="s">
        <v>368</v>
      </c>
      <c r="K4" s="29" t="s">
        <v>369</v>
      </c>
      <c r="L4" s="29" t="s">
        <v>370</v>
      </c>
      <c r="M4" s="29" t="s">
        <v>371</v>
      </c>
      <c r="N4" s="7" t="s">
        <v>118</v>
      </c>
      <c r="O4" s="7" t="s">
        <v>119</v>
      </c>
      <c r="P4" s="7" t="s">
        <v>120</v>
      </c>
      <c r="Q4" s="7" t="s">
        <v>110</v>
      </c>
      <c r="R4" s="7" t="s">
        <v>111</v>
      </c>
      <c r="S4" s="7" t="s">
        <v>112</v>
      </c>
      <c r="T4" s="7" t="s">
        <v>113</v>
      </c>
      <c r="U4" s="7" t="s">
        <v>114</v>
      </c>
      <c r="V4" s="5" t="s">
        <v>38</v>
      </c>
      <c r="W4" s="5" t="s">
        <v>39</v>
      </c>
      <c r="X4" s="5" t="s">
        <v>57</v>
      </c>
      <c r="Y4" s="5" t="s">
        <v>30</v>
      </c>
      <c r="Z4" s="7" t="s">
        <v>56</v>
      </c>
      <c r="AA4" s="5" t="s">
        <v>95</v>
      </c>
      <c r="AB4" s="5" t="s">
        <v>109</v>
      </c>
      <c r="AC4" s="5" t="s">
        <v>108</v>
      </c>
      <c r="AD4" s="11" t="s">
        <v>40</v>
      </c>
      <c r="AE4" s="11" t="s">
        <v>41</v>
      </c>
      <c r="AF4" s="11" t="s">
        <v>42</v>
      </c>
      <c r="AG4" s="11" t="s">
        <v>58</v>
      </c>
      <c r="AH4" s="11" t="s">
        <v>59</v>
      </c>
      <c r="AI4" s="11" t="s">
        <v>60</v>
      </c>
      <c r="AJ4" s="11" t="s">
        <v>61</v>
      </c>
      <c r="AK4" s="11" t="s">
        <v>62</v>
      </c>
      <c r="AL4" s="11" t="s">
        <v>63</v>
      </c>
      <c r="AM4" s="11" t="s">
        <v>64</v>
      </c>
      <c r="AN4" s="11" t="s">
        <v>65</v>
      </c>
      <c r="AO4" s="11" t="s">
        <v>66</v>
      </c>
      <c r="AP4" s="11" t="s">
        <v>67</v>
      </c>
      <c r="AQ4" s="11" t="s">
        <v>192</v>
      </c>
      <c r="AR4" s="11" t="s">
        <v>193</v>
      </c>
      <c r="AS4" s="11" t="s">
        <v>194</v>
      </c>
      <c r="AT4" s="11" t="s">
        <v>195</v>
      </c>
      <c r="AU4" s="11" t="s">
        <v>196</v>
      </c>
      <c r="AV4" s="11" t="s">
        <v>197</v>
      </c>
      <c r="AW4" s="11" t="s">
        <v>198</v>
      </c>
      <c r="AX4" s="11" t="s">
        <v>199</v>
      </c>
      <c r="AY4" s="11" t="s">
        <v>200</v>
      </c>
      <c r="AZ4" s="11" t="s">
        <v>201</v>
      </c>
      <c r="BA4" s="11" t="s">
        <v>202</v>
      </c>
      <c r="BB4" s="11" t="s">
        <v>203</v>
      </c>
      <c r="BC4" s="11" t="s">
        <v>204</v>
      </c>
      <c r="BD4" s="11" t="s">
        <v>205</v>
      </c>
      <c r="BE4" s="11" t="s">
        <v>206</v>
      </c>
      <c r="BF4" s="11" t="s">
        <v>207</v>
      </c>
      <c r="BG4" s="31" t="s">
        <v>14</v>
      </c>
      <c r="BH4" s="31" t="s">
        <v>13</v>
      </c>
      <c r="BI4" s="31" t="s">
        <v>15</v>
      </c>
      <c r="BJ4" s="31" t="s">
        <v>43</v>
      </c>
      <c r="BK4" s="31" t="s">
        <v>44</v>
      </c>
      <c r="BL4" s="31" t="s">
        <v>45</v>
      </c>
      <c r="BM4" s="31" t="s">
        <v>46</v>
      </c>
      <c r="BN4" s="31" t="s">
        <v>47</v>
      </c>
      <c r="BO4" s="31" t="s">
        <v>48</v>
      </c>
      <c r="BP4" s="31" t="s">
        <v>49</v>
      </c>
      <c r="BQ4" s="31" t="s">
        <v>50</v>
      </c>
      <c r="BR4" s="31" t="s">
        <v>51</v>
      </c>
      <c r="BS4" s="31" t="s">
        <v>52</v>
      </c>
      <c r="BT4" s="31" t="s">
        <v>373</v>
      </c>
      <c r="BU4" s="31" t="s">
        <v>374</v>
      </c>
      <c r="BV4" s="31" t="s">
        <v>375</v>
      </c>
      <c r="BW4" s="31" t="s">
        <v>376</v>
      </c>
      <c r="BX4" s="31" t="s">
        <v>377</v>
      </c>
      <c r="BY4" s="31" t="s">
        <v>378</v>
      </c>
      <c r="BZ4" s="31" t="s">
        <v>379</v>
      </c>
      <c r="CA4" s="31" t="s">
        <v>380</v>
      </c>
      <c r="CB4" s="31" t="s">
        <v>381</v>
      </c>
      <c r="CC4" s="31" t="s">
        <v>382</v>
      </c>
      <c r="CD4" s="31" t="s">
        <v>383</v>
      </c>
      <c r="CE4" s="31" t="s">
        <v>384</v>
      </c>
      <c r="CF4" s="31" t="s">
        <v>385</v>
      </c>
      <c r="CG4" s="31" t="s">
        <v>386</v>
      </c>
      <c r="CH4" s="31" t="s">
        <v>387</v>
      </c>
      <c r="CI4" s="31" t="s">
        <v>404</v>
      </c>
      <c r="CJ4" s="19" t="s">
        <v>69</v>
      </c>
      <c r="CK4" s="19" t="s">
        <v>70</v>
      </c>
      <c r="CL4" s="19" t="s">
        <v>71</v>
      </c>
      <c r="CM4" s="19" t="s">
        <v>72</v>
      </c>
      <c r="CN4" s="19" t="s">
        <v>73</v>
      </c>
      <c r="CO4" s="19" t="s">
        <v>74</v>
      </c>
      <c r="CP4" s="19" t="s">
        <v>75</v>
      </c>
      <c r="CQ4" s="19" t="s">
        <v>76</v>
      </c>
      <c r="CR4" s="19" t="s">
        <v>77</v>
      </c>
      <c r="CS4" s="19" t="s">
        <v>78</v>
      </c>
      <c r="CT4" s="19" t="s">
        <v>79</v>
      </c>
      <c r="CU4" s="19" t="s">
        <v>80</v>
      </c>
      <c r="CV4" s="19" t="s">
        <v>81</v>
      </c>
      <c r="CW4" s="19" t="s">
        <v>388</v>
      </c>
      <c r="CX4" s="19" t="s">
        <v>389</v>
      </c>
      <c r="CY4" s="19" t="s">
        <v>390</v>
      </c>
      <c r="CZ4" s="19" t="s">
        <v>391</v>
      </c>
      <c r="DA4" s="19" t="s">
        <v>392</v>
      </c>
      <c r="DB4" s="19" t="s">
        <v>393</v>
      </c>
      <c r="DC4" s="19" t="s">
        <v>394</v>
      </c>
      <c r="DD4" s="19" t="s">
        <v>395</v>
      </c>
      <c r="DE4" s="19" t="s">
        <v>396</v>
      </c>
      <c r="DF4" s="19" t="s">
        <v>397</v>
      </c>
      <c r="DG4" s="19" t="s">
        <v>398</v>
      </c>
      <c r="DH4" s="19" t="s">
        <v>399</v>
      </c>
      <c r="DI4" s="19" t="s">
        <v>400</v>
      </c>
      <c r="DJ4" s="19" t="s">
        <v>401</v>
      </c>
      <c r="DK4" s="19" t="s">
        <v>402</v>
      </c>
      <c r="DL4" s="19" t="s">
        <v>403</v>
      </c>
      <c r="DM4" s="2" t="s">
        <v>16</v>
      </c>
      <c r="DN4" s="2" t="s">
        <v>17</v>
      </c>
      <c r="DO4" s="2" t="s">
        <v>18</v>
      </c>
      <c r="DP4" s="2" t="s">
        <v>86</v>
      </c>
      <c r="DQ4" s="2" t="s">
        <v>87</v>
      </c>
      <c r="DR4" s="2" t="s">
        <v>88</v>
      </c>
      <c r="DS4" s="2" t="s">
        <v>89</v>
      </c>
      <c r="DT4" s="2" t="s">
        <v>90</v>
      </c>
      <c r="DU4" s="2" t="s">
        <v>91</v>
      </c>
      <c r="DV4" s="2" t="s">
        <v>92</v>
      </c>
      <c r="DW4" s="2" t="s">
        <v>93</v>
      </c>
      <c r="DX4" s="2" t="s">
        <v>94</v>
      </c>
      <c r="DY4" s="2" t="s">
        <v>82</v>
      </c>
      <c r="DZ4" s="2" t="s">
        <v>338</v>
      </c>
      <c r="EA4" s="2" t="s">
        <v>339</v>
      </c>
      <c r="EB4" s="2" t="s">
        <v>340</v>
      </c>
      <c r="EC4" s="2" t="s">
        <v>341</v>
      </c>
      <c r="ED4" s="2" t="s">
        <v>342</v>
      </c>
      <c r="EE4" s="2" t="s">
        <v>343</v>
      </c>
      <c r="EF4" s="2" t="s">
        <v>344</v>
      </c>
      <c r="EG4" s="2" t="s">
        <v>345</v>
      </c>
      <c r="EH4" s="2" t="s">
        <v>346</v>
      </c>
      <c r="EI4" s="2" t="s">
        <v>347</v>
      </c>
      <c r="EJ4" s="2" t="s">
        <v>348</v>
      </c>
      <c r="EK4" s="2" t="s">
        <v>349</v>
      </c>
      <c r="EL4" s="2" t="s">
        <v>350</v>
      </c>
      <c r="EM4" s="2" t="s">
        <v>83</v>
      </c>
      <c r="EN4" s="2" t="s">
        <v>84</v>
      </c>
      <c r="EO4" s="2" t="s">
        <v>85</v>
      </c>
      <c r="EP4" s="67" t="s">
        <v>407</v>
      </c>
      <c r="EQ4" s="67" t="s">
        <v>408</v>
      </c>
      <c r="ER4" s="67" t="s">
        <v>409</v>
      </c>
      <c r="ES4" s="67" t="s">
        <v>410</v>
      </c>
      <c r="ET4" s="67" t="s">
        <v>411</v>
      </c>
      <c r="EU4" s="67" t="s">
        <v>412</v>
      </c>
      <c r="EV4" s="67" t="s">
        <v>413</v>
      </c>
      <c r="EW4" s="67" t="s">
        <v>414</v>
      </c>
      <c r="EX4" s="67" t="s">
        <v>415</v>
      </c>
      <c r="EY4" s="67" t="s">
        <v>416</v>
      </c>
      <c r="EZ4" s="67" t="s">
        <v>417</v>
      </c>
      <c r="FA4" s="67" t="s">
        <v>418</v>
      </c>
      <c r="FB4" s="67" t="s">
        <v>419</v>
      </c>
      <c r="FC4" s="67" t="s">
        <v>420</v>
      </c>
      <c r="FD4" s="67" t="s">
        <v>421</v>
      </c>
      <c r="FE4" s="67" t="s">
        <v>422</v>
      </c>
      <c r="FF4" s="67" t="s">
        <v>423</v>
      </c>
      <c r="FG4" s="67" t="s">
        <v>424</v>
      </c>
      <c r="FH4" s="67" t="s">
        <v>425</v>
      </c>
      <c r="FI4" s="67" t="s">
        <v>426</v>
      </c>
      <c r="FJ4" s="67" t="s">
        <v>427</v>
      </c>
      <c r="FK4" s="67" t="s">
        <v>428</v>
      </c>
      <c r="FL4" s="67" t="s">
        <v>429</v>
      </c>
      <c r="FM4" s="67" t="s">
        <v>430</v>
      </c>
      <c r="FN4" s="67" t="s">
        <v>431</v>
      </c>
      <c r="FO4" s="67" t="s">
        <v>432</v>
      </c>
      <c r="FP4" s="67" t="s">
        <v>433</v>
      </c>
      <c r="FQ4" s="67" t="s">
        <v>434</v>
      </c>
      <c r="FR4" s="67" t="s">
        <v>435</v>
      </c>
    </row>
    <row r="5" spans="1:174" x14ac:dyDescent="0.25">
      <c r="A5" s="16">
        <v>29203</v>
      </c>
      <c r="B5" s="16">
        <v>21013</v>
      </c>
      <c r="C5">
        <v>1</v>
      </c>
      <c r="D5" s="20">
        <v>4200</v>
      </c>
      <c r="E5" s="25">
        <v>1</v>
      </c>
      <c r="F5" s="26">
        <v>0</v>
      </c>
      <c r="G5" t="s">
        <v>16</v>
      </c>
      <c r="H5" t="s">
        <v>85</v>
      </c>
      <c r="I5" s="20">
        <v>340000</v>
      </c>
      <c r="J5" s="20">
        <v>33000</v>
      </c>
      <c r="K5" s="20">
        <v>170000</v>
      </c>
      <c r="L5" s="20">
        <v>180000</v>
      </c>
      <c r="M5" s="20">
        <v>190000</v>
      </c>
      <c r="N5" s="20"/>
      <c r="O5" s="20"/>
      <c r="P5" s="25"/>
      <c r="Q5" s="20"/>
      <c r="R5" s="26"/>
      <c r="S5" s="16"/>
      <c r="T5" s="27">
        <v>1.0620000000000001</v>
      </c>
      <c r="U5" t="s">
        <v>115</v>
      </c>
      <c r="V5" t="str">
        <f>VLOOKUP(t_Parts[[#This Row],[Press]],t_Presses[],Press!B$1,FALSE)</f>
        <v>Plainfield</v>
      </c>
      <c r="W5" t="str">
        <f>VLOOKUP(t_Parts[[#This Row],[Press]],t_Presses[],Press!E$1,FALSE)</f>
        <v>0-299</v>
      </c>
      <c r="X5" s="15">
        <f>VLOOKUP(t_Parts[[#This Row],[Plant]],t_Plants[],Plants!C$1,FALSE)</f>
        <v>0.55000000000000004</v>
      </c>
      <c r="Y5" s="15">
        <f>VLOOKUP(t_Parts[[#This Row],[Press]],t_Presses[],Press!F$1,FALSE)</f>
        <v>0</v>
      </c>
      <c r="Z5" s="15">
        <v>1</v>
      </c>
      <c r="AA5" s="15">
        <f>IF(ISBLANK(t_Parts[[#This Row],[PartOEE]])=FALSE,t_Parts[[#This Row],[PartOEE]], IF(t_Parts[[#This Row],[PressOEE]]&gt;0, t_Parts[[#This Row],[PressOEE]], t_Parts[[#This Row],[PlantOEE]] ))</f>
        <v>1</v>
      </c>
      <c r="AB5" s="25">
        <f>t_Parts[[#This Row],[SetupsPerMo]]*t_Parts[[#This Row],[SetupHrs]]</f>
        <v>0</v>
      </c>
      <c r="AC5" s="20">
        <f>(t_Parts[[#This Row],[UnitsPerCycle]]*t_Parts[[#This Row],[CyclesPerHr]])*t_Parts[[#This Row],[UseOEE]]</f>
        <v>4200</v>
      </c>
      <c r="AD5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25000</v>
      </c>
      <c r="AE5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26000</v>
      </c>
      <c r="AF5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34000</v>
      </c>
      <c r="AG5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25000</v>
      </c>
      <c r="AH5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26000</v>
      </c>
      <c r="AI5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34000</v>
      </c>
      <c r="AJ5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25000</v>
      </c>
      <c r="AK5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26000</v>
      </c>
      <c r="AL5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34000</v>
      </c>
      <c r="AM5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25000</v>
      </c>
      <c r="AN5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26000</v>
      </c>
      <c r="AO5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34000</v>
      </c>
      <c r="AP5" s="20">
        <f>SUM(t_Parts[[#This Row],[pv2015.01]:[pv2015.12]])</f>
        <v>340000</v>
      </c>
      <c r="AQ5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2500</v>
      </c>
      <c r="AR5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2400</v>
      </c>
      <c r="AS5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3400</v>
      </c>
      <c r="AT5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2500</v>
      </c>
      <c r="AU5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2600</v>
      </c>
      <c r="AV5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3400</v>
      </c>
      <c r="AW5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2500</v>
      </c>
      <c r="AX5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2600</v>
      </c>
      <c r="AY5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3400</v>
      </c>
      <c r="AZ5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2500</v>
      </c>
      <c r="BA5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2200</v>
      </c>
      <c r="BB5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3000</v>
      </c>
      <c r="BC5" s="20">
        <f>SUM(t_Parts[[#This Row],[pv2016.01]:[pv2016.12]])</f>
        <v>33000</v>
      </c>
      <c r="BD5" s="20">
        <f>t_Parts[[#This Row],[2017vol]]</f>
        <v>170000</v>
      </c>
      <c r="BE5" s="20">
        <f>t_Parts[[#This Row],[2018vol]]</f>
        <v>180000</v>
      </c>
      <c r="BF5" s="20">
        <f>t_Parts[[#This Row],[2019vol]]</f>
        <v>190000</v>
      </c>
      <c r="BG5">
        <f>VLOOKUP(t_Parts[[Plant]:[Plant]],t_Plants[],Plants!CM$1,FALSE)</f>
        <v>250</v>
      </c>
      <c r="BH5">
        <f>VLOOKUP(t_Parts[[Plant]:[Plant]],t_Plants[],Plants!CN$1,FALSE)</f>
        <v>260</v>
      </c>
      <c r="BI5">
        <f>VLOOKUP(t_Parts[[Plant]:[Plant]],t_Plants[],Plants!CO$1,FALSE)</f>
        <v>340</v>
      </c>
      <c r="BJ5">
        <f>VLOOKUP(t_Parts[[Plant]:[Plant]],t_Plants[],Plants!CP$1,FALSE)</f>
        <v>250</v>
      </c>
      <c r="BK5">
        <f>VLOOKUP(t_Parts[[Plant]:[Plant]],t_Plants[],Plants!CQ$1,FALSE)</f>
        <v>260</v>
      </c>
      <c r="BL5">
        <f>VLOOKUP(t_Parts[[Plant]:[Plant]],t_Plants[],Plants!CR$1,FALSE)</f>
        <v>340</v>
      </c>
      <c r="BM5">
        <f>VLOOKUP(t_Parts[[Plant]:[Plant]],t_Plants[],Plants!CS$1,FALSE)</f>
        <v>250</v>
      </c>
      <c r="BN5">
        <f>VLOOKUP(t_Parts[[Plant]:[Plant]],t_Plants[],Plants!CT$1,FALSE)</f>
        <v>260</v>
      </c>
      <c r="BO5">
        <f>VLOOKUP(t_Parts[[Plant]:[Plant]],t_Plants[],Plants!CU$1,FALSE)</f>
        <v>340</v>
      </c>
      <c r="BP5">
        <f>VLOOKUP(t_Parts[[Plant]:[Plant]],t_Plants[],Plants!CV$1,FALSE)</f>
        <v>250</v>
      </c>
      <c r="BQ5">
        <f>VLOOKUP(t_Parts[[Plant]:[Plant]],t_Plants[],Plants!CW$1,FALSE)</f>
        <v>260</v>
      </c>
      <c r="BR5">
        <f>VLOOKUP(t_Parts[[Plant]:[Plant]],t_Plants[],Plants!CX$1,FALSE)</f>
        <v>340</v>
      </c>
      <c r="BS5">
        <f>SUM(t_Parts[[#This Row],[ha2015.01]:[ha2015.12]])</f>
        <v>3400</v>
      </c>
      <c r="BT5">
        <f>VLOOKUP(t_Parts[[Plant]:[Plant]],t_Plants[],Plants!CZ$1,FALSE)</f>
        <v>250</v>
      </c>
      <c r="BU5">
        <f>VLOOKUP(t_Parts[[Plant]:[Plant]],t_Plants[],Plants!DA$1,FALSE)</f>
        <v>240</v>
      </c>
      <c r="BV5">
        <f>VLOOKUP(t_Parts[[Plant]:[Plant]],t_Plants[],Plants!DB$1,FALSE)</f>
        <v>340</v>
      </c>
      <c r="BW5">
        <f>VLOOKUP(t_Parts[[Plant]:[Plant]],t_Plants[],Plants!DC$1,FALSE)</f>
        <v>250</v>
      </c>
      <c r="BX5">
        <f>VLOOKUP(t_Parts[[Plant]:[Plant]],t_Plants[],Plants!DD$1,FALSE)</f>
        <v>260</v>
      </c>
      <c r="BY5">
        <f>VLOOKUP(t_Parts[[Plant]:[Plant]],t_Plants[],Plants!DE$1,FALSE)</f>
        <v>340</v>
      </c>
      <c r="BZ5">
        <f>VLOOKUP(t_Parts[[Plant]:[Plant]],t_Plants[],Plants!DF$1,FALSE)</f>
        <v>250</v>
      </c>
      <c r="CA5">
        <f>VLOOKUP(t_Parts[[Plant]:[Plant]],t_Plants[],Plants!DG$1,FALSE)</f>
        <v>260</v>
      </c>
      <c r="CB5">
        <f>VLOOKUP(t_Parts[[Plant]:[Plant]],t_Plants[],Plants!DH$1,FALSE)</f>
        <v>340</v>
      </c>
      <c r="CC5">
        <f>VLOOKUP(t_Parts[[Plant]:[Plant]],t_Plants[],Plants!DI$1,FALSE)</f>
        <v>250</v>
      </c>
      <c r="CD5">
        <f>VLOOKUP(t_Parts[[Plant]:[Plant]],t_Plants[],Plants!DJ$1,FALSE)</f>
        <v>220</v>
      </c>
      <c r="CE5">
        <f>VLOOKUP(t_Parts[[Plant]:[Plant]],t_Plants[],Plants!DK$1,FALSE)</f>
        <v>300</v>
      </c>
      <c r="CF5">
        <f>VLOOKUP(t_Parts[[Plant]:[Plant]],t_Plants[],Plants!DL$1,FALSE)</f>
        <v>3300</v>
      </c>
      <c r="CG5">
        <f>VLOOKUP(t_Parts[[Plant]:[Plant]],t_Plants[],Plants!DM$1,FALSE)</f>
        <v>3300</v>
      </c>
      <c r="CH5">
        <f>VLOOKUP(t_Parts[[Plant]:[Plant]],t_Plants[],Plants!DN$1,FALSE)</f>
        <v>3300</v>
      </c>
      <c r="CI5">
        <f>VLOOKUP(t_Parts[[Plant]:[Plant]],t_Plants[],Plants!DO$1,FALSE)</f>
        <v>3300</v>
      </c>
      <c r="CJ5" s="20">
        <f>IF(AND(AD$2&gt;=VALUE(t_Parts[[SOP]:[SOP]]),AD$2&lt;=VALUE(t_Parts[[EOP]:[EOP]])), t_Parts[[SetupHrsPerMo]:[SetupHrsPerMo]]+(t_Parts[[#This Row],[pv2015.01]]/t_Parts[[NetPPH]:[NetPPH]]),0)</f>
        <v>5.9523809523809526</v>
      </c>
      <c r="CK5" s="20">
        <f>IF(AND(AE$2&gt;=VALUE(t_Parts[[SOP]:[SOP]]),AE$2&lt;=VALUE(t_Parts[[EOP]:[EOP]])), t_Parts[[SetupHrsPerMo]:[SetupHrsPerMo]]+(t_Parts[[#This Row],[pv2015.02]]/t_Parts[[NetPPH]:[NetPPH]]),0)</f>
        <v>6.1904761904761907</v>
      </c>
      <c r="CL5" s="20">
        <f>IF(AND(AF$2&gt;=VALUE(t_Parts[[SOP]:[SOP]]),AF$2&lt;=VALUE(t_Parts[[EOP]:[EOP]])), t_Parts[[SetupHrsPerMo]:[SetupHrsPerMo]]+(t_Parts[[#This Row],[pv2015.03]]/t_Parts[[NetPPH]:[NetPPH]]),0)</f>
        <v>8.0952380952380949</v>
      </c>
      <c r="CM5" s="20">
        <f>IF(AND(AG$2&gt;=VALUE(t_Parts[[SOP]:[SOP]]),AG$2&lt;=VALUE(t_Parts[[EOP]:[EOP]])), t_Parts[[SetupHrsPerMo]:[SetupHrsPerMo]]+(t_Parts[[#This Row],[pv2015.04]]/t_Parts[[NetPPH]:[NetPPH]]),0)</f>
        <v>5.9523809523809526</v>
      </c>
      <c r="CN5" s="20">
        <f>IF(AND(AH$2&gt;=VALUE(t_Parts[[SOP]:[SOP]]),AH$2&lt;=VALUE(t_Parts[[EOP]:[EOP]])), t_Parts[[SetupHrsPerMo]:[SetupHrsPerMo]]+(t_Parts[[#This Row],[pv2015.05]]/t_Parts[[NetPPH]:[NetPPH]]),0)</f>
        <v>6.1904761904761907</v>
      </c>
      <c r="CO5" s="20">
        <f>IF(AND(AI$2&gt;=VALUE(t_Parts[[SOP]:[SOP]]),AI$2&lt;=VALUE(t_Parts[[EOP]:[EOP]])), t_Parts[[SetupHrsPerMo]:[SetupHrsPerMo]]+(t_Parts[[#This Row],[pv2015.06]]/t_Parts[[NetPPH]:[NetPPH]]),0)</f>
        <v>8.0952380952380949</v>
      </c>
      <c r="CP5" s="20">
        <f>IF(AND(AJ$2&gt;=VALUE(t_Parts[[SOP]:[SOP]]),AJ$2&lt;=VALUE(t_Parts[[EOP]:[EOP]])), t_Parts[[SetupHrsPerMo]:[SetupHrsPerMo]]+(t_Parts[[#This Row],[pv2015.07]]/t_Parts[[NetPPH]:[NetPPH]]),0)</f>
        <v>5.9523809523809526</v>
      </c>
      <c r="CQ5" s="20">
        <f>IF(AND(AK$2&gt;=VALUE(t_Parts[[SOP]:[SOP]]),AK$2&lt;=VALUE(t_Parts[[EOP]:[EOP]])), t_Parts[[SetupHrsPerMo]:[SetupHrsPerMo]]+(t_Parts[[#This Row],[pv2015.08]]/t_Parts[[NetPPH]:[NetPPH]]),0)</f>
        <v>6.1904761904761907</v>
      </c>
      <c r="CR5" s="20">
        <f>IF(AND(AL$2&gt;=VALUE(t_Parts[[SOP]:[SOP]]),AL$2&lt;=VALUE(t_Parts[[EOP]:[EOP]])), t_Parts[[SetupHrsPerMo]:[SetupHrsPerMo]]+(t_Parts[[#This Row],[pv2015.09]]/t_Parts[[NetPPH]:[NetPPH]]),0)</f>
        <v>8.0952380952380949</v>
      </c>
      <c r="CS5" s="20">
        <f>IF(AND(AM$2&gt;=VALUE(t_Parts[[SOP]:[SOP]]),AM$2&lt;=VALUE(t_Parts[[EOP]:[EOP]])), t_Parts[[SetupHrsPerMo]:[SetupHrsPerMo]]+(t_Parts[[#This Row],[pv2015.10]]/t_Parts[[NetPPH]:[NetPPH]]),0)</f>
        <v>5.9523809523809526</v>
      </c>
      <c r="CT5" s="20">
        <f>IF(AND(AN$2&gt;=VALUE(t_Parts[[SOP]:[SOP]]),AN$2&lt;=VALUE(t_Parts[[EOP]:[EOP]])), t_Parts[[SetupHrsPerMo]:[SetupHrsPerMo]]+(t_Parts[[#This Row],[pv2015.11]]/t_Parts[[NetPPH]:[NetPPH]]),0)</f>
        <v>6.1904761904761907</v>
      </c>
      <c r="CU5" s="20">
        <f>IF(AND(AO$2&gt;=VALUE(t_Parts[[SOP]:[SOP]]),AO$2&lt;=VALUE(t_Parts[[EOP]:[EOP]])), t_Parts[[SetupHrsPerMo]:[SetupHrsPerMo]]+(t_Parts[[#This Row],[pv2015.12]]/t_Parts[[NetPPH]:[NetPPH]]),0)</f>
        <v>8.0952380952380949</v>
      </c>
      <c r="CV5" s="20">
        <f>SUM(t_Parts[[#This Row],[hp2015.01]:[hp2015.12]])</f>
        <v>80.952380952380963</v>
      </c>
      <c r="CW5" s="20">
        <f>IF(AND(AQ$2&gt;=VALUE(t_Parts[[SOP]:[SOP]]),AQ$2&lt;=VALUE(t_Parts[[EOP]:[EOP]])), t_Parts[[SetupHrsPerMo]:[SetupHrsPerMo]]+(t_Parts[[#This Row],[pv2016.01]]/t_Parts[[NetPPH]:[NetPPH]]),0)</f>
        <v>0.59523809523809523</v>
      </c>
      <c r="CX5" s="20">
        <f>IF(AND(AR$2&gt;=VALUE(t_Parts[[SOP]:[SOP]]),AR$2&lt;=VALUE(t_Parts[[EOP]:[EOP]])), t_Parts[[SetupHrsPerMo]:[SetupHrsPerMo]]+(t_Parts[[#This Row],[pv2016.02]]/t_Parts[[NetPPH]:[NetPPH]]),0)</f>
        <v>0.5714285714285714</v>
      </c>
      <c r="CY5" s="20">
        <f>IF(AND(AS$2&gt;=VALUE(t_Parts[[SOP]:[SOP]]),AS$2&lt;=VALUE(t_Parts[[EOP]:[EOP]])), t_Parts[[SetupHrsPerMo]:[SetupHrsPerMo]]+(t_Parts[[#This Row],[pv2016.03]]/t_Parts[[NetPPH]:[NetPPH]]),0)</f>
        <v>0.80952380952380953</v>
      </c>
      <c r="CZ5" s="20">
        <f>IF(AND(AT$2&gt;=VALUE(t_Parts[[SOP]:[SOP]]),AT$2&lt;=VALUE(t_Parts[[EOP]:[EOP]])), t_Parts[[SetupHrsPerMo]:[SetupHrsPerMo]]+(t_Parts[[#This Row],[pv2016.04]]/t_Parts[[NetPPH]:[NetPPH]]),0)</f>
        <v>0.59523809523809523</v>
      </c>
      <c r="DA5" s="20">
        <f>IF(AND(AU$2&gt;=VALUE(t_Parts[[SOP]:[SOP]]),AU$2&lt;=VALUE(t_Parts[[EOP]:[EOP]])), t_Parts[[SetupHrsPerMo]:[SetupHrsPerMo]]+(t_Parts[[#This Row],[pv2016.05]]/t_Parts[[NetPPH]:[NetPPH]]),0)</f>
        <v>0.61904761904761907</v>
      </c>
      <c r="DB5" s="20">
        <f>IF(AND(AV$2&gt;=VALUE(t_Parts[[SOP]:[SOP]]),AV$2&lt;=VALUE(t_Parts[[EOP]:[EOP]])), t_Parts[[SetupHrsPerMo]:[SetupHrsPerMo]]+(t_Parts[[#This Row],[pv2016.06]]/t_Parts[[NetPPH]:[NetPPH]]),0)</f>
        <v>0.80952380952380953</v>
      </c>
      <c r="DC5" s="20">
        <f>IF(AND(AW$2&gt;=VALUE(t_Parts[[SOP]:[SOP]]),AW$2&lt;=VALUE(t_Parts[[EOP]:[EOP]])), t_Parts[[SetupHrsPerMo]:[SetupHrsPerMo]]+(t_Parts[[#This Row],[pv2016.07]]/t_Parts[[NetPPH]:[NetPPH]]),0)</f>
        <v>0.59523809523809523</v>
      </c>
      <c r="DD5" s="20">
        <f>IF(AND(AX$2&gt;=VALUE(t_Parts[[SOP]:[SOP]]),AX$2&lt;=VALUE(t_Parts[[EOP]:[EOP]])), t_Parts[[SetupHrsPerMo]:[SetupHrsPerMo]]+(t_Parts[[#This Row],[pv2016.08]]/t_Parts[[NetPPH]:[NetPPH]]),0)</f>
        <v>0.61904761904761907</v>
      </c>
      <c r="DE5" s="20">
        <f>IF(AND(AY$2&gt;=VALUE(t_Parts[[SOP]:[SOP]]),AY$2&lt;=VALUE(t_Parts[[EOP]:[EOP]])), t_Parts[[SetupHrsPerMo]:[SetupHrsPerMo]]+(t_Parts[[#This Row],[pv2016.09]]/t_Parts[[NetPPH]:[NetPPH]]),0)</f>
        <v>0.80952380952380953</v>
      </c>
      <c r="DF5" s="20">
        <f>IF(AND(AZ$2&gt;=VALUE(t_Parts[[SOP]:[SOP]]),AZ$2&lt;=VALUE(t_Parts[[EOP]:[EOP]])), t_Parts[[SetupHrsPerMo]:[SetupHrsPerMo]]+(t_Parts[[#This Row],[pv2016.10]]/t_Parts[[NetPPH]:[NetPPH]]),0)</f>
        <v>0.59523809523809523</v>
      </c>
      <c r="DG5" s="20">
        <f>IF(AND(BA$2&gt;=VALUE(t_Parts[[SOP]:[SOP]]),BA$2&lt;=VALUE(t_Parts[[EOP]:[EOP]])), t_Parts[[SetupHrsPerMo]:[SetupHrsPerMo]]+(t_Parts[[#This Row],[pv2016.11]]/t_Parts[[NetPPH]:[NetPPH]]),0)</f>
        <v>0.52380952380952384</v>
      </c>
      <c r="DH5" s="20">
        <f>IF(AND(BB$2&gt;=VALUE(t_Parts[[SOP]:[SOP]]),BB$2&lt;=VALUE(t_Parts[[EOP]:[EOP]])), t_Parts[[SetupHrsPerMo]:[SetupHrsPerMo]]+(t_Parts[[#This Row],[pv2016.12]]/t_Parts[[NetPPH]:[NetPPH]]),0)</f>
        <v>0.7142857142857143</v>
      </c>
      <c r="DI5" s="20">
        <f>SUM(t_Parts[[#This Row],[hp2016.01]:[hp2016.12]])</f>
        <v>7.8571428571428559</v>
      </c>
      <c r="DJ5" s="20">
        <f>IF(AND(BD$2&gt;=VALUE(t_Parts[[SOP]:[SOP]]),BD$2&lt;=VALUE(t_Parts[[EOP]:[EOP]])), 12*t_Parts[[SetupHrsPerMo]:[SetupHrsPerMo]]+(t_Parts[[#This Row],[pv2017]]/t_Parts[[NetPPH]:[NetPPH]]),0)</f>
        <v>40.476190476190474</v>
      </c>
      <c r="DK5" s="20">
        <f>IF(AND(BE$2&gt;=VALUE(t_Parts[[SOP]:[SOP]]),BE$2&lt;=VALUE(t_Parts[[EOP]:[EOP]])), 12*t_Parts[[SetupHrsPerMo]:[SetupHrsPerMo]]+(t_Parts[[#This Row],[pv2018]]/t_Parts[[NetPPH]:[NetPPH]]),0)</f>
        <v>42.857142857142854</v>
      </c>
      <c r="DL5" s="20">
        <f>IF(AND(BF$2&gt;=VALUE(t_Parts[[SOP]:[SOP]]),BF$2&lt;=VALUE(t_Parts[[EOP]:[EOP]])), 12*t_Parts[[SetupHrsPerMo]:[SetupHrsPerMo]]+(t_Parts[[#This Row],[pv2019]]/t_Parts[[NetPPH]:[NetPPH]]),0)</f>
        <v>45.238095238095241</v>
      </c>
      <c r="DM5" s="15">
        <f>t_Parts[[#This Row],[hp2015.01]]/t_Parts[[#This Row],[ha2015.01]]</f>
        <v>2.3809523809523812E-2</v>
      </c>
      <c r="DN5" s="15">
        <f>t_Parts[[#This Row],[hp2015.02]]/t_Parts[[#This Row],[ha2015.02]]</f>
        <v>2.3809523809523812E-2</v>
      </c>
      <c r="DO5" s="15">
        <f>t_Parts[[#This Row],[hp2015.03]]/t_Parts[[#This Row],[ha2015.03]]</f>
        <v>2.3809523809523808E-2</v>
      </c>
      <c r="DP5" s="15">
        <f>t_Parts[[#This Row],[hp2015.04]]/t_Parts[[#This Row],[ha2015.04]]</f>
        <v>2.3809523809523812E-2</v>
      </c>
      <c r="DQ5" s="15">
        <f>t_Parts[[#This Row],[hp2015.05]]/t_Parts[[#This Row],[ha2015.05]]</f>
        <v>2.3809523809523812E-2</v>
      </c>
      <c r="DR5" s="15">
        <f>t_Parts[[#This Row],[hp2015.06]]/t_Parts[[#This Row],[ha2015.06]]</f>
        <v>2.3809523809523808E-2</v>
      </c>
      <c r="DS5" s="15">
        <f>t_Parts[[#This Row],[hp2015.07]]/t_Parts[[#This Row],[ha2015.07]]</f>
        <v>2.3809523809523812E-2</v>
      </c>
      <c r="DT5" s="15">
        <f>t_Parts[[#This Row],[hp2015.08]]/t_Parts[[#This Row],[ha2015.08]]</f>
        <v>2.3809523809523812E-2</v>
      </c>
      <c r="DU5" s="15">
        <f>t_Parts[[#This Row],[hp2015.09]]/t_Parts[[#This Row],[ha2015.09]]</f>
        <v>2.3809523809523808E-2</v>
      </c>
      <c r="DV5" s="15">
        <f>t_Parts[[#This Row],[hp2015.10]]/t_Parts[[#This Row],[ha2015.10]]</f>
        <v>2.3809523809523812E-2</v>
      </c>
      <c r="DW5" s="15">
        <f>t_Parts[[#This Row],[hp2015.11]]/t_Parts[[#This Row],[ha2015.11]]</f>
        <v>2.3809523809523812E-2</v>
      </c>
      <c r="DX5" s="15">
        <f>t_Parts[[#This Row],[hp2015.12]]/t_Parts[[#This Row],[ha2015.12]]</f>
        <v>2.3809523809523808E-2</v>
      </c>
      <c r="DY5" s="15">
        <f>t_Parts[[#This Row],[hp2015.FY]]/t_Parts[[#This Row],[ha2015.FY]]</f>
        <v>2.3809523809523812E-2</v>
      </c>
      <c r="DZ5" s="15">
        <f>t_Parts[[#This Row],[hp2016.01]]/t_Parts[[#This Row],[ha2016.01]]</f>
        <v>2.3809523809523807E-3</v>
      </c>
      <c r="EA5" s="15">
        <f>t_Parts[[#This Row],[hp2016.02]]/t_Parts[[#This Row],[ha2016.02]]</f>
        <v>2.3809523809523807E-3</v>
      </c>
      <c r="EB5" s="15">
        <f>t_Parts[[#This Row],[hp2016.03]]/t_Parts[[#This Row],[ha2016.03]]</f>
        <v>2.3809523809523812E-3</v>
      </c>
      <c r="EC5" s="15">
        <f>t_Parts[[#This Row],[hp2016.04]]/t_Parts[[#This Row],[ha2016.04]]</f>
        <v>2.3809523809523807E-3</v>
      </c>
      <c r="ED5" s="15">
        <f>t_Parts[[#This Row],[hp2016.05]]/t_Parts[[#This Row],[ha2016.05]]</f>
        <v>2.3809523809523812E-3</v>
      </c>
      <c r="EE5" s="15">
        <f>t_Parts[[#This Row],[hp2016.06]]/t_Parts[[#This Row],[ha2016.06]]</f>
        <v>2.3809523809523812E-3</v>
      </c>
      <c r="EF5" s="15">
        <f>t_Parts[[#This Row],[hp2016.07]]/t_Parts[[#This Row],[ha2016.07]]</f>
        <v>2.3809523809523807E-3</v>
      </c>
      <c r="EG5" s="15">
        <f>t_Parts[[#This Row],[hp2016.08]]/t_Parts[[#This Row],[ha2016.08]]</f>
        <v>2.3809523809523812E-3</v>
      </c>
      <c r="EH5" s="15">
        <f>t_Parts[[#This Row],[hp2016.09]]/t_Parts[[#This Row],[ha2016.09]]</f>
        <v>2.3809523809523812E-3</v>
      </c>
      <c r="EI5" s="15">
        <f>t_Parts[[#This Row],[hp2016.10]]/t_Parts[[#This Row],[ha2016.10]]</f>
        <v>2.3809523809523807E-3</v>
      </c>
      <c r="EJ5" s="15">
        <f>t_Parts[[#This Row],[hp2016.11]]/t_Parts[[#This Row],[ha2016.11]]</f>
        <v>2.3809523809523812E-3</v>
      </c>
      <c r="EK5" s="15">
        <f>t_Parts[[#This Row],[hp2016.12]]/t_Parts[[#This Row],[ha2016.12]]</f>
        <v>2.3809523809523812E-3</v>
      </c>
      <c r="EL5" s="15">
        <f>t_Parts[[#This Row],[hp2016.FY]]/t_Parts[[#This Row],[ha2016.FY]]</f>
        <v>2.3809523809523807E-3</v>
      </c>
      <c r="EM5" s="15">
        <f>t_Parts[[#This Row],[hp2017]]/t_Parts[[#This Row],[ha2017]]</f>
        <v>1.2265512265512264E-2</v>
      </c>
      <c r="EN5" s="15">
        <f>t_Parts[[#This Row],[hp2018]]/t_Parts[[#This Row],[ha2018]]</f>
        <v>1.2987012987012986E-2</v>
      </c>
      <c r="EO5" s="15">
        <f>t_Parts[[#This Row],[hp2019]]/t_Parts[[#This Row],[hp2015.01]]</f>
        <v>7.6000000000000005</v>
      </c>
      <c r="EP5" s="68">
        <f>(t_Parts[[#This Row],[ha2015.01]]-t_Parts[[#This Row],[hp2015.01]])*t_Parts[[NetPPH]:[NetPPH]]</f>
        <v>1025000</v>
      </c>
      <c r="EQ5" s="68">
        <f>(t_Parts[[#This Row],[ha2015.02]]-t_Parts[[#This Row],[hp2015.02]])*t_Parts[[NetPPH]:[NetPPH]]</f>
        <v>1066000</v>
      </c>
      <c r="ER5" s="68">
        <f>(t_Parts[[#This Row],[ha2015.03]]-t_Parts[[#This Row],[hp2015.03]])*t_Parts[[NetPPH]:[NetPPH]]</f>
        <v>1394000</v>
      </c>
      <c r="ES5" s="68">
        <f>(t_Parts[[#This Row],[ha2015.04]]-t_Parts[[#This Row],[hp2015.04]])*t_Parts[[NetPPH]:[NetPPH]]</f>
        <v>1025000</v>
      </c>
      <c r="ET5" s="68">
        <f>(t_Parts[[#This Row],[ha2015.05]]-t_Parts[[#This Row],[hp2015.05]])*t_Parts[[NetPPH]:[NetPPH]]</f>
        <v>1066000</v>
      </c>
      <c r="EU5" s="68">
        <f>(t_Parts[[#This Row],[ha2015.06]]-t_Parts[[#This Row],[hp2015.06]])*t_Parts[[NetPPH]:[NetPPH]]</f>
        <v>1394000</v>
      </c>
      <c r="EV5" s="68">
        <f>(t_Parts[[#This Row],[ha2015.07]]-t_Parts[[#This Row],[hp2015.07]])*t_Parts[[NetPPH]:[NetPPH]]</f>
        <v>1025000</v>
      </c>
      <c r="EW5" s="68">
        <f>(t_Parts[[#This Row],[ha2015.08]]-t_Parts[[#This Row],[hp2015.08]])*t_Parts[[NetPPH]:[NetPPH]]</f>
        <v>1066000</v>
      </c>
      <c r="EX5" s="68">
        <f>(t_Parts[[#This Row],[ha2015.09]]-t_Parts[[#This Row],[hp2015.09]])*t_Parts[[NetPPH]:[NetPPH]]</f>
        <v>1394000</v>
      </c>
      <c r="EY5" s="68">
        <f>(t_Parts[[#This Row],[ha2015.10]]-t_Parts[[#This Row],[hp2015.10]])*t_Parts[[NetPPH]:[NetPPH]]</f>
        <v>1025000</v>
      </c>
      <c r="EZ5" s="68">
        <f>(t_Parts[[#This Row],[ha2015.11]]-t_Parts[[#This Row],[hp2015.11]])*t_Parts[[NetPPH]:[NetPPH]]</f>
        <v>1066000</v>
      </c>
      <c r="FA5" s="68">
        <f>(t_Parts[[#This Row],[ha2015.12]]-t_Parts[[#This Row],[hp2015.12]])*t_Parts[[NetPPH]:[NetPPH]]</f>
        <v>1394000</v>
      </c>
      <c r="FB5" s="68">
        <f>(t_Parts[[#This Row],[ha2015.FY]]-t_Parts[[#This Row],[hp2015.FY]])*t_Parts[[NetPPH]:[NetPPH]]</f>
        <v>13940000</v>
      </c>
      <c r="FC5" s="68">
        <f>(t_Parts[[#This Row],[ha2016.01]]-t_Parts[[#This Row],[hp2016.01]])*t_Parts[[NetPPH]:[NetPPH]]</f>
        <v>1047500</v>
      </c>
      <c r="FD5" s="68">
        <f>(t_Parts[[#This Row],[ha2016.02]]-t_Parts[[#This Row],[hp2016.02]])*t_Parts[[NetPPH]:[NetPPH]]</f>
        <v>1005600</v>
      </c>
      <c r="FE5" s="68">
        <f>(t_Parts[[#This Row],[ha2016.03]]-t_Parts[[#This Row],[hp2016.03]])*t_Parts[[NetPPH]:[NetPPH]]</f>
        <v>1424600</v>
      </c>
      <c r="FF5" s="68">
        <f>(t_Parts[[#This Row],[ha2016.04]]-t_Parts[[#This Row],[hp2016.04]])*t_Parts[[NetPPH]:[NetPPH]]</f>
        <v>1047500</v>
      </c>
      <c r="FG5" s="68">
        <f>(t_Parts[[#This Row],[ha2016.05]]-t_Parts[[#This Row],[hp2016.05]])*t_Parts[[NetPPH]:[NetPPH]]</f>
        <v>1089400</v>
      </c>
      <c r="FH5" s="68">
        <f>(t_Parts[[#This Row],[ha2016.06]]-t_Parts[[#This Row],[hp2016.06]])*t_Parts[[NetPPH]:[NetPPH]]</f>
        <v>1424600</v>
      </c>
      <c r="FI5" s="68">
        <f>(t_Parts[[#This Row],[ha2016.07]]-t_Parts[[#This Row],[hp2016.07]])*t_Parts[[NetPPH]:[NetPPH]]</f>
        <v>1047500</v>
      </c>
      <c r="FJ5" s="68">
        <f>(t_Parts[[#This Row],[ha2016.08]]-t_Parts[[#This Row],[hp2016.08]])*t_Parts[[NetPPH]:[NetPPH]]</f>
        <v>1089400</v>
      </c>
      <c r="FK5" s="68">
        <f>(t_Parts[[#This Row],[ha2016.09]]-t_Parts[[#This Row],[hp2016.09]])*t_Parts[[NetPPH]:[NetPPH]]</f>
        <v>1424600</v>
      </c>
      <c r="FL5" s="68">
        <f>(t_Parts[[#This Row],[ha2016.10]]-t_Parts[[#This Row],[hp2016.10]])*t_Parts[[NetPPH]:[NetPPH]]</f>
        <v>1047500</v>
      </c>
      <c r="FM5" s="68">
        <f>(t_Parts[[#This Row],[ha2016.11]]-t_Parts[[#This Row],[hp2016.11]])*t_Parts[[NetPPH]:[NetPPH]]</f>
        <v>921800</v>
      </c>
      <c r="FN5" s="68">
        <f>(t_Parts[[#This Row],[ha2016.12]]-t_Parts[[#This Row],[hp2016.12]])*t_Parts[[NetPPH]:[NetPPH]]</f>
        <v>1257000</v>
      </c>
      <c r="FO5" s="68">
        <f>(t_Parts[[#This Row],[ha2016.FY]]-t_Parts[[#This Row],[hp2016.FY]])*t_Parts[[NetPPH]:[NetPPH]]</f>
        <v>13827000</v>
      </c>
      <c r="FP5" s="68">
        <f>(t_Parts[[#This Row],[ha2017]]-t_Parts[[#This Row],[hp2017]])*t_Parts[[NetPPH]:[NetPPH]]</f>
        <v>13690000</v>
      </c>
      <c r="FQ5" s="68">
        <f>(t_Parts[[#This Row],[ha2018]]-t_Parts[[#This Row],[hp2018]])*t_Parts[[NetPPH]:[NetPPH]]</f>
        <v>13680000</v>
      </c>
      <c r="FR5" s="68">
        <f>(t_Parts[[#This Row],[ha2019]]-t_Parts[[#This Row],[hp2019]])*t_Parts[[NetPPH]:[NetPPH]]</f>
        <v>13670000</v>
      </c>
    </row>
    <row r="6" spans="1:174" x14ac:dyDescent="0.25">
      <c r="A6" s="16" t="s">
        <v>166</v>
      </c>
      <c r="B6" s="16">
        <v>21014</v>
      </c>
      <c r="C6">
        <v>2</v>
      </c>
      <c r="D6" s="20">
        <v>2400</v>
      </c>
      <c r="E6" s="25">
        <v>1</v>
      </c>
      <c r="F6" s="26">
        <v>4</v>
      </c>
      <c r="G6" t="s">
        <v>16</v>
      </c>
      <c r="H6" t="s">
        <v>94</v>
      </c>
      <c r="I6" s="20">
        <v>70848</v>
      </c>
      <c r="J6" s="20"/>
      <c r="K6" s="20"/>
      <c r="L6" s="20"/>
      <c r="M6" s="20"/>
      <c r="N6" s="20"/>
      <c r="O6" s="20"/>
      <c r="P6" s="25"/>
      <c r="Q6" s="20"/>
      <c r="R6" s="26"/>
      <c r="S6" s="16"/>
      <c r="T6" s="27"/>
      <c r="U6" t="s">
        <v>116</v>
      </c>
      <c r="V6" t="str">
        <f>VLOOKUP(t_Parts[[#This Row],[Press]],t_Presses[],Press!B$1,FALSE)</f>
        <v>Plainfield</v>
      </c>
      <c r="W6" t="str">
        <f>VLOOKUP(t_Parts[[#This Row],[Press]],t_Presses[],Press!E$1,FALSE)</f>
        <v>300-599</v>
      </c>
      <c r="X6" s="15">
        <f>VLOOKUP(t_Parts[[#This Row],[Plant]],t_Plants[],Plants!C$1,FALSE)</f>
        <v>0.55000000000000004</v>
      </c>
      <c r="Y6" s="15">
        <f>VLOOKUP(t_Parts[[#This Row],[Press]],t_Presses[],Press!F$1,FALSE)</f>
        <v>0</v>
      </c>
      <c r="Z6" s="15"/>
      <c r="AA6" s="15">
        <f>IF(ISBLANK(t_Parts[[#This Row],[PartOEE]])=FALSE,t_Parts[[#This Row],[PartOEE]], IF(t_Parts[[#This Row],[PressOEE]]&gt;0, t_Parts[[#This Row],[PressOEE]], t_Parts[[#This Row],[PlantOEE]] ))</f>
        <v>0.55000000000000004</v>
      </c>
      <c r="AB6" s="25">
        <f>t_Parts[[#This Row],[SetupsPerMo]]*t_Parts[[#This Row],[SetupHrs]]</f>
        <v>4</v>
      </c>
      <c r="AC6" s="20">
        <f>(t_Parts[[#This Row],[UnitsPerCycle]]*t_Parts[[#This Row],[CyclesPerHr]])*t_Parts[[#This Row],[UseOEE]]</f>
        <v>2640</v>
      </c>
      <c r="AD6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5209.411764705882</v>
      </c>
      <c r="AE6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5417.7882352941178</v>
      </c>
      <c r="AF6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7084.8</v>
      </c>
      <c r="AG6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5209.411764705882</v>
      </c>
      <c r="AH6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5417.7882352941178</v>
      </c>
      <c r="AI6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7084.8</v>
      </c>
      <c r="AJ6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5209.411764705882</v>
      </c>
      <c r="AK6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5417.7882352941178</v>
      </c>
      <c r="AL6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7084.8</v>
      </c>
      <c r="AM6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5209.411764705882</v>
      </c>
      <c r="AN6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5417.7882352941178</v>
      </c>
      <c r="AO6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7084.8</v>
      </c>
      <c r="AP6" s="20">
        <f>SUM(t_Parts[[#This Row],[pv2015.01]:[pv2015.12]])</f>
        <v>70848</v>
      </c>
      <c r="AQ6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6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6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6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6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6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6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6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6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6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6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6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6" s="20">
        <f>SUM(t_Parts[[#This Row],[pv2016.01]:[pv2016.12]])</f>
        <v>0</v>
      </c>
      <c r="BD6" s="20">
        <f>t_Parts[[#This Row],[2017vol]]</f>
        <v>0</v>
      </c>
      <c r="BE6" s="20">
        <f>t_Parts[[#This Row],[2018vol]]</f>
        <v>0</v>
      </c>
      <c r="BF6" s="20">
        <f>t_Parts[[#This Row],[2019vol]]</f>
        <v>0</v>
      </c>
      <c r="BG6">
        <f>VLOOKUP(t_Parts[[Plant]:[Plant]],t_Plants[],Plants!CM$1,FALSE)</f>
        <v>250</v>
      </c>
      <c r="BH6">
        <f>VLOOKUP(t_Parts[[Plant]:[Plant]],t_Plants[],Plants!CN$1,FALSE)</f>
        <v>260</v>
      </c>
      <c r="BI6">
        <f>VLOOKUP(t_Parts[[Plant]:[Plant]],t_Plants[],Plants!CO$1,FALSE)</f>
        <v>340</v>
      </c>
      <c r="BJ6">
        <f>VLOOKUP(t_Parts[[Plant]:[Plant]],t_Plants[],Plants!CP$1,FALSE)</f>
        <v>250</v>
      </c>
      <c r="BK6">
        <f>VLOOKUP(t_Parts[[Plant]:[Plant]],t_Plants[],Plants!CQ$1,FALSE)</f>
        <v>260</v>
      </c>
      <c r="BL6">
        <f>VLOOKUP(t_Parts[[Plant]:[Plant]],t_Plants[],Plants!CR$1,FALSE)</f>
        <v>340</v>
      </c>
      <c r="BM6">
        <f>VLOOKUP(t_Parts[[Plant]:[Plant]],t_Plants[],Plants!CS$1,FALSE)</f>
        <v>250</v>
      </c>
      <c r="BN6">
        <f>VLOOKUP(t_Parts[[Plant]:[Plant]],t_Plants[],Plants!CT$1,FALSE)</f>
        <v>260</v>
      </c>
      <c r="BO6">
        <f>VLOOKUP(t_Parts[[Plant]:[Plant]],t_Plants[],Plants!CU$1,FALSE)</f>
        <v>340</v>
      </c>
      <c r="BP6">
        <f>VLOOKUP(t_Parts[[Plant]:[Plant]],t_Plants[],Plants!CV$1,FALSE)</f>
        <v>250</v>
      </c>
      <c r="BQ6">
        <f>VLOOKUP(t_Parts[[Plant]:[Plant]],t_Plants[],Plants!CW$1,FALSE)</f>
        <v>260</v>
      </c>
      <c r="BR6">
        <f>VLOOKUP(t_Parts[[Plant]:[Plant]],t_Plants[],Plants!CX$1,FALSE)</f>
        <v>340</v>
      </c>
      <c r="BS6">
        <f>SUM(t_Parts[[#This Row],[ha2015.01]:[ha2015.12]])</f>
        <v>3400</v>
      </c>
      <c r="BT6">
        <f>VLOOKUP(t_Parts[[Plant]:[Plant]],t_Plants[],Plants!CZ$1,FALSE)</f>
        <v>250</v>
      </c>
      <c r="BU6">
        <f>VLOOKUP(t_Parts[[Plant]:[Plant]],t_Plants[],Plants!DA$1,FALSE)</f>
        <v>240</v>
      </c>
      <c r="BV6">
        <f>VLOOKUP(t_Parts[[Plant]:[Plant]],t_Plants[],Plants!DB$1,FALSE)</f>
        <v>340</v>
      </c>
      <c r="BW6">
        <f>VLOOKUP(t_Parts[[Plant]:[Plant]],t_Plants[],Plants!DC$1,FALSE)</f>
        <v>250</v>
      </c>
      <c r="BX6">
        <f>VLOOKUP(t_Parts[[Plant]:[Plant]],t_Plants[],Plants!DD$1,FALSE)</f>
        <v>260</v>
      </c>
      <c r="BY6">
        <f>VLOOKUP(t_Parts[[Plant]:[Plant]],t_Plants[],Plants!DE$1,FALSE)</f>
        <v>340</v>
      </c>
      <c r="BZ6">
        <f>VLOOKUP(t_Parts[[Plant]:[Plant]],t_Plants[],Plants!DF$1,FALSE)</f>
        <v>250</v>
      </c>
      <c r="CA6">
        <f>VLOOKUP(t_Parts[[Plant]:[Plant]],t_Plants[],Plants!DG$1,FALSE)</f>
        <v>260</v>
      </c>
      <c r="CB6">
        <f>VLOOKUP(t_Parts[[Plant]:[Plant]],t_Plants[],Plants!DH$1,FALSE)</f>
        <v>340</v>
      </c>
      <c r="CC6">
        <f>VLOOKUP(t_Parts[[Plant]:[Plant]],t_Plants[],Plants!DI$1,FALSE)</f>
        <v>250</v>
      </c>
      <c r="CD6">
        <f>VLOOKUP(t_Parts[[Plant]:[Plant]],t_Plants[],Plants!DJ$1,FALSE)</f>
        <v>220</v>
      </c>
      <c r="CE6">
        <f>VLOOKUP(t_Parts[[Plant]:[Plant]],t_Plants[],Plants!DK$1,FALSE)</f>
        <v>300</v>
      </c>
      <c r="CF6">
        <f>VLOOKUP(t_Parts[[Plant]:[Plant]],t_Plants[],Plants!DL$1,FALSE)</f>
        <v>3300</v>
      </c>
      <c r="CG6">
        <f>VLOOKUP(t_Parts[[Plant]:[Plant]],t_Plants[],Plants!DM$1,FALSE)</f>
        <v>3300</v>
      </c>
      <c r="CH6">
        <f>VLOOKUP(t_Parts[[Plant]:[Plant]],t_Plants[],Plants!DN$1,FALSE)</f>
        <v>3300</v>
      </c>
      <c r="CI6">
        <f>VLOOKUP(t_Parts[[Plant]:[Plant]],t_Plants[],Plants!DO$1,FALSE)</f>
        <v>3300</v>
      </c>
      <c r="CJ6" s="20">
        <f>IF(AND(AD$2&gt;=VALUE(t_Parts[[SOP]:[SOP]]),AD$2&lt;=VALUE(t_Parts[[EOP]:[EOP]])), t_Parts[[SetupHrsPerMo]:[SetupHrsPerMo]]+(t_Parts[[#This Row],[pv2015.01]]/t_Parts[[NetPPH]:[NetPPH]]),0)</f>
        <v>5.9732620320855609</v>
      </c>
      <c r="CK6" s="20">
        <f>IF(AND(AE$2&gt;=VALUE(t_Parts[[SOP]:[SOP]]),AE$2&lt;=VALUE(t_Parts[[EOP]:[EOP]])), t_Parts[[SetupHrsPerMo]:[SetupHrsPerMo]]+(t_Parts[[#This Row],[pv2015.02]]/t_Parts[[NetPPH]:[NetPPH]]),0)</f>
        <v>6.0521925133689845</v>
      </c>
      <c r="CL6" s="20">
        <f>IF(AND(AF$2&gt;=VALUE(t_Parts[[SOP]:[SOP]]),AF$2&lt;=VALUE(t_Parts[[EOP]:[EOP]])), t_Parts[[SetupHrsPerMo]:[SetupHrsPerMo]]+(t_Parts[[#This Row],[pv2015.03]]/t_Parts[[NetPPH]:[NetPPH]]),0)</f>
        <v>6.6836363636363636</v>
      </c>
      <c r="CM6" s="20">
        <f>IF(AND(AG$2&gt;=VALUE(t_Parts[[SOP]:[SOP]]),AG$2&lt;=VALUE(t_Parts[[EOP]:[EOP]])), t_Parts[[SetupHrsPerMo]:[SetupHrsPerMo]]+(t_Parts[[#This Row],[pv2015.04]]/t_Parts[[NetPPH]:[NetPPH]]),0)</f>
        <v>5.9732620320855609</v>
      </c>
      <c r="CN6" s="20">
        <f>IF(AND(AH$2&gt;=VALUE(t_Parts[[SOP]:[SOP]]),AH$2&lt;=VALUE(t_Parts[[EOP]:[EOP]])), t_Parts[[SetupHrsPerMo]:[SetupHrsPerMo]]+(t_Parts[[#This Row],[pv2015.05]]/t_Parts[[NetPPH]:[NetPPH]]),0)</f>
        <v>6.0521925133689845</v>
      </c>
      <c r="CO6" s="20">
        <f>IF(AND(AI$2&gt;=VALUE(t_Parts[[SOP]:[SOP]]),AI$2&lt;=VALUE(t_Parts[[EOP]:[EOP]])), t_Parts[[SetupHrsPerMo]:[SetupHrsPerMo]]+(t_Parts[[#This Row],[pv2015.06]]/t_Parts[[NetPPH]:[NetPPH]]),0)</f>
        <v>6.6836363636363636</v>
      </c>
      <c r="CP6" s="20">
        <f>IF(AND(AJ$2&gt;=VALUE(t_Parts[[SOP]:[SOP]]),AJ$2&lt;=VALUE(t_Parts[[EOP]:[EOP]])), t_Parts[[SetupHrsPerMo]:[SetupHrsPerMo]]+(t_Parts[[#This Row],[pv2015.07]]/t_Parts[[NetPPH]:[NetPPH]]),0)</f>
        <v>5.9732620320855609</v>
      </c>
      <c r="CQ6" s="20">
        <f>IF(AND(AK$2&gt;=VALUE(t_Parts[[SOP]:[SOP]]),AK$2&lt;=VALUE(t_Parts[[EOP]:[EOP]])), t_Parts[[SetupHrsPerMo]:[SetupHrsPerMo]]+(t_Parts[[#This Row],[pv2015.08]]/t_Parts[[NetPPH]:[NetPPH]]),0)</f>
        <v>6.0521925133689845</v>
      </c>
      <c r="CR6" s="20">
        <f>IF(AND(AL$2&gt;=VALUE(t_Parts[[SOP]:[SOP]]),AL$2&lt;=VALUE(t_Parts[[EOP]:[EOP]])), t_Parts[[SetupHrsPerMo]:[SetupHrsPerMo]]+(t_Parts[[#This Row],[pv2015.09]]/t_Parts[[NetPPH]:[NetPPH]]),0)</f>
        <v>6.6836363636363636</v>
      </c>
      <c r="CS6" s="20">
        <f>IF(AND(AM$2&gt;=VALUE(t_Parts[[SOP]:[SOP]]),AM$2&lt;=VALUE(t_Parts[[EOP]:[EOP]])), t_Parts[[SetupHrsPerMo]:[SetupHrsPerMo]]+(t_Parts[[#This Row],[pv2015.10]]/t_Parts[[NetPPH]:[NetPPH]]),0)</f>
        <v>5.9732620320855609</v>
      </c>
      <c r="CT6" s="20">
        <f>IF(AND(AN$2&gt;=VALUE(t_Parts[[SOP]:[SOP]]),AN$2&lt;=VALUE(t_Parts[[EOP]:[EOP]])), t_Parts[[SetupHrsPerMo]:[SetupHrsPerMo]]+(t_Parts[[#This Row],[pv2015.11]]/t_Parts[[NetPPH]:[NetPPH]]),0)</f>
        <v>6.0521925133689845</v>
      </c>
      <c r="CU6" s="20">
        <f>IF(AND(AO$2&gt;=VALUE(t_Parts[[SOP]:[SOP]]),AO$2&lt;=VALUE(t_Parts[[EOP]:[EOP]])), t_Parts[[SetupHrsPerMo]:[SetupHrsPerMo]]+(t_Parts[[#This Row],[pv2015.12]]/t_Parts[[NetPPH]:[NetPPH]]),0)</f>
        <v>6.6836363636363636</v>
      </c>
      <c r="CV6" s="20">
        <f>SUM(t_Parts[[#This Row],[hp2015.01]:[hp2015.12]])</f>
        <v>74.836363636363629</v>
      </c>
      <c r="CW6" s="20">
        <f>IF(AND(AQ$2&gt;=VALUE(t_Parts[[SOP]:[SOP]]),AQ$2&lt;=VALUE(t_Parts[[EOP]:[EOP]])), t_Parts[[SetupHrsPerMo]:[SetupHrsPerMo]]+(t_Parts[[#This Row],[pv2016.01]]/t_Parts[[NetPPH]:[NetPPH]]),0)</f>
        <v>0</v>
      </c>
      <c r="CX6" s="20">
        <f>IF(AND(AR$2&gt;=VALUE(t_Parts[[SOP]:[SOP]]),AR$2&lt;=VALUE(t_Parts[[EOP]:[EOP]])), t_Parts[[SetupHrsPerMo]:[SetupHrsPerMo]]+(t_Parts[[#This Row],[pv2016.02]]/t_Parts[[NetPPH]:[NetPPH]]),0)</f>
        <v>0</v>
      </c>
      <c r="CY6" s="20">
        <f>IF(AND(AS$2&gt;=VALUE(t_Parts[[SOP]:[SOP]]),AS$2&lt;=VALUE(t_Parts[[EOP]:[EOP]])), t_Parts[[SetupHrsPerMo]:[SetupHrsPerMo]]+(t_Parts[[#This Row],[pv2016.03]]/t_Parts[[NetPPH]:[NetPPH]]),0)</f>
        <v>0</v>
      </c>
      <c r="CZ6" s="20">
        <f>IF(AND(AT$2&gt;=VALUE(t_Parts[[SOP]:[SOP]]),AT$2&lt;=VALUE(t_Parts[[EOP]:[EOP]])), t_Parts[[SetupHrsPerMo]:[SetupHrsPerMo]]+(t_Parts[[#This Row],[pv2016.04]]/t_Parts[[NetPPH]:[NetPPH]]),0)</f>
        <v>0</v>
      </c>
      <c r="DA6" s="20">
        <f>IF(AND(AU$2&gt;=VALUE(t_Parts[[SOP]:[SOP]]),AU$2&lt;=VALUE(t_Parts[[EOP]:[EOP]])), t_Parts[[SetupHrsPerMo]:[SetupHrsPerMo]]+(t_Parts[[#This Row],[pv2016.05]]/t_Parts[[NetPPH]:[NetPPH]]),0)</f>
        <v>0</v>
      </c>
      <c r="DB6" s="20">
        <f>IF(AND(AV$2&gt;=VALUE(t_Parts[[SOP]:[SOP]]),AV$2&lt;=VALUE(t_Parts[[EOP]:[EOP]])), t_Parts[[SetupHrsPerMo]:[SetupHrsPerMo]]+(t_Parts[[#This Row],[pv2016.06]]/t_Parts[[NetPPH]:[NetPPH]]),0)</f>
        <v>0</v>
      </c>
      <c r="DC6" s="20">
        <f>IF(AND(AW$2&gt;=VALUE(t_Parts[[SOP]:[SOP]]),AW$2&lt;=VALUE(t_Parts[[EOP]:[EOP]])), t_Parts[[SetupHrsPerMo]:[SetupHrsPerMo]]+(t_Parts[[#This Row],[pv2016.07]]/t_Parts[[NetPPH]:[NetPPH]]),0)</f>
        <v>0</v>
      </c>
      <c r="DD6" s="20">
        <f>IF(AND(AX$2&gt;=VALUE(t_Parts[[SOP]:[SOP]]),AX$2&lt;=VALUE(t_Parts[[EOP]:[EOP]])), t_Parts[[SetupHrsPerMo]:[SetupHrsPerMo]]+(t_Parts[[#This Row],[pv2016.08]]/t_Parts[[NetPPH]:[NetPPH]]),0)</f>
        <v>0</v>
      </c>
      <c r="DE6" s="20">
        <f>IF(AND(AY$2&gt;=VALUE(t_Parts[[SOP]:[SOP]]),AY$2&lt;=VALUE(t_Parts[[EOP]:[EOP]])), t_Parts[[SetupHrsPerMo]:[SetupHrsPerMo]]+(t_Parts[[#This Row],[pv2016.09]]/t_Parts[[NetPPH]:[NetPPH]]),0)</f>
        <v>0</v>
      </c>
      <c r="DF6" s="20">
        <f>IF(AND(AZ$2&gt;=VALUE(t_Parts[[SOP]:[SOP]]),AZ$2&lt;=VALUE(t_Parts[[EOP]:[EOP]])), t_Parts[[SetupHrsPerMo]:[SetupHrsPerMo]]+(t_Parts[[#This Row],[pv2016.10]]/t_Parts[[NetPPH]:[NetPPH]]),0)</f>
        <v>0</v>
      </c>
      <c r="DG6" s="20">
        <f>IF(AND(BA$2&gt;=VALUE(t_Parts[[SOP]:[SOP]]),BA$2&lt;=VALUE(t_Parts[[EOP]:[EOP]])), t_Parts[[SetupHrsPerMo]:[SetupHrsPerMo]]+(t_Parts[[#This Row],[pv2016.11]]/t_Parts[[NetPPH]:[NetPPH]]),0)</f>
        <v>0</v>
      </c>
      <c r="DH6" s="20">
        <f>IF(AND(BB$2&gt;=VALUE(t_Parts[[SOP]:[SOP]]),BB$2&lt;=VALUE(t_Parts[[EOP]:[EOP]])), t_Parts[[SetupHrsPerMo]:[SetupHrsPerMo]]+(t_Parts[[#This Row],[pv2016.12]]/t_Parts[[NetPPH]:[NetPPH]]),0)</f>
        <v>0</v>
      </c>
      <c r="DI6" s="20">
        <f>SUM(t_Parts[[#This Row],[hp2016.01]:[hp2016.12]])</f>
        <v>0</v>
      </c>
      <c r="DJ6" s="20">
        <f>IF(AND(BD$2&gt;=VALUE(t_Parts[[SOP]:[SOP]]),BD$2&lt;=VALUE(t_Parts[[EOP]:[EOP]])), 12*t_Parts[[SetupHrsPerMo]:[SetupHrsPerMo]]+(t_Parts[[#This Row],[pv2017]]/t_Parts[[NetPPH]:[NetPPH]]),0)</f>
        <v>0</v>
      </c>
      <c r="DK6" s="20">
        <f>IF(AND(BE$2&gt;=VALUE(t_Parts[[SOP]:[SOP]]),BE$2&lt;=VALUE(t_Parts[[EOP]:[EOP]])), 12*t_Parts[[SetupHrsPerMo]:[SetupHrsPerMo]]+(t_Parts[[#This Row],[pv2018]]/t_Parts[[NetPPH]:[NetPPH]]),0)</f>
        <v>0</v>
      </c>
      <c r="DL6" s="20">
        <f>IF(AND(BF$2&gt;=VALUE(t_Parts[[SOP]:[SOP]]),BF$2&lt;=VALUE(t_Parts[[EOP]:[EOP]])), 12*t_Parts[[SetupHrsPerMo]:[SetupHrsPerMo]]+(t_Parts[[#This Row],[pv2019]]/t_Parts[[NetPPH]:[NetPPH]]),0)</f>
        <v>0</v>
      </c>
      <c r="DM6" s="15">
        <f>t_Parts[[#This Row],[hp2015.01]]/t_Parts[[#This Row],[ha2015.01]]</f>
        <v>2.3893048128342243E-2</v>
      </c>
      <c r="DN6" s="15">
        <f>t_Parts[[#This Row],[hp2015.02]]/t_Parts[[#This Row],[ha2015.02]]</f>
        <v>2.3277663512957632E-2</v>
      </c>
      <c r="DO6" s="15">
        <f>t_Parts[[#This Row],[hp2015.03]]/t_Parts[[#This Row],[ha2015.03]]</f>
        <v>1.9657754010695187E-2</v>
      </c>
      <c r="DP6" s="15">
        <f>t_Parts[[#This Row],[hp2015.04]]/t_Parts[[#This Row],[ha2015.04]]</f>
        <v>2.3893048128342243E-2</v>
      </c>
      <c r="DQ6" s="15">
        <f>t_Parts[[#This Row],[hp2015.05]]/t_Parts[[#This Row],[ha2015.05]]</f>
        <v>2.3277663512957632E-2</v>
      </c>
      <c r="DR6" s="15">
        <f>t_Parts[[#This Row],[hp2015.06]]/t_Parts[[#This Row],[ha2015.06]]</f>
        <v>1.9657754010695187E-2</v>
      </c>
      <c r="DS6" s="15">
        <f>t_Parts[[#This Row],[hp2015.07]]/t_Parts[[#This Row],[ha2015.07]]</f>
        <v>2.3893048128342243E-2</v>
      </c>
      <c r="DT6" s="15">
        <f>t_Parts[[#This Row],[hp2015.08]]/t_Parts[[#This Row],[ha2015.08]]</f>
        <v>2.3277663512957632E-2</v>
      </c>
      <c r="DU6" s="15">
        <f>t_Parts[[#This Row],[hp2015.09]]/t_Parts[[#This Row],[ha2015.09]]</f>
        <v>1.9657754010695187E-2</v>
      </c>
      <c r="DV6" s="15">
        <f>t_Parts[[#This Row],[hp2015.10]]/t_Parts[[#This Row],[ha2015.10]]</f>
        <v>2.3893048128342243E-2</v>
      </c>
      <c r="DW6" s="15">
        <f>t_Parts[[#This Row],[hp2015.11]]/t_Parts[[#This Row],[ha2015.11]]</f>
        <v>2.3277663512957632E-2</v>
      </c>
      <c r="DX6" s="15">
        <f>t_Parts[[#This Row],[hp2015.12]]/t_Parts[[#This Row],[ha2015.12]]</f>
        <v>1.9657754010695187E-2</v>
      </c>
      <c r="DY6" s="15">
        <f>t_Parts[[#This Row],[hp2015.FY]]/t_Parts[[#This Row],[ha2015.FY]]</f>
        <v>2.2010695187165773E-2</v>
      </c>
      <c r="DZ6" s="15">
        <f>t_Parts[[#This Row],[hp2016.01]]/t_Parts[[#This Row],[ha2016.01]]</f>
        <v>0</v>
      </c>
      <c r="EA6" s="15">
        <f>t_Parts[[#This Row],[hp2016.02]]/t_Parts[[#This Row],[ha2016.02]]</f>
        <v>0</v>
      </c>
      <c r="EB6" s="15">
        <f>t_Parts[[#This Row],[hp2016.03]]/t_Parts[[#This Row],[ha2016.03]]</f>
        <v>0</v>
      </c>
      <c r="EC6" s="15">
        <f>t_Parts[[#This Row],[hp2016.04]]/t_Parts[[#This Row],[ha2016.04]]</f>
        <v>0</v>
      </c>
      <c r="ED6" s="15">
        <f>t_Parts[[#This Row],[hp2016.05]]/t_Parts[[#This Row],[ha2016.05]]</f>
        <v>0</v>
      </c>
      <c r="EE6" s="15">
        <f>t_Parts[[#This Row],[hp2016.06]]/t_Parts[[#This Row],[ha2016.06]]</f>
        <v>0</v>
      </c>
      <c r="EF6" s="15">
        <f>t_Parts[[#This Row],[hp2016.07]]/t_Parts[[#This Row],[ha2016.07]]</f>
        <v>0</v>
      </c>
      <c r="EG6" s="15">
        <f>t_Parts[[#This Row],[hp2016.08]]/t_Parts[[#This Row],[ha2016.08]]</f>
        <v>0</v>
      </c>
      <c r="EH6" s="15">
        <f>t_Parts[[#This Row],[hp2016.09]]/t_Parts[[#This Row],[ha2016.09]]</f>
        <v>0</v>
      </c>
      <c r="EI6" s="15">
        <f>t_Parts[[#This Row],[hp2016.10]]/t_Parts[[#This Row],[ha2016.10]]</f>
        <v>0</v>
      </c>
      <c r="EJ6" s="15">
        <f>t_Parts[[#This Row],[hp2016.11]]/t_Parts[[#This Row],[ha2016.11]]</f>
        <v>0</v>
      </c>
      <c r="EK6" s="15">
        <f>t_Parts[[#This Row],[hp2016.12]]/t_Parts[[#This Row],[ha2016.12]]</f>
        <v>0</v>
      </c>
      <c r="EL6" s="15">
        <f>t_Parts[[#This Row],[hp2016.FY]]/t_Parts[[#This Row],[ha2016.FY]]</f>
        <v>0</v>
      </c>
      <c r="EM6" s="15">
        <f>t_Parts[[#This Row],[hp2017]]/t_Parts[[#This Row],[ha2017]]</f>
        <v>0</v>
      </c>
      <c r="EN6" s="15">
        <f>t_Parts[[#This Row],[hp2018]]/t_Parts[[#This Row],[ha2018]]</f>
        <v>0</v>
      </c>
      <c r="EO6" s="15">
        <f>t_Parts[[#This Row],[hp2019]]/t_Parts[[#This Row],[hp2015.01]]</f>
        <v>0</v>
      </c>
      <c r="EP6" s="68">
        <f>(t_Parts[[#This Row],[ha2015.01]]-t_Parts[[#This Row],[hp2015.01]])*t_Parts[[NetPPH]:[NetPPH]]</f>
        <v>644230.5882352941</v>
      </c>
      <c r="EQ6" s="68">
        <f>(t_Parts[[#This Row],[ha2015.02]]-t_Parts[[#This Row],[hp2015.02]])*t_Parts[[NetPPH]:[NetPPH]]</f>
        <v>670422.21176470583</v>
      </c>
      <c r="ER6" s="68">
        <f>(t_Parts[[#This Row],[ha2015.03]]-t_Parts[[#This Row],[hp2015.03]])*t_Parts[[NetPPH]:[NetPPH]]</f>
        <v>879955.2</v>
      </c>
      <c r="ES6" s="68">
        <f>(t_Parts[[#This Row],[ha2015.04]]-t_Parts[[#This Row],[hp2015.04]])*t_Parts[[NetPPH]:[NetPPH]]</f>
        <v>644230.5882352941</v>
      </c>
      <c r="ET6" s="68">
        <f>(t_Parts[[#This Row],[ha2015.05]]-t_Parts[[#This Row],[hp2015.05]])*t_Parts[[NetPPH]:[NetPPH]]</f>
        <v>670422.21176470583</v>
      </c>
      <c r="EU6" s="68">
        <f>(t_Parts[[#This Row],[ha2015.06]]-t_Parts[[#This Row],[hp2015.06]])*t_Parts[[NetPPH]:[NetPPH]]</f>
        <v>879955.2</v>
      </c>
      <c r="EV6" s="68">
        <f>(t_Parts[[#This Row],[ha2015.07]]-t_Parts[[#This Row],[hp2015.07]])*t_Parts[[NetPPH]:[NetPPH]]</f>
        <v>644230.5882352941</v>
      </c>
      <c r="EW6" s="68">
        <f>(t_Parts[[#This Row],[ha2015.08]]-t_Parts[[#This Row],[hp2015.08]])*t_Parts[[NetPPH]:[NetPPH]]</f>
        <v>670422.21176470583</v>
      </c>
      <c r="EX6" s="68">
        <f>(t_Parts[[#This Row],[ha2015.09]]-t_Parts[[#This Row],[hp2015.09]])*t_Parts[[NetPPH]:[NetPPH]]</f>
        <v>879955.2</v>
      </c>
      <c r="EY6" s="68">
        <f>(t_Parts[[#This Row],[ha2015.10]]-t_Parts[[#This Row],[hp2015.10]])*t_Parts[[NetPPH]:[NetPPH]]</f>
        <v>644230.5882352941</v>
      </c>
      <c r="EZ6" s="68">
        <f>(t_Parts[[#This Row],[ha2015.11]]-t_Parts[[#This Row],[hp2015.11]])*t_Parts[[NetPPH]:[NetPPH]]</f>
        <v>670422.21176470583</v>
      </c>
      <c r="FA6" s="68">
        <f>(t_Parts[[#This Row],[ha2015.12]]-t_Parts[[#This Row],[hp2015.12]])*t_Parts[[NetPPH]:[NetPPH]]</f>
        <v>879955.2</v>
      </c>
      <c r="FB6" s="68">
        <f>(t_Parts[[#This Row],[ha2015.FY]]-t_Parts[[#This Row],[hp2015.FY]])*t_Parts[[NetPPH]:[NetPPH]]</f>
        <v>8778432</v>
      </c>
      <c r="FC6" s="68">
        <f>(t_Parts[[#This Row],[ha2016.01]]-t_Parts[[#This Row],[hp2016.01]])*t_Parts[[NetPPH]:[NetPPH]]</f>
        <v>660000</v>
      </c>
      <c r="FD6" s="68">
        <f>(t_Parts[[#This Row],[ha2016.02]]-t_Parts[[#This Row],[hp2016.02]])*t_Parts[[NetPPH]:[NetPPH]]</f>
        <v>633600</v>
      </c>
      <c r="FE6" s="68">
        <f>(t_Parts[[#This Row],[ha2016.03]]-t_Parts[[#This Row],[hp2016.03]])*t_Parts[[NetPPH]:[NetPPH]]</f>
        <v>897600</v>
      </c>
      <c r="FF6" s="68">
        <f>(t_Parts[[#This Row],[ha2016.04]]-t_Parts[[#This Row],[hp2016.04]])*t_Parts[[NetPPH]:[NetPPH]]</f>
        <v>660000</v>
      </c>
      <c r="FG6" s="68">
        <f>(t_Parts[[#This Row],[ha2016.05]]-t_Parts[[#This Row],[hp2016.05]])*t_Parts[[NetPPH]:[NetPPH]]</f>
        <v>686400</v>
      </c>
      <c r="FH6" s="68">
        <f>(t_Parts[[#This Row],[ha2016.06]]-t_Parts[[#This Row],[hp2016.06]])*t_Parts[[NetPPH]:[NetPPH]]</f>
        <v>897600</v>
      </c>
      <c r="FI6" s="68">
        <f>(t_Parts[[#This Row],[ha2016.07]]-t_Parts[[#This Row],[hp2016.07]])*t_Parts[[NetPPH]:[NetPPH]]</f>
        <v>660000</v>
      </c>
      <c r="FJ6" s="68">
        <f>(t_Parts[[#This Row],[ha2016.08]]-t_Parts[[#This Row],[hp2016.08]])*t_Parts[[NetPPH]:[NetPPH]]</f>
        <v>686400</v>
      </c>
      <c r="FK6" s="68">
        <f>(t_Parts[[#This Row],[ha2016.09]]-t_Parts[[#This Row],[hp2016.09]])*t_Parts[[NetPPH]:[NetPPH]]</f>
        <v>897600</v>
      </c>
      <c r="FL6" s="68">
        <f>(t_Parts[[#This Row],[ha2016.10]]-t_Parts[[#This Row],[hp2016.10]])*t_Parts[[NetPPH]:[NetPPH]]</f>
        <v>660000</v>
      </c>
      <c r="FM6" s="68">
        <f>(t_Parts[[#This Row],[ha2016.11]]-t_Parts[[#This Row],[hp2016.11]])*t_Parts[[NetPPH]:[NetPPH]]</f>
        <v>580800</v>
      </c>
      <c r="FN6" s="68">
        <f>(t_Parts[[#This Row],[ha2016.12]]-t_Parts[[#This Row],[hp2016.12]])*t_Parts[[NetPPH]:[NetPPH]]</f>
        <v>792000</v>
      </c>
      <c r="FO6" s="68">
        <f>(t_Parts[[#This Row],[ha2016.FY]]-t_Parts[[#This Row],[hp2016.FY]])*t_Parts[[NetPPH]:[NetPPH]]</f>
        <v>8712000</v>
      </c>
      <c r="FP6" s="68">
        <f>(t_Parts[[#This Row],[ha2017]]-t_Parts[[#This Row],[hp2017]])*t_Parts[[NetPPH]:[NetPPH]]</f>
        <v>8712000</v>
      </c>
      <c r="FQ6" s="68">
        <f>(t_Parts[[#This Row],[ha2018]]-t_Parts[[#This Row],[hp2018]])*t_Parts[[NetPPH]:[NetPPH]]</f>
        <v>8712000</v>
      </c>
      <c r="FR6" s="68">
        <f>(t_Parts[[#This Row],[ha2019]]-t_Parts[[#This Row],[hp2019]])*t_Parts[[NetPPH]:[NetPPH]]</f>
        <v>8712000</v>
      </c>
    </row>
    <row r="7" spans="1:174" x14ac:dyDescent="0.25">
      <c r="A7" s="16" t="s">
        <v>167</v>
      </c>
      <c r="B7" s="16">
        <v>21014</v>
      </c>
      <c r="C7">
        <v>1</v>
      </c>
      <c r="D7" s="20">
        <v>2400</v>
      </c>
      <c r="E7" s="25">
        <v>1</v>
      </c>
      <c r="F7" s="26">
        <v>4</v>
      </c>
      <c r="G7" t="s">
        <v>16</v>
      </c>
      <c r="H7" t="s">
        <v>94</v>
      </c>
      <c r="I7" s="20">
        <v>161929</v>
      </c>
      <c r="J7" s="20"/>
      <c r="K7" s="20"/>
      <c r="L7" s="20"/>
      <c r="M7" s="20"/>
      <c r="N7" s="20"/>
      <c r="O7" s="20"/>
      <c r="P7" s="25"/>
      <c r="Q7" s="20"/>
      <c r="R7" s="26"/>
      <c r="S7" s="16"/>
      <c r="T7" s="27"/>
      <c r="U7" t="s">
        <v>116</v>
      </c>
      <c r="V7" t="str">
        <f>VLOOKUP(t_Parts[[#This Row],[Press]],t_Presses[],Press!B$1,FALSE)</f>
        <v>Plainfield</v>
      </c>
      <c r="W7" t="str">
        <f>VLOOKUP(t_Parts[[#This Row],[Press]],t_Presses[],Press!E$1,FALSE)</f>
        <v>300-599</v>
      </c>
      <c r="X7" s="15">
        <f>VLOOKUP(t_Parts[[#This Row],[Plant]],t_Plants[],Plants!C$1,FALSE)</f>
        <v>0.55000000000000004</v>
      </c>
      <c r="Y7" s="15">
        <f>VLOOKUP(t_Parts[[#This Row],[Press]],t_Presses[],Press!F$1,FALSE)</f>
        <v>0</v>
      </c>
      <c r="Z7" s="15"/>
      <c r="AA7" s="15">
        <f>IF(ISBLANK(t_Parts[[#This Row],[PartOEE]])=FALSE,t_Parts[[#This Row],[PartOEE]], IF(t_Parts[[#This Row],[PressOEE]]&gt;0, t_Parts[[#This Row],[PressOEE]], t_Parts[[#This Row],[PlantOEE]] ))</f>
        <v>0.55000000000000004</v>
      </c>
      <c r="AB7" s="25">
        <f>t_Parts[[#This Row],[SetupsPerMo]]*t_Parts[[#This Row],[SetupHrs]]</f>
        <v>4</v>
      </c>
      <c r="AC7" s="20">
        <f>(t_Parts[[#This Row],[UnitsPerCycle]]*t_Parts[[#This Row],[CyclesPerHr]])*t_Parts[[#This Row],[UseOEE]]</f>
        <v>1320</v>
      </c>
      <c r="AD7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11906.544117647059</v>
      </c>
      <c r="AE7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12382.805882352941</v>
      </c>
      <c r="AF7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16192.9</v>
      </c>
      <c r="AG7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11906.544117647059</v>
      </c>
      <c r="AH7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12382.805882352941</v>
      </c>
      <c r="AI7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16192.9</v>
      </c>
      <c r="AJ7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11906.544117647059</v>
      </c>
      <c r="AK7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12382.805882352941</v>
      </c>
      <c r="AL7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16192.9</v>
      </c>
      <c r="AM7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11906.544117647059</v>
      </c>
      <c r="AN7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12382.805882352941</v>
      </c>
      <c r="AO7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16192.9</v>
      </c>
      <c r="AP7" s="20">
        <f>SUM(t_Parts[[#This Row],[pv2015.01]:[pv2015.12]])</f>
        <v>161928.99999999997</v>
      </c>
      <c r="AQ7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7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7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7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7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7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7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7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7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7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7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7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7" s="20">
        <f>SUM(t_Parts[[#This Row],[pv2016.01]:[pv2016.12]])</f>
        <v>0</v>
      </c>
      <c r="BD7" s="20">
        <f>t_Parts[[#This Row],[2017vol]]</f>
        <v>0</v>
      </c>
      <c r="BE7" s="20">
        <f>t_Parts[[#This Row],[2018vol]]</f>
        <v>0</v>
      </c>
      <c r="BF7" s="20">
        <f>t_Parts[[#This Row],[2019vol]]</f>
        <v>0</v>
      </c>
      <c r="BG7">
        <f>VLOOKUP(t_Parts[[Plant]:[Plant]],t_Plants[],Plants!CM$1,FALSE)</f>
        <v>250</v>
      </c>
      <c r="BH7">
        <f>VLOOKUP(t_Parts[[Plant]:[Plant]],t_Plants[],Plants!CN$1,FALSE)</f>
        <v>260</v>
      </c>
      <c r="BI7">
        <f>VLOOKUP(t_Parts[[Plant]:[Plant]],t_Plants[],Plants!CO$1,FALSE)</f>
        <v>340</v>
      </c>
      <c r="BJ7">
        <f>VLOOKUP(t_Parts[[Plant]:[Plant]],t_Plants[],Plants!CP$1,FALSE)</f>
        <v>250</v>
      </c>
      <c r="BK7">
        <f>VLOOKUP(t_Parts[[Plant]:[Plant]],t_Plants[],Plants!CQ$1,FALSE)</f>
        <v>260</v>
      </c>
      <c r="BL7">
        <f>VLOOKUP(t_Parts[[Plant]:[Plant]],t_Plants[],Plants!CR$1,FALSE)</f>
        <v>340</v>
      </c>
      <c r="BM7">
        <f>VLOOKUP(t_Parts[[Plant]:[Plant]],t_Plants[],Plants!CS$1,FALSE)</f>
        <v>250</v>
      </c>
      <c r="BN7">
        <f>VLOOKUP(t_Parts[[Plant]:[Plant]],t_Plants[],Plants!CT$1,FALSE)</f>
        <v>260</v>
      </c>
      <c r="BO7">
        <f>VLOOKUP(t_Parts[[Plant]:[Plant]],t_Plants[],Plants!CU$1,FALSE)</f>
        <v>340</v>
      </c>
      <c r="BP7">
        <f>VLOOKUP(t_Parts[[Plant]:[Plant]],t_Plants[],Plants!CV$1,FALSE)</f>
        <v>250</v>
      </c>
      <c r="BQ7">
        <f>VLOOKUP(t_Parts[[Plant]:[Plant]],t_Plants[],Plants!CW$1,FALSE)</f>
        <v>260</v>
      </c>
      <c r="BR7">
        <f>VLOOKUP(t_Parts[[Plant]:[Plant]],t_Plants[],Plants!CX$1,FALSE)</f>
        <v>340</v>
      </c>
      <c r="BS7">
        <f>SUM(t_Parts[[#This Row],[ha2015.01]:[ha2015.12]])</f>
        <v>3400</v>
      </c>
      <c r="BT7">
        <f>VLOOKUP(t_Parts[[Plant]:[Plant]],t_Plants[],Plants!CZ$1,FALSE)</f>
        <v>250</v>
      </c>
      <c r="BU7">
        <f>VLOOKUP(t_Parts[[Plant]:[Plant]],t_Plants[],Plants!DA$1,FALSE)</f>
        <v>240</v>
      </c>
      <c r="BV7">
        <f>VLOOKUP(t_Parts[[Plant]:[Plant]],t_Plants[],Plants!DB$1,FALSE)</f>
        <v>340</v>
      </c>
      <c r="BW7">
        <f>VLOOKUP(t_Parts[[Plant]:[Plant]],t_Plants[],Plants!DC$1,FALSE)</f>
        <v>250</v>
      </c>
      <c r="BX7">
        <f>VLOOKUP(t_Parts[[Plant]:[Plant]],t_Plants[],Plants!DD$1,FALSE)</f>
        <v>260</v>
      </c>
      <c r="BY7">
        <f>VLOOKUP(t_Parts[[Plant]:[Plant]],t_Plants[],Plants!DE$1,FALSE)</f>
        <v>340</v>
      </c>
      <c r="BZ7">
        <f>VLOOKUP(t_Parts[[Plant]:[Plant]],t_Plants[],Plants!DF$1,FALSE)</f>
        <v>250</v>
      </c>
      <c r="CA7">
        <f>VLOOKUP(t_Parts[[Plant]:[Plant]],t_Plants[],Plants!DG$1,FALSE)</f>
        <v>260</v>
      </c>
      <c r="CB7">
        <f>VLOOKUP(t_Parts[[Plant]:[Plant]],t_Plants[],Plants!DH$1,FALSE)</f>
        <v>340</v>
      </c>
      <c r="CC7">
        <f>VLOOKUP(t_Parts[[Plant]:[Plant]],t_Plants[],Plants!DI$1,FALSE)</f>
        <v>250</v>
      </c>
      <c r="CD7">
        <f>VLOOKUP(t_Parts[[Plant]:[Plant]],t_Plants[],Plants!DJ$1,FALSE)</f>
        <v>220</v>
      </c>
      <c r="CE7">
        <f>VLOOKUP(t_Parts[[Plant]:[Plant]],t_Plants[],Plants!DK$1,FALSE)</f>
        <v>300</v>
      </c>
      <c r="CF7">
        <f>VLOOKUP(t_Parts[[Plant]:[Plant]],t_Plants[],Plants!DL$1,FALSE)</f>
        <v>3300</v>
      </c>
      <c r="CG7">
        <f>VLOOKUP(t_Parts[[Plant]:[Plant]],t_Plants[],Plants!DM$1,FALSE)</f>
        <v>3300</v>
      </c>
      <c r="CH7">
        <f>VLOOKUP(t_Parts[[Plant]:[Plant]],t_Plants[],Plants!DN$1,FALSE)</f>
        <v>3300</v>
      </c>
      <c r="CI7">
        <f>VLOOKUP(t_Parts[[Plant]:[Plant]],t_Plants[],Plants!DO$1,FALSE)</f>
        <v>3300</v>
      </c>
      <c r="CJ7" s="20">
        <f>IF(AND(AD$2&gt;=VALUE(t_Parts[[SOP]:[SOP]]),AD$2&lt;=VALUE(t_Parts[[EOP]:[EOP]])), t_Parts[[SetupHrsPerMo]:[SetupHrsPerMo]]+(t_Parts[[#This Row],[pv2015.01]]/t_Parts[[NetPPH]:[NetPPH]]),0)</f>
        <v>13.020109180035652</v>
      </c>
      <c r="CK7" s="20">
        <f>IF(AND(AE$2&gt;=VALUE(t_Parts[[SOP]:[SOP]]),AE$2&lt;=VALUE(t_Parts[[EOP]:[EOP]])), t_Parts[[SetupHrsPerMo]:[SetupHrsPerMo]]+(t_Parts[[#This Row],[pv2015.02]]/t_Parts[[NetPPH]:[NetPPH]]),0)</f>
        <v>13.380913547237077</v>
      </c>
      <c r="CL7" s="20">
        <f>IF(AND(AF$2&gt;=VALUE(t_Parts[[SOP]:[SOP]]),AF$2&lt;=VALUE(t_Parts[[EOP]:[EOP]])), t_Parts[[SetupHrsPerMo]:[SetupHrsPerMo]]+(t_Parts[[#This Row],[pv2015.03]]/t_Parts[[NetPPH]:[NetPPH]]),0)</f>
        <v>16.267348484848483</v>
      </c>
      <c r="CM7" s="20">
        <f>IF(AND(AG$2&gt;=VALUE(t_Parts[[SOP]:[SOP]]),AG$2&lt;=VALUE(t_Parts[[EOP]:[EOP]])), t_Parts[[SetupHrsPerMo]:[SetupHrsPerMo]]+(t_Parts[[#This Row],[pv2015.04]]/t_Parts[[NetPPH]:[NetPPH]]),0)</f>
        <v>13.020109180035652</v>
      </c>
      <c r="CN7" s="20">
        <f>IF(AND(AH$2&gt;=VALUE(t_Parts[[SOP]:[SOP]]),AH$2&lt;=VALUE(t_Parts[[EOP]:[EOP]])), t_Parts[[SetupHrsPerMo]:[SetupHrsPerMo]]+(t_Parts[[#This Row],[pv2015.05]]/t_Parts[[NetPPH]:[NetPPH]]),0)</f>
        <v>13.380913547237077</v>
      </c>
      <c r="CO7" s="20">
        <f>IF(AND(AI$2&gt;=VALUE(t_Parts[[SOP]:[SOP]]),AI$2&lt;=VALUE(t_Parts[[EOP]:[EOP]])), t_Parts[[SetupHrsPerMo]:[SetupHrsPerMo]]+(t_Parts[[#This Row],[pv2015.06]]/t_Parts[[NetPPH]:[NetPPH]]),0)</f>
        <v>16.267348484848483</v>
      </c>
      <c r="CP7" s="20">
        <f>IF(AND(AJ$2&gt;=VALUE(t_Parts[[SOP]:[SOP]]),AJ$2&lt;=VALUE(t_Parts[[EOP]:[EOP]])), t_Parts[[SetupHrsPerMo]:[SetupHrsPerMo]]+(t_Parts[[#This Row],[pv2015.07]]/t_Parts[[NetPPH]:[NetPPH]]),0)</f>
        <v>13.020109180035652</v>
      </c>
      <c r="CQ7" s="20">
        <f>IF(AND(AK$2&gt;=VALUE(t_Parts[[SOP]:[SOP]]),AK$2&lt;=VALUE(t_Parts[[EOP]:[EOP]])), t_Parts[[SetupHrsPerMo]:[SetupHrsPerMo]]+(t_Parts[[#This Row],[pv2015.08]]/t_Parts[[NetPPH]:[NetPPH]]),0)</f>
        <v>13.380913547237077</v>
      </c>
      <c r="CR7" s="20">
        <f>IF(AND(AL$2&gt;=VALUE(t_Parts[[SOP]:[SOP]]),AL$2&lt;=VALUE(t_Parts[[EOP]:[EOP]])), t_Parts[[SetupHrsPerMo]:[SetupHrsPerMo]]+(t_Parts[[#This Row],[pv2015.09]]/t_Parts[[NetPPH]:[NetPPH]]),0)</f>
        <v>16.267348484848483</v>
      </c>
      <c r="CS7" s="20">
        <f>IF(AND(AM$2&gt;=VALUE(t_Parts[[SOP]:[SOP]]),AM$2&lt;=VALUE(t_Parts[[EOP]:[EOP]])), t_Parts[[SetupHrsPerMo]:[SetupHrsPerMo]]+(t_Parts[[#This Row],[pv2015.10]]/t_Parts[[NetPPH]:[NetPPH]]),0)</f>
        <v>13.020109180035652</v>
      </c>
      <c r="CT7" s="20">
        <f>IF(AND(AN$2&gt;=VALUE(t_Parts[[SOP]:[SOP]]),AN$2&lt;=VALUE(t_Parts[[EOP]:[EOP]])), t_Parts[[SetupHrsPerMo]:[SetupHrsPerMo]]+(t_Parts[[#This Row],[pv2015.11]]/t_Parts[[NetPPH]:[NetPPH]]),0)</f>
        <v>13.380913547237077</v>
      </c>
      <c r="CU7" s="20">
        <f>IF(AND(AO$2&gt;=VALUE(t_Parts[[SOP]:[SOP]]),AO$2&lt;=VALUE(t_Parts[[EOP]:[EOP]])), t_Parts[[SetupHrsPerMo]:[SetupHrsPerMo]]+(t_Parts[[#This Row],[pv2015.12]]/t_Parts[[NetPPH]:[NetPPH]]),0)</f>
        <v>16.267348484848483</v>
      </c>
      <c r="CV7" s="20">
        <f>SUM(t_Parts[[#This Row],[hp2015.01]:[hp2015.12]])</f>
        <v>170.67348484848486</v>
      </c>
      <c r="CW7" s="20">
        <f>IF(AND(AQ$2&gt;=VALUE(t_Parts[[SOP]:[SOP]]),AQ$2&lt;=VALUE(t_Parts[[EOP]:[EOP]])), t_Parts[[SetupHrsPerMo]:[SetupHrsPerMo]]+(t_Parts[[#This Row],[pv2016.01]]/t_Parts[[NetPPH]:[NetPPH]]),0)</f>
        <v>0</v>
      </c>
      <c r="CX7" s="20">
        <f>IF(AND(AR$2&gt;=VALUE(t_Parts[[SOP]:[SOP]]),AR$2&lt;=VALUE(t_Parts[[EOP]:[EOP]])), t_Parts[[SetupHrsPerMo]:[SetupHrsPerMo]]+(t_Parts[[#This Row],[pv2016.02]]/t_Parts[[NetPPH]:[NetPPH]]),0)</f>
        <v>0</v>
      </c>
      <c r="CY7" s="20">
        <f>IF(AND(AS$2&gt;=VALUE(t_Parts[[SOP]:[SOP]]),AS$2&lt;=VALUE(t_Parts[[EOP]:[EOP]])), t_Parts[[SetupHrsPerMo]:[SetupHrsPerMo]]+(t_Parts[[#This Row],[pv2016.03]]/t_Parts[[NetPPH]:[NetPPH]]),0)</f>
        <v>0</v>
      </c>
      <c r="CZ7" s="20">
        <f>IF(AND(AT$2&gt;=VALUE(t_Parts[[SOP]:[SOP]]),AT$2&lt;=VALUE(t_Parts[[EOP]:[EOP]])), t_Parts[[SetupHrsPerMo]:[SetupHrsPerMo]]+(t_Parts[[#This Row],[pv2016.04]]/t_Parts[[NetPPH]:[NetPPH]]),0)</f>
        <v>0</v>
      </c>
      <c r="DA7" s="20">
        <f>IF(AND(AU$2&gt;=VALUE(t_Parts[[SOP]:[SOP]]),AU$2&lt;=VALUE(t_Parts[[EOP]:[EOP]])), t_Parts[[SetupHrsPerMo]:[SetupHrsPerMo]]+(t_Parts[[#This Row],[pv2016.05]]/t_Parts[[NetPPH]:[NetPPH]]),0)</f>
        <v>0</v>
      </c>
      <c r="DB7" s="20">
        <f>IF(AND(AV$2&gt;=VALUE(t_Parts[[SOP]:[SOP]]),AV$2&lt;=VALUE(t_Parts[[EOP]:[EOP]])), t_Parts[[SetupHrsPerMo]:[SetupHrsPerMo]]+(t_Parts[[#This Row],[pv2016.06]]/t_Parts[[NetPPH]:[NetPPH]]),0)</f>
        <v>0</v>
      </c>
      <c r="DC7" s="20">
        <f>IF(AND(AW$2&gt;=VALUE(t_Parts[[SOP]:[SOP]]),AW$2&lt;=VALUE(t_Parts[[EOP]:[EOP]])), t_Parts[[SetupHrsPerMo]:[SetupHrsPerMo]]+(t_Parts[[#This Row],[pv2016.07]]/t_Parts[[NetPPH]:[NetPPH]]),0)</f>
        <v>0</v>
      </c>
      <c r="DD7" s="20">
        <f>IF(AND(AX$2&gt;=VALUE(t_Parts[[SOP]:[SOP]]),AX$2&lt;=VALUE(t_Parts[[EOP]:[EOP]])), t_Parts[[SetupHrsPerMo]:[SetupHrsPerMo]]+(t_Parts[[#This Row],[pv2016.08]]/t_Parts[[NetPPH]:[NetPPH]]),0)</f>
        <v>0</v>
      </c>
      <c r="DE7" s="20">
        <f>IF(AND(AY$2&gt;=VALUE(t_Parts[[SOP]:[SOP]]),AY$2&lt;=VALUE(t_Parts[[EOP]:[EOP]])), t_Parts[[SetupHrsPerMo]:[SetupHrsPerMo]]+(t_Parts[[#This Row],[pv2016.09]]/t_Parts[[NetPPH]:[NetPPH]]),0)</f>
        <v>0</v>
      </c>
      <c r="DF7" s="20">
        <f>IF(AND(AZ$2&gt;=VALUE(t_Parts[[SOP]:[SOP]]),AZ$2&lt;=VALUE(t_Parts[[EOP]:[EOP]])), t_Parts[[SetupHrsPerMo]:[SetupHrsPerMo]]+(t_Parts[[#This Row],[pv2016.10]]/t_Parts[[NetPPH]:[NetPPH]]),0)</f>
        <v>0</v>
      </c>
      <c r="DG7" s="20">
        <f>IF(AND(BA$2&gt;=VALUE(t_Parts[[SOP]:[SOP]]),BA$2&lt;=VALUE(t_Parts[[EOP]:[EOP]])), t_Parts[[SetupHrsPerMo]:[SetupHrsPerMo]]+(t_Parts[[#This Row],[pv2016.11]]/t_Parts[[NetPPH]:[NetPPH]]),0)</f>
        <v>0</v>
      </c>
      <c r="DH7" s="20">
        <f>IF(AND(BB$2&gt;=VALUE(t_Parts[[SOP]:[SOP]]),BB$2&lt;=VALUE(t_Parts[[EOP]:[EOP]])), t_Parts[[SetupHrsPerMo]:[SetupHrsPerMo]]+(t_Parts[[#This Row],[pv2016.12]]/t_Parts[[NetPPH]:[NetPPH]]),0)</f>
        <v>0</v>
      </c>
      <c r="DI7" s="20">
        <f>SUM(t_Parts[[#This Row],[hp2016.01]:[hp2016.12]])</f>
        <v>0</v>
      </c>
      <c r="DJ7" s="20">
        <f>IF(AND(BD$2&gt;=VALUE(t_Parts[[SOP]:[SOP]]),BD$2&lt;=VALUE(t_Parts[[EOP]:[EOP]])), 12*t_Parts[[SetupHrsPerMo]:[SetupHrsPerMo]]+(t_Parts[[#This Row],[pv2017]]/t_Parts[[NetPPH]:[NetPPH]]),0)</f>
        <v>0</v>
      </c>
      <c r="DK7" s="20">
        <f>IF(AND(BE$2&gt;=VALUE(t_Parts[[SOP]:[SOP]]),BE$2&lt;=VALUE(t_Parts[[EOP]:[EOP]])), 12*t_Parts[[SetupHrsPerMo]:[SetupHrsPerMo]]+(t_Parts[[#This Row],[pv2018]]/t_Parts[[NetPPH]:[NetPPH]]),0)</f>
        <v>0</v>
      </c>
      <c r="DL7" s="20">
        <f>IF(AND(BF$2&gt;=VALUE(t_Parts[[SOP]:[SOP]]),BF$2&lt;=VALUE(t_Parts[[EOP]:[EOP]])), 12*t_Parts[[SetupHrsPerMo]:[SetupHrsPerMo]]+(t_Parts[[#This Row],[pv2019]]/t_Parts[[NetPPH]:[NetPPH]]),0)</f>
        <v>0</v>
      </c>
      <c r="DM7" s="15">
        <f>t_Parts[[#This Row],[hp2015.01]]/t_Parts[[#This Row],[ha2015.01]]</f>
        <v>5.2080436720142606E-2</v>
      </c>
      <c r="DN7" s="15">
        <f>t_Parts[[#This Row],[hp2015.02]]/t_Parts[[#This Row],[ha2015.02]]</f>
        <v>5.1465052104757984E-2</v>
      </c>
      <c r="DO7" s="15">
        <f>t_Parts[[#This Row],[hp2015.03]]/t_Parts[[#This Row],[ha2015.03]]</f>
        <v>4.784514260249554E-2</v>
      </c>
      <c r="DP7" s="15">
        <f>t_Parts[[#This Row],[hp2015.04]]/t_Parts[[#This Row],[ha2015.04]]</f>
        <v>5.2080436720142606E-2</v>
      </c>
      <c r="DQ7" s="15">
        <f>t_Parts[[#This Row],[hp2015.05]]/t_Parts[[#This Row],[ha2015.05]]</f>
        <v>5.1465052104757984E-2</v>
      </c>
      <c r="DR7" s="15">
        <f>t_Parts[[#This Row],[hp2015.06]]/t_Parts[[#This Row],[ha2015.06]]</f>
        <v>4.784514260249554E-2</v>
      </c>
      <c r="DS7" s="15">
        <f>t_Parts[[#This Row],[hp2015.07]]/t_Parts[[#This Row],[ha2015.07]]</f>
        <v>5.2080436720142606E-2</v>
      </c>
      <c r="DT7" s="15">
        <f>t_Parts[[#This Row],[hp2015.08]]/t_Parts[[#This Row],[ha2015.08]]</f>
        <v>5.1465052104757984E-2</v>
      </c>
      <c r="DU7" s="15">
        <f>t_Parts[[#This Row],[hp2015.09]]/t_Parts[[#This Row],[ha2015.09]]</f>
        <v>4.784514260249554E-2</v>
      </c>
      <c r="DV7" s="15">
        <f>t_Parts[[#This Row],[hp2015.10]]/t_Parts[[#This Row],[ha2015.10]]</f>
        <v>5.2080436720142606E-2</v>
      </c>
      <c r="DW7" s="15">
        <f>t_Parts[[#This Row],[hp2015.11]]/t_Parts[[#This Row],[ha2015.11]]</f>
        <v>5.1465052104757984E-2</v>
      </c>
      <c r="DX7" s="15">
        <f>t_Parts[[#This Row],[hp2015.12]]/t_Parts[[#This Row],[ha2015.12]]</f>
        <v>4.784514260249554E-2</v>
      </c>
      <c r="DY7" s="15">
        <f>t_Parts[[#This Row],[hp2015.FY]]/t_Parts[[#This Row],[ha2015.FY]]</f>
        <v>5.0198083778966139E-2</v>
      </c>
      <c r="DZ7" s="15">
        <f>t_Parts[[#This Row],[hp2016.01]]/t_Parts[[#This Row],[ha2016.01]]</f>
        <v>0</v>
      </c>
      <c r="EA7" s="15">
        <f>t_Parts[[#This Row],[hp2016.02]]/t_Parts[[#This Row],[ha2016.02]]</f>
        <v>0</v>
      </c>
      <c r="EB7" s="15">
        <f>t_Parts[[#This Row],[hp2016.03]]/t_Parts[[#This Row],[ha2016.03]]</f>
        <v>0</v>
      </c>
      <c r="EC7" s="15">
        <f>t_Parts[[#This Row],[hp2016.04]]/t_Parts[[#This Row],[ha2016.04]]</f>
        <v>0</v>
      </c>
      <c r="ED7" s="15">
        <f>t_Parts[[#This Row],[hp2016.05]]/t_Parts[[#This Row],[ha2016.05]]</f>
        <v>0</v>
      </c>
      <c r="EE7" s="15">
        <f>t_Parts[[#This Row],[hp2016.06]]/t_Parts[[#This Row],[ha2016.06]]</f>
        <v>0</v>
      </c>
      <c r="EF7" s="15">
        <f>t_Parts[[#This Row],[hp2016.07]]/t_Parts[[#This Row],[ha2016.07]]</f>
        <v>0</v>
      </c>
      <c r="EG7" s="15">
        <f>t_Parts[[#This Row],[hp2016.08]]/t_Parts[[#This Row],[ha2016.08]]</f>
        <v>0</v>
      </c>
      <c r="EH7" s="15">
        <f>t_Parts[[#This Row],[hp2016.09]]/t_Parts[[#This Row],[ha2016.09]]</f>
        <v>0</v>
      </c>
      <c r="EI7" s="15">
        <f>t_Parts[[#This Row],[hp2016.10]]/t_Parts[[#This Row],[ha2016.10]]</f>
        <v>0</v>
      </c>
      <c r="EJ7" s="15">
        <f>t_Parts[[#This Row],[hp2016.11]]/t_Parts[[#This Row],[ha2016.11]]</f>
        <v>0</v>
      </c>
      <c r="EK7" s="15">
        <f>t_Parts[[#This Row],[hp2016.12]]/t_Parts[[#This Row],[ha2016.12]]</f>
        <v>0</v>
      </c>
      <c r="EL7" s="15">
        <f>t_Parts[[#This Row],[hp2016.FY]]/t_Parts[[#This Row],[ha2016.FY]]</f>
        <v>0</v>
      </c>
      <c r="EM7" s="15">
        <f>t_Parts[[#This Row],[hp2017]]/t_Parts[[#This Row],[ha2017]]</f>
        <v>0</v>
      </c>
      <c r="EN7" s="15">
        <f>t_Parts[[#This Row],[hp2018]]/t_Parts[[#This Row],[ha2018]]</f>
        <v>0</v>
      </c>
      <c r="EO7" s="15">
        <f>t_Parts[[#This Row],[hp2019]]/t_Parts[[#This Row],[hp2015.01]]</f>
        <v>0</v>
      </c>
      <c r="EP7" s="68">
        <f>(t_Parts[[#This Row],[ha2015.01]]-t_Parts[[#This Row],[hp2015.01]])*t_Parts[[NetPPH]:[NetPPH]]</f>
        <v>312813.45588235295</v>
      </c>
      <c r="EQ7" s="68">
        <f>(t_Parts[[#This Row],[ha2015.02]]-t_Parts[[#This Row],[hp2015.02]])*t_Parts[[NetPPH]:[NetPPH]]</f>
        <v>325537.19411764707</v>
      </c>
      <c r="ER7" s="68">
        <f>(t_Parts[[#This Row],[ha2015.03]]-t_Parts[[#This Row],[hp2015.03]])*t_Parts[[NetPPH]:[NetPPH]]</f>
        <v>427327.10000000003</v>
      </c>
      <c r="ES7" s="68">
        <f>(t_Parts[[#This Row],[ha2015.04]]-t_Parts[[#This Row],[hp2015.04]])*t_Parts[[NetPPH]:[NetPPH]]</f>
        <v>312813.45588235295</v>
      </c>
      <c r="ET7" s="68">
        <f>(t_Parts[[#This Row],[ha2015.05]]-t_Parts[[#This Row],[hp2015.05]])*t_Parts[[NetPPH]:[NetPPH]]</f>
        <v>325537.19411764707</v>
      </c>
      <c r="EU7" s="68">
        <f>(t_Parts[[#This Row],[ha2015.06]]-t_Parts[[#This Row],[hp2015.06]])*t_Parts[[NetPPH]:[NetPPH]]</f>
        <v>427327.10000000003</v>
      </c>
      <c r="EV7" s="68">
        <f>(t_Parts[[#This Row],[ha2015.07]]-t_Parts[[#This Row],[hp2015.07]])*t_Parts[[NetPPH]:[NetPPH]]</f>
        <v>312813.45588235295</v>
      </c>
      <c r="EW7" s="68">
        <f>(t_Parts[[#This Row],[ha2015.08]]-t_Parts[[#This Row],[hp2015.08]])*t_Parts[[NetPPH]:[NetPPH]]</f>
        <v>325537.19411764707</v>
      </c>
      <c r="EX7" s="68">
        <f>(t_Parts[[#This Row],[ha2015.09]]-t_Parts[[#This Row],[hp2015.09]])*t_Parts[[NetPPH]:[NetPPH]]</f>
        <v>427327.10000000003</v>
      </c>
      <c r="EY7" s="68">
        <f>(t_Parts[[#This Row],[ha2015.10]]-t_Parts[[#This Row],[hp2015.10]])*t_Parts[[NetPPH]:[NetPPH]]</f>
        <v>312813.45588235295</v>
      </c>
      <c r="EZ7" s="68">
        <f>(t_Parts[[#This Row],[ha2015.11]]-t_Parts[[#This Row],[hp2015.11]])*t_Parts[[NetPPH]:[NetPPH]]</f>
        <v>325537.19411764707</v>
      </c>
      <c r="FA7" s="68">
        <f>(t_Parts[[#This Row],[ha2015.12]]-t_Parts[[#This Row],[hp2015.12]])*t_Parts[[NetPPH]:[NetPPH]]</f>
        <v>427327.10000000003</v>
      </c>
      <c r="FB7" s="68">
        <f>(t_Parts[[#This Row],[ha2015.FY]]-t_Parts[[#This Row],[hp2015.FY]])*t_Parts[[NetPPH]:[NetPPH]]</f>
        <v>4262711</v>
      </c>
      <c r="FC7" s="68">
        <f>(t_Parts[[#This Row],[ha2016.01]]-t_Parts[[#This Row],[hp2016.01]])*t_Parts[[NetPPH]:[NetPPH]]</f>
        <v>330000</v>
      </c>
      <c r="FD7" s="68">
        <f>(t_Parts[[#This Row],[ha2016.02]]-t_Parts[[#This Row],[hp2016.02]])*t_Parts[[NetPPH]:[NetPPH]]</f>
        <v>316800</v>
      </c>
      <c r="FE7" s="68">
        <f>(t_Parts[[#This Row],[ha2016.03]]-t_Parts[[#This Row],[hp2016.03]])*t_Parts[[NetPPH]:[NetPPH]]</f>
        <v>448800</v>
      </c>
      <c r="FF7" s="68">
        <f>(t_Parts[[#This Row],[ha2016.04]]-t_Parts[[#This Row],[hp2016.04]])*t_Parts[[NetPPH]:[NetPPH]]</f>
        <v>330000</v>
      </c>
      <c r="FG7" s="68">
        <f>(t_Parts[[#This Row],[ha2016.05]]-t_Parts[[#This Row],[hp2016.05]])*t_Parts[[NetPPH]:[NetPPH]]</f>
        <v>343200</v>
      </c>
      <c r="FH7" s="68">
        <f>(t_Parts[[#This Row],[ha2016.06]]-t_Parts[[#This Row],[hp2016.06]])*t_Parts[[NetPPH]:[NetPPH]]</f>
        <v>448800</v>
      </c>
      <c r="FI7" s="68">
        <f>(t_Parts[[#This Row],[ha2016.07]]-t_Parts[[#This Row],[hp2016.07]])*t_Parts[[NetPPH]:[NetPPH]]</f>
        <v>330000</v>
      </c>
      <c r="FJ7" s="68">
        <f>(t_Parts[[#This Row],[ha2016.08]]-t_Parts[[#This Row],[hp2016.08]])*t_Parts[[NetPPH]:[NetPPH]]</f>
        <v>343200</v>
      </c>
      <c r="FK7" s="68">
        <f>(t_Parts[[#This Row],[ha2016.09]]-t_Parts[[#This Row],[hp2016.09]])*t_Parts[[NetPPH]:[NetPPH]]</f>
        <v>448800</v>
      </c>
      <c r="FL7" s="68">
        <f>(t_Parts[[#This Row],[ha2016.10]]-t_Parts[[#This Row],[hp2016.10]])*t_Parts[[NetPPH]:[NetPPH]]</f>
        <v>330000</v>
      </c>
      <c r="FM7" s="68">
        <f>(t_Parts[[#This Row],[ha2016.11]]-t_Parts[[#This Row],[hp2016.11]])*t_Parts[[NetPPH]:[NetPPH]]</f>
        <v>290400</v>
      </c>
      <c r="FN7" s="68">
        <f>(t_Parts[[#This Row],[ha2016.12]]-t_Parts[[#This Row],[hp2016.12]])*t_Parts[[NetPPH]:[NetPPH]]</f>
        <v>396000</v>
      </c>
      <c r="FO7" s="68">
        <f>(t_Parts[[#This Row],[ha2016.FY]]-t_Parts[[#This Row],[hp2016.FY]])*t_Parts[[NetPPH]:[NetPPH]]</f>
        <v>4356000</v>
      </c>
      <c r="FP7" s="68">
        <f>(t_Parts[[#This Row],[ha2017]]-t_Parts[[#This Row],[hp2017]])*t_Parts[[NetPPH]:[NetPPH]]</f>
        <v>4356000</v>
      </c>
      <c r="FQ7" s="68">
        <f>(t_Parts[[#This Row],[ha2018]]-t_Parts[[#This Row],[hp2018]])*t_Parts[[NetPPH]:[NetPPH]]</f>
        <v>4356000</v>
      </c>
      <c r="FR7" s="68">
        <f>(t_Parts[[#This Row],[ha2019]]-t_Parts[[#This Row],[hp2019]])*t_Parts[[NetPPH]:[NetPPH]]</f>
        <v>4356000</v>
      </c>
    </row>
    <row r="8" spans="1:174" x14ac:dyDescent="0.25">
      <c r="A8" s="16" t="s">
        <v>170</v>
      </c>
      <c r="B8" s="16">
        <v>21013</v>
      </c>
      <c r="C8">
        <v>1</v>
      </c>
      <c r="D8" s="20">
        <v>2400</v>
      </c>
      <c r="E8" s="25">
        <v>1</v>
      </c>
      <c r="F8" s="26">
        <v>1</v>
      </c>
      <c r="G8" t="s">
        <v>16</v>
      </c>
      <c r="H8" t="s">
        <v>94</v>
      </c>
      <c r="I8" s="20">
        <v>225006</v>
      </c>
      <c r="J8" s="20"/>
      <c r="K8" s="20"/>
      <c r="L8" s="20"/>
      <c r="M8" s="20"/>
      <c r="N8" s="20"/>
      <c r="O8" s="20"/>
      <c r="P8" s="25"/>
      <c r="Q8" s="20"/>
      <c r="R8" s="26"/>
      <c r="S8" s="16"/>
      <c r="T8" s="27"/>
      <c r="U8" t="s">
        <v>115</v>
      </c>
      <c r="V8" t="str">
        <f>VLOOKUP(t_Parts[[#This Row],[Press]],t_Presses[],Press!B$1,FALSE)</f>
        <v>Plainfield</v>
      </c>
      <c r="W8" t="str">
        <f>VLOOKUP(t_Parts[[#This Row],[Press]],t_Presses[],Press!E$1,FALSE)</f>
        <v>0-299</v>
      </c>
      <c r="X8" s="15">
        <f>VLOOKUP(t_Parts[[#This Row],[Plant]],t_Plants[],Plants!C$1,FALSE)</f>
        <v>0.55000000000000004</v>
      </c>
      <c r="Y8" s="15">
        <f>VLOOKUP(t_Parts[[#This Row],[Press]],t_Presses[],Press!F$1,FALSE)</f>
        <v>0</v>
      </c>
      <c r="Z8" s="15"/>
      <c r="AA8" s="15">
        <f>IF(ISBLANK(t_Parts[[#This Row],[PartOEE]])=FALSE,t_Parts[[#This Row],[PartOEE]], IF(t_Parts[[#This Row],[PressOEE]]&gt;0, t_Parts[[#This Row],[PressOEE]], t_Parts[[#This Row],[PlantOEE]] ))</f>
        <v>0.55000000000000004</v>
      </c>
      <c r="AB8" s="25">
        <f>t_Parts[[#This Row],[SetupsPerMo]]*t_Parts[[#This Row],[SetupHrs]]</f>
        <v>1</v>
      </c>
      <c r="AC8" s="20">
        <f>(t_Parts[[#This Row],[UnitsPerCycle]]*t_Parts[[#This Row],[CyclesPerHr]])*t_Parts[[#This Row],[UseOEE]]</f>
        <v>1320</v>
      </c>
      <c r="AD8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16544.558823529413</v>
      </c>
      <c r="AE8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17206.341176470589</v>
      </c>
      <c r="AF8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22500.6</v>
      </c>
      <c r="AG8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16544.558823529413</v>
      </c>
      <c r="AH8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17206.341176470589</v>
      </c>
      <c r="AI8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22500.6</v>
      </c>
      <c r="AJ8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16544.558823529413</v>
      </c>
      <c r="AK8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17206.341176470589</v>
      </c>
      <c r="AL8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22500.6</v>
      </c>
      <c r="AM8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16544.558823529413</v>
      </c>
      <c r="AN8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17206.341176470589</v>
      </c>
      <c r="AO8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22500.6</v>
      </c>
      <c r="AP8" s="20">
        <f>SUM(t_Parts[[#This Row],[pv2015.01]:[pv2015.12]])</f>
        <v>225006</v>
      </c>
      <c r="AQ8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8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8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8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8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8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8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8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8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8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8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8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8" s="20">
        <f>SUM(t_Parts[[#This Row],[pv2016.01]:[pv2016.12]])</f>
        <v>0</v>
      </c>
      <c r="BD8" s="20">
        <f>t_Parts[[#This Row],[2017vol]]</f>
        <v>0</v>
      </c>
      <c r="BE8" s="20">
        <f>t_Parts[[#This Row],[2018vol]]</f>
        <v>0</v>
      </c>
      <c r="BF8" s="20">
        <f>t_Parts[[#This Row],[2019vol]]</f>
        <v>0</v>
      </c>
      <c r="BG8">
        <f>VLOOKUP(t_Parts[[Plant]:[Plant]],t_Plants[],Plants!CM$1,FALSE)</f>
        <v>250</v>
      </c>
      <c r="BH8">
        <f>VLOOKUP(t_Parts[[Plant]:[Plant]],t_Plants[],Plants!CN$1,FALSE)</f>
        <v>260</v>
      </c>
      <c r="BI8">
        <f>VLOOKUP(t_Parts[[Plant]:[Plant]],t_Plants[],Plants!CO$1,FALSE)</f>
        <v>340</v>
      </c>
      <c r="BJ8">
        <f>VLOOKUP(t_Parts[[Plant]:[Plant]],t_Plants[],Plants!CP$1,FALSE)</f>
        <v>250</v>
      </c>
      <c r="BK8">
        <f>VLOOKUP(t_Parts[[Plant]:[Plant]],t_Plants[],Plants!CQ$1,FALSE)</f>
        <v>260</v>
      </c>
      <c r="BL8">
        <f>VLOOKUP(t_Parts[[Plant]:[Plant]],t_Plants[],Plants!CR$1,FALSE)</f>
        <v>340</v>
      </c>
      <c r="BM8">
        <f>VLOOKUP(t_Parts[[Plant]:[Plant]],t_Plants[],Plants!CS$1,FALSE)</f>
        <v>250</v>
      </c>
      <c r="BN8">
        <f>VLOOKUP(t_Parts[[Plant]:[Plant]],t_Plants[],Plants!CT$1,FALSE)</f>
        <v>260</v>
      </c>
      <c r="BO8">
        <f>VLOOKUP(t_Parts[[Plant]:[Plant]],t_Plants[],Plants!CU$1,FALSE)</f>
        <v>340</v>
      </c>
      <c r="BP8">
        <f>VLOOKUP(t_Parts[[Plant]:[Plant]],t_Plants[],Plants!CV$1,FALSE)</f>
        <v>250</v>
      </c>
      <c r="BQ8">
        <f>VLOOKUP(t_Parts[[Plant]:[Plant]],t_Plants[],Plants!CW$1,FALSE)</f>
        <v>260</v>
      </c>
      <c r="BR8">
        <f>VLOOKUP(t_Parts[[Plant]:[Plant]],t_Plants[],Plants!CX$1,FALSE)</f>
        <v>340</v>
      </c>
      <c r="BS8">
        <f>SUM(t_Parts[[#This Row],[ha2015.01]:[ha2015.12]])</f>
        <v>3400</v>
      </c>
      <c r="BT8">
        <f>VLOOKUP(t_Parts[[Plant]:[Plant]],t_Plants[],Plants!CZ$1,FALSE)</f>
        <v>250</v>
      </c>
      <c r="BU8">
        <f>VLOOKUP(t_Parts[[Plant]:[Plant]],t_Plants[],Plants!DA$1,FALSE)</f>
        <v>240</v>
      </c>
      <c r="BV8">
        <f>VLOOKUP(t_Parts[[Plant]:[Plant]],t_Plants[],Plants!DB$1,FALSE)</f>
        <v>340</v>
      </c>
      <c r="BW8">
        <f>VLOOKUP(t_Parts[[Plant]:[Plant]],t_Plants[],Plants!DC$1,FALSE)</f>
        <v>250</v>
      </c>
      <c r="BX8">
        <f>VLOOKUP(t_Parts[[Plant]:[Plant]],t_Plants[],Plants!DD$1,FALSE)</f>
        <v>260</v>
      </c>
      <c r="BY8">
        <f>VLOOKUP(t_Parts[[Plant]:[Plant]],t_Plants[],Plants!DE$1,FALSE)</f>
        <v>340</v>
      </c>
      <c r="BZ8">
        <f>VLOOKUP(t_Parts[[Plant]:[Plant]],t_Plants[],Plants!DF$1,FALSE)</f>
        <v>250</v>
      </c>
      <c r="CA8">
        <f>VLOOKUP(t_Parts[[Plant]:[Plant]],t_Plants[],Plants!DG$1,FALSE)</f>
        <v>260</v>
      </c>
      <c r="CB8">
        <f>VLOOKUP(t_Parts[[Plant]:[Plant]],t_Plants[],Plants!DH$1,FALSE)</f>
        <v>340</v>
      </c>
      <c r="CC8">
        <f>VLOOKUP(t_Parts[[Plant]:[Plant]],t_Plants[],Plants!DI$1,FALSE)</f>
        <v>250</v>
      </c>
      <c r="CD8">
        <f>VLOOKUP(t_Parts[[Plant]:[Plant]],t_Plants[],Plants!DJ$1,FALSE)</f>
        <v>220</v>
      </c>
      <c r="CE8">
        <f>VLOOKUP(t_Parts[[Plant]:[Plant]],t_Plants[],Plants!DK$1,FALSE)</f>
        <v>300</v>
      </c>
      <c r="CF8">
        <f>VLOOKUP(t_Parts[[Plant]:[Plant]],t_Plants[],Plants!DL$1,FALSE)</f>
        <v>3300</v>
      </c>
      <c r="CG8">
        <f>VLOOKUP(t_Parts[[Plant]:[Plant]],t_Plants[],Plants!DM$1,FALSE)</f>
        <v>3300</v>
      </c>
      <c r="CH8">
        <f>VLOOKUP(t_Parts[[Plant]:[Plant]],t_Plants[],Plants!DN$1,FALSE)</f>
        <v>3300</v>
      </c>
      <c r="CI8">
        <f>VLOOKUP(t_Parts[[Plant]:[Plant]],t_Plants[],Plants!DO$1,FALSE)</f>
        <v>3300</v>
      </c>
      <c r="CJ8" s="20">
        <f>IF(AND(AD$2&gt;=VALUE(t_Parts[[SOP]:[SOP]]),AD$2&lt;=VALUE(t_Parts[[EOP]:[EOP]])), t_Parts[[SetupHrsPerMo]:[SetupHrsPerMo]]+(t_Parts[[#This Row],[pv2015.01]]/t_Parts[[NetPPH]:[NetPPH]]),0)</f>
        <v>13.53375668449198</v>
      </c>
      <c r="CK8" s="20">
        <f>IF(AND(AE$2&gt;=VALUE(t_Parts[[SOP]:[SOP]]),AE$2&lt;=VALUE(t_Parts[[EOP]:[EOP]])), t_Parts[[SetupHrsPerMo]:[SetupHrsPerMo]]+(t_Parts[[#This Row],[pv2015.02]]/t_Parts[[NetPPH]:[NetPPH]]),0)</f>
        <v>14.035106951871658</v>
      </c>
      <c r="CL8" s="20">
        <f>IF(AND(AF$2&gt;=VALUE(t_Parts[[SOP]:[SOP]]),AF$2&lt;=VALUE(t_Parts[[EOP]:[EOP]])), t_Parts[[SetupHrsPerMo]:[SetupHrsPerMo]]+(t_Parts[[#This Row],[pv2015.03]]/t_Parts[[NetPPH]:[NetPPH]]),0)</f>
        <v>18.045909090909088</v>
      </c>
      <c r="CM8" s="20">
        <f>IF(AND(AG$2&gt;=VALUE(t_Parts[[SOP]:[SOP]]),AG$2&lt;=VALUE(t_Parts[[EOP]:[EOP]])), t_Parts[[SetupHrsPerMo]:[SetupHrsPerMo]]+(t_Parts[[#This Row],[pv2015.04]]/t_Parts[[NetPPH]:[NetPPH]]),0)</f>
        <v>13.53375668449198</v>
      </c>
      <c r="CN8" s="20">
        <f>IF(AND(AH$2&gt;=VALUE(t_Parts[[SOP]:[SOP]]),AH$2&lt;=VALUE(t_Parts[[EOP]:[EOP]])), t_Parts[[SetupHrsPerMo]:[SetupHrsPerMo]]+(t_Parts[[#This Row],[pv2015.05]]/t_Parts[[NetPPH]:[NetPPH]]),0)</f>
        <v>14.035106951871658</v>
      </c>
      <c r="CO8" s="20">
        <f>IF(AND(AI$2&gt;=VALUE(t_Parts[[SOP]:[SOP]]),AI$2&lt;=VALUE(t_Parts[[EOP]:[EOP]])), t_Parts[[SetupHrsPerMo]:[SetupHrsPerMo]]+(t_Parts[[#This Row],[pv2015.06]]/t_Parts[[NetPPH]:[NetPPH]]),0)</f>
        <v>18.045909090909088</v>
      </c>
      <c r="CP8" s="20">
        <f>IF(AND(AJ$2&gt;=VALUE(t_Parts[[SOP]:[SOP]]),AJ$2&lt;=VALUE(t_Parts[[EOP]:[EOP]])), t_Parts[[SetupHrsPerMo]:[SetupHrsPerMo]]+(t_Parts[[#This Row],[pv2015.07]]/t_Parts[[NetPPH]:[NetPPH]]),0)</f>
        <v>13.53375668449198</v>
      </c>
      <c r="CQ8" s="20">
        <f>IF(AND(AK$2&gt;=VALUE(t_Parts[[SOP]:[SOP]]),AK$2&lt;=VALUE(t_Parts[[EOP]:[EOP]])), t_Parts[[SetupHrsPerMo]:[SetupHrsPerMo]]+(t_Parts[[#This Row],[pv2015.08]]/t_Parts[[NetPPH]:[NetPPH]]),0)</f>
        <v>14.035106951871658</v>
      </c>
      <c r="CR8" s="20">
        <f>IF(AND(AL$2&gt;=VALUE(t_Parts[[SOP]:[SOP]]),AL$2&lt;=VALUE(t_Parts[[EOP]:[EOP]])), t_Parts[[SetupHrsPerMo]:[SetupHrsPerMo]]+(t_Parts[[#This Row],[pv2015.09]]/t_Parts[[NetPPH]:[NetPPH]]),0)</f>
        <v>18.045909090909088</v>
      </c>
      <c r="CS8" s="20">
        <f>IF(AND(AM$2&gt;=VALUE(t_Parts[[SOP]:[SOP]]),AM$2&lt;=VALUE(t_Parts[[EOP]:[EOP]])), t_Parts[[SetupHrsPerMo]:[SetupHrsPerMo]]+(t_Parts[[#This Row],[pv2015.10]]/t_Parts[[NetPPH]:[NetPPH]]),0)</f>
        <v>13.53375668449198</v>
      </c>
      <c r="CT8" s="20">
        <f>IF(AND(AN$2&gt;=VALUE(t_Parts[[SOP]:[SOP]]),AN$2&lt;=VALUE(t_Parts[[EOP]:[EOP]])), t_Parts[[SetupHrsPerMo]:[SetupHrsPerMo]]+(t_Parts[[#This Row],[pv2015.11]]/t_Parts[[NetPPH]:[NetPPH]]),0)</f>
        <v>14.035106951871658</v>
      </c>
      <c r="CU8" s="20">
        <f>IF(AND(AO$2&gt;=VALUE(t_Parts[[SOP]:[SOP]]),AO$2&lt;=VALUE(t_Parts[[EOP]:[EOP]])), t_Parts[[SetupHrsPerMo]:[SetupHrsPerMo]]+(t_Parts[[#This Row],[pv2015.12]]/t_Parts[[NetPPH]:[NetPPH]]),0)</f>
        <v>18.045909090909088</v>
      </c>
      <c r="CV8" s="20">
        <f>SUM(t_Parts[[#This Row],[hp2015.01]:[hp2015.12]])</f>
        <v>182.45909090909086</v>
      </c>
      <c r="CW8" s="20">
        <f>IF(AND(AQ$2&gt;=VALUE(t_Parts[[SOP]:[SOP]]),AQ$2&lt;=VALUE(t_Parts[[EOP]:[EOP]])), t_Parts[[SetupHrsPerMo]:[SetupHrsPerMo]]+(t_Parts[[#This Row],[pv2016.01]]/t_Parts[[NetPPH]:[NetPPH]]),0)</f>
        <v>0</v>
      </c>
      <c r="CX8" s="20">
        <f>IF(AND(AR$2&gt;=VALUE(t_Parts[[SOP]:[SOP]]),AR$2&lt;=VALUE(t_Parts[[EOP]:[EOP]])), t_Parts[[SetupHrsPerMo]:[SetupHrsPerMo]]+(t_Parts[[#This Row],[pv2016.02]]/t_Parts[[NetPPH]:[NetPPH]]),0)</f>
        <v>0</v>
      </c>
      <c r="CY8" s="20">
        <f>IF(AND(AS$2&gt;=VALUE(t_Parts[[SOP]:[SOP]]),AS$2&lt;=VALUE(t_Parts[[EOP]:[EOP]])), t_Parts[[SetupHrsPerMo]:[SetupHrsPerMo]]+(t_Parts[[#This Row],[pv2016.03]]/t_Parts[[NetPPH]:[NetPPH]]),0)</f>
        <v>0</v>
      </c>
      <c r="CZ8" s="20">
        <f>IF(AND(AT$2&gt;=VALUE(t_Parts[[SOP]:[SOP]]),AT$2&lt;=VALUE(t_Parts[[EOP]:[EOP]])), t_Parts[[SetupHrsPerMo]:[SetupHrsPerMo]]+(t_Parts[[#This Row],[pv2016.04]]/t_Parts[[NetPPH]:[NetPPH]]),0)</f>
        <v>0</v>
      </c>
      <c r="DA8" s="20">
        <f>IF(AND(AU$2&gt;=VALUE(t_Parts[[SOP]:[SOP]]),AU$2&lt;=VALUE(t_Parts[[EOP]:[EOP]])), t_Parts[[SetupHrsPerMo]:[SetupHrsPerMo]]+(t_Parts[[#This Row],[pv2016.05]]/t_Parts[[NetPPH]:[NetPPH]]),0)</f>
        <v>0</v>
      </c>
      <c r="DB8" s="20">
        <f>IF(AND(AV$2&gt;=VALUE(t_Parts[[SOP]:[SOP]]),AV$2&lt;=VALUE(t_Parts[[EOP]:[EOP]])), t_Parts[[SetupHrsPerMo]:[SetupHrsPerMo]]+(t_Parts[[#This Row],[pv2016.06]]/t_Parts[[NetPPH]:[NetPPH]]),0)</f>
        <v>0</v>
      </c>
      <c r="DC8" s="20">
        <f>IF(AND(AW$2&gt;=VALUE(t_Parts[[SOP]:[SOP]]),AW$2&lt;=VALUE(t_Parts[[EOP]:[EOP]])), t_Parts[[SetupHrsPerMo]:[SetupHrsPerMo]]+(t_Parts[[#This Row],[pv2016.07]]/t_Parts[[NetPPH]:[NetPPH]]),0)</f>
        <v>0</v>
      </c>
      <c r="DD8" s="20">
        <f>IF(AND(AX$2&gt;=VALUE(t_Parts[[SOP]:[SOP]]),AX$2&lt;=VALUE(t_Parts[[EOP]:[EOP]])), t_Parts[[SetupHrsPerMo]:[SetupHrsPerMo]]+(t_Parts[[#This Row],[pv2016.08]]/t_Parts[[NetPPH]:[NetPPH]]),0)</f>
        <v>0</v>
      </c>
      <c r="DE8" s="20">
        <f>IF(AND(AY$2&gt;=VALUE(t_Parts[[SOP]:[SOP]]),AY$2&lt;=VALUE(t_Parts[[EOP]:[EOP]])), t_Parts[[SetupHrsPerMo]:[SetupHrsPerMo]]+(t_Parts[[#This Row],[pv2016.09]]/t_Parts[[NetPPH]:[NetPPH]]),0)</f>
        <v>0</v>
      </c>
      <c r="DF8" s="20">
        <f>IF(AND(AZ$2&gt;=VALUE(t_Parts[[SOP]:[SOP]]),AZ$2&lt;=VALUE(t_Parts[[EOP]:[EOP]])), t_Parts[[SetupHrsPerMo]:[SetupHrsPerMo]]+(t_Parts[[#This Row],[pv2016.10]]/t_Parts[[NetPPH]:[NetPPH]]),0)</f>
        <v>0</v>
      </c>
      <c r="DG8" s="20">
        <f>IF(AND(BA$2&gt;=VALUE(t_Parts[[SOP]:[SOP]]),BA$2&lt;=VALUE(t_Parts[[EOP]:[EOP]])), t_Parts[[SetupHrsPerMo]:[SetupHrsPerMo]]+(t_Parts[[#This Row],[pv2016.11]]/t_Parts[[NetPPH]:[NetPPH]]),0)</f>
        <v>0</v>
      </c>
      <c r="DH8" s="20">
        <f>IF(AND(BB$2&gt;=VALUE(t_Parts[[SOP]:[SOP]]),BB$2&lt;=VALUE(t_Parts[[EOP]:[EOP]])), t_Parts[[SetupHrsPerMo]:[SetupHrsPerMo]]+(t_Parts[[#This Row],[pv2016.12]]/t_Parts[[NetPPH]:[NetPPH]]),0)</f>
        <v>0</v>
      </c>
      <c r="DI8" s="20">
        <f>SUM(t_Parts[[#This Row],[hp2016.01]:[hp2016.12]])</f>
        <v>0</v>
      </c>
      <c r="DJ8" s="20">
        <f>IF(AND(BD$2&gt;=VALUE(t_Parts[[SOP]:[SOP]]),BD$2&lt;=VALUE(t_Parts[[EOP]:[EOP]])), 12*t_Parts[[SetupHrsPerMo]:[SetupHrsPerMo]]+(t_Parts[[#This Row],[pv2017]]/t_Parts[[NetPPH]:[NetPPH]]),0)</f>
        <v>0</v>
      </c>
      <c r="DK8" s="20">
        <f>IF(AND(BE$2&gt;=VALUE(t_Parts[[SOP]:[SOP]]),BE$2&lt;=VALUE(t_Parts[[EOP]:[EOP]])), 12*t_Parts[[SetupHrsPerMo]:[SetupHrsPerMo]]+(t_Parts[[#This Row],[pv2018]]/t_Parts[[NetPPH]:[NetPPH]]),0)</f>
        <v>0</v>
      </c>
      <c r="DL8" s="20">
        <f>IF(AND(BF$2&gt;=VALUE(t_Parts[[SOP]:[SOP]]),BF$2&lt;=VALUE(t_Parts[[EOP]:[EOP]])), 12*t_Parts[[SetupHrsPerMo]:[SetupHrsPerMo]]+(t_Parts[[#This Row],[pv2019]]/t_Parts[[NetPPH]:[NetPPH]]),0)</f>
        <v>0</v>
      </c>
      <c r="DM8" s="15">
        <f>t_Parts[[#This Row],[hp2015.01]]/t_Parts[[#This Row],[ha2015.01]]</f>
        <v>5.4135026737967919E-2</v>
      </c>
      <c r="DN8" s="15">
        <f>t_Parts[[#This Row],[hp2015.02]]/t_Parts[[#This Row],[ha2015.02]]</f>
        <v>5.3981180584121762E-2</v>
      </c>
      <c r="DO8" s="15">
        <f>t_Parts[[#This Row],[hp2015.03]]/t_Parts[[#This Row],[ha2015.03]]</f>
        <v>5.307620320855614E-2</v>
      </c>
      <c r="DP8" s="15">
        <f>t_Parts[[#This Row],[hp2015.04]]/t_Parts[[#This Row],[ha2015.04]]</f>
        <v>5.4135026737967919E-2</v>
      </c>
      <c r="DQ8" s="15">
        <f>t_Parts[[#This Row],[hp2015.05]]/t_Parts[[#This Row],[ha2015.05]]</f>
        <v>5.3981180584121762E-2</v>
      </c>
      <c r="DR8" s="15">
        <f>t_Parts[[#This Row],[hp2015.06]]/t_Parts[[#This Row],[ha2015.06]]</f>
        <v>5.307620320855614E-2</v>
      </c>
      <c r="DS8" s="15">
        <f>t_Parts[[#This Row],[hp2015.07]]/t_Parts[[#This Row],[ha2015.07]]</f>
        <v>5.4135026737967919E-2</v>
      </c>
      <c r="DT8" s="15">
        <f>t_Parts[[#This Row],[hp2015.08]]/t_Parts[[#This Row],[ha2015.08]]</f>
        <v>5.3981180584121762E-2</v>
      </c>
      <c r="DU8" s="15">
        <f>t_Parts[[#This Row],[hp2015.09]]/t_Parts[[#This Row],[ha2015.09]]</f>
        <v>5.307620320855614E-2</v>
      </c>
      <c r="DV8" s="15">
        <f>t_Parts[[#This Row],[hp2015.10]]/t_Parts[[#This Row],[ha2015.10]]</f>
        <v>5.4135026737967919E-2</v>
      </c>
      <c r="DW8" s="15">
        <f>t_Parts[[#This Row],[hp2015.11]]/t_Parts[[#This Row],[ha2015.11]]</f>
        <v>5.3981180584121762E-2</v>
      </c>
      <c r="DX8" s="15">
        <f>t_Parts[[#This Row],[hp2015.12]]/t_Parts[[#This Row],[ha2015.12]]</f>
        <v>5.307620320855614E-2</v>
      </c>
      <c r="DY8" s="15">
        <f>t_Parts[[#This Row],[hp2015.FY]]/t_Parts[[#This Row],[ha2015.FY]]</f>
        <v>5.3664438502673779E-2</v>
      </c>
      <c r="DZ8" s="15">
        <f>t_Parts[[#This Row],[hp2016.01]]/t_Parts[[#This Row],[ha2016.01]]</f>
        <v>0</v>
      </c>
      <c r="EA8" s="15">
        <f>t_Parts[[#This Row],[hp2016.02]]/t_Parts[[#This Row],[ha2016.02]]</f>
        <v>0</v>
      </c>
      <c r="EB8" s="15">
        <f>t_Parts[[#This Row],[hp2016.03]]/t_Parts[[#This Row],[ha2016.03]]</f>
        <v>0</v>
      </c>
      <c r="EC8" s="15">
        <f>t_Parts[[#This Row],[hp2016.04]]/t_Parts[[#This Row],[ha2016.04]]</f>
        <v>0</v>
      </c>
      <c r="ED8" s="15">
        <f>t_Parts[[#This Row],[hp2016.05]]/t_Parts[[#This Row],[ha2016.05]]</f>
        <v>0</v>
      </c>
      <c r="EE8" s="15">
        <f>t_Parts[[#This Row],[hp2016.06]]/t_Parts[[#This Row],[ha2016.06]]</f>
        <v>0</v>
      </c>
      <c r="EF8" s="15">
        <f>t_Parts[[#This Row],[hp2016.07]]/t_Parts[[#This Row],[ha2016.07]]</f>
        <v>0</v>
      </c>
      <c r="EG8" s="15">
        <f>t_Parts[[#This Row],[hp2016.08]]/t_Parts[[#This Row],[ha2016.08]]</f>
        <v>0</v>
      </c>
      <c r="EH8" s="15">
        <f>t_Parts[[#This Row],[hp2016.09]]/t_Parts[[#This Row],[ha2016.09]]</f>
        <v>0</v>
      </c>
      <c r="EI8" s="15">
        <f>t_Parts[[#This Row],[hp2016.10]]/t_Parts[[#This Row],[ha2016.10]]</f>
        <v>0</v>
      </c>
      <c r="EJ8" s="15">
        <f>t_Parts[[#This Row],[hp2016.11]]/t_Parts[[#This Row],[ha2016.11]]</f>
        <v>0</v>
      </c>
      <c r="EK8" s="15">
        <f>t_Parts[[#This Row],[hp2016.12]]/t_Parts[[#This Row],[ha2016.12]]</f>
        <v>0</v>
      </c>
      <c r="EL8" s="15">
        <f>t_Parts[[#This Row],[hp2016.FY]]/t_Parts[[#This Row],[ha2016.FY]]</f>
        <v>0</v>
      </c>
      <c r="EM8" s="15">
        <f>t_Parts[[#This Row],[hp2017]]/t_Parts[[#This Row],[ha2017]]</f>
        <v>0</v>
      </c>
      <c r="EN8" s="15">
        <f>t_Parts[[#This Row],[hp2018]]/t_Parts[[#This Row],[ha2018]]</f>
        <v>0</v>
      </c>
      <c r="EO8" s="15">
        <f>t_Parts[[#This Row],[hp2019]]/t_Parts[[#This Row],[hp2015.01]]</f>
        <v>0</v>
      </c>
      <c r="EP8" s="68">
        <f>(t_Parts[[#This Row],[ha2015.01]]-t_Parts[[#This Row],[hp2015.01]])*t_Parts[[NetPPH]:[NetPPH]]</f>
        <v>312135.4411764706</v>
      </c>
      <c r="EQ8" s="68">
        <f>(t_Parts[[#This Row],[ha2015.02]]-t_Parts[[#This Row],[hp2015.02]])*t_Parts[[NetPPH]:[NetPPH]]</f>
        <v>324673.65882352943</v>
      </c>
      <c r="ER8" s="68">
        <f>(t_Parts[[#This Row],[ha2015.03]]-t_Parts[[#This Row],[hp2015.03]])*t_Parts[[NetPPH]:[NetPPH]]</f>
        <v>424979.39999999997</v>
      </c>
      <c r="ES8" s="68">
        <f>(t_Parts[[#This Row],[ha2015.04]]-t_Parts[[#This Row],[hp2015.04]])*t_Parts[[NetPPH]:[NetPPH]]</f>
        <v>312135.4411764706</v>
      </c>
      <c r="ET8" s="68">
        <f>(t_Parts[[#This Row],[ha2015.05]]-t_Parts[[#This Row],[hp2015.05]])*t_Parts[[NetPPH]:[NetPPH]]</f>
        <v>324673.65882352943</v>
      </c>
      <c r="EU8" s="68">
        <f>(t_Parts[[#This Row],[ha2015.06]]-t_Parts[[#This Row],[hp2015.06]])*t_Parts[[NetPPH]:[NetPPH]]</f>
        <v>424979.39999999997</v>
      </c>
      <c r="EV8" s="68">
        <f>(t_Parts[[#This Row],[ha2015.07]]-t_Parts[[#This Row],[hp2015.07]])*t_Parts[[NetPPH]:[NetPPH]]</f>
        <v>312135.4411764706</v>
      </c>
      <c r="EW8" s="68">
        <f>(t_Parts[[#This Row],[ha2015.08]]-t_Parts[[#This Row],[hp2015.08]])*t_Parts[[NetPPH]:[NetPPH]]</f>
        <v>324673.65882352943</v>
      </c>
      <c r="EX8" s="68">
        <f>(t_Parts[[#This Row],[ha2015.09]]-t_Parts[[#This Row],[hp2015.09]])*t_Parts[[NetPPH]:[NetPPH]]</f>
        <v>424979.39999999997</v>
      </c>
      <c r="EY8" s="68">
        <f>(t_Parts[[#This Row],[ha2015.10]]-t_Parts[[#This Row],[hp2015.10]])*t_Parts[[NetPPH]:[NetPPH]]</f>
        <v>312135.4411764706</v>
      </c>
      <c r="EZ8" s="68">
        <f>(t_Parts[[#This Row],[ha2015.11]]-t_Parts[[#This Row],[hp2015.11]])*t_Parts[[NetPPH]:[NetPPH]]</f>
        <v>324673.65882352943</v>
      </c>
      <c r="FA8" s="68">
        <f>(t_Parts[[#This Row],[ha2015.12]]-t_Parts[[#This Row],[hp2015.12]])*t_Parts[[NetPPH]:[NetPPH]]</f>
        <v>424979.39999999997</v>
      </c>
      <c r="FB8" s="68">
        <f>(t_Parts[[#This Row],[ha2015.FY]]-t_Parts[[#This Row],[hp2015.FY]])*t_Parts[[NetPPH]:[NetPPH]]</f>
        <v>4247154</v>
      </c>
      <c r="FC8" s="68">
        <f>(t_Parts[[#This Row],[ha2016.01]]-t_Parts[[#This Row],[hp2016.01]])*t_Parts[[NetPPH]:[NetPPH]]</f>
        <v>330000</v>
      </c>
      <c r="FD8" s="68">
        <f>(t_Parts[[#This Row],[ha2016.02]]-t_Parts[[#This Row],[hp2016.02]])*t_Parts[[NetPPH]:[NetPPH]]</f>
        <v>316800</v>
      </c>
      <c r="FE8" s="68">
        <f>(t_Parts[[#This Row],[ha2016.03]]-t_Parts[[#This Row],[hp2016.03]])*t_Parts[[NetPPH]:[NetPPH]]</f>
        <v>448800</v>
      </c>
      <c r="FF8" s="68">
        <f>(t_Parts[[#This Row],[ha2016.04]]-t_Parts[[#This Row],[hp2016.04]])*t_Parts[[NetPPH]:[NetPPH]]</f>
        <v>330000</v>
      </c>
      <c r="FG8" s="68">
        <f>(t_Parts[[#This Row],[ha2016.05]]-t_Parts[[#This Row],[hp2016.05]])*t_Parts[[NetPPH]:[NetPPH]]</f>
        <v>343200</v>
      </c>
      <c r="FH8" s="68">
        <f>(t_Parts[[#This Row],[ha2016.06]]-t_Parts[[#This Row],[hp2016.06]])*t_Parts[[NetPPH]:[NetPPH]]</f>
        <v>448800</v>
      </c>
      <c r="FI8" s="68">
        <f>(t_Parts[[#This Row],[ha2016.07]]-t_Parts[[#This Row],[hp2016.07]])*t_Parts[[NetPPH]:[NetPPH]]</f>
        <v>330000</v>
      </c>
      <c r="FJ8" s="68">
        <f>(t_Parts[[#This Row],[ha2016.08]]-t_Parts[[#This Row],[hp2016.08]])*t_Parts[[NetPPH]:[NetPPH]]</f>
        <v>343200</v>
      </c>
      <c r="FK8" s="68">
        <f>(t_Parts[[#This Row],[ha2016.09]]-t_Parts[[#This Row],[hp2016.09]])*t_Parts[[NetPPH]:[NetPPH]]</f>
        <v>448800</v>
      </c>
      <c r="FL8" s="68">
        <f>(t_Parts[[#This Row],[ha2016.10]]-t_Parts[[#This Row],[hp2016.10]])*t_Parts[[NetPPH]:[NetPPH]]</f>
        <v>330000</v>
      </c>
      <c r="FM8" s="68">
        <f>(t_Parts[[#This Row],[ha2016.11]]-t_Parts[[#This Row],[hp2016.11]])*t_Parts[[NetPPH]:[NetPPH]]</f>
        <v>290400</v>
      </c>
      <c r="FN8" s="68">
        <f>(t_Parts[[#This Row],[ha2016.12]]-t_Parts[[#This Row],[hp2016.12]])*t_Parts[[NetPPH]:[NetPPH]]</f>
        <v>396000</v>
      </c>
      <c r="FO8" s="68">
        <f>(t_Parts[[#This Row],[ha2016.FY]]-t_Parts[[#This Row],[hp2016.FY]])*t_Parts[[NetPPH]:[NetPPH]]</f>
        <v>4356000</v>
      </c>
      <c r="FP8" s="68">
        <f>(t_Parts[[#This Row],[ha2017]]-t_Parts[[#This Row],[hp2017]])*t_Parts[[NetPPH]:[NetPPH]]</f>
        <v>4356000</v>
      </c>
      <c r="FQ8" s="68">
        <f>(t_Parts[[#This Row],[ha2018]]-t_Parts[[#This Row],[hp2018]])*t_Parts[[NetPPH]:[NetPPH]]</f>
        <v>4356000</v>
      </c>
      <c r="FR8" s="68">
        <f>(t_Parts[[#This Row],[ha2019]]-t_Parts[[#This Row],[hp2019]])*t_Parts[[NetPPH]:[NetPPH]]</f>
        <v>4356000</v>
      </c>
    </row>
    <row r="9" spans="1:174" x14ac:dyDescent="0.25">
      <c r="A9" s="16" t="s">
        <v>168</v>
      </c>
      <c r="B9" s="16">
        <v>21014</v>
      </c>
      <c r="C9">
        <v>1</v>
      </c>
      <c r="D9" s="20">
        <v>2400</v>
      </c>
      <c r="E9" s="25">
        <v>1</v>
      </c>
      <c r="F9" s="26">
        <v>1</v>
      </c>
      <c r="G9" t="s">
        <v>16</v>
      </c>
      <c r="H9" t="s">
        <v>94</v>
      </c>
      <c r="I9" s="20">
        <v>126719</v>
      </c>
      <c r="J9" s="20"/>
      <c r="K9" s="20"/>
      <c r="L9" s="20"/>
      <c r="M9" s="20"/>
      <c r="N9" s="20"/>
      <c r="O9" s="20"/>
      <c r="P9" s="25"/>
      <c r="Q9" s="20"/>
      <c r="R9" s="26"/>
      <c r="S9" s="16"/>
      <c r="T9" s="27"/>
      <c r="U9" t="s">
        <v>116</v>
      </c>
      <c r="V9" t="str">
        <f>VLOOKUP(t_Parts[[#This Row],[Press]],t_Presses[],Press!B$1,FALSE)</f>
        <v>Plainfield</v>
      </c>
      <c r="W9" t="str">
        <f>VLOOKUP(t_Parts[[#This Row],[Press]],t_Presses[],Press!E$1,FALSE)</f>
        <v>300-599</v>
      </c>
      <c r="X9" s="15">
        <f>VLOOKUP(t_Parts[[#This Row],[Plant]],t_Plants[],Plants!C$1,FALSE)</f>
        <v>0.55000000000000004</v>
      </c>
      <c r="Y9" s="15">
        <f>VLOOKUP(t_Parts[[#This Row],[Press]],t_Presses[],Press!F$1,FALSE)</f>
        <v>0</v>
      </c>
      <c r="Z9" s="15"/>
      <c r="AA9" s="15">
        <f>IF(ISBLANK(t_Parts[[#This Row],[PartOEE]])=FALSE,t_Parts[[#This Row],[PartOEE]], IF(t_Parts[[#This Row],[PressOEE]]&gt;0, t_Parts[[#This Row],[PressOEE]], t_Parts[[#This Row],[PlantOEE]] ))</f>
        <v>0.55000000000000004</v>
      </c>
      <c r="AB9" s="25">
        <f>t_Parts[[#This Row],[SetupsPerMo]]*t_Parts[[#This Row],[SetupHrs]]</f>
        <v>1</v>
      </c>
      <c r="AC9" s="20">
        <f>(t_Parts[[#This Row],[UnitsPerCycle]]*t_Parts[[#This Row],[CyclesPerHr]])*t_Parts[[#This Row],[UseOEE]]</f>
        <v>1320</v>
      </c>
      <c r="AD9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9317.573529411764</v>
      </c>
      <c r="AE9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9690.2764705882346</v>
      </c>
      <c r="AF9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12671.9</v>
      </c>
      <c r="AG9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9317.573529411764</v>
      </c>
      <c r="AH9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9690.2764705882346</v>
      </c>
      <c r="AI9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12671.9</v>
      </c>
      <c r="AJ9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9317.573529411764</v>
      </c>
      <c r="AK9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9690.2764705882346</v>
      </c>
      <c r="AL9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12671.9</v>
      </c>
      <c r="AM9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9317.573529411764</v>
      </c>
      <c r="AN9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9690.2764705882346</v>
      </c>
      <c r="AO9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12671.9</v>
      </c>
      <c r="AP9" s="20">
        <f>SUM(t_Parts[[#This Row],[pv2015.01]:[pv2015.12]])</f>
        <v>126718.99999999997</v>
      </c>
      <c r="AQ9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9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9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9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9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9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9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9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9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9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9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9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9" s="20">
        <f>SUM(t_Parts[[#This Row],[pv2016.01]:[pv2016.12]])</f>
        <v>0</v>
      </c>
      <c r="BD9" s="20">
        <f>t_Parts[[#This Row],[2017vol]]</f>
        <v>0</v>
      </c>
      <c r="BE9" s="20">
        <f>t_Parts[[#This Row],[2018vol]]</f>
        <v>0</v>
      </c>
      <c r="BF9" s="20">
        <f>t_Parts[[#This Row],[2019vol]]</f>
        <v>0</v>
      </c>
      <c r="BG9">
        <f>VLOOKUP(t_Parts[[Plant]:[Plant]],t_Plants[],Plants!CM$1,FALSE)</f>
        <v>250</v>
      </c>
      <c r="BH9">
        <f>VLOOKUP(t_Parts[[Plant]:[Plant]],t_Plants[],Plants!CN$1,FALSE)</f>
        <v>260</v>
      </c>
      <c r="BI9">
        <f>VLOOKUP(t_Parts[[Plant]:[Plant]],t_Plants[],Plants!CO$1,FALSE)</f>
        <v>340</v>
      </c>
      <c r="BJ9">
        <f>VLOOKUP(t_Parts[[Plant]:[Plant]],t_Plants[],Plants!CP$1,FALSE)</f>
        <v>250</v>
      </c>
      <c r="BK9">
        <f>VLOOKUP(t_Parts[[Plant]:[Plant]],t_Plants[],Plants!CQ$1,FALSE)</f>
        <v>260</v>
      </c>
      <c r="BL9">
        <f>VLOOKUP(t_Parts[[Plant]:[Plant]],t_Plants[],Plants!CR$1,FALSE)</f>
        <v>340</v>
      </c>
      <c r="BM9">
        <f>VLOOKUP(t_Parts[[Plant]:[Plant]],t_Plants[],Plants!CS$1,FALSE)</f>
        <v>250</v>
      </c>
      <c r="BN9">
        <f>VLOOKUP(t_Parts[[Plant]:[Plant]],t_Plants[],Plants!CT$1,FALSE)</f>
        <v>260</v>
      </c>
      <c r="BO9">
        <f>VLOOKUP(t_Parts[[Plant]:[Plant]],t_Plants[],Plants!CU$1,FALSE)</f>
        <v>340</v>
      </c>
      <c r="BP9">
        <f>VLOOKUP(t_Parts[[Plant]:[Plant]],t_Plants[],Plants!CV$1,FALSE)</f>
        <v>250</v>
      </c>
      <c r="BQ9">
        <f>VLOOKUP(t_Parts[[Plant]:[Plant]],t_Plants[],Plants!CW$1,FALSE)</f>
        <v>260</v>
      </c>
      <c r="BR9">
        <f>VLOOKUP(t_Parts[[Plant]:[Plant]],t_Plants[],Plants!CX$1,FALSE)</f>
        <v>340</v>
      </c>
      <c r="BS9">
        <f>SUM(t_Parts[[#This Row],[ha2015.01]:[ha2015.12]])</f>
        <v>3400</v>
      </c>
      <c r="BT9">
        <f>VLOOKUP(t_Parts[[Plant]:[Plant]],t_Plants[],Plants!CZ$1,FALSE)</f>
        <v>250</v>
      </c>
      <c r="BU9">
        <f>VLOOKUP(t_Parts[[Plant]:[Plant]],t_Plants[],Plants!DA$1,FALSE)</f>
        <v>240</v>
      </c>
      <c r="BV9">
        <f>VLOOKUP(t_Parts[[Plant]:[Plant]],t_Plants[],Plants!DB$1,FALSE)</f>
        <v>340</v>
      </c>
      <c r="BW9">
        <f>VLOOKUP(t_Parts[[Plant]:[Plant]],t_Plants[],Plants!DC$1,FALSE)</f>
        <v>250</v>
      </c>
      <c r="BX9">
        <f>VLOOKUP(t_Parts[[Plant]:[Plant]],t_Plants[],Plants!DD$1,FALSE)</f>
        <v>260</v>
      </c>
      <c r="BY9">
        <f>VLOOKUP(t_Parts[[Plant]:[Plant]],t_Plants[],Plants!DE$1,FALSE)</f>
        <v>340</v>
      </c>
      <c r="BZ9">
        <f>VLOOKUP(t_Parts[[Plant]:[Plant]],t_Plants[],Plants!DF$1,FALSE)</f>
        <v>250</v>
      </c>
      <c r="CA9">
        <f>VLOOKUP(t_Parts[[Plant]:[Plant]],t_Plants[],Plants!DG$1,FALSE)</f>
        <v>260</v>
      </c>
      <c r="CB9">
        <f>VLOOKUP(t_Parts[[Plant]:[Plant]],t_Plants[],Plants!DH$1,FALSE)</f>
        <v>340</v>
      </c>
      <c r="CC9">
        <f>VLOOKUP(t_Parts[[Plant]:[Plant]],t_Plants[],Plants!DI$1,FALSE)</f>
        <v>250</v>
      </c>
      <c r="CD9">
        <f>VLOOKUP(t_Parts[[Plant]:[Plant]],t_Plants[],Plants!DJ$1,FALSE)</f>
        <v>220</v>
      </c>
      <c r="CE9">
        <f>VLOOKUP(t_Parts[[Plant]:[Plant]],t_Plants[],Plants!DK$1,FALSE)</f>
        <v>300</v>
      </c>
      <c r="CF9">
        <f>VLOOKUP(t_Parts[[Plant]:[Plant]],t_Plants[],Plants!DL$1,FALSE)</f>
        <v>3300</v>
      </c>
      <c r="CG9">
        <f>VLOOKUP(t_Parts[[Plant]:[Plant]],t_Plants[],Plants!DM$1,FALSE)</f>
        <v>3300</v>
      </c>
      <c r="CH9">
        <f>VLOOKUP(t_Parts[[Plant]:[Plant]],t_Plants[],Plants!DN$1,FALSE)</f>
        <v>3300</v>
      </c>
      <c r="CI9">
        <f>VLOOKUP(t_Parts[[Plant]:[Plant]],t_Plants[],Plants!DO$1,FALSE)</f>
        <v>3300</v>
      </c>
      <c r="CJ9" s="20">
        <f>IF(AND(AD$2&gt;=VALUE(t_Parts[[SOP]:[SOP]]),AD$2&lt;=VALUE(t_Parts[[EOP]:[EOP]])), t_Parts[[SetupHrsPerMo]:[SetupHrsPerMo]]+(t_Parts[[#This Row],[pv2015.01]]/t_Parts[[NetPPH]:[NetPPH]]),0)</f>
        <v>8.0587678253119428</v>
      </c>
      <c r="CK9" s="20">
        <f>IF(AND(AE$2&gt;=VALUE(t_Parts[[SOP]:[SOP]]),AE$2&lt;=VALUE(t_Parts[[EOP]:[EOP]])), t_Parts[[SetupHrsPerMo]:[SetupHrsPerMo]]+(t_Parts[[#This Row],[pv2015.02]]/t_Parts[[NetPPH]:[NetPPH]]),0)</f>
        <v>8.3411185383244195</v>
      </c>
      <c r="CL9" s="20">
        <f>IF(AND(AF$2&gt;=VALUE(t_Parts[[SOP]:[SOP]]),AF$2&lt;=VALUE(t_Parts[[EOP]:[EOP]])), t_Parts[[SetupHrsPerMo]:[SetupHrsPerMo]]+(t_Parts[[#This Row],[pv2015.03]]/t_Parts[[NetPPH]:[NetPPH]]),0)</f>
        <v>10.599924242424242</v>
      </c>
      <c r="CM9" s="20">
        <f>IF(AND(AG$2&gt;=VALUE(t_Parts[[SOP]:[SOP]]),AG$2&lt;=VALUE(t_Parts[[EOP]:[EOP]])), t_Parts[[SetupHrsPerMo]:[SetupHrsPerMo]]+(t_Parts[[#This Row],[pv2015.04]]/t_Parts[[NetPPH]:[NetPPH]]),0)</f>
        <v>8.0587678253119428</v>
      </c>
      <c r="CN9" s="20">
        <f>IF(AND(AH$2&gt;=VALUE(t_Parts[[SOP]:[SOP]]),AH$2&lt;=VALUE(t_Parts[[EOP]:[EOP]])), t_Parts[[SetupHrsPerMo]:[SetupHrsPerMo]]+(t_Parts[[#This Row],[pv2015.05]]/t_Parts[[NetPPH]:[NetPPH]]),0)</f>
        <v>8.3411185383244195</v>
      </c>
      <c r="CO9" s="20">
        <f>IF(AND(AI$2&gt;=VALUE(t_Parts[[SOP]:[SOP]]),AI$2&lt;=VALUE(t_Parts[[EOP]:[EOP]])), t_Parts[[SetupHrsPerMo]:[SetupHrsPerMo]]+(t_Parts[[#This Row],[pv2015.06]]/t_Parts[[NetPPH]:[NetPPH]]),0)</f>
        <v>10.599924242424242</v>
      </c>
      <c r="CP9" s="20">
        <f>IF(AND(AJ$2&gt;=VALUE(t_Parts[[SOP]:[SOP]]),AJ$2&lt;=VALUE(t_Parts[[EOP]:[EOP]])), t_Parts[[SetupHrsPerMo]:[SetupHrsPerMo]]+(t_Parts[[#This Row],[pv2015.07]]/t_Parts[[NetPPH]:[NetPPH]]),0)</f>
        <v>8.0587678253119428</v>
      </c>
      <c r="CQ9" s="20">
        <f>IF(AND(AK$2&gt;=VALUE(t_Parts[[SOP]:[SOP]]),AK$2&lt;=VALUE(t_Parts[[EOP]:[EOP]])), t_Parts[[SetupHrsPerMo]:[SetupHrsPerMo]]+(t_Parts[[#This Row],[pv2015.08]]/t_Parts[[NetPPH]:[NetPPH]]),0)</f>
        <v>8.3411185383244195</v>
      </c>
      <c r="CR9" s="20">
        <f>IF(AND(AL$2&gt;=VALUE(t_Parts[[SOP]:[SOP]]),AL$2&lt;=VALUE(t_Parts[[EOP]:[EOP]])), t_Parts[[SetupHrsPerMo]:[SetupHrsPerMo]]+(t_Parts[[#This Row],[pv2015.09]]/t_Parts[[NetPPH]:[NetPPH]]),0)</f>
        <v>10.599924242424242</v>
      </c>
      <c r="CS9" s="20">
        <f>IF(AND(AM$2&gt;=VALUE(t_Parts[[SOP]:[SOP]]),AM$2&lt;=VALUE(t_Parts[[EOP]:[EOP]])), t_Parts[[SetupHrsPerMo]:[SetupHrsPerMo]]+(t_Parts[[#This Row],[pv2015.10]]/t_Parts[[NetPPH]:[NetPPH]]),0)</f>
        <v>8.0587678253119428</v>
      </c>
      <c r="CT9" s="20">
        <f>IF(AND(AN$2&gt;=VALUE(t_Parts[[SOP]:[SOP]]),AN$2&lt;=VALUE(t_Parts[[EOP]:[EOP]])), t_Parts[[SetupHrsPerMo]:[SetupHrsPerMo]]+(t_Parts[[#This Row],[pv2015.11]]/t_Parts[[NetPPH]:[NetPPH]]),0)</f>
        <v>8.3411185383244195</v>
      </c>
      <c r="CU9" s="20">
        <f>IF(AND(AO$2&gt;=VALUE(t_Parts[[SOP]:[SOP]]),AO$2&lt;=VALUE(t_Parts[[EOP]:[EOP]])), t_Parts[[SetupHrsPerMo]:[SetupHrsPerMo]]+(t_Parts[[#This Row],[pv2015.12]]/t_Parts[[NetPPH]:[NetPPH]]),0)</f>
        <v>10.599924242424242</v>
      </c>
      <c r="CV9" s="20">
        <f>SUM(t_Parts[[#This Row],[hp2015.01]:[hp2015.12]])</f>
        <v>107.99924242424242</v>
      </c>
      <c r="CW9" s="20">
        <f>IF(AND(AQ$2&gt;=VALUE(t_Parts[[SOP]:[SOP]]),AQ$2&lt;=VALUE(t_Parts[[EOP]:[EOP]])), t_Parts[[SetupHrsPerMo]:[SetupHrsPerMo]]+(t_Parts[[#This Row],[pv2016.01]]/t_Parts[[NetPPH]:[NetPPH]]),0)</f>
        <v>0</v>
      </c>
      <c r="CX9" s="20">
        <f>IF(AND(AR$2&gt;=VALUE(t_Parts[[SOP]:[SOP]]),AR$2&lt;=VALUE(t_Parts[[EOP]:[EOP]])), t_Parts[[SetupHrsPerMo]:[SetupHrsPerMo]]+(t_Parts[[#This Row],[pv2016.02]]/t_Parts[[NetPPH]:[NetPPH]]),0)</f>
        <v>0</v>
      </c>
      <c r="CY9" s="20">
        <f>IF(AND(AS$2&gt;=VALUE(t_Parts[[SOP]:[SOP]]),AS$2&lt;=VALUE(t_Parts[[EOP]:[EOP]])), t_Parts[[SetupHrsPerMo]:[SetupHrsPerMo]]+(t_Parts[[#This Row],[pv2016.03]]/t_Parts[[NetPPH]:[NetPPH]]),0)</f>
        <v>0</v>
      </c>
      <c r="CZ9" s="20">
        <f>IF(AND(AT$2&gt;=VALUE(t_Parts[[SOP]:[SOP]]),AT$2&lt;=VALUE(t_Parts[[EOP]:[EOP]])), t_Parts[[SetupHrsPerMo]:[SetupHrsPerMo]]+(t_Parts[[#This Row],[pv2016.04]]/t_Parts[[NetPPH]:[NetPPH]]),0)</f>
        <v>0</v>
      </c>
      <c r="DA9" s="20">
        <f>IF(AND(AU$2&gt;=VALUE(t_Parts[[SOP]:[SOP]]),AU$2&lt;=VALUE(t_Parts[[EOP]:[EOP]])), t_Parts[[SetupHrsPerMo]:[SetupHrsPerMo]]+(t_Parts[[#This Row],[pv2016.05]]/t_Parts[[NetPPH]:[NetPPH]]),0)</f>
        <v>0</v>
      </c>
      <c r="DB9" s="20">
        <f>IF(AND(AV$2&gt;=VALUE(t_Parts[[SOP]:[SOP]]),AV$2&lt;=VALUE(t_Parts[[EOP]:[EOP]])), t_Parts[[SetupHrsPerMo]:[SetupHrsPerMo]]+(t_Parts[[#This Row],[pv2016.06]]/t_Parts[[NetPPH]:[NetPPH]]),0)</f>
        <v>0</v>
      </c>
      <c r="DC9" s="20">
        <f>IF(AND(AW$2&gt;=VALUE(t_Parts[[SOP]:[SOP]]),AW$2&lt;=VALUE(t_Parts[[EOP]:[EOP]])), t_Parts[[SetupHrsPerMo]:[SetupHrsPerMo]]+(t_Parts[[#This Row],[pv2016.07]]/t_Parts[[NetPPH]:[NetPPH]]),0)</f>
        <v>0</v>
      </c>
      <c r="DD9" s="20">
        <f>IF(AND(AX$2&gt;=VALUE(t_Parts[[SOP]:[SOP]]),AX$2&lt;=VALUE(t_Parts[[EOP]:[EOP]])), t_Parts[[SetupHrsPerMo]:[SetupHrsPerMo]]+(t_Parts[[#This Row],[pv2016.08]]/t_Parts[[NetPPH]:[NetPPH]]),0)</f>
        <v>0</v>
      </c>
      <c r="DE9" s="20">
        <f>IF(AND(AY$2&gt;=VALUE(t_Parts[[SOP]:[SOP]]),AY$2&lt;=VALUE(t_Parts[[EOP]:[EOP]])), t_Parts[[SetupHrsPerMo]:[SetupHrsPerMo]]+(t_Parts[[#This Row],[pv2016.09]]/t_Parts[[NetPPH]:[NetPPH]]),0)</f>
        <v>0</v>
      </c>
      <c r="DF9" s="20">
        <f>IF(AND(AZ$2&gt;=VALUE(t_Parts[[SOP]:[SOP]]),AZ$2&lt;=VALUE(t_Parts[[EOP]:[EOP]])), t_Parts[[SetupHrsPerMo]:[SetupHrsPerMo]]+(t_Parts[[#This Row],[pv2016.10]]/t_Parts[[NetPPH]:[NetPPH]]),0)</f>
        <v>0</v>
      </c>
      <c r="DG9" s="20">
        <f>IF(AND(BA$2&gt;=VALUE(t_Parts[[SOP]:[SOP]]),BA$2&lt;=VALUE(t_Parts[[EOP]:[EOP]])), t_Parts[[SetupHrsPerMo]:[SetupHrsPerMo]]+(t_Parts[[#This Row],[pv2016.11]]/t_Parts[[NetPPH]:[NetPPH]]),0)</f>
        <v>0</v>
      </c>
      <c r="DH9" s="20">
        <f>IF(AND(BB$2&gt;=VALUE(t_Parts[[SOP]:[SOP]]),BB$2&lt;=VALUE(t_Parts[[EOP]:[EOP]])), t_Parts[[SetupHrsPerMo]:[SetupHrsPerMo]]+(t_Parts[[#This Row],[pv2016.12]]/t_Parts[[NetPPH]:[NetPPH]]),0)</f>
        <v>0</v>
      </c>
      <c r="DI9" s="20">
        <f>SUM(t_Parts[[#This Row],[hp2016.01]:[hp2016.12]])</f>
        <v>0</v>
      </c>
      <c r="DJ9" s="20">
        <f>IF(AND(BD$2&gt;=VALUE(t_Parts[[SOP]:[SOP]]),BD$2&lt;=VALUE(t_Parts[[EOP]:[EOP]])), 12*t_Parts[[SetupHrsPerMo]:[SetupHrsPerMo]]+(t_Parts[[#This Row],[pv2017]]/t_Parts[[NetPPH]:[NetPPH]]),0)</f>
        <v>0</v>
      </c>
      <c r="DK9" s="20">
        <f>IF(AND(BE$2&gt;=VALUE(t_Parts[[SOP]:[SOP]]),BE$2&lt;=VALUE(t_Parts[[EOP]:[EOP]])), 12*t_Parts[[SetupHrsPerMo]:[SetupHrsPerMo]]+(t_Parts[[#This Row],[pv2018]]/t_Parts[[NetPPH]:[NetPPH]]),0)</f>
        <v>0</v>
      </c>
      <c r="DL9" s="20">
        <f>IF(AND(BF$2&gt;=VALUE(t_Parts[[SOP]:[SOP]]),BF$2&lt;=VALUE(t_Parts[[EOP]:[EOP]])), 12*t_Parts[[SetupHrsPerMo]:[SetupHrsPerMo]]+(t_Parts[[#This Row],[pv2019]]/t_Parts[[NetPPH]:[NetPPH]]),0)</f>
        <v>0</v>
      </c>
      <c r="DM9" s="15">
        <f>t_Parts[[#This Row],[hp2015.01]]/t_Parts[[#This Row],[ha2015.01]]</f>
        <v>3.2235071301247774E-2</v>
      </c>
      <c r="DN9" s="15">
        <f>t_Parts[[#This Row],[hp2015.02]]/t_Parts[[#This Row],[ha2015.02]]</f>
        <v>3.2081225147401617E-2</v>
      </c>
      <c r="DO9" s="15">
        <f>t_Parts[[#This Row],[hp2015.03]]/t_Parts[[#This Row],[ha2015.03]]</f>
        <v>3.1176247771836006E-2</v>
      </c>
      <c r="DP9" s="15">
        <f>t_Parts[[#This Row],[hp2015.04]]/t_Parts[[#This Row],[ha2015.04]]</f>
        <v>3.2235071301247774E-2</v>
      </c>
      <c r="DQ9" s="15">
        <f>t_Parts[[#This Row],[hp2015.05]]/t_Parts[[#This Row],[ha2015.05]]</f>
        <v>3.2081225147401617E-2</v>
      </c>
      <c r="DR9" s="15">
        <f>t_Parts[[#This Row],[hp2015.06]]/t_Parts[[#This Row],[ha2015.06]]</f>
        <v>3.1176247771836006E-2</v>
      </c>
      <c r="DS9" s="15">
        <f>t_Parts[[#This Row],[hp2015.07]]/t_Parts[[#This Row],[ha2015.07]]</f>
        <v>3.2235071301247774E-2</v>
      </c>
      <c r="DT9" s="15">
        <f>t_Parts[[#This Row],[hp2015.08]]/t_Parts[[#This Row],[ha2015.08]]</f>
        <v>3.2081225147401617E-2</v>
      </c>
      <c r="DU9" s="15">
        <f>t_Parts[[#This Row],[hp2015.09]]/t_Parts[[#This Row],[ha2015.09]]</f>
        <v>3.1176247771836006E-2</v>
      </c>
      <c r="DV9" s="15">
        <f>t_Parts[[#This Row],[hp2015.10]]/t_Parts[[#This Row],[ha2015.10]]</f>
        <v>3.2235071301247774E-2</v>
      </c>
      <c r="DW9" s="15">
        <f>t_Parts[[#This Row],[hp2015.11]]/t_Parts[[#This Row],[ha2015.11]]</f>
        <v>3.2081225147401617E-2</v>
      </c>
      <c r="DX9" s="15">
        <f>t_Parts[[#This Row],[hp2015.12]]/t_Parts[[#This Row],[ha2015.12]]</f>
        <v>3.1176247771836006E-2</v>
      </c>
      <c r="DY9" s="15">
        <f>t_Parts[[#This Row],[hp2015.FY]]/t_Parts[[#This Row],[ha2015.FY]]</f>
        <v>3.1764483065953655E-2</v>
      </c>
      <c r="DZ9" s="15">
        <f>t_Parts[[#This Row],[hp2016.01]]/t_Parts[[#This Row],[ha2016.01]]</f>
        <v>0</v>
      </c>
      <c r="EA9" s="15">
        <f>t_Parts[[#This Row],[hp2016.02]]/t_Parts[[#This Row],[ha2016.02]]</f>
        <v>0</v>
      </c>
      <c r="EB9" s="15">
        <f>t_Parts[[#This Row],[hp2016.03]]/t_Parts[[#This Row],[ha2016.03]]</f>
        <v>0</v>
      </c>
      <c r="EC9" s="15">
        <f>t_Parts[[#This Row],[hp2016.04]]/t_Parts[[#This Row],[ha2016.04]]</f>
        <v>0</v>
      </c>
      <c r="ED9" s="15">
        <f>t_Parts[[#This Row],[hp2016.05]]/t_Parts[[#This Row],[ha2016.05]]</f>
        <v>0</v>
      </c>
      <c r="EE9" s="15">
        <f>t_Parts[[#This Row],[hp2016.06]]/t_Parts[[#This Row],[ha2016.06]]</f>
        <v>0</v>
      </c>
      <c r="EF9" s="15">
        <f>t_Parts[[#This Row],[hp2016.07]]/t_Parts[[#This Row],[ha2016.07]]</f>
        <v>0</v>
      </c>
      <c r="EG9" s="15">
        <f>t_Parts[[#This Row],[hp2016.08]]/t_Parts[[#This Row],[ha2016.08]]</f>
        <v>0</v>
      </c>
      <c r="EH9" s="15">
        <f>t_Parts[[#This Row],[hp2016.09]]/t_Parts[[#This Row],[ha2016.09]]</f>
        <v>0</v>
      </c>
      <c r="EI9" s="15">
        <f>t_Parts[[#This Row],[hp2016.10]]/t_Parts[[#This Row],[ha2016.10]]</f>
        <v>0</v>
      </c>
      <c r="EJ9" s="15">
        <f>t_Parts[[#This Row],[hp2016.11]]/t_Parts[[#This Row],[ha2016.11]]</f>
        <v>0</v>
      </c>
      <c r="EK9" s="15">
        <f>t_Parts[[#This Row],[hp2016.12]]/t_Parts[[#This Row],[ha2016.12]]</f>
        <v>0</v>
      </c>
      <c r="EL9" s="15">
        <f>t_Parts[[#This Row],[hp2016.FY]]/t_Parts[[#This Row],[ha2016.FY]]</f>
        <v>0</v>
      </c>
      <c r="EM9" s="15">
        <f>t_Parts[[#This Row],[hp2017]]/t_Parts[[#This Row],[ha2017]]</f>
        <v>0</v>
      </c>
      <c r="EN9" s="15">
        <f>t_Parts[[#This Row],[hp2018]]/t_Parts[[#This Row],[ha2018]]</f>
        <v>0</v>
      </c>
      <c r="EO9" s="15">
        <f>t_Parts[[#This Row],[hp2019]]/t_Parts[[#This Row],[hp2015.01]]</f>
        <v>0</v>
      </c>
      <c r="EP9" s="68">
        <f>(t_Parts[[#This Row],[ha2015.01]]-t_Parts[[#This Row],[hp2015.01]])*t_Parts[[NetPPH]:[NetPPH]]</f>
        <v>319362.42647058825</v>
      </c>
      <c r="EQ9" s="68">
        <f>(t_Parts[[#This Row],[ha2015.02]]-t_Parts[[#This Row],[hp2015.02]])*t_Parts[[NetPPH]:[NetPPH]]</f>
        <v>332189.72352941177</v>
      </c>
      <c r="ER9" s="68">
        <f>(t_Parts[[#This Row],[ha2015.03]]-t_Parts[[#This Row],[hp2015.03]])*t_Parts[[NetPPH]:[NetPPH]]</f>
        <v>434808.1</v>
      </c>
      <c r="ES9" s="68">
        <f>(t_Parts[[#This Row],[ha2015.04]]-t_Parts[[#This Row],[hp2015.04]])*t_Parts[[NetPPH]:[NetPPH]]</f>
        <v>319362.42647058825</v>
      </c>
      <c r="ET9" s="68">
        <f>(t_Parts[[#This Row],[ha2015.05]]-t_Parts[[#This Row],[hp2015.05]])*t_Parts[[NetPPH]:[NetPPH]]</f>
        <v>332189.72352941177</v>
      </c>
      <c r="EU9" s="68">
        <f>(t_Parts[[#This Row],[ha2015.06]]-t_Parts[[#This Row],[hp2015.06]])*t_Parts[[NetPPH]:[NetPPH]]</f>
        <v>434808.1</v>
      </c>
      <c r="EV9" s="68">
        <f>(t_Parts[[#This Row],[ha2015.07]]-t_Parts[[#This Row],[hp2015.07]])*t_Parts[[NetPPH]:[NetPPH]]</f>
        <v>319362.42647058825</v>
      </c>
      <c r="EW9" s="68">
        <f>(t_Parts[[#This Row],[ha2015.08]]-t_Parts[[#This Row],[hp2015.08]])*t_Parts[[NetPPH]:[NetPPH]]</f>
        <v>332189.72352941177</v>
      </c>
      <c r="EX9" s="68">
        <f>(t_Parts[[#This Row],[ha2015.09]]-t_Parts[[#This Row],[hp2015.09]])*t_Parts[[NetPPH]:[NetPPH]]</f>
        <v>434808.1</v>
      </c>
      <c r="EY9" s="68">
        <f>(t_Parts[[#This Row],[ha2015.10]]-t_Parts[[#This Row],[hp2015.10]])*t_Parts[[NetPPH]:[NetPPH]]</f>
        <v>319362.42647058825</v>
      </c>
      <c r="EZ9" s="68">
        <f>(t_Parts[[#This Row],[ha2015.11]]-t_Parts[[#This Row],[hp2015.11]])*t_Parts[[NetPPH]:[NetPPH]]</f>
        <v>332189.72352941177</v>
      </c>
      <c r="FA9" s="68">
        <f>(t_Parts[[#This Row],[ha2015.12]]-t_Parts[[#This Row],[hp2015.12]])*t_Parts[[NetPPH]:[NetPPH]]</f>
        <v>434808.1</v>
      </c>
      <c r="FB9" s="68">
        <f>(t_Parts[[#This Row],[ha2015.FY]]-t_Parts[[#This Row],[hp2015.FY]])*t_Parts[[NetPPH]:[NetPPH]]</f>
        <v>4345441</v>
      </c>
      <c r="FC9" s="68">
        <f>(t_Parts[[#This Row],[ha2016.01]]-t_Parts[[#This Row],[hp2016.01]])*t_Parts[[NetPPH]:[NetPPH]]</f>
        <v>330000</v>
      </c>
      <c r="FD9" s="68">
        <f>(t_Parts[[#This Row],[ha2016.02]]-t_Parts[[#This Row],[hp2016.02]])*t_Parts[[NetPPH]:[NetPPH]]</f>
        <v>316800</v>
      </c>
      <c r="FE9" s="68">
        <f>(t_Parts[[#This Row],[ha2016.03]]-t_Parts[[#This Row],[hp2016.03]])*t_Parts[[NetPPH]:[NetPPH]]</f>
        <v>448800</v>
      </c>
      <c r="FF9" s="68">
        <f>(t_Parts[[#This Row],[ha2016.04]]-t_Parts[[#This Row],[hp2016.04]])*t_Parts[[NetPPH]:[NetPPH]]</f>
        <v>330000</v>
      </c>
      <c r="FG9" s="68">
        <f>(t_Parts[[#This Row],[ha2016.05]]-t_Parts[[#This Row],[hp2016.05]])*t_Parts[[NetPPH]:[NetPPH]]</f>
        <v>343200</v>
      </c>
      <c r="FH9" s="68">
        <f>(t_Parts[[#This Row],[ha2016.06]]-t_Parts[[#This Row],[hp2016.06]])*t_Parts[[NetPPH]:[NetPPH]]</f>
        <v>448800</v>
      </c>
      <c r="FI9" s="68">
        <f>(t_Parts[[#This Row],[ha2016.07]]-t_Parts[[#This Row],[hp2016.07]])*t_Parts[[NetPPH]:[NetPPH]]</f>
        <v>330000</v>
      </c>
      <c r="FJ9" s="68">
        <f>(t_Parts[[#This Row],[ha2016.08]]-t_Parts[[#This Row],[hp2016.08]])*t_Parts[[NetPPH]:[NetPPH]]</f>
        <v>343200</v>
      </c>
      <c r="FK9" s="68">
        <f>(t_Parts[[#This Row],[ha2016.09]]-t_Parts[[#This Row],[hp2016.09]])*t_Parts[[NetPPH]:[NetPPH]]</f>
        <v>448800</v>
      </c>
      <c r="FL9" s="68">
        <f>(t_Parts[[#This Row],[ha2016.10]]-t_Parts[[#This Row],[hp2016.10]])*t_Parts[[NetPPH]:[NetPPH]]</f>
        <v>330000</v>
      </c>
      <c r="FM9" s="68">
        <f>(t_Parts[[#This Row],[ha2016.11]]-t_Parts[[#This Row],[hp2016.11]])*t_Parts[[NetPPH]:[NetPPH]]</f>
        <v>290400</v>
      </c>
      <c r="FN9" s="68">
        <f>(t_Parts[[#This Row],[ha2016.12]]-t_Parts[[#This Row],[hp2016.12]])*t_Parts[[NetPPH]:[NetPPH]]</f>
        <v>396000</v>
      </c>
      <c r="FO9" s="68">
        <f>(t_Parts[[#This Row],[ha2016.FY]]-t_Parts[[#This Row],[hp2016.FY]])*t_Parts[[NetPPH]:[NetPPH]]</f>
        <v>4356000</v>
      </c>
      <c r="FP9" s="68">
        <f>(t_Parts[[#This Row],[ha2017]]-t_Parts[[#This Row],[hp2017]])*t_Parts[[NetPPH]:[NetPPH]]</f>
        <v>4356000</v>
      </c>
      <c r="FQ9" s="68">
        <f>(t_Parts[[#This Row],[ha2018]]-t_Parts[[#This Row],[hp2018]])*t_Parts[[NetPPH]:[NetPPH]]</f>
        <v>4356000</v>
      </c>
      <c r="FR9" s="68">
        <f>(t_Parts[[#This Row],[ha2019]]-t_Parts[[#This Row],[hp2019]])*t_Parts[[NetPPH]:[NetPPH]]</f>
        <v>4356000</v>
      </c>
    </row>
    <row r="10" spans="1:174" x14ac:dyDescent="0.25">
      <c r="A10" s="16" t="s">
        <v>172</v>
      </c>
      <c r="B10" s="16">
        <v>21014</v>
      </c>
      <c r="C10">
        <v>1</v>
      </c>
      <c r="D10" s="20">
        <v>2400</v>
      </c>
      <c r="E10" s="25">
        <v>1</v>
      </c>
      <c r="F10" s="26">
        <v>2</v>
      </c>
      <c r="G10" t="s">
        <v>16</v>
      </c>
      <c r="H10" t="s">
        <v>94</v>
      </c>
      <c r="I10" s="20">
        <v>54221</v>
      </c>
      <c r="J10" s="20"/>
      <c r="K10" s="20"/>
      <c r="L10" s="20"/>
      <c r="M10" s="20"/>
      <c r="N10" s="20"/>
      <c r="O10" s="20"/>
      <c r="P10" s="25"/>
      <c r="Q10" s="20"/>
      <c r="R10" s="26"/>
      <c r="S10" s="16"/>
      <c r="T10" s="27"/>
      <c r="V10" t="str">
        <f>VLOOKUP(t_Parts[[#This Row],[Press]],t_Presses[],Press!B$1,FALSE)</f>
        <v>Plainfield</v>
      </c>
      <c r="W10" t="str">
        <f>VLOOKUP(t_Parts[[#This Row],[Press]],t_Presses[],Press!E$1,FALSE)</f>
        <v>300-599</v>
      </c>
      <c r="X10" s="15">
        <f>VLOOKUP(t_Parts[[#This Row],[Plant]],t_Plants[],Plants!C$1,FALSE)</f>
        <v>0.55000000000000004</v>
      </c>
      <c r="Y10" s="15">
        <f>VLOOKUP(t_Parts[[#This Row],[Press]],t_Presses[],Press!F$1,FALSE)</f>
        <v>0</v>
      </c>
      <c r="Z10" s="15"/>
      <c r="AA10" s="15">
        <f>IF(ISBLANK(t_Parts[[#This Row],[PartOEE]])=FALSE,t_Parts[[#This Row],[PartOEE]], IF(t_Parts[[#This Row],[PressOEE]]&gt;0, t_Parts[[#This Row],[PressOEE]], t_Parts[[#This Row],[PlantOEE]] ))</f>
        <v>0.55000000000000004</v>
      </c>
      <c r="AB10" s="25">
        <f>t_Parts[[#This Row],[SetupsPerMo]]*t_Parts[[#This Row],[SetupHrs]]</f>
        <v>2</v>
      </c>
      <c r="AC10" s="20">
        <f>(t_Parts[[#This Row],[UnitsPerCycle]]*t_Parts[[#This Row],[CyclesPerHr]])*t_Parts[[#This Row],[UseOEE]]</f>
        <v>1320</v>
      </c>
      <c r="AD10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3986.8382352941176</v>
      </c>
      <c r="AE10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4146.3117647058825</v>
      </c>
      <c r="AF10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5422.0999999999995</v>
      </c>
      <c r="AG10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3986.8382352941176</v>
      </c>
      <c r="AH10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4146.3117647058825</v>
      </c>
      <c r="AI10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5422.0999999999995</v>
      </c>
      <c r="AJ10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3986.8382352941176</v>
      </c>
      <c r="AK10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4146.3117647058825</v>
      </c>
      <c r="AL10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5422.0999999999995</v>
      </c>
      <c r="AM10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3986.8382352941176</v>
      </c>
      <c r="AN10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4146.3117647058825</v>
      </c>
      <c r="AO10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5422.0999999999995</v>
      </c>
      <c r="AP10" s="20">
        <f>SUM(t_Parts[[#This Row],[pv2015.01]:[pv2015.12]])</f>
        <v>54221</v>
      </c>
      <c r="AQ10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10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10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10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10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10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10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10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10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10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10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10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10" s="20">
        <f>SUM(t_Parts[[#This Row],[pv2016.01]:[pv2016.12]])</f>
        <v>0</v>
      </c>
      <c r="BD10" s="20">
        <f>t_Parts[[#This Row],[2017vol]]</f>
        <v>0</v>
      </c>
      <c r="BE10" s="20">
        <f>t_Parts[[#This Row],[2018vol]]</f>
        <v>0</v>
      </c>
      <c r="BF10" s="20">
        <f>t_Parts[[#This Row],[2019vol]]</f>
        <v>0</v>
      </c>
      <c r="BG10">
        <f>VLOOKUP(t_Parts[[Plant]:[Plant]],t_Plants[],Plants!CM$1,FALSE)</f>
        <v>250</v>
      </c>
      <c r="BH10">
        <f>VLOOKUP(t_Parts[[Plant]:[Plant]],t_Plants[],Plants!CN$1,FALSE)</f>
        <v>260</v>
      </c>
      <c r="BI10">
        <f>VLOOKUP(t_Parts[[Plant]:[Plant]],t_Plants[],Plants!CO$1,FALSE)</f>
        <v>340</v>
      </c>
      <c r="BJ10">
        <f>VLOOKUP(t_Parts[[Plant]:[Plant]],t_Plants[],Plants!CP$1,FALSE)</f>
        <v>250</v>
      </c>
      <c r="BK10">
        <f>VLOOKUP(t_Parts[[Plant]:[Plant]],t_Plants[],Plants!CQ$1,FALSE)</f>
        <v>260</v>
      </c>
      <c r="BL10">
        <f>VLOOKUP(t_Parts[[Plant]:[Plant]],t_Plants[],Plants!CR$1,FALSE)</f>
        <v>340</v>
      </c>
      <c r="BM10">
        <f>VLOOKUP(t_Parts[[Plant]:[Plant]],t_Plants[],Plants!CS$1,FALSE)</f>
        <v>250</v>
      </c>
      <c r="BN10">
        <f>VLOOKUP(t_Parts[[Plant]:[Plant]],t_Plants[],Plants!CT$1,FALSE)</f>
        <v>260</v>
      </c>
      <c r="BO10">
        <f>VLOOKUP(t_Parts[[Plant]:[Plant]],t_Plants[],Plants!CU$1,FALSE)</f>
        <v>340</v>
      </c>
      <c r="BP10">
        <f>VLOOKUP(t_Parts[[Plant]:[Plant]],t_Plants[],Plants!CV$1,FALSE)</f>
        <v>250</v>
      </c>
      <c r="BQ10">
        <f>VLOOKUP(t_Parts[[Plant]:[Plant]],t_Plants[],Plants!CW$1,FALSE)</f>
        <v>260</v>
      </c>
      <c r="BR10">
        <f>VLOOKUP(t_Parts[[Plant]:[Plant]],t_Plants[],Plants!CX$1,FALSE)</f>
        <v>340</v>
      </c>
      <c r="BS10">
        <f>SUM(t_Parts[[#This Row],[ha2015.01]:[ha2015.12]])</f>
        <v>3400</v>
      </c>
      <c r="BT10">
        <f>VLOOKUP(t_Parts[[Plant]:[Plant]],t_Plants[],Plants!CZ$1,FALSE)</f>
        <v>250</v>
      </c>
      <c r="BU10">
        <f>VLOOKUP(t_Parts[[Plant]:[Plant]],t_Plants[],Plants!DA$1,FALSE)</f>
        <v>240</v>
      </c>
      <c r="BV10">
        <f>VLOOKUP(t_Parts[[Plant]:[Plant]],t_Plants[],Plants!DB$1,FALSE)</f>
        <v>340</v>
      </c>
      <c r="BW10">
        <f>VLOOKUP(t_Parts[[Plant]:[Plant]],t_Plants[],Plants!DC$1,FALSE)</f>
        <v>250</v>
      </c>
      <c r="BX10">
        <f>VLOOKUP(t_Parts[[Plant]:[Plant]],t_Plants[],Plants!DD$1,FALSE)</f>
        <v>260</v>
      </c>
      <c r="BY10">
        <f>VLOOKUP(t_Parts[[Plant]:[Plant]],t_Plants[],Plants!DE$1,FALSE)</f>
        <v>340</v>
      </c>
      <c r="BZ10">
        <f>VLOOKUP(t_Parts[[Plant]:[Plant]],t_Plants[],Plants!DF$1,FALSE)</f>
        <v>250</v>
      </c>
      <c r="CA10">
        <f>VLOOKUP(t_Parts[[Plant]:[Plant]],t_Plants[],Plants!DG$1,FALSE)</f>
        <v>260</v>
      </c>
      <c r="CB10">
        <f>VLOOKUP(t_Parts[[Plant]:[Plant]],t_Plants[],Plants!DH$1,FALSE)</f>
        <v>340</v>
      </c>
      <c r="CC10">
        <f>VLOOKUP(t_Parts[[Plant]:[Plant]],t_Plants[],Plants!DI$1,FALSE)</f>
        <v>250</v>
      </c>
      <c r="CD10">
        <f>VLOOKUP(t_Parts[[Plant]:[Plant]],t_Plants[],Plants!DJ$1,FALSE)</f>
        <v>220</v>
      </c>
      <c r="CE10">
        <f>VLOOKUP(t_Parts[[Plant]:[Plant]],t_Plants[],Plants!DK$1,FALSE)</f>
        <v>300</v>
      </c>
      <c r="CF10">
        <f>VLOOKUP(t_Parts[[Plant]:[Plant]],t_Plants[],Plants!DL$1,FALSE)</f>
        <v>3300</v>
      </c>
      <c r="CG10">
        <f>VLOOKUP(t_Parts[[Plant]:[Plant]],t_Plants[],Plants!DM$1,FALSE)</f>
        <v>3300</v>
      </c>
      <c r="CH10">
        <f>VLOOKUP(t_Parts[[Plant]:[Plant]],t_Plants[],Plants!DN$1,FALSE)</f>
        <v>3300</v>
      </c>
      <c r="CI10">
        <f>VLOOKUP(t_Parts[[Plant]:[Plant]],t_Plants[],Plants!DO$1,FALSE)</f>
        <v>3300</v>
      </c>
      <c r="CJ10" s="20">
        <f>IF(AND(AD$2&gt;=VALUE(t_Parts[[SOP]:[SOP]]),AD$2&lt;=VALUE(t_Parts[[EOP]:[EOP]])), t_Parts[[SetupHrsPerMo]:[SetupHrsPerMo]]+(t_Parts[[#This Row],[pv2015.01]]/t_Parts[[NetPPH]:[NetPPH]]),0)</f>
        <v>5.0203319964349378</v>
      </c>
      <c r="CK10" s="20">
        <f>IF(AND(AE$2&gt;=VALUE(t_Parts[[SOP]:[SOP]]),AE$2&lt;=VALUE(t_Parts[[EOP]:[EOP]])), t_Parts[[SetupHrsPerMo]:[SetupHrsPerMo]]+(t_Parts[[#This Row],[pv2015.02]]/t_Parts[[NetPPH]:[NetPPH]]),0)</f>
        <v>5.1411452762923346</v>
      </c>
      <c r="CL10" s="20">
        <f>IF(AND(AF$2&gt;=VALUE(t_Parts[[SOP]:[SOP]]),AF$2&lt;=VALUE(t_Parts[[EOP]:[EOP]])), t_Parts[[SetupHrsPerMo]:[SetupHrsPerMo]]+(t_Parts[[#This Row],[pv2015.03]]/t_Parts[[NetPPH]:[NetPPH]]),0)</f>
        <v>6.1076515151515149</v>
      </c>
      <c r="CM10" s="20">
        <f>IF(AND(AG$2&gt;=VALUE(t_Parts[[SOP]:[SOP]]),AG$2&lt;=VALUE(t_Parts[[EOP]:[EOP]])), t_Parts[[SetupHrsPerMo]:[SetupHrsPerMo]]+(t_Parts[[#This Row],[pv2015.04]]/t_Parts[[NetPPH]:[NetPPH]]),0)</f>
        <v>5.0203319964349378</v>
      </c>
      <c r="CN10" s="20">
        <f>IF(AND(AH$2&gt;=VALUE(t_Parts[[SOP]:[SOP]]),AH$2&lt;=VALUE(t_Parts[[EOP]:[EOP]])), t_Parts[[SetupHrsPerMo]:[SetupHrsPerMo]]+(t_Parts[[#This Row],[pv2015.05]]/t_Parts[[NetPPH]:[NetPPH]]),0)</f>
        <v>5.1411452762923346</v>
      </c>
      <c r="CO10" s="20">
        <f>IF(AND(AI$2&gt;=VALUE(t_Parts[[SOP]:[SOP]]),AI$2&lt;=VALUE(t_Parts[[EOP]:[EOP]])), t_Parts[[SetupHrsPerMo]:[SetupHrsPerMo]]+(t_Parts[[#This Row],[pv2015.06]]/t_Parts[[NetPPH]:[NetPPH]]),0)</f>
        <v>6.1076515151515149</v>
      </c>
      <c r="CP10" s="20">
        <f>IF(AND(AJ$2&gt;=VALUE(t_Parts[[SOP]:[SOP]]),AJ$2&lt;=VALUE(t_Parts[[EOP]:[EOP]])), t_Parts[[SetupHrsPerMo]:[SetupHrsPerMo]]+(t_Parts[[#This Row],[pv2015.07]]/t_Parts[[NetPPH]:[NetPPH]]),0)</f>
        <v>5.0203319964349378</v>
      </c>
      <c r="CQ10" s="20">
        <f>IF(AND(AK$2&gt;=VALUE(t_Parts[[SOP]:[SOP]]),AK$2&lt;=VALUE(t_Parts[[EOP]:[EOP]])), t_Parts[[SetupHrsPerMo]:[SetupHrsPerMo]]+(t_Parts[[#This Row],[pv2015.08]]/t_Parts[[NetPPH]:[NetPPH]]),0)</f>
        <v>5.1411452762923346</v>
      </c>
      <c r="CR10" s="20">
        <f>IF(AND(AL$2&gt;=VALUE(t_Parts[[SOP]:[SOP]]),AL$2&lt;=VALUE(t_Parts[[EOP]:[EOP]])), t_Parts[[SetupHrsPerMo]:[SetupHrsPerMo]]+(t_Parts[[#This Row],[pv2015.09]]/t_Parts[[NetPPH]:[NetPPH]]),0)</f>
        <v>6.1076515151515149</v>
      </c>
      <c r="CS10" s="20">
        <f>IF(AND(AM$2&gt;=VALUE(t_Parts[[SOP]:[SOP]]),AM$2&lt;=VALUE(t_Parts[[EOP]:[EOP]])), t_Parts[[SetupHrsPerMo]:[SetupHrsPerMo]]+(t_Parts[[#This Row],[pv2015.10]]/t_Parts[[NetPPH]:[NetPPH]]),0)</f>
        <v>5.0203319964349378</v>
      </c>
      <c r="CT10" s="20">
        <f>IF(AND(AN$2&gt;=VALUE(t_Parts[[SOP]:[SOP]]),AN$2&lt;=VALUE(t_Parts[[EOP]:[EOP]])), t_Parts[[SetupHrsPerMo]:[SetupHrsPerMo]]+(t_Parts[[#This Row],[pv2015.11]]/t_Parts[[NetPPH]:[NetPPH]]),0)</f>
        <v>5.1411452762923346</v>
      </c>
      <c r="CU10" s="20">
        <f>IF(AND(AO$2&gt;=VALUE(t_Parts[[SOP]:[SOP]]),AO$2&lt;=VALUE(t_Parts[[EOP]:[EOP]])), t_Parts[[SetupHrsPerMo]:[SetupHrsPerMo]]+(t_Parts[[#This Row],[pv2015.12]]/t_Parts[[NetPPH]:[NetPPH]]),0)</f>
        <v>6.1076515151515149</v>
      </c>
      <c r="CV10" s="20">
        <f>SUM(t_Parts[[#This Row],[hp2015.01]:[hp2015.12]])</f>
        <v>65.076515151515153</v>
      </c>
      <c r="CW10" s="20">
        <f>IF(AND(AQ$2&gt;=VALUE(t_Parts[[SOP]:[SOP]]),AQ$2&lt;=VALUE(t_Parts[[EOP]:[EOP]])), t_Parts[[SetupHrsPerMo]:[SetupHrsPerMo]]+(t_Parts[[#This Row],[pv2016.01]]/t_Parts[[NetPPH]:[NetPPH]]),0)</f>
        <v>0</v>
      </c>
      <c r="CX10" s="20">
        <f>IF(AND(AR$2&gt;=VALUE(t_Parts[[SOP]:[SOP]]),AR$2&lt;=VALUE(t_Parts[[EOP]:[EOP]])), t_Parts[[SetupHrsPerMo]:[SetupHrsPerMo]]+(t_Parts[[#This Row],[pv2016.02]]/t_Parts[[NetPPH]:[NetPPH]]),0)</f>
        <v>0</v>
      </c>
      <c r="CY10" s="20">
        <f>IF(AND(AS$2&gt;=VALUE(t_Parts[[SOP]:[SOP]]),AS$2&lt;=VALUE(t_Parts[[EOP]:[EOP]])), t_Parts[[SetupHrsPerMo]:[SetupHrsPerMo]]+(t_Parts[[#This Row],[pv2016.03]]/t_Parts[[NetPPH]:[NetPPH]]),0)</f>
        <v>0</v>
      </c>
      <c r="CZ10" s="20">
        <f>IF(AND(AT$2&gt;=VALUE(t_Parts[[SOP]:[SOP]]),AT$2&lt;=VALUE(t_Parts[[EOP]:[EOP]])), t_Parts[[SetupHrsPerMo]:[SetupHrsPerMo]]+(t_Parts[[#This Row],[pv2016.04]]/t_Parts[[NetPPH]:[NetPPH]]),0)</f>
        <v>0</v>
      </c>
      <c r="DA10" s="20">
        <f>IF(AND(AU$2&gt;=VALUE(t_Parts[[SOP]:[SOP]]),AU$2&lt;=VALUE(t_Parts[[EOP]:[EOP]])), t_Parts[[SetupHrsPerMo]:[SetupHrsPerMo]]+(t_Parts[[#This Row],[pv2016.05]]/t_Parts[[NetPPH]:[NetPPH]]),0)</f>
        <v>0</v>
      </c>
      <c r="DB10" s="20">
        <f>IF(AND(AV$2&gt;=VALUE(t_Parts[[SOP]:[SOP]]),AV$2&lt;=VALUE(t_Parts[[EOP]:[EOP]])), t_Parts[[SetupHrsPerMo]:[SetupHrsPerMo]]+(t_Parts[[#This Row],[pv2016.06]]/t_Parts[[NetPPH]:[NetPPH]]),0)</f>
        <v>0</v>
      </c>
      <c r="DC10" s="20">
        <f>IF(AND(AW$2&gt;=VALUE(t_Parts[[SOP]:[SOP]]),AW$2&lt;=VALUE(t_Parts[[EOP]:[EOP]])), t_Parts[[SetupHrsPerMo]:[SetupHrsPerMo]]+(t_Parts[[#This Row],[pv2016.07]]/t_Parts[[NetPPH]:[NetPPH]]),0)</f>
        <v>0</v>
      </c>
      <c r="DD10" s="20">
        <f>IF(AND(AX$2&gt;=VALUE(t_Parts[[SOP]:[SOP]]),AX$2&lt;=VALUE(t_Parts[[EOP]:[EOP]])), t_Parts[[SetupHrsPerMo]:[SetupHrsPerMo]]+(t_Parts[[#This Row],[pv2016.08]]/t_Parts[[NetPPH]:[NetPPH]]),0)</f>
        <v>0</v>
      </c>
      <c r="DE10" s="20">
        <f>IF(AND(AY$2&gt;=VALUE(t_Parts[[SOP]:[SOP]]),AY$2&lt;=VALUE(t_Parts[[EOP]:[EOP]])), t_Parts[[SetupHrsPerMo]:[SetupHrsPerMo]]+(t_Parts[[#This Row],[pv2016.09]]/t_Parts[[NetPPH]:[NetPPH]]),0)</f>
        <v>0</v>
      </c>
      <c r="DF10" s="20">
        <f>IF(AND(AZ$2&gt;=VALUE(t_Parts[[SOP]:[SOP]]),AZ$2&lt;=VALUE(t_Parts[[EOP]:[EOP]])), t_Parts[[SetupHrsPerMo]:[SetupHrsPerMo]]+(t_Parts[[#This Row],[pv2016.10]]/t_Parts[[NetPPH]:[NetPPH]]),0)</f>
        <v>0</v>
      </c>
      <c r="DG10" s="20">
        <f>IF(AND(BA$2&gt;=VALUE(t_Parts[[SOP]:[SOP]]),BA$2&lt;=VALUE(t_Parts[[EOP]:[EOP]])), t_Parts[[SetupHrsPerMo]:[SetupHrsPerMo]]+(t_Parts[[#This Row],[pv2016.11]]/t_Parts[[NetPPH]:[NetPPH]]),0)</f>
        <v>0</v>
      </c>
      <c r="DH10" s="20">
        <f>IF(AND(BB$2&gt;=VALUE(t_Parts[[SOP]:[SOP]]),BB$2&lt;=VALUE(t_Parts[[EOP]:[EOP]])), t_Parts[[SetupHrsPerMo]:[SetupHrsPerMo]]+(t_Parts[[#This Row],[pv2016.12]]/t_Parts[[NetPPH]:[NetPPH]]),0)</f>
        <v>0</v>
      </c>
      <c r="DI10" s="20">
        <f>SUM(t_Parts[[#This Row],[hp2016.01]:[hp2016.12]])</f>
        <v>0</v>
      </c>
      <c r="DJ10" s="20">
        <f>IF(AND(BD$2&gt;=VALUE(t_Parts[[SOP]:[SOP]]),BD$2&lt;=VALUE(t_Parts[[EOP]:[EOP]])), 12*t_Parts[[SetupHrsPerMo]:[SetupHrsPerMo]]+(t_Parts[[#This Row],[pv2017]]/t_Parts[[NetPPH]:[NetPPH]]),0)</f>
        <v>0</v>
      </c>
      <c r="DK10" s="20">
        <f>IF(AND(BE$2&gt;=VALUE(t_Parts[[SOP]:[SOP]]),BE$2&lt;=VALUE(t_Parts[[EOP]:[EOP]])), 12*t_Parts[[SetupHrsPerMo]:[SetupHrsPerMo]]+(t_Parts[[#This Row],[pv2018]]/t_Parts[[NetPPH]:[NetPPH]]),0)</f>
        <v>0</v>
      </c>
      <c r="DL10" s="20">
        <f>IF(AND(BF$2&gt;=VALUE(t_Parts[[SOP]:[SOP]]),BF$2&lt;=VALUE(t_Parts[[EOP]:[EOP]])), 12*t_Parts[[SetupHrsPerMo]:[SetupHrsPerMo]]+(t_Parts[[#This Row],[pv2019]]/t_Parts[[NetPPH]:[NetPPH]]),0)</f>
        <v>0</v>
      </c>
      <c r="DM10" s="15">
        <f>t_Parts[[#This Row],[hp2015.01]]/t_Parts[[#This Row],[ha2015.01]]</f>
        <v>2.008132798573975E-2</v>
      </c>
      <c r="DN10" s="15">
        <f>t_Parts[[#This Row],[hp2015.02]]/t_Parts[[#This Row],[ha2015.02]]</f>
        <v>1.9773635678047442E-2</v>
      </c>
      <c r="DO10" s="15">
        <f>t_Parts[[#This Row],[hp2015.03]]/t_Parts[[#This Row],[ha2015.03]]</f>
        <v>1.796368092691622E-2</v>
      </c>
      <c r="DP10" s="15">
        <f>t_Parts[[#This Row],[hp2015.04]]/t_Parts[[#This Row],[ha2015.04]]</f>
        <v>2.008132798573975E-2</v>
      </c>
      <c r="DQ10" s="15">
        <f>t_Parts[[#This Row],[hp2015.05]]/t_Parts[[#This Row],[ha2015.05]]</f>
        <v>1.9773635678047442E-2</v>
      </c>
      <c r="DR10" s="15">
        <f>t_Parts[[#This Row],[hp2015.06]]/t_Parts[[#This Row],[ha2015.06]]</f>
        <v>1.796368092691622E-2</v>
      </c>
      <c r="DS10" s="15">
        <f>t_Parts[[#This Row],[hp2015.07]]/t_Parts[[#This Row],[ha2015.07]]</f>
        <v>2.008132798573975E-2</v>
      </c>
      <c r="DT10" s="15">
        <f>t_Parts[[#This Row],[hp2015.08]]/t_Parts[[#This Row],[ha2015.08]]</f>
        <v>1.9773635678047442E-2</v>
      </c>
      <c r="DU10" s="15">
        <f>t_Parts[[#This Row],[hp2015.09]]/t_Parts[[#This Row],[ha2015.09]]</f>
        <v>1.796368092691622E-2</v>
      </c>
      <c r="DV10" s="15">
        <f>t_Parts[[#This Row],[hp2015.10]]/t_Parts[[#This Row],[ha2015.10]]</f>
        <v>2.008132798573975E-2</v>
      </c>
      <c r="DW10" s="15">
        <f>t_Parts[[#This Row],[hp2015.11]]/t_Parts[[#This Row],[ha2015.11]]</f>
        <v>1.9773635678047442E-2</v>
      </c>
      <c r="DX10" s="15">
        <f>t_Parts[[#This Row],[hp2015.12]]/t_Parts[[#This Row],[ha2015.12]]</f>
        <v>1.796368092691622E-2</v>
      </c>
      <c r="DY10" s="15">
        <f>t_Parts[[#This Row],[hp2015.FY]]/t_Parts[[#This Row],[ha2015.FY]]</f>
        <v>1.9140151515151516E-2</v>
      </c>
      <c r="DZ10" s="15">
        <f>t_Parts[[#This Row],[hp2016.01]]/t_Parts[[#This Row],[ha2016.01]]</f>
        <v>0</v>
      </c>
      <c r="EA10" s="15">
        <f>t_Parts[[#This Row],[hp2016.02]]/t_Parts[[#This Row],[ha2016.02]]</f>
        <v>0</v>
      </c>
      <c r="EB10" s="15">
        <f>t_Parts[[#This Row],[hp2016.03]]/t_Parts[[#This Row],[ha2016.03]]</f>
        <v>0</v>
      </c>
      <c r="EC10" s="15">
        <f>t_Parts[[#This Row],[hp2016.04]]/t_Parts[[#This Row],[ha2016.04]]</f>
        <v>0</v>
      </c>
      <c r="ED10" s="15">
        <f>t_Parts[[#This Row],[hp2016.05]]/t_Parts[[#This Row],[ha2016.05]]</f>
        <v>0</v>
      </c>
      <c r="EE10" s="15">
        <f>t_Parts[[#This Row],[hp2016.06]]/t_Parts[[#This Row],[ha2016.06]]</f>
        <v>0</v>
      </c>
      <c r="EF10" s="15">
        <f>t_Parts[[#This Row],[hp2016.07]]/t_Parts[[#This Row],[ha2016.07]]</f>
        <v>0</v>
      </c>
      <c r="EG10" s="15">
        <f>t_Parts[[#This Row],[hp2016.08]]/t_Parts[[#This Row],[ha2016.08]]</f>
        <v>0</v>
      </c>
      <c r="EH10" s="15">
        <f>t_Parts[[#This Row],[hp2016.09]]/t_Parts[[#This Row],[ha2016.09]]</f>
        <v>0</v>
      </c>
      <c r="EI10" s="15">
        <f>t_Parts[[#This Row],[hp2016.10]]/t_Parts[[#This Row],[ha2016.10]]</f>
        <v>0</v>
      </c>
      <c r="EJ10" s="15">
        <f>t_Parts[[#This Row],[hp2016.11]]/t_Parts[[#This Row],[ha2016.11]]</f>
        <v>0</v>
      </c>
      <c r="EK10" s="15">
        <f>t_Parts[[#This Row],[hp2016.12]]/t_Parts[[#This Row],[ha2016.12]]</f>
        <v>0</v>
      </c>
      <c r="EL10" s="15">
        <f>t_Parts[[#This Row],[hp2016.FY]]/t_Parts[[#This Row],[ha2016.FY]]</f>
        <v>0</v>
      </c>
      <c r="EM10" s="15">
        <f>t_Parts[[#This Row],[hp2017]]/t_Parts[[#This Row],[ha2017]]</f>
        <v>0</v>
      </c>
      <c r="EN10" s="15">
        <f>t_Parts[[#This Row],[hp2018]]/t_Parts[[#This Row],[ha2018]]</f>
        <v>0</v>
      </c>
      <c r="EO10" s="15">
        <f>t_Parts[[#This Row],[hp2019]]/t_Parts[[#This Row],[hp2015.01]]</f>
        <v>0</v>
      </c>
      <c r="EP10" s="68">
        <f>(t_Parts[[#This Row],[ha2015.01]]-t_Parts[[#This Row],[hp2015.01]])*t_Parts[[NetPPH]:[NetPPH]]</f>
        <v>323373.16176470584</v>
      </c>
      <c r="EQ10" s="68">
        <f>(t_Parts[[#This Row],[ha2015.02]]-t_Parts[[#This Row],[hp2015.02]])*t_Parts[[NetPPH]:[NetPPH]]</f>
        <v>336413.68823529413</v>
      </c>
      <c r="ER10" s="68">
        <f>(t_Parts[[#This Row],[ha2015.03]]-t_Parts[[#This Row],[hp2015.03]])*t_Parts[[NetPPH]:[NetPPH]]</f>
        <v>440737.89999999997</v>
      </c>
      <c r="ES10" s="68">
        <f>(t_Parts[[#This Row],[ha2015.04]]-t_Parts[[#This Row],[hp2015.04]])*t_Parts[[NetPPH]:[NetPPH]]</f>
        <v>323373.16176470584</v>
      </c>
      <c r="ET10" s="68">
        <f>(t_Parts[[#This Row],[ha2015.05]]-t_Parts[[#This Row],[hp2015.05]])*t_Parts[[NetPPH]:[NetPPH]]</f>
        <v>336413.68823529413</v>
      </c>
      <c r="EU10" s="68">
        <f>(t_Parts[[#This Row],[ha2015.06]]-t_Parts[[#This Row],[hp2015.06]])*t_Parts[[NetPPH]:[NetPPH]]</f>
        <v>440737.89999999997</v>
      </c>
      <c r="EV10" s="68">
        <f>(t_Parts[[#This Row],[ha2015.07]]-t_Parts[[#This Row],[hp2015.07]])*t_Parts[[NetPPH]:[NetPPH]]</f>
        <v>323373.16176470584</v>
      </c>
      <c r="EW10" s="68">
        <f>(t_Parts[[#This Row],[ha2015.08]]-t_Parts[[#This Row],[hp2015.08]])*t_Parts[[NetPPH]:[NetPPH]]</f>
        <v>336413.68823529413</v>
      </c>
      <c r="EX10" s="68">
        <f>(t_Parts[[#This Row],[ha2015.09]]-t_Parts[[#This Row],[hp2015.09]])*t_Parts[[NetPPH]:[NetPPH]]</f>
        <v>440737.89999999997</v>
      </c>
      <c r="EY10" s="68">
        <f>(t_Parts[[#This Row],[ha2015.10]]-t_Parts[[#This Row],[hp2015.10]])*t_Parts[[NetPPH]:[NetPPH]]</f>
        <v>323373.16176470584</v>
      </c>
      <c r="EZ10" s="68">
        <f>(t_Parts[[#This Row],[ha2015.11]]-t_Parts[[#This Row],[hp2015.11]])*t_Parts[[NetPPH]:[NetPPH]]</f>
        <v>336413.68823529413</v>
      </c>
      <c r="FA10" s="68">
        <f>(t_Parts[[#This Row],[ha2015.12]]-t_Parts[[#This Row],[hp2015.12]])*t_Parts[[NetPPH]:[NetPPH]]</f>
        <v>440737.89999999997</v>
      </c>
      <c r="FB10" s="68">
        <f>(t_Parts[[#This Row],[ha2015.FY]]-t_Parts[[#This Row],[hp2015.FY]])*t_Parts[[NetPPH]:[NetPPH]]</f>
        <v>4402099</v>
      </c>
      <c r="FC10" s="68">
        <f>(t_Parts[[#This Row],[ha2016.01]]-t_Parts[[#This Row],[hp2016.01]])*t_Parts[[NetPPH]:[NetPPH]]</f>
        <v>330000</v>
      </c>
      <c r="FD10" s="68">
        <f>(t_Parts[[#This Row],[ha2016.02]]-t_Parts[[#This Row],[hp2016.02]])*t_Parts[[NetPPH]:[NetPPH]]</f>
        <v>316800</v>
      </c>
      <c r="FE10" s="68">
        <f>(t_Parts[[#This Row],[ha2016.03]]-t_Parts[[#This Row],[hp2016.03]])*t_Parts[[NetPPH]:[NetPPH]]</f>
        <v>448800</v>
      </c>
      <c r="FF10" s="68">
        <f>(t_Parts[[#This Row],[ha2016.04]]-t_Parts[[#This Row],[hp2016.04]])*t_Parts[[NetPPH]:[NetPPH]]</f>
        <v>330000</v>
      </c>
      <c r="FG10" s="68">
        <f>(t_Parts[[#This Row],[ha2016.05]]-t_Parts[[#This Row],[hp2016.05]])*t_Parts[[NetPPH]:[NetPPH]]</f>
        <v>343200</v>
      </c>
      <c r="FH10" s="68">
        <f>(t_Parts[[#This Row],[ha2016.06]]-t_Parts[[#This Row],[hp2016.06]])*t_Parts[[NetPPH]:[NetPPH]]</f>
        <v>448800</v>
      </c>
      <c r="FI10" s="68">
        <f>(t_Parts[[#This Row],[ha2016.07]]-t_Parts[[#This Row],[hp2016.07]])*t_Parts[[NetPPH]:[NetPPH]]</f>
        <v>330000</v>
      </c>
      <c r="FJ10" s="68">
        <f>(t_Parts[[#This Row],[ha2016.08]]-t_Parts[[#This Row],[hp2016.08]])*t_Parts[[NetPPH]:[NetPPH]]</f>
        <v>343200</v>
      </c>
      <c r="FK10" s="68">
        <f>(t_Parts[[#This Row],[ha2016.09]]-t_Parts[[#This Row],[hp2016.09]])*t_Parts[[NetPPH]:[NetPPH]]</f>
        <v>448800</v>
      </c>
      <c r="FL10" s="68">
        <f>(t_Parts[[#This Row],[ha2016.10]]-t_Parts[[#This Row],[hp2016.10]])*t_Parts[[NetPPH]:[NetPPH]]</f>
        <v>330000</v>
      </c>
      <c r="FM10" s="68">
        <f>(t_Parts[[#This Row],[ha2016.11]]-t_Parts[[#This Row],[hp2016.11]])*t_Parts[[NetPPH]:[NetPPH]]</f>
        <v>290400</v>
      </c>
      <c r="FN10" s="68">
        <f>(t_Parts[[#This Row],[ha2016.12]]-t_Parts[[#This Row],[hp2016.12]])*t_Parts[[NetPPH]:[NetPPH]]</f>
        <v>396000</v>
      </c>
      <c r="FO10" s="68">
        <f>(t_Parts[[#This Row],[ha2016.FY]]-t_Parts[[#This Row],[hp2016.FY]])*t_Parts[[NetPPH]:[NetPPH]]</f>
        <v>4356000</v>
      </c>
      <c r="FP10" s="68">
        <f>(t_Parts[[#This Row],[ha2017]]-t_Parts[[#This Row],[hp2017]])*t_Parts[[NetPPH]:[NetPPH]]</f>
        <v>4356000</v>
      </c>
      <c r="FQ10" s="68">
        <f>(t_Parts[[#This Row],[ha2018]]-t_Parts[[#This Row],[hp2018]])*t_Parts[[NetPPH]:[NetPPH]]</f>
        <v>4356000</v>
      </c>
      <c r="FR10" s="68">
        <f>(t_Parts[[#This Row],[ha2019]]-t_Parts[[#This Row],[hp2019]])*t_Parts[[NetPPH]:[NetPPH]]</f>
        <v>4356000</v>
      </c>
    </row>
    <row r="11" spans="1:174" x14ac:dyDescent="0.25">
      <c r="A11" s="16" t="s">
        <v>169</v>
      </c>
      <c r="B11" s="16">
        <v>21013</v>
      </c>
      <c r="C11">
        <v>1</v>
      </c>
      <c r="D11" s="20">
        <v>3600</v>
      </c>
      <c r="E11" s="25">
        <v>1</v>
      </c>
      <c r="F11" s="26">
        <v>2</v>
      </c>
      <c r="G11" t="s">
        <v>16</v>
      </c>
      <c r="H11" t="s">
        <v>94</v>
      </c>
      <c r="I11" s="20">
        <v>18000</v>
      </c>
      <c r="J11" s="20"/>
      <c r="K11" s="20"/>
      <c r="L11" s="20"/>
      <c r="M11" s="20"/>
      <c r="N11" s="20"/>
      <c r="O11" s="20"/>
      <c r="P11" s="25"/>
      <c r="Q11" s="20"/>
      <c r="R11" s="26"/>
      <c r="S11" s="16"/>
      <c r="T11" s="27"/>
      <c r="U11" t="s">
        <v>115</v>
      </c>
      <c r="V11" t="str">
        <f>VLOOKUP(t_Parts[[#This Row],[Press]],t_Presses[],Press!B$1,FALSE)</f>
        <v>Plainfield</v>
      </c>
      <c r="W11" t="str">
        <f>VLOOKUP(t_Parts[[#This Row],[Press]],t_Presses[],Press!E$1,FALSE)</f>
        <v>0-299</v>
      </c>
      <c r="X11" s="15">
        <f>VLOOKUP(t_Parts[[#This Row],[Plant]],t_Plants[],Plants!C$1,FALSE)</f>
        <v>0.55000000000000004</v>
      </c>
      <c r="Y11" s="15">
        <f>VLOOKUP(t_Parts[[#This Row],[Press]],t_Presses[],Press!F$1,FALSE)</f>
        <v>0</v>
      </c>
      <c r="Z11" s="15"/>
      <c r="AA11" s="15">
        <f>IF(ISBLANK(t_Parts[[#This Row],[PartOEE]])=FALSE,t_Parts[[#This Row],[PartOEE]], IF(t_Parts[[#This Row],[PressOEE]]&gt;0, t_Parts[[#This Row],[PressOEE]], t_Parts[[#This Row],[PlantOEE]] ))</f>
        <v>0.55000000000000004</v>
      </c>
      <c r="AB11" s="25">
        <f>t_Parts[[#This Row],[SetupsPerMo]]*t_Parts[[#This Row],[SetupHrs]]</f>
        <v>2</v>
      </c>
      <c r="AC11" s="20">
        <f>(t_Parts[[#This Row],[UnitsPerCycle]]*t_Parts[[#This Row],[CyclesPerHr]])*t_Parts[[#This Row],[UseOEE]]</f>
        <v>1980.0000000000002</v>
      </c>
      <c r="AD11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1323.5294117647059</v>
      </c>
      <c r="AE11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1376.4705882352941</v>
      </c>
      <c r="AF11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1800</v>
      </c>
      <c r="AG11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1323.5294117647059</v>
      </c>
      <c r="AH11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1376.4705882352941</v>
      </c>
      <c r="AI11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1800</v>
      </c>
      <c r="AJ11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1323.5294117647059</v>
      </c>
      <c r="AK11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1376.4705882352941</v>
      </c>
      <c r="AL11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1800</v>
      </c>
      <c r="AM11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1323.5294117647059</v>
      </c>
      <c r="AN11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1376.4705882352941</v>
      </c>
      <c r="AO11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1800</v>
      </c>
      <c r="AP11" s="20">
        <f>SUM(t_Parts[[#This Row],[pv2015.01]:[pv2015.12]])</f>
        <v>18000</v>
      </c>
      <c r="AQ11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11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11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11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11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11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11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11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11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11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11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11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11" s="20">
        <f>SUM(t_Parts[[#This Row],[pv2016.01]:[pv2016.12]])</f>
        <v>0</v>
      </c>
      <c r="BD11" s="20">
        <f>t_Parts[[#This Row],[2017vol]]</f>
        <v>0</v>
      </c>
      <c r="BE11" s="20">
        <f>t_Parts[[#This Row],[2018vol]]</f>
        <v>0</v>
      </c>
      <c r="BF11" s="20">
        <f>t_Parts[[#This Row],[2019vol]]</f>
        <v>0</v>
      </c>
      <c r="BG11">
        <f>VLOOKUP(t_Parts[[Plant]:[Plant]],t_Plants[],Plants!CM$1,FALSE)</f>
        <v>250</v>
      </c>
      <c r="BH11">
        <f>VLOOKUP(t_Parts[[Plant]:[Plant]],t_Plants[],Plants!CN$1,FALSE)</f>
        <v>260</v>
      </c>
      <c r="BI11">
        <f>VLOOKUP(t_Parts[[Plant]:[Plant]],t_Plants[],Plants!CO$1,FALSE)</f>
        <v>340</v>
      </c>
      <c r="BJ11">
        <f>VLOOKUP(t_Parts[[Plant]:[Plant]],t_Plants[],Plants!CP$1,FALSE)</f>
        <v>250</v>
      </c>
      <c r="BK11">
        <f>VLOOKUP(t_Parts[[Plant]:[Plant]],t_Plants[],Plants!CQ$1,FALSE)</f>
        <v>260</v>
      </c>
      <c r="BL11">
        <f>VLOOKUP(t_Parts[[Plant]:[Plant]],t_Plants[],Plants!CR$1,FALSE)</f>
        <v>340</v>
      </c>
      <c r="BM11">
        <f>VLOOKUP(t_Parts[[Plant]:[Plant]],t_Plants[],Plants!CS$1,FALSE)</f>
        <v>250</v>
      </c>
      <c r="BN11">
        <f>VLOOKUP(t_Parts[[Plant]:[Plant]],t_Plants[],Plants!CT$1,FALSE)</f>
        <v>260</v>
      </c>
      <c r="BO11">
        <f>VLOOKUP(t_Parts[[Plant]:[Plant]],t_Plants[],Plants!CU$1,FALSE)</f>
        <v>340</v>
      </c>
      <c r="BP11">
        <f>VLOOKUP(t_Parts[[Plant]:[Plant]],t_Plants[],Plants!CV$1,FALSE)</f>
        <v>250</v>
      </c>
      <c r="BQ11">
        <f>VLOOKUP(t_Parts[[Plant]:[Plant]],t_Plants[],Plants!CW$1,FALSE)</f>
        <v>260</v>
      </c>
      <c r="BR11">
        <f>VLOOKUP(t_Parts[[Plant]:[Plant]],t_Plants[],Plants!CX$1,FALSE)</f>
        <v>340</v>
      </c>
      <c r="BS11">
        <f>SUM(t_Parts[[#This Row],[ha2015.01]:[ha2015.12]])</f>
        <v>3400</v>
      </c>
      <c r="BT11">
        <f>VLOOKUP(t_Parts[[Plant]:[Plant]],t_Plants[],Plants!CZ$1,FALSE)</f>
        <v>250</v>
      </c>
      <c r="BU11">
        <f>VLOOKUP(t_Parts[[Plant]:[Plant]],t_Plants[],Plants!DA$1,FALSE)</f>
        <v>240</v>
      </c>
      <c r="BV11">
        <f>VLOOKUP(t_Parts[[Plant]:[Plant]],t_Plants[],Plants!DB$1,FALSE)</f>
        <v>340</v>
      </c>
      <c r="BW11">
        <f>VLOOKUP(t_Parts[[Plant]:[Plant]],t_Plants[],Plants!DC$1,FALSE)</f>
        <v>250</v>
      </c>
      <c r="BX11">
        <f>VLOOKUP(t_Parts[[Plant]:[Plant]],t_Plants[],Plants!DD$1,FALSE)</f>
        <v>260</v>
      </c>
      <c r="BY11">
        <f>VLOOKUP(t_Parts[[Plant]:[Plant]],t_Plants[],Plants!DE$1,FALSE)</f>
        <v>340</v>
      </c>
      <c r="BZ11">
        <f>VLOOKUP(t_Parts[[Plant]:[Plant]],t_Plants[],Plants!DF$1,FALSE)</f>
        <v>250</v>
      </c>
      <c r="CA11">
        <f>VLOOKUP(t_Parts[[Plant]:[Plant]],t_Plants[],Plants!DG$1,FALSE)</f>
        <v>260</v>
      </c>
      <c r="CB11">
        <f>VLOOKUP(t_Parts[[Plant]:[Plant]],t_Plants[],Plants!DH$1,FALSE)</f>
        <v>340</v>
      </c>
      <c r="CC11">
        <f>VLOOKUP(t_Parts[[Plant]:[Plant]],t_Plants[],Plants!DI$1,FALSE)</f>
        <v>250</v>
      </c>
      <c r="CD11">
        <f>VLOOKUP(t_Parts[[Plant]:[Plant]],t_Plants[],Plants!DJ$1,FALSE)</f>
        <v>220</v>
      </c>
      <c r="CE11">
        <f>VLOOKUP(t_Parts[[Plant]:[Plant]],t_Plants[],Plants!DK$1,FALSE)</f>
        <v>300</v>
      </c>
      <c r="CF11">
        <f>VLOOKUP(t_Parts[[Plant]:[Plant]],t_Plants[],Plants!DL$1,FALSE)</f>
        <v>3300</v>
      </c>
      <c r="CG11">
        <f>VLOOKUP(t_Parts[[Plant]:[Plant]],t_Plants[],Plants!DM$1,FALSE)</f>
        <v>3300</v>
      </c>
      <c r="CH11">
        <f>VLOOKUP(t_Parts[[Plant]:[Plant]],t_Plants[],Plants!DN$1,FALSE)</f>
        <v>3300</v>
      </c>
      <c r="CI11">
        <f>VLOOKUP(t_Parts[[Plant]:[Plant]],t_Plants[],Plants!DO$1,FALSE)</f>
        <v>3300</v>
      </c>
      <c r="CJ11" s="20">
        <f>IF(AND(AD$2&gt;=VALUE(t_Parts[[SOP]:[SOP]]),AD$2&lt;=VALUE(t_Parts[[EOP]:[EOP]])), t_Parts[[SetupHrsPerMo]:[SetupHrsPerMo]]+(t_Parts[[#This Row],[pv2015.01]]/t_Parts[[NetPPH]:[NetPPH]]),0)</f>
        <v>2.6684491978609626</v>
      </c>
      <c r="CK11" s="20">
        <f>IF(AND(AE$2&gt;=VALUE(t_Parts[[SOP]:[SOP]]),AE$2&lt;=VALUE(t_Parts[[EOP]:[EOP]])), t_Parts[[SetupHrsPerMo]:[SetupHrsPerMo]]+(t_Parts[[#This Row],[pv2015.02]]/t_Parts[[NetPPH]:[NetPPH]]),0)</f>
        <v>2.6951871657754012</v>
      </c>
      <c r="CL11" s="20">
        <f>IF(AND(AF$2&gt;=VALUE(t_Parts[[SOP]:[SOP]]),AF$2&lt;=VALUE(t_Parts[[EOP]:[EOP]])), t_Parts[[SetupHrsPerMo]:[SetupHrsPerMo]]+(t_Parts[[#This Row],[pv2015.03]]/t_Parts[[NetPPH]:[NetPPH]]),0)</f>
        <v>2.9090909090909092</v>
      </c>
      <c r="CM11" s="20">
        <f>IF(AND(AG$2&gt;=VALUE(t_Parts[[SOP]:[SOP]]),AG$2&lt;=VALUE(t_Parts[[EOP]:[EOP]])), t_Parts[[SetupHrsPerMo]:[SetupHrsPerMo]]+(t_Parts[[#This Row],[pv2015.04]]/t_Parts[[NetPPH]:[NetPPH]]),0)</f>
        <v>2.6684491978609626</v>
      </c>
      <c r="CN11" s="20">
        <f>IF(AND(AH$2&gt;=VALUE(t_Parts[[SOP]:[SOP]]),AH$2&lt;=VALUE(t_Parts[[EOP]:[EOP]])), t_Parts[[SetupHrsPerMo]:[SetupHrsPerMo]]+(t_Parts[[#This Row],[pv2015.05]]/t_Parts[[NetPPH]:[NetPPH]]),0)</f>
        <v>2.6951871657754012</v>
      </c>
      <c r="CO11" s="20">
        <f>IF(AND(AI$2&gt;=VALUE(t_Parts[[SOP]:[SOP]]),AI$2&lt;=VALUE(t_Parts[[EOP]:[EOP]])), t_Parts[[SetupHrsPerMo]:[SetupHrsPerMo]]+(t_Parts[[#This Row],[pv2015.06]]/t_Parts[[NetPPH]:[NetPPH]]),0)</f>
        <v>2.9090909090909092</v>
      </c>
      <c r="CP11" s="20">
        <f>IF(AND(AJ$2&gt;=VALUE(t_Parts[[SOP]:[SOP]]),AJ$2&lt;=VALUE(t_Parts[[EOP]:[EOP]])), t_Parts[[SetupHrsPerMo]:[SetupHrsPerMo]]+(t_Parts[[#This Row],[pv2015.07]]/t_Parts[[NetPPH]:[NetPPH]]),0)</f>
        <v>2.6684491978609626</v>
      </c>
      <c r="CQ11" s="20">
        <f>IF(AND(AK$2&gt;=VALUE(t_Parts[[SOP]:[SOP]]),AK$2&lt;=VALUE(t_Parts[[EOP]:[EOP]])), t_Parts[[SetupHrsPerMo]:[SetupHrsPerMo]]+(t_Parts[[#This Row],[pv2015.08]]/t_Parts[[NetPPH]:[NetPPH]]),0)</f>
        <v>2.6951871657754012</v>
      </c>
      <c r="CR11" s="20">
        <f>IF(AND(AL$2&gt;=VALUE(t_Parts[[SOP]:[SOP]]),AL$2&lt;=VALUE(t_Parts[[EOP]:[EOP]])), t_Parts[[SetupHrsPerMo]:[SetupHrsPerMo]]+(t_Parts[[#This Row],[pv2015.09]]/t_Parts[[NetPPH]:[NetPPH]]),0)</f>
        <v>2.9090909090909092</v>
      </c>
      <c r="CS11" s="20">
        <f>IF(AND(AM$2&gt;=VALUE(t_Parts[[SOP]:[SOP]]),AM$2&lt;=VALUE(t_Parts[[EOP]:[EOP]])), t_Parts[[SetupHrsPerMo]:[SetupHrsPerMo]]+(t_Parts[[#This Row],[pv2015.10]]/t_Parts[[NetPPH]:[NetPPH]]),0)</f>
        <v>2.6684491978609626</v>
      </c>
      <c r="CT11" s="20">
        <f>IF(AND(AN$2&gt;=VALUE(t_Parts[[SOP]:[SOP]]),AN$2&lt;=VALUE(t_Parts[[EOP]:[EOP]])), t_Parts[[SetupHrsPerMo]:[SetupHrsPerMo]]+(t_Parts[[#This Row],[pv2015.11]]/t_Parts[[NetPPH]:[NetPPH]]),0)</f>
        <v>2.6951871657754012</v>
      </c>
      <c r="CU11" s="20">
        <f>IF(AND(AO$2&gt;=VALUE(t_Parts[[SOP]:[SOP]]),AO$2&lt;=VALUE(t_Parts[[EOP]:[EOP]])), t_Parts[[SetupHrsPerMo]:[SetupHrsPerMo]]+(t_Parts[[#This Row],[pv2015.12]]/t_Parts[[NetPPH]:[NetPPH]]),0)</f>
        <v>2.9090909090909092</v>
      </c>
      <c r="CV11" s="20">
        <f>SUM(t_Parts[[#This Row],[hp2015.01]:[hp2015.12]])</f>
        <v>33.090909090909093</v>
      </c>
      <c r="CW11" s="20">
        <f>IF(AND(AQ$2&gt;=VALUE(t_Parts[[SOP]:[SOP]]),AQ$2&lt;=VALUE(t_Parts[[EOP]:[EOP]])), t_Parts[[SetupHrsPerMo]:[SetupHrsPerMo]]+(t_Parts[[#This Row],[pv2016.01]]/t_Parts[[NetPPH]:[NetPPH]]),0)</f>
        <v>0</v>
      </c>
      <c r="CX11" s="20">
        <f>IF(AND(AR$2&gt;=VALUE(t_Parts[[SOP]:[SOP]]),AR$2&lt;=VALUE(t_Parts[[EOP]:[EOP]])), t_Parts[[SetupHrsPerMo]:[SetupHrsPerMo]]+(t_Parts[[#This Row],[pv2016.02]]/t_Parts[[NetPPH]:[NetPPH]]),0)</f>
        <v>0</v>
      </c>
      <c r="CY11" s="20">
        <f>IF(AND(AS$2&gt;=VALUE(t_Parts[[SOP]:[SOP]]),AS$2&lt;=VALUE(t_Parts[[EOP]:[EOP]])), t_Parts[[SetupHrsPerMo]:[SetupHrsPerMo]]+(t_Parts[[#This Row],[pv2016.03]]/t_Parts[[NetPPH]:[NetPPH]]),0)</f>
        <v>0</v>
      </c>
      <c r="CZ11" s="20">
        <f>IF(AND(AT$2&gt;=VALUE(t_Parts[[SOP]:[SOP]]),AT$2&lt;=VALUE(t_Parts[[EOP]:[EOP]])), t_Parts[[SetupHrsPerMo]:[SetupHrsPerMo]]+(t_Parts[[#This Row],[pv2016.04]]/t_Parts[[NetPPH]:[NetPPH]]),0)</f>
        <v>0</v>
      </c>
      <c r="DA11" s="20">
        <f>IF(AND(AU$2&gt;=VALUE(t_Parts[[SOP]:[SOP]]),AU$2&lt;=VALUE(t_Parts[[EOP]:[EOP]])), t_Parts[[SetupHrsPerMo]:[SetupHrsPerMo]]+(t_Parts[[#This Row],[pv2016.05]]/t_Parts[[NetPPH]:[NetPPH]]),0)</f>
        <v>0</v>
      </c>
      <c r="DB11" s="20">
        <f>IF(AND(AV$2&gt;=VALUE(t_Parts[[SOP]:[SOP]]),AV$2&lt;=VALUE(t_Parts[[EOP]:[EOP]])), t_Parts[[SetupHrsPerMo]:[SetupHrsPerMo]]+(t_Parts[[#This Row],[pv2016.06]]/t_Parts[[NetPPH]:[NetPPH]]),0)</f>
        <v>0</v>
      </c>
      <c r="DC11" s="20">
        <f>IF(AND(AW$2&gt;=VALUE(t_Parts[[SOP]:[SOP]]),AW$2&lt;=VALUE(t_Parts[[EOP]:[EOP]])), t_Parts[[SetupHrsPerMo]:[SetupHrsPerMo]]+(t_Parts[[#This Row],[pv2016.07]]/t_Parts[[NetPPH]:[NetPPH]]),0)</f>
        <v>0</v>
      </c>
      <c r="DD11" s="20">
        <f>IF(AND(AX$2&gt;=VALUE(t_Parts[[SOP]:[SOP]]),AX$2&lt;=VALUE(t_Parts[[EOP]:[EOP]])), t_Parts[[SetupHrsPerMo]:[SetupHrsPerMo]]+(t_Parts[[#This Row],[pv2016.08]]/t_Parts[[NetPPH]:[NetPPH]]),0)</f>
        <v>0</v>
      </c>
      <c r="DE11" s="20">
        <f>IF(AND(AY$2&gt;=VALUE(t_Parts[[SOP]:[SOP]]),AY$2&lt;=VALUE(t_Parts[[EOP]:[EOP]])), t_Parts[[SetupHrsPerMo]:[SetupHrsPerMo]]+(t_Parts[[#This Row],[pv2016.09]]/t_Parts[[NetPPH]:[NetPPH]]),0)</f>
        <v>0</v>
      </c>
      <c r="DF11" s="20">
        <f>IF(AND(AZ$2&gt;=VALUE(t_Parts[[SOP]:[SOP]]),AZ$2&lt;=VALUE(t_Parts[[EOP]:[EOP]])), t_Parts[[SetupHrsPerMo]:[SetupHrsPerMo]]+(t_Parts[[#This Row],[pv2016.10]]/t_Parts[[NetPPH]:[NetPPH]]),0)</f>
        <v>0</v>
      </c>
      <c r="DG11" s="20">
        <f>IF(AND(BA$2&gt;=VALUE(t_Parts[[SOP]:[SOP]]),BA$2&lt;=VALUE(t_Parts[[EOP]:[EOP]])), t_Parts[[SetupHrsPerMo]:[SetupHrsPerMo]]+(t_Parts[[#This Row],[pv2016.11]]/t_Parts[[NetPPH]:[NetPPH]]),0)</f>
        <v>0</v>
      </c>
      <c r="DH11" s="20">
        <f>IF(AND(BB$2&gt;=VALUE(t_Parts[[SOP]:[SOP]]),BB$2&lt;=VALUE(t_Parts[[EOP]:[EOP]])), t_Parts[[SetupHrsPerMo]:[SetupHrsPerMo]]+(t_Parts[[#This Row],[pv2016.12]]/t_Parts[[NetPPH]:[NetPPH]]),0)</f>
        <v>0</v>
      </c>
      <c r="DI11" s="20">
        <f>SUM(t_Parts[[#This Row],[hp2016.01]:[hp2016.12]])</f>
        <v>0</v>
      </c>
      <c r="DJ11" s="20">
        <f>IF(AND(BD$2&gt;=VALUE(t_Parts[[SOP]:[SOP]]),BD$2&lt;=VALUE(t_Parts[[EOP]:[EOP]])), 12*t_Parts[[SetupHrsPerMo]:[SetupHrsPerMo]]+(t_Parts[[#This Row],[pv2017]]/t_Parts[[NetPPH]:[NetPPH]]),0)</f>
        <v>0</v>
      </c>
      <c r="DK11" s="20">
        <f>IF(AND(BE$2&gt;=VALUE(t_Parts[[SOP]:[SOP]]),BE$2&lt;=VALUE(t_Parts[[EOP]:[EOP]])), 12*t_Parts[[SetupHrsPerMo]:[SetupHrsPerMo]]+(t_Parts[[#This Row],[pv2018]]/t_Parts[[NetPPH]:[NetPPH]]),0)</f>
        <v>0</v>
      </c>
      <c r="DL11" s="20">
        <f>IF(AND(BF$2&gt;=VALUE(t_Parts[[SOP]:[SOP]]),BF$2&lt;=VALUE(t_Parts[[EOP]:[EOP]])), 12*t_Parts[[SetupHrsPerMo]:[SetupHrsPerMo]]+(t_Parts[[#This Row],[pv2019]]/t_Parts[[NetPPH]:[NetPPH]]),0)</f>
        <v>0</v>
      </c>
      <c r="DM11" s="15">
        <f>t_Parts[[#This Row],[hp2015.01]]/t_Parts[[#This Row],[ha2015.01]]</f>
        <v>1.0673796791443851E-2</v>
      </c>
      <c r="DN11" s="15">
        <f>t_Parts[[#This Row],[hp2015.02]]/t_Parts[[#This Row],[ha2015.02]]</f>
        <v>1.0366104483751543E-2</v>
      </c>
      <c r="DO11" s="15">
        <f>t_Parts[[#This Row],[hp2015.03]]/t_Parts[[#This Row],[ha2015.03]]</f>
        <v>8.5561497326203211E-3</v>
      </c>
      <c r="DP11" s="15">
        <f>t_Parts[[#This Row],[hp2015.04]]/t_Parts[[#This Row],[ha2015.04]]</f>
        <v>1.0673796791443851E-2</v>
      </c>
      <c r="DQ11" s="15">
        <f>t_Parts[[#This Row],[hp2015.05]]/t_Parts[[#This Row],[ha2015.05]]</f>
        <v>1.0366104483751543E-2</v>
      </c>
      <c r="DR11" s="15">
        <f>t_Parts[[#This Row],[hp2015.06]]/t_Parts[[#This Row],[ha2015.06]]</f>
        <v>8.5561497326203211E-3</v>
      </c>
      <c r="DS11" s="15">
        <f>t_Parts[[#This Row],[hp2015.07]]/t_Parts[[#This Row],[ha2015.07]]</f>
        <v>1.0673796791443851E-2</v>
      </c>
      <c r="DT11" s="15">
        <f>t_Parts[[#This Row],[hp2015.08]]/t_Parts[[#This Row],[ha2015.08]]</f>
        <v>1.0366104483751543E-2</v>
      </c>
      <c r="DU11" s="15">
        <f>t_Parts[[#This Row],[hp2015.09]]/t_Parts[[#This Row],[ha2015.09]]</f>
        <v>8.5561497326203211E-3</v>
      </c>
      <c r="DV11" s="15">
        <f>t_Parts[[#This Row],[hp2015.10]]/t_Parts[[#This Row],[ha2015.10]]</f>
        <v>1.0673796791443851E-2</v>
      </c>
      <c r="DW11" s="15">
        <f>t_Parts[[#This Row],[hp2015.11]]/t_Parts[[#This Row],[ha2015.11]]</f>
        <v>1.0366104483751543E-2</v>
      </c>
      <c r="DX11" s="15">
        <f>t_Parts[[#This Row],[hp2015.12]]/t_Parts[[#This Row],[ha2015.12]]</f>
        <v>8.5561497326203211E-3</v>
      </c>
      <c r="DY11" s="15">
        <f>t_Parts[[#This Row],[hp2015.FY]]/t_Parts[[#This Row],[ha2015.FY]]</f>
        <v>9.7326203208556155E-3</v>
      </c>
      <c r="DZ11" s="15">
        <f>t_Parts[[#This Row],[hp2016.01]]/t_Parts[[#This Row],[ha2016.01]]</f>
        <v>0</v>
      </c>
      <c r="EA11" s="15">
        <f>t_Parts[[#This Row],[hp2016.02]]/t_Parts[[#This Row],[ha2016.02]]</f>
        <v>0</v>
      </c>
      <c r="EB11" s="15">
        <f>t_Parts[[#This Row],[hp2016.03]]/t_Parts[[#This Row],[ha2016.03]]</f>
        <v>0</v>
      </c>
      <c r="EC11" s="15">
        <f>t_Parts[[#This Row],[hp2016.04]]/t_Parts[[#This Row],[ha2016.04]]</f>
        <v>0</v>
      </c>
      <c r="ED11" s="15">
        <f>t_Parts[[#This Row],[hp2016.05]]/t_Parts[[#This Row],[ha2016.05]]</f>
        <v>0</v>
      </c>
      <c r="EE11" s="15">
        <f>t_Parts[[#This Row],[hp2016.06]]/t_Parts[[#This Row],[ha2016.06]]</f>
        <v>0</v>
      </c>
      <c r="EF11" s="15">
        <f>t_Parts[[#This Row],[hp2016.07]]/t_Parts[[#This Row],[ha2016.07]]</f>
        <v>0</v>
      </c>
      <c r="EG11" s="15">
        <f>t_Parts[[#This Row],[hp2016.08]]/t_Parts[[#This Row],[ha2016.08]]</f>
        <v>0</v>
      </c>
      <c r="EH11" s="15">
        <f>t_Parts[[#This Row],[hp2016.09]]/t_Parts[[#This Row],[ha2016.09]]</f>
        <v>0</v>
      </c>
      <c r="EI11" s="15">
        <f>t_Parts[[#This Row],[hp2016.10]]/t_Parts[[#This Row],[ha2016.10]]</f>
        <v>0</v>
      </c>
      <c r="EJ11" s="15">
        <f>t_Parts[[#This Row],[hp2016.11]]/t_Parts[[#This Row],[ha2016.11]]</f>
        <v>0</v>
      </c>
      <c r="EK11" s="15">
        <f>t_Parts[[#This Row],[hp2016.12]]/t_Parts[[#This Row],[ha2016.12]]</f>
        <v>0</v>
      </c>
      <c r="EL11" s="15">
        <f>t_Parts[[#This Row],[hp2016.FY]]/t_Parts[[#This Row],[ha2016.FY]]</f>
        <v>0</v>
      </c>
      <c r="EM11" s="15">
        <f>t_Parts[[#This Row],[hp2017]]/t_Parts[[#This Row],[ha2017]]</f>
        <v>0</v>
      </c>
      <c r="EN11" s="15">
        <f>t_Parts[[#This Row],[hp2018]]/t_Parts[[#This Row],[ha2018]]</f>
        <v>0</v>
      </c>
      <c r="EO11" s="15">
        <f>t_Parts[[#This Row],[hp2019]]/t_Parts[[#This Row],[hp2015.01]]</f>
        <v>0</v>
      </c>
      <c r="EP11" s="68">
        <f>(t_Parts[[#This Row],[ha2015.01]]-t_Parts[[#This Row],[hp2015.01]])*t_Parts[[NetPPH]:[NetPPH]]</f>
        <v>489716.47058823536</v>
      </c>
      <c r="EQ11" s="68">
        <f>(t_Parts[[#This Row],[ha2015.02]]-t_Parts[[#This Row],[hp2015.02]])*t_Parts[[NetPPH]:[NetPPH]]</f>
        <v>509463.52941176476</v>
      </c>
      <c r="ER11" s="68">
        <f>(t_Parts[[#This Row],[ha2015.03]]-t_Parts[[#This Row],[hp2015.03]])*t_Parts[[NetPPH]:[NetPPH]]</f>
        <v>667440</v>
      </c>
      <c r="ES11" s="68">
        <f>(t_Parts[[#This Row],[ha2015.04]]-t_Parts[[#This Row],[hp2015.04]])*t_Parts[[NetPPH]:[NetPPH]]</f>
        <v>489716.47058823536</v>
      </c>
      <c r="ET11" s="68">
        <f>(t_Parts[[#This Row],[ha2015.05]]-t_Parts[[#This Row],[hp2015.05]])*t_Parts[[NetPPH]:[NetPPH]]</f>
        <v>509463.52941176476</v>
      </c>
      <c r="EU11" s="68">
        <f>(t_Parts[[#This Row],[ha2015.06]]-t_Parts[[#This Row],[hp2015.06]])*t_Parts[[NetPPH]:[NetPPH]]</f>
        <v>667440</v>
      </c>
      <c r="EV11" s="68">
        <f>(t_Parts[[#This Row],[ha2015.07]]-t_Parts[[#This Row],[hp2015.07]])*t_Parts[[NetPPH]:[NetPPH]]</f>
        <v>489716.47058823536</v>
      </c>
      <c r="EW11" s="68">
        <f>(t_Parts[[#This Row],[ha2015.08]]-t_Parts[[#This Row],[hp2015.08]])*t_Parts[[NetPPH]:[NetPPH]]</f>
        <v>509463.52941176476</v>
      </c>
      <c r="EX11" s="68">
        <f>(t_Parts[[#This Row],[ha2015.09]]-t_Parts[[#This Row],[hp2015.09]])*t_Parts[[NetPPH]:[NetPPH]]</f>
        <v>667440</v>
      </c>
      <c r="EY11" s="68">
        <f>(t_Parts[[#This Row],[ha2015.10]]-t_Parts[[#This Row],[hp2015.10]])*t_Parts[[NetPPH]:[NetPPH]]</f>
        <v>489716.47058823536</v>
      </c>
      <c r="EZ11" s="68">
        <f>(t_Parts[[#This Row],[ha2015.11]]-t_Parts[[#This Row],[hp2015.11]])*t_Parts[[NetPPH]:[NetPPH]]</f>
        <v>509463.52941176476</v>
      </c>
      <c r="FA11" s="68">
        <f>(t_Parts[[#This Row],[ha2015.12]]-t_Parts[[#This Row],[hp2015.12]])*t_Parts[[NetPPH]:[NetPPH]]</f>
        <v>667440</v>
      </c>
      <c r="FB11" s="68">
        <f>(t_Parts[[#This Row],[ha2015.FY]]-t_Parts[[#This Row],[hp2015.FY]])*t_Parts[[NetPPH]:[NetPPH]]</f>
        <v>6666480.0000000009</v>
      </c>
      <c r="FC11" s="68">
        <f>(t_Parts[[#This Row],[ha2016.01]]-t_Parts[[#This Row],[hp2016.01]])*t_Parts[[NetPPH]:[NetPPH]]</f>
        <v>495000.00000000006</v>
      </c>
      <c r="FD11" s="68">
        <f>(t_Parts[[#This Row],[ha2016.02]]-t_Parts[[#This Row],[hp2016.02]])*t_Parts[[NetPPH]:[NetPPH]]</f>
        <v>475200.00000000006</v>
      </c>
      <c r="FE11" s="68">
        <f>(t_Parts[[#This Row],[ha2016.03]]-t_Parts[[#This Row],[hp2016.03]])*t_Parts[[NetPPH]:[NetPPH]]</f>
        <v>673200.00000000012</v>
      </c>
      <c r="FF11" s="68">
        <f>(t_Parts[[#This Row],[ha2016.04]]-t_Parts[[#This Row],[hp2016.04]])*t_Parts[[NetPPH]:[NetPPH]]</f>
        <v>495000.00000000006</v>
      </c>
      <c r="FG11" s="68">
        <f>(t_Parts[[#This Row],[ha2016.05]]-t_Parts[[#This Row],[hp2016.05]])*t_Parts[[NetPPH]:[NetPPH]]</f>
        <v>514800.00000000006</v>
      </c>
      <c r="FH11" s="68">
        <f>(t_Parts[[#This Row],[ha2016.06]]-t_Parts[[#This Row],[hp2016.06]])*t_Parts[[NetPPH]:[NetPPH]]</f>
        <v>673200.00000000012</v>
      </c>
      <c r="FI11" s="68">
        <f>(t_Parts[[#This Row],[ha2016.07]]-t_Parts[[#This Row],[hp2016.07]])*t_Parts[[NetPPH]:[NetPPH]]</f>
        <v>495000.00000000006</v>
      </c>
      <c r="FJ11" s="68">
        <f>(t_Parts[[#This Row],[ha2016.08]]-t_Parts[[#This Row],[hp2016.08]])*t_Parts[[NetPPH]:[NetPPH]]</f>
        <v>514800.00000000006</v>
      </c>
      <c r="FK11" s="68">
        <f>(t_Parts[[#This Row],[ha2016.09]]-t_Parts[[#This Row],[hp2016.09]])*t_Parts[[NetPPH]:[NetPPH]]</f>
        <v>673200.00000000012</v>
      </c>
      <c r="FL11" s="68">
        <f>(t_Parts[[#This Row],[ha2016.10]]-t_Parts[[#This Row],[hp2016.10]])*t_Parts[[NetPPH]:[NetPPH]]</f>
        <v>495000.00000000006</v>
      </c>
      <c r="FM11" s="68">
        <f>(t_Parts[[#This Row],[ha2016.11]]-t_Parts[[#This Row],[hp2016.11]])*t_Parts[[NetPPH]:[NetPPH]]</f>
        <v>435600.00000000006</v>
      </c>
      <c r="FN11" s="68">
        <f>(t_Parts[[#This Row],[ha2016.12]]-t_Parts[[#This Row],[hp2016.12]])*t_Parts[[NetPPH]:[NetPPH]]</f>
        <v>594000.00000000012</v>
      </c>
      <c r="FO11" s="68">
        <f>(t_Parts[[#This Row],[ha2016.FY]]-t_Parts[[#This Row],[hp2016.FY]])*t_Parts[[NetPPH]:[NetPPH]]</f>
        <v>6534000.0000000009</v>
      </c>
      <c r="FP11" s="68">
        <f>(t_Parts[[#This Row],[ha2017]]-t_Parts[[#This Row],[hp2017]])*t_Parts[[NetPPH]:[NetPPH]]</f>
        <v>6534000.0000000009</v>
      </c>
      <c r="FQ11" s="68">
        <f>(t_Parts[[#This Row],[ha2018]]-t_Parts[[#This Row],[hp2018]])*t_Parts[[NetPPH]:[NetPPH]]</f>
        <v>6534000.0000000009</v>
      </c>
      <c r="FR11" s="68">
        <f>(t_Parts[[#This Row],[ha2019]]-t_Parts[[#This Row],[hp2019]])*t_Parts[[NetPPH]:[NetPPH]]</f>
        <v>6534000.0000000009</v>
      </c>
    </row>
    <row r="12" spans="1:174" x14ac:dyDescent="0.25">
      <c r="A12" s="16" t="s">
        <v>171</v>
      </c>
      <c r="B12" s="16">
        <v>21013</v>
      </c>
      <c r="C12">
        <v>1</v>
      </c>
      <c r="D12" s="20">
        <v>4200</v>
      </c>
      <c r="E12" s="25">
        <v>1</v>
      </c>
      <c r="F12" s="26">
        <v>4</v>
      </c>
      <c r="G12" t="s">
        <v>16</v>
      </c>
      <c r="H12" t="s">
        <v>94</v>
      </c>
      <c r="I12" s="20">
        <v>249166</v>
      </c>
      <c r="J12" s="20"/>
      <c r="K12" s="20"/>
      <c r="L12" s="20"/>
      <c r="M12" s="20"/>
      <c r="N12" s="20"/>
      <c r="O12" s="20"/>
      <c r="P12" s="25"/>
      <c r="Q12" s="20"/>
      <c r="R12" s="26"/>
      <c r="S12" s="16"/>
      <c r="T12" s="27"/>
      <c r="U12" t="s">
        <v>117</v>
      </c>
      <c r="V12" t="str">
        <f>VLOOKUP(t_Parts[[#This Row],[Press]],t_Presses[],Press!B$1,FALSE)</f>
        <v>Plainfield</v>
      </c>
      <c r="W12" t="str">
        <f>VLOOKUP(t_Parts[[#This Row],[Press]],t_Presses[],Press!E$1,FALSE)</f>
        <v>0-299</v>
      </c>
      <c r="X12" s="15">
        <f>VLOOKUP(t_Parts[[#This Row],[Plant]],t_Plants[],Plants!C$1,FALSE)</f>
        <v>0.55000000000000004</v>
      </c>
      <c r="Y12" s="15">
        <f>VLOOKUP(t_Parts[[#This Row],[Press]],t_Presses[],Press!F$1,FALSE)</f>
        <v>0</v>
      </c>
      <c r="Z12" s="15"/>
      <c r="AA12" s="15">
        <f>IF(ISBLANK(t_Parts[[#This Row],[PartOEE]])=FALSE,t_Parts[[#This Row],[PartOEE]], IF(t_Parts[[#This Row],[PressOEE]]&gt;0, t_Parts[[#This Row],[PressOEE]], t_Parts[[#This Row],[PlantOEE]] ))</f>
        <v>0.55000000000000004</v>
      </c>
      <c r="AB12" s="25">
        <f>t_Parts[[#This Row],[SetupsPerMo]]*t_Parts[[#This Row],[SetupHrs]]</f>
        <v>4</v>
      </c>
      <c r="AC12" s="20">
        <f>(t_Parts[[#This Row],[UnitsPerCycle]]*t_Parts[[#This Row],[CyclesPerHr]])*t_Parts[[#This Row],[UseOEE]]</f>
        <v>2310</v>
      </c>
      <c r="AD12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18321.029411764706</v>
      </c>
      <c r="AE12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19053.870588235295</v>
      </c>
      <c r="AF12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24916.600000000002</v>
      </c>
      <c r="AG12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18321.029411764706</v>
      </c>
      <c r="AH12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19053.870588235295</v>
      </c>
      <c r="AI12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24916.600000000002</v>
      </c>
      <c r="AJ12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18321.029411764706</v>
      </c>
      <c r="AK12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19053.870588235295</v>
      </c>
      <c r="AL12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24916.600000000002</v>
      </c>
      <c r="AM12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18321.029411764706</v>
      </c>
      <c r="AN12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19053.870588235295</v>
      </c>
      <c r="AO12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24916.600000000002</v>
      </c>
      <c r="AP12" s="20">
        <f>SUM(t_Parts[[#This Row],[pv2015.01]:[pv2015.12]])</f>
        <v>249166</v>
      </c>
      <c r="AQ12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12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12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12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12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12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12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12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12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12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12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12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12" s="20">
        <f>SUM(t_Parts[[#This Row],[pv2016.01]:[pv2016.12]])</f>
        <v>0</v>
      </c>
      <c r="BD12" s="20">
        <f>t_Parts[[#This Row],[2017vol]]</f>
        <v>0</v>
      </c>
      <c r="BE12" s="20">
        <f>t_Parts[[#This Row],[2018vol]]</f>
        <v>0</v>
      </c>
      <c r="BF12" s="20">
        <f>t_Parts[[#This Row],[2019vol]]</f>
        <v>0</v>
      </c>
      <c r="BG12">
        <f>VLOOKUP(t_Parts[[Plant]:[Plant]],t_Plants[],Plants!CM$1,FALSE)</f>
        <v>250</v>
      </c>
      <c r="BH12">
        <f>VLOOKUP(t_Parts[[Plant]:[Plant]],t_Plants[],Plants!CN$1,FALSE)</f>
        <v>260</v>
      </c>
      <c r="BI12">
        <f>VLOOKUP(t_Parts[[Plant]:[Plant]],t_Plants[],Plants!CO$1,FALSE)</f>
        <v>340</v>
      </c>
      <c r="BJ12">
        <f>VLOOKUP(t_Parts[[Plant]:[Plant]],t_Plants[],Plants!CP$1,FALSE)</f>
        <v>250</v>
      </c>
      <c r="BK12">
        <f>VLOOKUP(t_Parts[[Plant]:[Plant]],t_Plants[],Plants!CQ$1,FALSE)</f>
        <v>260</v>
      </c>
      <c r="BL12">
        <f>VLOOKUP(t_Parts[[Plant]:[Plant]],t_Plants[],Plants!CR$1,FALSE)</f>
        <v>340</v>
      </c>
      <c r="BM12">
        <f>VLOOKUP(t_Parts[[Plant]:[Plant]],t_Plants[],Plants!CS$1,FALSE)</f>
        <v>250</v>
      </c>
      <c r="BN12">
        <f>VLOOKUP(t_Parts[[Plant]:[Plant]],t_Plants[],Plants!CT$1,FALSE)</f>
        <v>260</v>
      </c>
      <c r="BO12">
        <f>VLOOKUP(t_Parts[[Plant]:[Plant]],t_Plants[],Plants!CU$1,FALSE)</f>
        <v>340</v>
      </c>
      <c r="BP12">
        <f>VLOOKUP(t_Parts[[Plant]:[Plant]],t_Plants[],Plants!CV$1,FALSE)</f>
        <v>250</v>
      </c>
      <c r="BQ12">
        <f>VLOOKUP(t_Parts[[Plant]:[Plant]],t_Plants[],Plants!CW$1,FALSE)</f>
        <v>260</v>
      </c>
      <c r="BR12">
        <f>VLOOKUP(t_Parts[[Plant]:[Plant]],t_Plants[],Plants!CX$1,FALSE)</f>
        <v>340</v>
      </c>
      <c r="BS12">
        <f>SUM(t_Parts[[#This Row],[ha2015.01]:[ha2015.12]])</f>
        <v>3400</v>
      </c>
      <c r="BT12">
        <f>VLOOKUP(t_Parts[[Plant]:[Plant]],t_Plants[],Plants!CZ$1,FALSE)</f>
        <v>250</v>
      </c>
      <c r="BU12">
        <f>VLOOKUP(t_Parts[[Plant]:[Plant]],t_Plants[],Plants!DA$1,FALSE)</f>
        <v>240</v>
      </c>
      <c r="BV12">
        <f>VLOOKUP(t_Parts[[Plant]:[Plant]],t_Plants[],Plants!DB$1,FALSE)</f>
        <v>340</v>
      </c>
      <c r="BW12">
        <f>VLOOKUP(t_Parts[[Plant]:[Plant]],t_Plants[],Plants!DC$1,FALSE)</f>
        <v>250</v>
      </c>
      <c r="BX12">
        <f>VLOOKUP(t_Parts[[Plant]:[Plant]],t_Plants[],Plants!DD$1,FALSE)</f>
        <v>260</v>
      </c>
      <c r="BY12">
        <f>VLOOKUP(t_Parts[[Plant]:[Plant]],t_Plants[],Plants!DE$1,FALSE)</f>
        <v>340</v>
      </c>
      <c r="BZ12">
        <f>VLOOKUP(t_Parts[[Plant]:[Plant]],t_Plants[],Plants!DF$1,FALSE)</f>
        <v>250</v>
      </c>
      <c r="CA12">
        <f>VLOOKUP(t_Parts[[Plant]:[Plant]],t_Plants[],Plants!DG$1,FALSE)</f>
        <v>260</v>
      </c>
      <c r="CB12">
        <f>VLOOKUP(t_Parts[[Plant]:[Plant]],t_Plants[],Plants!DH$1,FALSE)</f>
        <v>340</v>
      </c>
      <c r="CC12">
        <f>VLOOKUP(t_Parts[[Plant]:[Plant]],t_Plants[],Plants!DI$1,FALSE)</f>
        <v>250</v>
      </c>
      <c r="CD12">
        <f>VLOOKUP(t_Parts[[Plant]:[Plant]],t_Plants[],Plants!DJ$1,FALSE)</f>
        <v>220</v>
      </c>
      <c r="CE12">
        <f>VLOOKUP(t_Parts[[Plant]:[Plant]],t_Plants[],Plants!DK$1,FALSE)</f>
        <v>300</v>
      </c>
      <c r="CF12">
        <f>VLOOKUP(t_Parts[[Plant]:[Plant]],t_Plants[],Plants!DL$1,FALSE)</f>
        <v>3300</v>
      </c>
      <c r="CG12">
        <f>VLOOKUP(t_Parts[[Plant]:[Plant]],t_Plants[],Plants!DM$1,FALSE)</f>
        <v>3300</v>
      </c>
      <c r="CH12">
        <f>VLOOKUP(t_Parts[[Plant]:[Plant]],t_Plants[],Plants!DN$1,FALSE)</f>
        <v>3300</v>
      </c>
      <c r="CI12">
        <f>VLOOKUP(t_Parts[[Plant]:[Plant]],t_Plants[],Plants!DO$1,FALSE)</f>
        <v>3300</v>
      </c>
      <c r="CJ12" s="20">
        <f>IF(AND(AD$2&gt;=VALUE(t_Parts[[SOP]:[SOP]]),AD$2&lt;=VALUE(t_Parts[[EOP]:[EOP]])), t_Parts[[SetupHrsPerMo]:[SetupHrsPerMo]]+(t_Parts[[#This Row],[pv2015.01]]/t_Parts[[NetPPH]:[NetPPH]]),0)</f>
        <v>11.931181563534505</v>
      </c>
      <c r="CK12" s="20">
        <f>IF(AND(AE$2&gt;=VALUE(t_Parts[[SOP]:[SOP]]),AE$2&lt;=VALUE(t_Parts[[EOP]:[EOP]])), t_Parts[[SetupHrsPerMo]:[SetupHrsPerMo]]+(t_Parts[[#This Row],[pv2015.02]]/t_Parts[[NetPPH]:[NetPPH]]),0)</f>
        <v>12.248428826075886</v>
      </c>
      <c r="CL12" s="20">
        <f>IF(AND(AF$2&gt;=VALUE(t_Parts[[SOP]:[SOP]]),AF$2&lt;=VALUE(t_Parts[[EOP]:[EOP]])), t_Parts[[SetupHrsPerMo]:[SetupHrsPerMo]]+(t_Parts[[#This Row],[pv2015.03]]/t_Parts[[NetPPH]:[NetPPH]]),0)</f>
        <v>14.786406926406928</v>
      </c>
      <c r="CM12" s="20">
        <f>IF(AND(AG$2&gt;=VALUE(t_Parts[[SOP]:[SOP]]),AG$2&lt;=VALUE(t_Parts[[EOP]:[EOP]])), t_Parts[[SetupHrsPerMo]:[SetupHrsPerMo]]+(t_Parts[[#This Row],[pv2015.04]]/t_Parts[[NetPPH]:[NetPPH]]),0)</f>
        <v>11.931181563534505</v>
      </c>
      <c r="CN12" s="20">
        <f>IF(AND(AH$2&gt;=VALUE(t_Parts[[SOP]:[SOP]]),AH$2&lt;=VALUE(t_Parts[[EOP]:[EOP]])), t_Parts[[SetupHrsPerMo]:[SetupHrsPerMo]]+(t_Parts[[#This Row],[pv2015.05]]/t_Parts[[NetPPH]:[NetPPH]]),0)</f>
        <v>12.248428826075886</v>
      </c>
      <c r="CO12" s="20">
        <f>IF(AND(AI$2&gt;=VALUE(t_Parts[[SOP]:[SOP]]),AI$2&lt;=VALUE(t_Parts[[EOP]:[EOP]])), t_Parts[[SetupHrsPerMo]:[SetupHrsPerMo]]+(t_Parts[[#This Row],[pv2015.06]]/t_Parts[[NetPPH]:[NetPPH]]),0)</f>
        <v>14.786406926406928</v>
      </c>
      <c r="CP12" s="20">
        <f>IF(AND(AJ$2&gt;=VALUE(t_Parts[[SOP]:[SOP]]),AJ$2&lt;=VALUE(t_Parts[[EOP]:[EOP]])), t_Parts[[SetupHrsPerMo]:[SetupHrsPerMo]]+(t_Parts[[#This Row],[pv2015.07]]/t_Parts[[NetPPH]:[NetPPH]]),0)</f>
        <v>11.931181563534505</v>
      </c>
      <c r="CQ12" s="20">
        <f>IF(AND(AK$2&gt;=VALUE(t_Parts[[SOP]:[SOP]]),AK$2&lt;=VALUE(t_Parts[[EOP]:[EOP]])), t_Parts[[SetupHrsPerMo]:[SetupHrsPerMo]]+(t_Parts[[#This Row],[pv2015.08]]/t_Parts[[NetPPH]:[NetPPH]]),0)</f>
        <v>12.248428826075886</v>
      </c>
      <c r="CR12" s="20">
        <f>IF(AND(AL$2&gt;=VALUE(t_Parts[[SOP]:[SOP]]),AL$2&lt;=VALUE(t_Parts[[EOP]:[EOP]])), t_Parts[[SetupHrsPerMo]:[SetupHrsPerMo]]+(t_Parts[[#This Row],[pv2015.09]]/t_Parts[[NetPPH]:[NetPPH]]),0)</f>
        <v>14.786406926406928</v>
      </c>
      <c r="CS12" s="20">
        <f>IF(AND(AM$2&gt;=VALUE(t_Parts[[SOP]:[SOP]]),AM$2&lt;=VALUE(t_Parts[[EOP]:[EOP]])), t_Parts[[SetupHrsPerMo]:[SetupHrsPerMo]]+(t_Parts[[#This Row],[pv2015.10]]/t_Parts[[NetPPH]:[NetPPH]]),0)</f>
        <v>11.931181563534505</v>
      </c>
      <c r="CT12" s="20">
        <f>IF(AND(AN$2&gt;=VALUE(t_Parts[[SOP]:[SOP]]),AN$2&lt;=VALUE(t_Parts[[EOP]:[EOP]])), t_Parts[[SetupHrsPerMo]:[SetupHrsPerMo]]+(t_Parts[[#This Row],[pv2015.11]]/t_Parts[[NetPPH]:[NetPPH]]),0)</f>
        <v>12.248428826075886</v>
      </c>
      <c r="CU12" s="20">
        <f>IF(AND(AO$2&gt;=VALUE(t_Parts[[SOP]:[SOP]]),AO$2&lt;=VALUE(t_Parts[[EOP]:[EOP]])), t_Parts[[SetupHrsPerMo]:[SetupHrsPerMo]]+(t_Parts[[#This Row],[pv2015.12]]/t_Parts[[NetPPH]:[NetPPH]]),0)</f>
        <v>14.786406926406928</v>
      </c>
      <c r="CV12" s="20">
        <f>SUM(t_Parts[[#This Row],[hp2015.01]:[hp2015.12]])</f>
        <v>155.86406926406929</v>
      </c>
      <c r="CW12" s="20">
        <f>IF(AND(AQ$2&gt;=VALUE(t_Parts[[SOP]:[SOP]]),AQ$2&lt;=VALUE(t_Parts[[EOP]:[EOP]])), t_Parts[[SetupHrsPerMo]:[SetupHrsPerMo]]+(t_Parts[[#This Row],[pv2016.01]]/t_Parts[[NetPPH]:[NetPPH]]),0)</f>
        <v>0</v>
      </c>
      <c r="CX12" s="20">
        <f>IF(AND(AR$2&gt;=VALUE(t_Parts[[SOP]:[SOP]]),AR$2&lt;=VALUE(t_Parts[[EOP]:[EOP]])), t_Parts[[SetupHrsPerMo]:[SetupHrsPerMo]]+(t_Parts[[#This Row],[pv2016.02]]/t_Parts[[NetPPH]:[NetPPH]]),0)</f>
        <v>0</v>
      </c>
      <c r="CY12" s="20">
        <f>IF(AND(AS$2&gt;=VALUE(t_Parts[[SOP]:[SOP]]),AS$2&lt;=VALUE(t_Parts[[EOP]:[EOP]])), t_Parts[[SetupHrsPerMo]:[SetupHrsPerMo]]+(t_Parts[[#This Row],[pv2016.03]]/t_Parts[[NetPPH]:[NetPPH]]),0)</f>
        <v>0</v>
      </c>
      <c r="CZ12" s="20">
        <f>IF(AND(AT$2&gt;=VALUE(t_Parts[[SOP]:[SOP]]),AT$2&lt;=VALUE(t_Parts[[EOP]:[EOP]])), t_Parts[[SetupHrsPerMo]:[SetupHrsPerMo]]+(t_Parts[[#This Row],[pv2016.04]]/t_Parts[[NetPPH]:[NetPPH]]),0)</f>
        <v>0</v>
      </c>
      <c r="DA12" s="20">
        <f>IF(AND(AU$2&gt;=VALUE(t_Parts[[SOP]:[SOP]]),AU$2&lt;=VALUE(t_Parts[[EOP]:[EOP]])), t_Parts[[SetupHrsPerMo]:[SetupHrsPerMo]]+(t_Parts[[#This Row],[pv2016.05]]/t_Parts[[NetPPH]:[NetPPH]]),0)</f>
        <v>0</v>
      </c>
      <c r="DB12" s="20">
        <f>IF(AND(AV$2&gt;=VALUE(t_Parts[[SOP]:[SOP]]),AV$2&lt;=VALUE(t_Parts[[EOP]:[EOP]])), t_Parts[[SetupHrsPerMo]:[SetupHrsPerMo]]+(t_Parts[[#This Row],[pv2016.06]]/t_Parts[[NetPPH]:[NetPPH]]),0)</f>
        <v>0</v>
      </c>
      <c r="DC12" s="20">
        <f>IF(AND(AW$2&gt;=VALUE(t_Parts[[SOP]:[SOP]]),AW$2&lt;=VALUE(t_Parts[[EOP]:[EOP]])), t_Parts[[SetupHrsPerMo]:[SetupHrsPerMo]]+(t_Parts[[#This Row],[pv2016.07]]/t_Parts[[NetPPH]:[NetPPH]]),0)</f>
        <v>0</v>
      </c>
      <c r="DD12" s="20">
        <f>IF(AND(AX$2&gt;=VALUE(t_Parts[[SOP]:[SOP]]),AX$2&lt;=VALUE(t_Parts[[EOP]:[EOP]])), t_Parts[[SetupHrsPerMo]:[SetupHrsPerMo]]+(t_Parts[[#This Row],[pv2016.08]]/t_Parts[[NetPPH]:[NetPPH]]),0)</f>
        <v>0</v>
      </c>
      <c r="DE12" s="20">
        <f>IF(AND(AY$2&gt;=VALUE(t_Parts[[SOP]:[SOP]]),AY$2&lt;=VALUE(t_Parts[[EOP]:[EOP]])), t_Parts[[SetupHrsPerMo]:[SetupHrsPerMo]]+(t_Parts[[#This Row],[pv2016.09]]/t_Parts[[NetPPH]:[NetPPH]]),0)</f>
        <v>0</v>
      </c>
      <c r="DF12" s="20">
        <f>IF(AND(AZ$2&gt;=VALUE(t_Parts[[SOP]:[SOP]]),AZ$2&lt;=VALUE(t_Parts[[EOP]:[EOP]])), t_Parts[[SetupHrsPerMo]:[SetupHrsPerMo]]+(t_Parts[[#This Row],[pv2016.10]]/t_Parts[[NetPPH]:[NetPPH]]),0)</f>
        <v>0</v>
      </c>
      <c r="DG12" s="20">
        <f>IF(AND(BA$2&gt;=VALUE(t_Parts[[SOP]:[SOP]]),BA$2&lt;=VALUE(t_Parts[[EOP]:[EOP]])), t_Parts[[SetupHrsPerMo]:[SetupHrsPerMo]]+(t_Parts[[#This Row],[pv2016.11]]/t_Parts[[NetPPH]:[NetPPH]]),0)</f>
        <v>0</v>
      </c>
      <c r="DH12" s="20">
        <f>IF(AND(BB$2&gt;=VALUE(t_Parts[[SOP]:[SOP]]),BB$2&lt;=VALUE(t_Parts[[EOP]:[EOP]])), t_Parts[[SetupHrsPerMo]:[SetupHrsPerMo]]+(t_Parts[[#This Row],[pv2016.12]]/t_Parts[[NetPPH]:[NetPPH]]),0)</f>
        <v>0</v>
      </c>
      <c r="DI12" s="20">
        <f>SUM(t_Parts[[#This Row],[hp2016.01]:[hp2016.12]])</f>
        <v>0</v>
      </c>
      <c r="DJ12" s="20">
        <f>IF(AND(BD$2&gt;=VALUE(t_Parts[[SOP]:[SOP]]),BD$2&lt;=VALUE(t_Parts[[EOP]:[EOP]])), 12*t_Parts[[SetupHrsPerMo]:[SetupHrsPerMo]]+(t_Parts[[#This Row],[pv2017]]/t_Parts[[NetPPH]:[NetPPH]]),0)</f>
        <v>0</v>
      </c>
      <c r="DK12" s="20">
        <f>IF(AND(BE$2&gt;=VALUE(t_Parts[[SOP]:[SOP]]),BE$2&lt;=VALUE(t_Parts[[EOP]:[EOP]])), 12*t_Parts[[SetupHrsPerMo]:[SetupHrsPerMo]]+(t_Parts[[#This Row],[pv2018]]/t_Parts[[NetPPH]:[NetPPH]]),0)</f>
        <v>0</v>
      </c>
      <c r="DL12" s="20">
        <f>IF(AND(BF$2&gt;=VALUE(t_Parts[[SOP]:[SOP]]),BF$2&lt;=VALUE(t_Parts[[EOP]:[EOP]])), 12*t_Parts[[SetupHrsPerMo]:[SetupHrsPerMo]]+(t_Parts[[#This Row],[pv2019]]/t_Parts[[NetPPH]:[NetPPH]]),0)</f>
        <v>0</v>
      </c>
      <c r="DM12" s="15">
        <f>t_Parts[[#This Row],[hp2015.01]]/t_Parts[[#This Row],[ha2015.01]]</f>
        <v>4.7724726254138018E-2</v>
      </c>
      <c r="DN12" s="15">
        <f>t_Parts[[#This Row],[hp2015.02]]/t_Parts[[#This Row],[ha2015.02]]</f>
        <v>4.7109341638753403E-2</v>
      </c>
      <c r="DO12" s="15">
        <f>t_Parts[[#This Row],[hp2015.03]]/t_Parts[[#This Row],[ha2015.03]]</f>
        <v>4.3489432136490966E-2</v>
      </c>
      <c r="DP12" s="15">
        <f>t_Parts[[#This Row],[hp2015.04]]/t_Parts[[#This Row],[ha2015.04]]</f>
        <v>4.7724726254138018E-2</v>
      </c>
      <c r="DQ12" s="15">
        <f>t_Parts[[#This Row],[hp2015.05]]/t_Parts[[#This Row],[ha2015.05]]</f>
        <v>4.7109341638753403E-2</v>
      </c>
      <c r="DR12" s="15">
        <f>t_Parts[[#This Row],[hp2015.06]]/t_Parts[[#This Row],[ha2015.06]]</f>
        <v>4.3489432136490966E-2</v>
      </c>
      <c r="DS12" s="15">
        <f>t_Parts[[#This Row],[hp2015.07]]/t_Parts[[#This Row],[ha2015.07]]</f>
        <v>4.7724726254138018E-2</v>
      </c>
      <c r="DT12" s="15">
        <f>t_Parts[[#This Row],[hp2015.08]]/t_Parts[[#This Row],[ha2015.08]]</f>
        <v>4.7109341638753403E-2</v>
      </c>
      <c r="DU12" s="15">
        <f>t_Parts[[#This Row],[hp2015.09]]/t_Parts[[#This Row],[ha2015.09]]</f>
        <v>4.3489432136490966E-2</v>
      </c>
      <c r="DV12" s="15">
        <f>t_Parts[[#This Row],[hp2015.10]]/t_Parts[[#This Row],[ha2015.10]]</f>
        <v>4.7724726254138018E-2</v>
      </c>
      <c r="DW12" s="15">
        <f>t_Parts[[#This Row],[hp2015.11]]/t_Parts[[#This Row],[ha2015.11]]</f>
        <v>4.7109341638753403E-2</v>
      </c>
      <c r="DX12" s="15">
        <f>t_Parts[[#This Row],[hp2015.12]]/t_Parts[[#This Row],[ha2015.12]]</f>
        <v>4.3489432136490966E-2</v>
      </c>
      <c r="DY12" s="15">
        <f>t_Parts[[#This Row],[hp2015.FY]]/t_Parts[[#This Row],[ha2015.FY]]</f>
        <v>4.5842373312961558E-2</v>
      </c>
      <c r="DZ12" s="15">
        <f>t_Parts[[#This Row],[hp2016.01]]/t_Parts[[#This Row],[ha2016.01]]</f>
        <v>0</v>
      </c>
      <c r="EA12" s="15">
        <f>t_Parts[[#This Row],[hp2016.02]]/t_Parts[[#This Row],[ha2016.02]]</f>
        <v>0</v>
      </c>
      <c r="EB12" s="15">
        <f>t_Parts[[#This Row],[hp2016.03]]/t_Parts[[#This Row],[ha2016.03]]</f>
        <v>0</v>
      </c>
      <c r="EC12" s="15">
        <f>t_Parts[[#This Row],[hp2016.04]]/t_Parts[[#This Row],[ha2016.04]]</f>
        <v>0</v>
      </c>
      <c r="ED12" s="15">
        <f>t_Parts[[#This Row],[hp2016.05]]/t_Parts[[#This Row],[ha2016.05]]</f>
        <v>0</v>
      </c>
      <c r="EE12" s="15">
        <f>t_Parts[[#This Row],[hp2016.06]]/t_Parts[[#This Row],[ha2016.06]]</f>
        <v>0</v>
      </c>
      <c r="EF12" s="15">
        <f>t_Parts[[#This Row],[hp2016.07]]/t_Parts[[#This Row],[ha2016.07]]</f>
        <v>0</v>
      </c>
      <c r="EG12" s="15">
        <f>t_Parts[[#This Row],[hp2016.08]]/t_Parts[[#This Row],[ha2016.08]]</f>
        <v>0</v>
      </c>
      <c r="EH12" s="15">
        <f>t_Parts[[#This Row],[hp2016.09]]/t_Parts[[#This Row],[ha2016.09]]</f>
        <v>0</v>
      </c>
      <c r="EI12" s="15">
        <f>t_Parts[[#This Row],[hp2016.10]]/t_Parts[[#This Row],[ha2016.10]]</f>
        <v>0</v>
      </c>
      <c r="EJ12" s="15">
        <f>t_Parts[[#This Row],[hp2016.11]]/t_Parts[[#This Row],[ha2016.11]]</f>
        <v>0</v>
      </c>
      <c r="EK12" s="15">
        <f>t_Parts[[#This Row],[hp2016.12]]/t_Parts[[#This Row],[ha2016.12]]</f>
        <v>0</v>
      </c>
      <c r="EL12" s="15">
        <f>t_Parts[[#This Row],[hp2016.FY]]/t_Parts[[#This Row],[ha2016.FY]]</f>
        <v>0</v>
      </c>
      <c r="EM12" s="15">
        <f>t_Parts[[#This Row],[hp2017]]/t_Parts[[#This Row],[ha2017]]</f>
        <v>0</v>
      </c>
      <c r="EN12" s="15">
        <f>t_Parts[[#This Row],[hp2018]]/t_Parts[[#This Row],[ha2018]]</f>
        <v>0</v>
      </c>
      <c r="EO12" s="15">
        <f>t_Parts[[#This Row],[hp2019]]/t_Parts[[#This Row],[hp2015.01]]</f>
        <v>0</v>
      </c>
      <c r="EP12" s="68">
        <f>(t_Parts[[#This Row],[ha2015.01]]-t_Parts[[#This Row],[hp2015.01]])*t_Parts[[NetPPH]:[NetPPH]]</f>
        <v>549938.9705882353</v>
      </c>
      <c r="EQ12" s="68">
        <f>(t_Parts[[#This Row],[ha2015.02]]-t_Parts[[#This Row],[hp2015.02]])*t_Parts[[NetPPH]:[NetPPH]]</f>
        <v>572306.12941176468</v>
      </c>
      <c r="ER12" s="68">
        <f>(t_Parts[[#This Row],[ha2015.03]]-t_Parts[[#This Row],[hp2015.03]])*t_Parts[[NetPPH]:[NetPPH]]</f>
        <v>751243.4</v>
      </c>
      <c r="ES12" s="68">
        <f>(t_Parts[[#This Row],[ha2015.04]]-t_Parts[[#This Row],[hp2015.04]])*t_Parts[[NetPPH]:[NetPPH]]</f>
        <v>549938.9705882353</v>
      </c>
      <c r="ET12" s="68">
        <f>(t_Parts[[#This Row],[ha2015.05]]-t_Parts[[#This Row],[hp2015.05]])*t_Parts[[NetPPH]:[NetPPH]]</f>
        <v>572306.12941176468</v>
      </c>
      <c r="EU12" s="68">
        <f>(t_Parts[[#This Row],[ha2015.06]]-t_Parts[[#This Row],[hp2015.06]])*t_Parts[[NetPPH]:[NetPPH]]</f>
        <v>751243.4</v>
      </c>
      <c r="EV12" s="68">
        <f>(t_Parts[[#This Row],[ha2015.07]]-t_Parts[[#This Row],[hp2015.07]])*t_Parts[[NetPPH]:[NetPPH]]</f>
        <v>549938.9705882353</v>
      </c>
      <c r="EW12" s="68">
        <f>(t_Parts[[#This Row],[ha2015.08]]-t_Parts[[#This Row],[hp2015.08]])*t_Parts[[NetPPH]:[NetPPH]]</f>
        <v>572306.12941176468</v>
      </c>
      <c r="EX12" s="68">
        <f>(t_Parts[[#This Row],[ha2015.09]]-t_Parts[[#This Row],[hp2015.09]])*t_Parts[[NetPPH]:[NetPPH]]</f>
        <v>751243.4</v>
      </c>
      <c r="EY12" s="68">
        <f>(t_Parts[[#This Row],[ha2015.10]]-t_Parts[[#This Row],[hp2015.10]])*t_Parts[[NetPPH]:[NetPPH]]</f>
        <v>549938.9705882353</v>
      </c>
      <c r="EZ12" s="68">
        <f>(t_Parts[[#This Row],[ha2015.11]]-t_Parts[[#This Row],[hp2015.11]])*t_Parts[[NetPPH]:[NetPPH]]</f>
        <v>572306.12941176468</v>
      </c>
      <c r="FA12" s="68">
        <f>(t_Parts[[#This Row],[ha2015.12]]-t_Parts[[#This Row],[hp2015.12]])*t_Parts[[NetPPH]:[NetPPH]]</f>
        <v>751243.4</v>
      </c>
      <c r="FB12" s="68">
        <f>(t_Parts[[#This Row],[ha2015.FY]]-t_Parts[[#This Row],[hp2015.FY]])*t_Parts[[NetPPH]:[NetPPH]]</f>
        <v>7493954</v>
      </c>
      <c r="FC12" s="68">
        <f>(t_Parts[[#This Row],[ha2016.01]]-t_Parts[[#This Row],[hp2016.01]])*t_Parts[[NetPPH]:[NetPPH]]</f>
        <v>577500</v>
      </c>
      <c r="FD12" s="68">
        <f>(t_Parts[[#This Row],[ha2016.02]]-t_Parts[[#This Row],[hp2016.02]])*t_Parts[[NetPPH]:[NetPPH]]</f>
        <v>554400</v>
      </c>
      <c r="FE12" s="68">
        <f>(t_Parts[[#This Row],[ha2016.03]]-t_Parts[[#This Row],[hp2016.03]])*t_Parts[[NetPPH]:[NetPPH]]</f>
        <v>785400</v>
      </c>
      <c r="FF12" s="68">
        <f>(t_Parts[[#This Row],[ha2016.04]]-t_Parts[[#This Row],[hp2016.04]])*t_Parts[[NetPPH]:[NetPPH]]</f>
        <v>577500</v>
      </c>
      <c r="FG12" s="68">
        <f>(t_Parts[[#This Row],[ha2016.05]]-t_Parts[[#This Row],[hp2016.05]])*t_Parts[[NetPPH]:[NetPPH]]</f>
        <v>600600</v>
      </c>
      <c r="FH12" s="68">
        <f>(t_Parts[[#This Row],[ha2016.06]]-t_Parts[[#This Row],[hp2016.06]])*t_Parts[[NetPPH]:[NetPPH]]</f>
        <v>785400</v>
      </c>
      <c r="FI12" s="68">
        <f>(t_Parts[[#This Row],[ha2016.07]]-t_Parts[[#This Row],[hp2016.07]])*t_Parts[[NetPPH]:[NetPPH]]</f>
        <v>577500</v>
      </c>
      <c r="FJ12" s="68">
        <f>(t_Parts[[#This Row],[ha2016.08]]-t_Parts[[#This Row],[hp2016.08]])*t_Parts[[NetPPH]:[NetPPH]]</f>
        <v>600600</v>
      </c>
      <c r="FK12" s="68">
        <f>(t_Parts[[#This Row],[ha2016.09]]-t_Parts[[#This Row],[hp2016.09]])*t_Parts[[NetPPH]:[NetPPH]]</f>
        <v>785400</v>
      </c>
      <c r="FL12" s="68">
        <f>(t_Parts[[#This Row],[ha2016.10]]-t_Parts[[#This Row],[hp2016.10]])*t_Parts[[NetPPH]:[NetPPH]]</f>
        <v>577500</v>
      </c>
      <c r="FM12" s="68">
        <f>(t_Parts[[#This Row],[ha2016.11]]-t_Parts[[#This Row],[hp2016.11]])*t_Parts[[NetPPH]:[NetPPH]]</f>
        <v>508200</v>
      </c>
      <c r="FN12" s="68">
        <f>(t_Parts[[#This Row],[ha2016.12]]-t_Parts[[#This Row],[hp2016.12]])*t_Parts[[NetPPH]:[NetPPH]]</f>
        <v>693000</v>
      </c>
      <c r="FO12" s="68">
        <f>(t_Parts[[#This Row],[ha2016.FY]]-t_Parts[[#This Row],[hp2016.FY]])*t_Parts[[NetPPH]:[NetPPH]]</f>
        <v>7623000</v>
      </c>
      <c r="FP12" s="68">
        <f>(t_Parts[[#This Row],[ha2017]]-t_Parts[[#This Row],[hp2017]])*t_Parts[[NetPPH]:[NetPPH]]</f>
        <v>7623000</v>
      </c>
      <c r="FQ12" s="68">
        <f>(t_Parts[[#This Row],[ha2018]]-t_Parts[[#This Row],[hp2018]])*t_Parts[[NetPPH]:[NetPPH]]</f>
        <v>7623000</v>
      </c>
      <c r="FR12" s="68">
        <f>(t_Parts[[#This Row],[ha2019]]-t_Parts[[#This Row],[hp2019]])*t_Parts[[NetPPH]:[NetPPH]]</f>
        <v>7623000</v>
      </c>
    </row>
    <row r="13" spans="1:174" x14ac:dyDescent="0.25">
      <c r="A13" s="16" t="s">
        <v>173</v>
      </c>
      <c r="B13" s="16">
        <v>21013</v>
      </c>
      <c r="C13">
        <v>1</v>
      </c>
      <c r="D13" s="20">
        <v>2700</v>
      </c>
      <c r="E13" s="25">
        <v>1</v>
      </c>
      <c r="F13" s="26">
        <v>4</v>
      </c>
      <c r="G13" t="s">
        <v>16</v>
      </c>
      <c r="H13" t="s">
        <v>94</v>
      </c>
      <c r="I13" s="20">
        <v>107997</v>
      </c>
      <c r="J13" s="20"/>
      <c r="K13" s="20"/>
      <c r="L13" s="20"/>
      <c r="M13" s="20"/>
      <c r="N13" s="20"/>
      <c r="O13" s="20"/>
      <c r="P13" s="25"/>
      <c r="Q13" s="20"/>
      <c r="R13" s="26"/>
      <c r="S13" s="16"/>
      <c r="T13" s="27"/>
      <c r="U13" t="s">
        <v>115</v>
      </c>
      <c r="V13" t="str">
        <f>VLOOKUP(t_Parts[[#This Row],[Press]],t_Presses[],Press!B$1,FALSE)</f>
        <v>Plainfield</v>
      </c>
      <c r="W13" t="str">
        <f>VLOOKUP(t_Parts[[#This Row],[Press]],t_Presses[],Press!E$1,FALSE)</f>
        <v>0-299</v>
      </c>
      <c r="X13" s="15">
        <f>VLOOKUP(t_Parts[[#This Row],[Plant]],t_Plants[],Plants!C$1,FALSE)</f>
        <v>0.55000000000000004</v>
      </c>
      <c r="Y13" s="15">
        <f>VLOOKUP(t_Parts[[#This Row],[Press]],t_Presses[],Press!F$1,FALSE)</f>
        <v>0</v>
      </c>
      <c r="Z13" s="15"/>
      <c r="AA13" s="15">
        <f>IF(ISBLANK(t_Parts[[#This Row],[PartOEE]])=FALSE,t_Parts[[#This Row],[PartOEE]], IF(t_Parts[[#This Row],[PressOEE]]&gt;0, t_Parts[[#This Row],[PressOEE]], t_Parts[[#This Row],[PlantOEE]] ))</f>
        <v>0.55000000000000004</v>
      </c>
      <c r="AB13" s="25">
        <f>t_Parts[[#This Row],[SetupsPerMo]]*t_Parts[[#This Row],[SetupHrs]]</f>
        <v>4</v>
      </c>
      <c r="AC13" s="20">
        <f>(t_Parts[[#This Row],[UnitsPerCycle]]*t_Parts[[#This Row],[CyclesPerHr]])*t_Parts[[#This Row],[UseOEE]]</f>
        <v>1485.0000000000002</v>
      </c>
      <c r="AD13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7940.9558823529405</v>
      </c>
      <c r="AE13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8258.5941176470587</v>
      </c>
      <c r="AF13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10799.699999999999</v>
      </c>
      <c r="AG13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7940.9558823529405</v>
      </c>
      <c r="AH13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8258.5941176470587</v>
      </c>
      <c r="AI13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10799.699999999999</v>
      </c>
      <c r="AJ13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7940.9558823529405</v>
      </c>
      <c r="AK13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8258.5941176470587</v>
      </c>
      <c r="AL13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10799.699999999999</v>
      </c>
      <c r="AM13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7940.9558823529405</v>
      </c>
      <c r="AN13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8258.5941176470587</v>
      </c>
      <c r="AO13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10799.699999999999</v>
      </c>
      <c r="AP13" s="20">
        <f>SUM(t_Parts[[#This Row],[pv2015.01]:[pv2015.12]])</f>
        <v>107996.99999999999</v>
      </c>
      <c r="AQ13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13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13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13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13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13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13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13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13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13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13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13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13" s="20">
        <f>SUM(t_Parts[[#This Row],[pv2016.01]:[pv2016.12]])</f>
        <v>0</v>
      </c>
      <c r="BD13" s="20">
        <f>t_Parts[[#This Row],[2017vol]]</f>
        <v>0</v>
      </c>
      <c r="BE13" s="20">
        <f>t_Parts[[#This Row],[2018vol]]</f>
        <v>0</v>
      </c>
      <c r="BF13" s="20">
        <f>t_Parts[[#This Row],[2019vol]]</f>
        <v>0</v>
      </c>
      <c r="BG13">
        <f>VLOOKUP(t_Parts[[Plant]:[Plant]],t_Plants[],Plants!CM$1,FALSE)</f>
        <v>250</v>
      </c>
      <c r="BH13">
        <f>VLOOKUP(t_Parts[[Plant]:[Plant]],t_Plants[],Plants!CN$1,FALSE)</f>
        <v>260</v>
      </c>
      <c r="BI13">
        <f>VLOOKUP(t_Parts[[Plant]:[Plant]],t_Plants[],Plants!CO$1,FALSE)</f>
        <v>340</v>
      </c>
      <c r="BJ13">
        <f>VLOOKUP(t_Parts[[Plant]:[Plant]],t_Plants[],Plants!CP$1,FALSE)</f>
        <v>250</v>
      </c>
      <c r="BK13">
        <f>VLOOKUP(t_Parts[[Plant]:[Plant]],t_Plants[],Plants!CQ$1,FALSE)</f>
        <v>260</v>
      </c>
      <c r="BL13">
        <f>VLOOKUP(t_Parts[[Plant]:[Plant]],t_Plants[],Plants!CR$1,FALSE)</f>
        <v>340</v>
      </c>
      <c r="BM13">
        <f>VLOOKUP(t_Parts[[Plant]:[Plant]],t_Plants[],Plants!CS$1,FALSE)</f>
        <v>250</v>
      </c>
      <c r="BN13">
        <f>VLOOKUP(t_Parts[[Plant]:[Plant]],t_Plants[],Plants!CT$1,FALSE)</f>
        <v>260</v>
      </c>
      <c r="BO13">
        <f>VLOOKUP(t_Parts[[Plant]:[Plant]],t_Plants[],Plants!CU$1,FALSE)</f>
        <v>340</v>
      </c>
      <c r="BP13">
        <f>VLOOKUP(t_Parts[[Plant]:[Plant]],t_Plants[],Plants!CV$1,FALSE)</f>
        <v>250</v>
      </c>
      <c r="BQ13">
        <f>VLOOKUP(t_Parts[[Plant]:[Plant]],t_Plants[],Plants!CW$1,FALSE)</f>
        <v>260</v>
      </c>
      <c r="BR13">
        <f>VLOOKUP(t_Parts[[Plant]:[Plant]],t_Plants[],Plants!CX$1,FALSE)</f>
        <v>340</v>
      </c>
      <c r="BS13">
        <f>SUM(t_Parts[[#This Row],[ha2015.01]:[ha2015.12]])</f>
        <v>3400</v>
      </c>
      <c r="BT13">
        <f>VLOOKUP(t_Parts[[Plant]:[Plant]],t_Plants[],Plants!CZ$1,FALSE)</f>
        <v>250</v>
      </c>
      <c r="BU13">
        <f>VLOOKUP(t_Parts[[Plant]:[Plant]],t_Plants[],Plants!DA$1,FALSE)</f>
        <v>240</v>
      </c>
      <c r="BV13">
        <f>VLOOKUP(t_Parts[[Plant]:[Plant]],t_Plants[],Plants!DB$1,FALSE)</f>
        <v>340</v>
      </c>
      <c r="BW13">
        <f>VLOOKUP(t_Parts[[Plant]:[Plant]],t_Plants[],Plants!DC$1,FALSE)</f>
        <v>250</v>
      </c>
      <c r="BX13">
        <f>VLOOKUP(t_Parts[[Plant]:[Plant]],t_Plants[],Plants!DD$1,FALSE)</f>
        <v>260</v>
      </c>
      <c r="BY13">
        <f>VLOOKUP(t_Parts[[Plant]:[Plant]],t_Plants[],Plants!DE$1,FALSE)</f>
        <v>340</v>
      </c>
      <c r="BZ13">
        <f>VLOOKUP(t_Parts[[Plant]:[Plant]],t_Plants[],Plants!DF$1,FALSE)</f>
        <v>250</v>
      </c>
      <c r="CA13">
        <f>VLOOKUP(t_Parts[[Plant]:[Plant]],t_Plants[],Plants!DG$1,FALSE)</f>
        <v>260</v>
      </c>
      <c r="CB13">
        <f>VLOOKUP(t_Parts[[Plant]:[Plant]],t_Plants[],Plants!DH$1,FALSE)</f>
        <v>340</v>
      </c>
      <c r="CC13">
        <f>VLOOKUP(t_Parts[[Plant]:[Plant]],t_Plants[],Plants!DI$1,FALSE)</f>
        <v>250</v>
      </c>
      <c r="CD13">
        <f>VLOOKUP(t_Parts[[Plant]:[Plant]],t_Plants[],Plants!DJ$1,FALSE)</f>
        <v>220</v>
      </c>
      <c r="CE13">
        <f>VLOOKUP(t_Parts[[Plant]:[Plant]],t_Plants[],Plants!DK$1,FALSE)</f>
        <v>300</v>
      </c>
      <c r="CF13">
        <f>VLOOKUP(t_Parts[[Plant]:[Plant]],t_Plants[],Plants!DL$1,FALSE)</f>
        <v>3300</v>
      </c>
      <c r="CG13">
        <f>VLOOKUP(t_Parts[[Plant]:[Plant]],t_Plants[],Plants!DM$1,FALSE)</f>
        <v>3300</v>
      </c>
      <c r="CH13">
        <f>VLOOKUP(t_Parts[[Plant]:[Plant]],t_Plants[],Plants!DN$1,FALSE)</f>
        <v>3300</v>
      </c>
      <c r="CI13">
        <f>VLOOKUP(t_Parts[[Plant]:[Plant]],t_Plants[],Plants!DO$1,FALSE)</f>
        <v>3300</v>
      </c>
      <c r="CJ13" s="20">
        <f>IF(AND(AD$2&gt;=VALUE(t_Parts[[SOP]:[SOP]]),AD$2&lt;=VALUE(t_Parts[[EOP]:[EOP]])), t_Parts[[SetupHrsPerMo]:[SetupHrsPerMo]]+(t_Parts[[#This Row],[pv2015.01]]/t_Parts[[NetPPH]:[NetPPH]]),0)</f>
        <v>9.3474450386215082</v>
      </c>
      <c r="CK13" s="20">
        <f>IF(AND(AE$2&gt;=VALUE(t_Parts[[SOP]:[SOP]]),AE$2&lt;=VALUE(t_Parts[[EOP]:[EOP]])), t_Parts[[SetupHrsPerMo]:[SetupHrsPerMo]]+(t_Parts[[#This Row],[pv2015.02]]/t_Parts[[NetPPH]:[NetPPH]]),0)</f>
        <v>9.5613428401663683</v>
      </c>
      <c r="CL13" s="20">
        <f>IF(AND(AF$2&gt;=VALUE(t_Parts[[SOP]:[SOP]]),AF$2&lt;=VALUE(t_Parts[[EOP]:[EOP]])), t_Parts[[SetupHrsPerMo]:[SetupHrsPerMo]]+(t_Parts[[#This Row],[pv2015.03]]/t_Parts[[NetPPH]:[NetPPH]]),0)</f>
        <v>11.27252525252525</v>
      </c>
      <c r="CM13" s="20">
        <f>IF(AND(AG$2&gt;=VALUE(t_Parts[[SOP]:[SOP]]),AG$2&lt;=VALUE(t_Parts[[EOP]:[EOP]])), t_Parts[[SetupHrsPerMo]:[SetupHrsPerMo]]+(t_Parts[[#This Row],[pv2015.04]]/t_Parts[[NetPPH]:[NetPPH]]),0)</f>
        <v>9.3474450386215082</v>
      </c>
      <c r="CN13" s="20">
        <f>IF(AND(AH$2&gt;=VALUE(t_Parts[[SOP]:[SOP]]),AH$2&lt;=VALUE(t_Parts[[EOP]:[EOP]])), t_Parts[[SetupHrsPerMo]:[SetupHrsPerMo]]+(t_Parts[[#This Row],[pv2015.05]]/t_Parts[[NetPPH]:[NetPPH]]),0)</f>
        <v>9.5613428401663683</v>
      </c>
      <c r="CO13" s="20">
        <f>IF(AND(AI$2&gt;=VALUE(t_Parts[[SOP]:[SOP]]),AI$2&lt;=VALUE(t_Parts[[EOP]:[EOP]])), t_Parts[[SetupHrsPerMo]:[SetupHrsPerMo]]+(t_Parts[[#This Row],[pv2015.06]]/t_Parts[[NetPPH]:[NetPPH]]),0)</f>
        <v>11.27252525252525</v>
      </c>
      <c r="CP13" s="20">
        <f>IF(AND(AJ$2&gt;=VALUE(t_Parts[[SOP]:[SOP]]),AJ$2&lt;=VALUE(t_Parts[[EOP]:[EOP]])), t_Parts[[SetupHrsPerMo]:[SetupHrsPerMo]]+(t_Parts[[#This Row],[pv2015.07]]/t_Parts[[NetPPH]:[NetPPH]]),0)</f>
        <v>9.3474450386215082</v>
      </c>
      <c r="CQ13" s="20">
        <f>IF(AND(AK$2&gt;=VALUE(t_Parts[[SOP]:[SOP]]),AK$2&lt;=VALUE(t_Parts[[EOP]:[EOP]])), t_Parts[[SetupHrsPerMo]:[SetupHrsPerMo]]+(t_Parts[[#This Row],[pv2015.08]]/t_Parts[[NetPPH]:[NetPPH]]),0)</f>
        <v>9.5613428401663683</v>
      </c>
      <c r="CR13" s="20">
        <f>IF(AND(AL$2&gt;=VALUE(t_Parts[[SOP]:[SOP]]),AL$2&lt;=VALUE(t_Parts[[EOP]:[EOP]])), t_Parts[[SetupHrsPerMo]:[SetupHrsPerMo]]+(t_Parts[[#This Row],[pv2015.09]]/t_Parts[[NetPPH]:[NetPPH]]),0)</f>
        <v>11.27252525252525</v>
      </c>
      <c r="CS13" s="20">
        <f>IF(AND(AM$2&gt;=VALUE(t_Parts[[SOP]:[SOP]]),AM$2&lt;=VALUE(t_Parts[[EOP]:[EOP]])), t_Parts[[SetupHrsPerMo]:[SetupHrsPerMo]]+(t_Parts[[#This Row],[pv2015.10]]/t_Parts[[NetPPH]:[NetPPH]]),0)</f>
        <v>9.3474450386215082</v>
      </c>
      <c r="CT13" s="20">
        <f>IF(AND(AN$2&gt;=VALUE(t_Parts[[SOP]:[SOP]]),AN$2&lt;=VALUE(t_Parts[[EOP]:[EOP]])), t_Parts[[SetupHrsPerMo]:[SetupHrsPerMo]]+(t_Parts[[#This Row],[pv2015.11]]/t_Parts[[NetPPH]:[NetPPH]]),0)</f>
        <v>9.5613428401663683</v>
      </c>
      <c r="CU13" s="20">
        <f>IF(AND(AO$2&gt;=VALUE(t_Parts[[SOP]:[SOP]]),AO$2&lt;=VALUE(t_Parts[[EOP]:[EOP]])), t_Parts[[SetupHrsPerMo]:[SetupHrsPerMo]]+(t_Parts[[#This Row],[pv2015.12]]/t_Parts[[NetPPH]:[NetPPH]]),0)</f>
        <v>11.27252525252525</v>
      </c>
      <c r="CV13" s="20">
        <f>SUM(t_Parts[[#This Row],[hp2015.01]:[hp2015.12]])</f>
        <v>120.72525252525249</v>
      </c>
      <c r="CW13" s="20">
        <f>IF(AND(AQ$2&gt;=VALUE(t_Parts[[SOP]:[SOP]]),AQ$2&lt;=VALUE(t_Parts[[EOP]:[EOP]])), t_Parts[[SetupHrsPerMo]:[SetupHrsPerMo]]+(t_Parts[[#This Row],[pv2016.01]]/t_Parts[[NetPPH]:[NetPPH]]),0)</f>
        <v>0</v>
      </c>
      <c r="CX13" s="20">
        <f>IF(AND(AR$2&gt;=VALUE(t_Parts[[SOP]:[SOP]]),AR$2&lt;=VALUE(t_Parts[[EOP]:[EOP]])), t_Parts[[SetupHrsPerMo]:[SetupHrsPerMo]]+(t_Parts[[#This Row],[pv2016.02]]/t_Parts[[NetPPH]:[NetPPH]]),0)</f>
        <v>0</v>
      </c>
      <c r="CY13" s="20">
        <f>IF(AND(AS$2&gt;=VALUE(t_Parts[[SOP]:[SOP]]),AS$2&lt;=VALUE(t_Parts[[EOP]:[EOP]])), t_Parts[[SetupHrsPerMo]:[SetupHrsPerMo]]+(t_Parts[[#This Row],[pv2016.03]]/t_Parts[[NetPPH]:[NetPPH]]),0)</f>
        <v>0</v>
      </c>
      <c r="CZ13" s="20">
        <f>IF(AND(AT$2&gt;=VALUE(t_Parts[[SOP]:[SOP]]),AT$2&lt;=VALUE(t_Parts[[EOP]:[EOP]])), t_Parts[[SetupHrsPerMo]:[SetupHrsPerMo]]+(t_Parts[[#This Row],[pv2016.04]]/t_Parts[[NetPPH]:[NetPPH]]),0)</f>
        <v>0</v>
      </c>
      <c r="DA13" s="20">
        <f>IF(AND(AU$2&gt;=VALUE(t_Parts[[SOP]:[SOP]]),AU$2&lt;=VALUE(t_Parts[[EOP]:[EOP]])), t_Parts[[SetupHrsPerMo]:[SetupHrsPerMo]]+(t_Parts[[#This Row],[pv2016.05]]/t_Parts[[NetPPH]:[NetPPH]]),0)</f>
        <v>0</v>
      </c>
      <c r="DB13" s="20">
        <f>IF(AND(AV$2&gt;=VALUE(t_Parts[[SOP]:[SOP]]),AV$2&lt;=VALUE(t_Parts[[EOP]:[EOP]])), t_Parts[[SetupHrsPerMo]:[SetupHrsPerMo]]+(t_Parts[[#This Row],[pv2016.06]]/t_Parts[[NetPPH]:[NetPPH]]),0)</f>
        <v>0</v>
      </c>
      <c r="DC13" s="20">
        <f>IF(AND(AW$2&gt;=VALUE(t_Parts[[SOP]:[SOP]]),AW$2&lt;=VALUE(t_Parts[[EOP]:[EOP]])), t_Parts[[SetupHrsPerMo]:[SetupHrsPerMo]]+(t_Parts[[#This Row],[pv2016.07]]/t_Parts[[NetPPH]:[NetPPH]]),0)</f>
        <v>0</v>
      </c>
      <c r="DD13" s="20">
        <f>IF(AND(AX$2&gt;=VALUE(t_Parts[[SOP]:[SOP]]),AX$2&lt;=VALUE(t_Parts[[EOP]:[EOP]])), t_Parts[[SetupHrsPerMo]:[SetupHrsPerMo]]+(t_Parts[[#This Row],[pv2016.08]]/t_Parts[[NetPPH]:[NetPPH]]),0)</f>
        <v>0</v>
      </c>
      <c r="DE13" s="20">
        <f>IF(AND(AY$2&gt;=VALUE(t_Parts[[SOP]:[SOP]]),AY$2&lt;=VALUE(t_Parts[[EOP]:[EOP]])), t_Parts[[SetupHrsPerMo]:[SetupHrsPerMo]]+(t_Parts[[#This Row],[pv2016.09]]/t_Parts[[NetPPH]:[NetPPH]]),0)</f>
        <v>0</v>
      </c>
      <c r="DF13" s="20">
        <f>IF(AND(AZ$2&gt;=VALUE(t_Parts[[SOP]:[SOP]]),AZ$2&lt;=VALUE(t_Parts[[EOP]:[EOP]])), t_Parts[[SetupHrsPerMo]:[SetupHrsPerMo]]+(t_Parts[[#This Row],[pv2016.10]]/t_Parts[[NetPPH]:[NetPPH]]),0)</f>
        <v>0</v>
      </c>
      <c r="DG13" s="20">
        <f>IF(AND(BA$2&gt;=VALUE(t_Parts[[SOP]:[SOP]]),BA$2&lt;=VALUE(t_Parts[[EOP]:[EOP]])), t_Parts[[SetupHrsPerMo]:[SetupHrsPerMo]]+(t_Parts[[#This Row],[pv2016.11]]/t_Parts[[NetPPH]:[NetPPH]]),0)</f>
        <v>0</v>
      </c>
      <c r="DH13" s="20">
        <f>IF(AND(BB$2&gt;=VALUE(t_Parts[[SOP]:[SOP]]),BB$2&lt;=VALUE(t_Parts[[EOP]:[EOP]])), t_Parts[[SetupHrsPerMo]:[SetupHrsPerMo]]+(t_Parts[[#This Row],[pv2016.12]]/t_Parts[[NetPPH]:[NetPPH]]),0)</f>
        <v>0</v>
      </c>
      <c r="DI13" s="20">
        <f>SUM(t_Parts[[#This Row],[hp2016.01]:[hp2016.12]])</f>
        <v>0</v>
      </c>
      <c r="DJ13" s="20">
        <f>IF(AND(BD$2&gt;=VALUE(t_Parts[[SOP]:[SOP]]),BD$2&lt;=VALUE(t_Parts[[EOP]:[EOP]])), 12*t_Parts[[SetupHrsPerMo]:[SetupHrsPerMo]]+(t_Parts[[#This Row],[pv2017]]/t_Parts[[NetPPH]:[NetPPH]]),0)</f>
        <v>0</v>
      </c>
      <c r="DK13" s="20">
        <f>IF(AND(BE$2&gt;=VALUE(t_Parts[[SOP]:[SOP]]),BE$2&lt;=VALUE(t_Parts[[EOP]:[EOP]])), 12*t_Parts[[SetupHrsPerMo]:[SetupHrsPerMo]]+(t_Parts[[#This Row],[pv2018]]/t_Parts[[NetPPH]:[NetPPH]]),0)</f>
        <v>0</v>
      </c>
      <c r="DL13" s="20">
        <f>IF(AND(BF$2&gt;=VALUE(t_Parts[[SOP]:[SOP]]),BF$2&lt;=VALUE(t_Parts[[EOP]:[EOP]])), 12*t_Parts[[SetupHrsPerMo]:[SetupHrsPerMo]]+(t_Parts[[#This Row],[pv2019]]/t_Parts[[NetPPH]:[NetPPH]]),0)</f>
        <v>0</v>
      </c>
      <c r="DM13" s="15">
        <f>t_Parts[[#This Row],[hp2015.01]]/t_Parts[[#This Row],[ha2015.01]]</f>
        <v>3.7389780154486033E-2</v>
      </c>
      <c r="DN13" s="15">
        <f>t_Parts[[#This Row],[hp2015.02]]/t_Parts[[#This Row],[ha2015.02]]</f>
        <v>3.6774395539101418E-2</v>
      </c>
      <c r="DO13" s="15">
        <f>t_Parts[[#This Row],[hp2015.03]]/t_Parts[[#This Row],[ha2015.03]]</f>
        <v>3.3154486036838973E-2</v>
      </c>
      <c r="DP13" s="15">
        <f>t_Parts[[#This Row],[hp2015.04]]/t_Parts[[#This Row],[ha2015.04]]</f>
        <v>3.7389780154486033E-2</v>
      </c>
      <c r="DQ13" s="15">
        <f>t_Parts[[#This Row],[hp2015.05]]/t_Parts[[#This Row],[ha2015.05]]</f>
        <v>3.6774395539101418E-2</v>
      </c>
      <c r="DR13" s="15">
        <f>t_Parts[[#This Row],[hp2015.06]]/t_Parts[[#This Row],[ha2015.06]]</f>
        <v>3.3154486036838973E-2</v>
      </c>
      <c r="DS13" s="15">
        <f>t_Parts[[#This Row],[hp2015.07]]/t_Parts[[#This Row],[ha2015.07]]</f>
        <v>3.7389780154486033E-2</v>
      </c>
      <c r="DT13" s="15">
        <f>t_Parts[[#This Row],[hp2015.08]]/t_Parts[[#This Row],[ha2015.08]]</f>
        <v>3.6774395539101418E-2</v>
      </c>
      <c r="DU13" s="15">
        <f>t_Parts[[#This Row],[hp2015.09]]/t_Parts[[#This Row],[ha2015.09]]</f>
        <v>3.3154486036838973E-2</v>
      </c>
      <c r="DV13" s="15">
        <f>t_Parts[[#This Row],[hp2015.10]]/t_Parts[[#This Row],[ha2015.10]]</f>
        <v>3.7389780154486033E-2</v>
      </c>
      <c r="DW13" s="15">
        <f>t_Parts[[#This Row],[hp2015.11]]/t_Parts[[#This Row],[ha2015.11]]</f>
        <v>3.6774395539101418E-2</v>
      </c>
      <c r="DX13" s="15">
        <f>t_Parts[[#This Row],[hp2015.12]]/t_Parts[[#This Row],[ha2015.12]]</f>
        <v>3.3154486036838973E-2</v>
      </c>
      <c r="DY13" s="15">
        <f>t_Parts[[#This Row],[hp2015.FY]]/t_Parts[[#This Row],[ha2015.FY]]</f>
        <v>3.5507427213309552E-2</v>
      </c>
      <c r="DZ13" s="15">
        <f>t_Parts[[#This Row],[hp2016.01]]/t_Parts[[#This Row],[ha2016.01]]</f>
        <v>0</v>
      </c>
      <c r="EA13" s="15">
        <f>t_Parts[[#This Row],[hp2016.02]]/t_Parts[[#This Row],[ha2016.02]]</f>
        <v>0</v>
      </c>
      <c r="EB13" s="15">
        <f>t_Parts[[#This Row],[hp2016.03]]/t_Parts[[#This Row],[ha2016.03]]</f>
        <v>0</v>
      </c>
      <c r="EC13" s="15">
        <f>t_Parts[[#This Row],[hp2016.04]]/t_Parts[[#This Row],[ha2016.04]]</f>
        <v>0</v>
      </c>
      <c r="ED13" s="15">
        <f>t_Parts[[#This Row],[hp2016.05]]/t_Parts[[#This Row],[ha2016.05]]</f>
        <v>0</v>
      </c>
      <c r="EE13" s="15">
        <f>t_Parts[[#This Row],[hp2016.06]]/t_Parts[[#This Row],[ha2016.06]]</f>
        <v>0</v>
      </c>
      <c r="EF13" s="15">
        <f>t_Parts[[#This Row],[hp2016.07]]/t_Parts[[#This Row],[ha2016.07]]</f>
        <v>0</v>
      </c>
      <c r="EG13" s="15">
        <f>t_Parts[[#This Row],[hp2016.08]]/t_Parts[[#This Row],[ha2016.08]]</f>
        <v>0</v>
      </c>
      <c r="EH13" s="15">
        <f>t_Parts[[#This Row],[hp2016.09]]/t_Parts[[#This Row],[ha2016.09]]</f>
        <v>0</v>
      </c>
      <c r="EI13" s="15">
        <f>t_Parts[[#This Row],[hp2016.10]]/t_Parts[[#This Row],[ha2016.10]]</f>
        <v>0</v>
      </c>
      <c r="EJ13" s="15">
        <f>t_Parts[[#This Row],[hp2016.11]]/t_Parts[[#This Row],[ha2016.11]]</f>
        <v>0</v>
      </c>
      <c r="EK13" s="15">
        <f>t_Parts[[#This Row],[hp2016.12]]/t_Parts[[#This Row],[ha2016.12]]</f>
        <v>0</v>
      </c>
      <c r="EL13" s="15">
        <f>t_Parts[[#This Row],[hp2016.FY]]/t_Parts[[#This Row],[ha2016.FY]]</f>
        <v>0</v>
      </c>
      <c r="EM13" s="15">
        <f>t_Parts[[#This Row],[hp2017]]/t_Parts[[#This Row],[ha2017]]</f>
        <v>0</v>
      </c>
      <c r="EN13" s="15">
        <f>t_Parts[[#This Row],[hp2018]]/t_Parts[[#This Row],[ha2018]]</f>
        <v>0</v>
      </c>
      <c r="EO13" s="15">
        <f>t_Parts[[#This Row],[hp2019]]/t_Parts[[#This Row],[hp2015.01]]</f>
        <v>0</v>
      </c>
      <c r="EP13" s="68">
        <f>(t_Parts[[#This Row],[ha2015.01]]-t_Parts[[#This Row],[hp2015.01]])*t_Parts[[NetPPH]:[NetPPH]]</f>
        <v>357369.04411764711</v>
      </c>
      <c r="EQ13" s="68">
        <f>(t_Parts[[#This Row],[ha2015.02]]-t_Parts[[#This Row],[hp2015.02]])*t_Parts[[NetPPH]:[NetPPH]]</f>
        <v>371901.40588235302</v>
      </c>
      <c r="ER13" s="68">
        <f>(t_Parts[[#This Row],[ha2015.03]]-t_Parts[[#This Row],[hp2015.03]])*t_Parts[[NetPPH]:[NetPPH]]</f>
        <v>488160.30000000005</v>
      </c>
      <c r="ES13" s="68">
        <f>(t_Parts[[#This Row],[ha2015.04]]-t_Parts[[#This Row],[hp2015.04]])*t_Parts[[NetPPH]:[NetPPH]]</f>
        <v>357369.04411764711</v>
      </c>
      <c r="ET13" s="68">
        <f>(t_Parts[[#This Row],[ha2015.05]]-t_Parts[[#This Row],[hp2015.05]])*t_Parts[[NetPPH]:[NetPPH]]</f>
        <v>371901.40588235302</v>
      </c>
      <c r="EU13" s="68">
        <f>(t_Parts[[#This Row],[ha2015.06]]-t_Parts[[#This Row],[hp2015.06]])*t_Parts[[NetPPH]:[NetPPH]]</f>
        <v>488160.30000000005</v>
      </c>
      <c r="EV13" s="68">
        <f>(t_Parts[[#This Row],[ha2015.07]]-t_Parts[[#This Row],[hp2015.07]])*t_Parts[[NetPPH]:[NetPPH]]</f>
        <v>357369.04411764711</v>
      </c>
      <c r="EW13" s="68">
        <f>(t_Parts[[#This Row],[ha2015.08]]-t_Parts[[#This Row],[hp2015.08]])*t_Parts[[NetPPH]:[NetPPH]]</f>
        <v>371901.40588235302</v>
      </c>
      <c r="EX13" s="68">
        <f>(t_Parts[[#This Row],[ha2015.09]]-t_Parts[[#This Row],[hp2015.09]])*t_Parts[[NetPPH]:[NetPPH]]</f>
        <v>488160.30000000005</v>
      </c>
      <c r="EY13" s="68">
        <f>(t_Parts[[#This Row],[ha2015.10]]-t_Parts[[#This Row],[hp2015.10]])*t_Parts[[NetPPH]:[NetPPH]]</f>
        <v>357369.04411764711</v>
      </c>
      <c r="EZ13" s="68">
        <f>(t_Parts[[#This Row],[ha2015.11]]-t_Parts[[#This Row],[hp2015.11]])*t_Parts[[NetPPH]:[NetPPH]]</f>
        <v>371901.40588235302</v>
      </c>
      <c r="FA13" s="68">
        <f>(t_Parts[[#This Row],[ha2015.12]]-t_Parts[[#This Row],[hp2015.12]])*t_Parts[[NetPPH]:[NetPPH]]</f>
        <v>488160.30000000005</v>
      </c>
      <c r="FB13" s="68">
        <f>(t_Parts[[#This Row],[ha2015.FY]]-t_Parts[[#This Row],[hp2015.FY]])*t_Parts[[NetPPH]:[NetPPH]]</f>
        <v>4869723.0000000009</v>
      </c>
      <c r="FC13" s="68">
        <f>(t_Parts[[#This Row],[ha2016.01]]-t_Parts[[#This Row],[hp2016.01]])*t_Parts[[NetPPH]:[NetPPH]]</f>
        <v>371250.00000000006</v>
      </c>
      <c r="FD13" s="68">
        <f>(t_Parts[[#This Row],[ha2016.02]]-t_Parts[[#This Row],[hp2016.02]])*t_Parts[[NetPPH]:[NetPPH]]</f>
        <v>356400.00000000006</v>
      </c>
      <c r="FE13" s="68">
        <f>(t_Parts[[#This Row],[ha2016.03]]-t_Parts[[#This Row],[hp2016.03]])*t_Parts[[NetPPH]:[NetPPH]]</f>
        <v>504900.00000000006</v>
      </c>
      <c r="FF13" s="68">
        <f>(t_Parts[[#This Row],[ha2016.04]]-t_Parts[[#This Row],[hp2016.04]])*t_Parts[[NetPPH]:[NetPPH]]</f>
        <v>371250.00000000006</v>
      </c>
      <c r="FG13" s="68">
        <f>(t_Parts[[#This Row],[ha2016.05]]-t_Parts[[#This Row],[hp2016.05]])*t_Parts[[NetPPH]:[NetPPH]]</f>
        <v>386100.00000000006</v>
      </c>
      <c r="FH13" s="68">
        <f>(t_Parts[[#This Row],[ha2016.06]]-t_Parts[[#This Row],[hp2016.06]])*t_Parts[[NetPPH]:[NetPPH]]</f>
        <v>504900.00000000006</v>
      </c>
      <c r="FI13" s="68">
        <f>(t_Parts[[#This Row],[ha2016.07]]-t_Parts[[#This Row],[hp2016.07]])*t_Parts[[NetPPH]:[NetPPH]]</f>
        <v>371250.00000000006</v>
      </c>
      <c r="FJ13" s="68">
        <f>(t_Parts[[#This Row],[ha2016.08]]-t_Parts[[#This Row],[hp2016.08]])*t_Parts[[NetPPH]:[NetPPH]]</f>
        <v>386100.00000000006</v>
      </c>
      <c r="FK13" s="68">
        <f>(t_Parts[[#This Row],[ha2016.09]]-t_Parts[[#This Row],[hp2016.09]])*t_Parts[[NetPPH]:[NetPPH]]</f>
        <v>504900.00000000006</v>
      </c>
      <c r="FL13" s="68">
        <f>(t_Parts[[#This Row],[ha2016.10]]-t_Parts[[#This Row],[hp2016.10]])*t_Parts[[NetPPH]:[NetPPH]]</f>
        <v>371250.00000000006</v>
      </c>
      <c r="FM13" s="68">
        <f>(t_Parts[[#This Row],[ha2016.11]]-t_Parts[[#This Row],[hp2016.11]])*t_Parts[[NetPPH]:[NetPPH]]</f>
        <v>326700.00000000006</v>
      </c>
      <c r="FN13" s="68">
        <f>(t_Parts[[#This Row],[ha2016.12]]-t_Parts[[#This Row],[hp2016.12]])*t_Parts[[NetPPH]:[NetPPH]]</f>
        <v>445500.00000000006</v>
      </c>
      <c r="FO13" s="68">
        <f>(t_Parts[[#This Row],[ha2016.FY]]-t_Parts[[#This Row],[hp2016.FY]])*t_Parts[[NetPPH]:[NetPPH]]</f>
        <v>4900500.0000000009</v>
      </c>
      <c r="FP13" s="68">
        <f>(t_Parts[[#This Row],[ha2017]]-t_Parts[[#This Row],[hp2017]])*t_Parts[[NetPPH]:[NetPPH]]</f>
        <v>4900500.0000000009</v>
      </c>
      <c r="FQ13" s="68">
        <f>(t_Parts[[#This Row],[ha2018]]-t_Parts[[#This Row],[hp2018]])*t_Parts[[NetPPH]:[NetPPH]]</f>
        <v>4900500.0000000009</v>
      </c>
      <c r="FR13" s="68">
        <f>(t_Parts[[#This Row],[ha2019]]-t_Parts[[#This Row],[hp2019]])*t_Parts[[NetPPH]:[NetPPH]]</f>
        <v>4900500.0000000009</v>
      </c>
    </row>
    <row r="14" spans="1:174" x14ac:dyDescent="0.25">
      <c r="A14" s="16" t="s">
        <v>174</v>
      </c>
      <c r="B14" s="16">
        <v>21013</v>
      </c>
      <c r="C14">
        <v>2</v>
      </c>
      <c r="D14" s="20">
        <v>7200</v>
      </c>
      <c r="E14" s="25">
        <v>1</v>
      </c>
      <c r="F14" s="26">
        <v>1</v>
      </c>
      <c r="G14" t="s">
        <v>16</v>
      </c>
      <c r="H14" t="s">
        <v>94</v>
      </c>
      <c r="I14" s="20">
        <v>183353</v>
      </c>
      <c r="J14" s="20"/>
      <c r="K14" s="20"/>
      <c r="L14" s="20"/>
      <c r="M14" s="20"/>
      <c r="N14" s="20"/>
      <c r="O14" s="20"/>
      <c r="P14" s="25"/>
      <c r="Q14" s="20"/>
      <c r="R14" s="26"/>
      <c r="S14" s="16"/>
      <c r="T14" s="27"/>
      <c r="U14" t="s">
        <v>117</v>
      </c>
      <c r="V14" t="str">
        <f>VLOOKUP(t_Parts[[#This Row],[Press]],t_Presses[],Press!B$1,FALSE)</f>
        <v>Plainfield</v>
      </c>
      <c r="W14" t="str">
        <f>VLOOKUP(t_Parts[[#This Row],[Press]],t_Presses[],Press!E$1,FALSE)</f>
        <v>0-299</v>
      </c>
      <c r="X14" s="15">
        <f>VLOOKUP(t_Parts[[#This Row],[Plant]],t_Plants[],Plants!C$1,FALSE)</f>
        <v>0.55000000000000004</v>
      </c>
      <c r="Y14" s="15">
        <f>VLOOKUP(t_Parts[[#This Row],[Press]],t_Presses[],Press!F$1,FALSE)</f>
        <v>0</v>
      </c>
      <c r="Z14" s="15"/>
      <c r="AA14" s="15">
        <f>IF(ISBLANK(t_Parts[[#This Row],[PartOEE]])=FALSE,t_Parts[[#This Row],[PartOEE]], IF(t_Parts[[#This Row],[PressOEE]]&gt;0, t_Parts[[#This Row],[PressOEE]], t_Parts[[#This Row],[PlantOEE]] ))</f>
        <v>0.55000000000000004</v>
      </c>
      <c r="AB14" s="25">
        <f>t_Parts[[#This Row],[SetupsPerMo]]*t_Parts[[#This Row],[SetupHrs]]</f>
        <v>1</v>
      </c>
      <c r="AC14" s="20">
        <f>(t_Parts[[#This Row],[UnitsPerCycle]]*t_Parts[[#This Row],[CyclesPerHr]])*t_Parts[[#This Row],[UseOEE]]</f>
        <v>7920.0000000000009</v>
      </c>
      <c r="AD14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13481.838235294117</v>
      </c>
      <c r="AE14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14021.111764705882</v>
      </c>
      <c r="AF14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18335.3</v>
      </c>
      <c r="AG14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13481.838235294117</v>
      </c>
      <c r="AH14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14021.111764705882</v>
      </c>
      <c r="AI14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18335.3</v>
      </c>
      <c r="AJ14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13481.838235294117</v>
      </c>
      <c r="AK14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14021.111764705882</v>
      </c>
      <c r="AL14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18335.3</v>
      </c>
      <c r="AM14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13481.838235294117</v>
      </c>
      <c r="AN14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14021.111764705882</v>
      </c>
      <c r="AO14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18335.3</v>
      </c>
      <c r="AP14" s="20">
        <f>SUM(t_Parts[[#This Row],[pv2015.01]:[pv2015.12]])</f>
        <v>183353</v>
      </c>
      <c r="AQ14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14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14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14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14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14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14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14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14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14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14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14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14" s="20">
        <f>SUM(t_Parts[[#This Row],[pv2016.01]:[pv2016.12]])</f>
        <v>0</v>
      </c>
      <c r="BD14" s="20">
        <f>t_Parts[[#This Row],[2017vol]]</f>
        <v>0</v>
      </c>
      <c r="BE14" s="20">
        <f>t_Parts[[#This Row],[2018vol]]</f>
        <v>0</v>
      </c>
      <c r="BF14" s="20">
        <f>t_Parts[[#This Row],[2019vol]]</f>
        <v>0</v>
      </c>
      <c r="BG14">
        <f>VLOOKUP(t_Parts[[Plant]:[Plant]],t_Plants[],Plants!CM$1,FALSE)</f>
        <v>250</v>
      </c>
      <c r="BH14">
        <f>VLOOKUP(t_Parts[[Plant]:[Plant]],t_Plants[],Plants!CN$1,FALSE)</f>
        <v>260</v>
      </c>
      <c r="BI14">
        <f>VLOOKUP(t_Parts[[Plant]:[Plant]],t_Plants[],Plants!CO$1,FALSE)</f>
        <v>340</v>
      </c>
      <c r="BJ14">
        <f>VLOOKUP(t_Parts[[Plant]:[Plant]],t_Plants[],Plants!CP$1,FALSE)</f>
        <v>250</v>
      </c>
      <c r="BK14">
        <f>VLOOKUP(t_Parts[[Plant]:[Plant]],t_Plants[],Plants!CQ$1,FALSE)</f>
        <v>260</v>
      </c>
      <c r="BL14">
        <f>VLOOKUP(t_Parts[[Plant]:[Plant]],t_Plants[],Plants!CR$1,FALSE)</f>
        <v>340</v>
      </c>
      <c r="BM14">
        <f>VLOOKUP(t_Parts[[Plant]:[Plant]],t_Plants[],Plants!CS$1,FALSE)</f>
        <v>250</v>
      </c>
      <c r="BN14">
        <f>VLOOKUP(t_Parts[[Plant]:[Plant]],t_Plants[],Plants!CT$1,FALSE)</f>
        <v>260</v>
      </c>
      <c r="BO14">
        <f>VLOOKUP(t_Parts[[Plant]:[Plant]],t_Plants[],Plants!CU$1,FALSE)</f>
        <v>340</v>
      </c>
      <c r="BP14">
        <f>VLOOKUP(t_Parts[[Plant]:[Plant]],t_Plants[],Plants!CV$1,FALSE)</f>
        <v>250</v>
      </c>
      <c r="BQ14">
        <f>VLOOKUP(t_Parts[[Plant]:[Plant]],t_Plants[],Plants!CW$1,FALSE)</f>
        <v>260</v>
      </c>
      <c r="BR14">
        <f>VLOOKUP(t_Parts[[Plant]:[Plant]],t_Plants[],Plants!CX$1,FALSE)</f>
        <v>340</v>
      </c>
      <c r="BS14">
        <f>SUM(t_Parts[[#This Row],[ha2015.01]:[ha2015.12]])</f>
        <v>3400</v>
      </c>
      <c r="BT14">
        <f>VLOOKUP(t_Parts[[Plant]:[Plant]],t_Plants[],Plants!CZ$1,FALSE)</f>
        <v>250</v>
      </c>
      <c r="BU14">
        <f>VLOOKUP(t_Parts[[Plant]:[Plant]],t_Plants[],Plants!DA$1,FALSE)</f>
        <v>240</v>
      </c>
      <c r="BV14">
        <f>VLOOKUP(t_Parts[[Plant]:[Plant]],t_Plants[],Plants!DB$1,FALSE)</f>
        <v>340</v>
      </c>
      <c r="BW14">
        <f>VLOOKUP(t_Parts[[Plant]:[Plant]],t_Plants[],Plants!DC$1,FALSE)</f>
        <v>250</v>
      </c>
      <c r="BX14">
        <f>VLOOKUP(t_Parts[[Plant]:[Plant]],t_Plants[],Plants!DD$1,FALSE)</f>
        <v>260</v>
      </c>
      <c r="BY14">
        <f>VLOOKUP(t_Parts[[Plant]:[Plant]],t_Plants[],Plants!DE$1,FALSE)</f>
        <v>340</v>
      </c>
      <c r="BZ14">
        <f>VLOOKUP(t_Parts[[Plant]:[Plant]],t_Plants[],Plants!DF$1,FALSE)</f>
        <v>250</v>
      </c>
      <c r="CA14">
        <f>VLOOKUP(t_Parts[[Plant]:[Plant]],t_Plants[],Plants!DG$1,FALSE)</f>
        <v>260</v>
      </c>
      <c r="CB14">
        <f>VLOOKUP(t_Parts[[Plant]:[Plant]],t_Plants[],Plants!DH$1,FALSE)</f>
        <v>340</v>
      </c>
      <c r="CC14">
        <f>VLOOKUP(t_Parts[[Plant]:[Plant]],t_Plants[],Plants!DI$1,FALSE)</f>
        <v>250</v>
      </c>
      <c r="CD14">
        <f>VLOOKUP(t_Parts[[Plant]:[Plant]],t_Plants[],Plants!DJ$1,FALSE)</f>
        <v>220</v>
      </c>
      <c r="CE14">
        <f>VLOOKUP(t_Parts[[Plant]:[Plant]],t_Plants[],Plants!DK$1,FALSE)</f>
        <v>300</v>
      </c>
      <c r="CF14">
        <f>VLOOKUP(t_Parts[[Plant]:[Plant]],t_Plants[],Plants!DL$1,FALSE)</f>
        <v>3300</v>
      </c>
      <c r="CG14">
        <f>VLOOKUP(t_Parts[[Plant]:[Plant]],t_Plants[],Plants!DM$1,FALSE)</f>
        <v>3300</v>
      </c>
      <c r="CH14">
        <f>VLOOKUP(t_Parts[[Plant]:[Plant]],t_Plants[],Plants!DN$1,FALSE)</f>
        <v>3300</v>
      </c>
      <c r="CI14">
        <f>VLOOKUP(t_Parts[[Plant]:[Plant]],t_Plants[],Plants!DO$1,FALSE)</f>
        <v>3300</v>
      </c>
      <c r="CJ14" s="20">
        <f>IF(AND(AD$2&gt;=VALUE(t_Parts[[SOP]:[SOP]]),AD$2&lt;=VALUE(t_Parts[[EOP]:[EOP]])), t_Parts[[SetupHrsPerMo]:[SetupHrsPerMo]]+(t_Parts[[#This Row],[pv2015.01]]/t_Parts[[NetPPH]:[NetPPH]]),0)</f>
        <v>2.7022523024361256</v>
      </c>
      <c r="CK14" s="20">
        <f>IF(AND(AE$2&gt;=VALUE(t_Parts[[SOP]:[SOP]]),AE$2&lt;=VALUE(t_Parts[[EOP]:[EOP]])), t_Parts[[SetupHrsPerMo]:[SetupHrsPerMo]]+(t_Parts[[#This Row],[pv2015.02]]/t_Parts[[NetPPH]:[NetPPH]]),0)</f>
        <v>2.7703423945335706</v>
      </c>
      <c r="CL14" s="20">
        <f>IF(AND(AF$2&gt;=VALUE(t_Parts[[SOP]:[SOP]]),AF$2&lt;=VALUE(t_Parts[[EOP]:[EOP]])), t_Parts[[SetupHrsPerMo]:[SetupHrsPerMo]]+(t_Parts[[#This Row],[pv2015.03]]/t_Parts[[NetPPH]:[NetPPH]]),0)</f>
        <v>3.3150631313131309</v>
      </c>
      <c r="CM14" s="20">
        <f>IF(AND(AG$2&gt;=VALUE(t_Parts[[SOP]:[SOP]]),AG$2&lt;=VALUE(t_Parts[[EOP]:[EOP]])), t_Parts[[SetupHrsPerMo]:[SetupHrsPerMo]]+(t_Parts[[#This Row],[pv2015.04]]/t_Parts[[NetPPH]:[NetPPH]]),0)</f>
        <v>2.7022523024361256</v>
      </c>
      <c r="CN14" s="20">
        <f>IF(AND(AH$2&gt;=VALUE(t_Parts[[SOP]:[SOP]]),AH$2&lt;=VALUE(t_Parts[[EOP]:[EOP]])), t_Parts[[SetupHrsPerMo]:[SetupHrsPerMo]]+(t_Parts[[#This Row],[pv2015.05]]/t_Parts[[NetPPH]:[NetPPH]]),0)</f>
        <v>2.7703423945335706</v>
      </c>
      <c r="CO14" s="20">
        <f>IF(AND(AI$2&gt;=VALUE(t_Parts[[SOP]:[SOP]]),AI$2&lt;=VALUE(t_Parts[[EOP]:[EOP]])), t_Parts[[SetupHrsPerMo]:[SetupHrsPerMo]]+(t_Parts[[#This Row],[pv2015.06]]/t_Parts[[NetPPH]:[NetPPH]]),0)</f>
        <v>3.3150631313131309</v>
      </c>
      <c r="CP14" s="20">
        <f>IF(AND(AJ$2&gt;=VALUE(t_Parts[[SOP]:[SOP]]),AJ$2&lt;=VALUE(t_Parts[[EOP]:[EOP]])), t_Parts[[SetupHrsPerMo]:[SetupHrsPerMo]]+(t_Parts[[#This Row],[pv2015.07]]/t_Parts[[NetPPH]:[NetPPH]]),0)</f>
        <v>2.7022523024361256</v>
      </c>
      <c r="CQ14" s="20">
        <f>IF(AND(AK$2&gt;=VALUE(t_Parts[[SOP]:[SOP]]),AK$2&lt;=VALUE(t_Parts[[EOP]:[EOP]])), t_Parts[[SetupHrsPerMo]:[SetupHrsPerMo]]+(t_Parts[[#This Row],[pv2015.08]]/t_Parts[[NetPPH]:[NetPPH]]),0)</f>
        <v>2.7703423945335706</v>
      </c>
      <c r="CR14" s="20">
        <f>IF(AND(AL$2&gt;=VALUE(t_Parts[[SOP]:[SOP]]),AL$2&lt;=VALUE(t_Parts[[EOP]:[EOP]])), t_Parts[[SetupHrsPerMo]:[SetupHrsPerMo]]+(t_Parts[[#This Row],[pv2015.09]]/t_Parts[[NetPPH]:[NetPPH]]),0)</f>
        <v>3.3150631313131309</v>
      </c>
      <c r="CS14" s="20">
        <f>IF(AND(AM$2&gt;=VALUE(t_Parts[[SOP]:[SOP]]),AM$2&lt;=VALUE(t_Parts[[EOP]:[EOP]])), t_Parts[[SetupHrsPerMo]:[SetupHrsPerMo]]+(t_Parts[[#This Row],[pv2015.10]]/t_Parts[[NetPPH]:[NetPPH]]),0)</f>
        <v>2.7022523024361256</v>
      </c>
      <c r="CT14" s="20">
        <f>IF(AND(AN$2&gt;=VALUE(t_Parts[[SOP]:[SOP]]),AN$2&lt;=VALUE(t_Parts[[EOP]:[EOP]])), t_Parts[[SetupHrsPerMo]:[SetupHrsPerMo]]+(t_Parts[[#This Row],[pv2015.11]]/t_Parts[[NetPPH]:[NetPPH]]),0)</f>
        <v>2.7703423945335706</v>
      </c>
      <c r="CU14" s="20">
        <f>IF(AND(AO$2&gt;=VALUE(t_Parts[[SOP]:[SOP]]),AO$2&lt;=VALUE(t_Parts[[EOP]:[EOP]])), t_Parts[[SetupHrsPerMo]:[SetupHrsPerMo]]+(t_Parts[[#This Row],[pv2015.12]]/t_Parts[[NetPPH]:[NetPPH]]),0)</f>
        <v>3.3150631313131309</v>
      </c>
      <c r="CV14" s="20">
        <f>SUM(t_Parts[[#This Row],[hp2015.01]:[hp2015.12]])</f>
        <v>35.150631313131306</v>
      </c>
      <c r="CW14" s="20">
        <f>IF(AND(AQ$2&gt;=VALUE(t_Parts[[SOP]:[SOP]]),AQ$2&lt;=VALUE(t_Parts[[EOP]:[EOP]])), t_Parts[[SetupHrsPerMo]:[SetupHrsPerMo]]+(t_Parts[[#This Row],[pv2016.01]]/t_Parts[[NetPPH]:[NetPPH]]),0)</f>
        <v>0</v>
      </c>
      <c r="CX14" s="20">
        <f>IF(AND(AR$2&gt;=VALUE(t_Parts[[SOP]:[SOP]]),AR$2&lt;=VALUE(t_Parts[[EOP]:[EOP]])), t_Parts[[SetupHrsPerMo]:[SetupHrsPerMo]]+(t_Parts[[#This Row],[pv2016.02]]/t_Parts[[NetPPH]:[NetPPH]]),0)</f>
        <v>0</v>
      </c>
      <c r="CY14" s="20">
        <f>IF(AND(AS$2&gt;=VALUE(t_Parts[[SOP]:[SOP]]),AS$2&lt;=VALUE(t_Parts[[EOP]:[EOP]])), t_Parts[[SetupHrsPerMo]:[SetupHrsPerMo]]+(t_Parts[[#This Row],[pv2016.03]]/t_Parts[[NetPPH]:[NetPPH]]),0)</f>
        <v>0</v>
      </c>
      <c r="CZ14" s="20">
        <f>IF(AND(AT$2&gt;=VALUE(t_Parts[[SOP]:[SOP]]),AT$2&lt;=VALUE(t_Parts[[EOP]:[EOP]])), t_Parts[[SetupHrsPerMo]:[SetupHrsPerMo]]+(t_Parts[[#This Row],[pv2016.04]]/t_Parts[[NetPPH]:[NetPPH]]),0)</f>
        <v>0</v>
      </c>
      <c r="DA14" s="20">
        <f>IF(AND(AU$2&gt;=VALUE(t_Parts[[SOP]:[SOP]]),AU$2&lt;=VALUE(t_Parts[[EOP]:[EOP]])), t_Parts[[SetupHrsPerMo]:[SetupHrsPerMo]]+(t_Parts[[#This Row],[pv2016.05]]/t_Parts[[NetPPH]:[NetPPH]]),0)</f>
        <v>0</v>
      </c>
      <c r="DB14" s="20">
        <f>IF(AND(AV$2&gt;=VALUE(t_Parts[[SOP]:[SOP]]),AV$2&lt;=VALUE(t_Parts[[EOP]:[EOP]])), t_Parts[[SetupHrsPerMo]:[SetupHrsPerMo]]+(t_Parts[[#This Row],[pv2016.06]]/t_Parts[[NetPPH]:[NetPPH]]),0)</f>
        <v>0</v>
      </c>
      <c r="DC14" s="20">
        <f>IF(AND(AW$2&gt;=VALUE(t_Parts[[SOP]:[SOP]]),AW$2&lt;=VALUE(t_Parts[[EOP]:[EOP]])), t_Parts[[SetupHrsPerMo]:[SetupHrsPerMo]]+(t_Parts[[#This Row],[pv2016.07]]/t_Parts[[NetPPH]:[NetPPH]]),0)</f>
        <v>0</v>
      </c>
      <c r="DD14" s="20">
        <f>IF(AND(AX$2&gt;=VALUE(t_Parts[[SOP]:[SOP]]),AX$2&lt;=VALUE(t_Parts[[EOP]:[EOP]])), t_Parts[[SetupHrsPerMo]:[SetupHrsPerMo]]+(t_Parts[[#This Row],[pv2016.08]]/t_Parts[[NetPPH]:[NetPPH]]),0)</f>
        <v>0</v>
      </c>
      <c r="DE14" s="20">
        <f>IF(AND(AY$2&gt;=VALUE(t_Parts[[SOP]:[SOP]]),AY$2&lt;=VALUE(t_Parts[[EOP]:[EOP]])), t_Parts[[SetupHrsPerMo]:[SetupHrsPerMo]]+(t_Parts[[#This Row],[pv2016.09]]/t_Parts[[NetPPH]:[NetPPH]]),0)</f>
        <v>0</v>
      </c>
      <c r="DF14" s="20">
        <f>IF(AND(AZ$2&gt;=VALUE(t_Parts[[SOP]:[SOP]]),AZ$2&lt;=VALUE(t_Parts[[EOP]:[EOP]])), t_Parts[[SetupHrsPerMo]:[SetupHrsPerMo]]+(t_Parts[[#This Row],[pv2016.10]]/t_Parts[[NetPPH]:[NetPPH]]),0)</f>
        <v>0</v>
      </c>
      <c r="DG14" s="20">
        <f>IF(AND(BA$2&gt;=VALUE(t_Parts[[SOP]:[SOP]]),BA$2&lt;=VALUE(t_Parts[[EOP]:[EOP]])), t_Parts[[SetupHrsPerMo]:[SetupHrsPerMo]]+(t_Parts[[#This Row],[pv2016.11]]/t_Parts[[NetPPH]:[NetPPH]]),0)</f>
        <v>0</v>
      </c>
      <c r="DH14" s="20">
        <f>IF(AND(BB$2&gt;=VALUE(t_Parts[[SOP]:[SOP]]),BB$2&lt;=VALUE(t_Parts[[EOP]:[EOP]])), t_Parts[[SetupHrsPerMo]:[SetupHrsPerMo]]+(t_Parts[[#This Row],[pv2016.12]]/t_Parts[[NetPPH]:[NetPPH]]),0)</f>
        <v>0</v>
      </c>
      <c r="DI14" s="20">
        <f>SUM(t_Parts[[#This Row],[hp2016.01]:[hp2016.12]])</f>
        <v>0</v>
      </c>
      <c r="DJ14" s="20">
        <f>IF(AND(BD$2&gt;=VALUE(t_Parts[[SOP]:[SOP]]),BD$2&lt;=VALUE(t_Parts[[EOP]:[EOP]])), 12*t_Parts[[SetupHrsPerMo]:[SetupHrsPerMo]]+(t_Parts[[#This Row],[pv2017]]/t_Parts[[NetPPH]:[NetPPH]]),0)</f>
        <v>0</v>
      </c>
      <c r="DK14" s="20">
        <f>IF(AND(BE$2&gt;=VALUE(t_Parts[[SOP]:[SOP]]),BE$2&lt;=VALUE(t_Parts[[EOP]:[EOP]])), 12*t_Parts[[SetupHrsPerMo]:[SetupHrsPerMo]]+(t_Parts[[#This Row],[pv2018]]/t_Parts[[NetPPH]:[NetPPH]]),0)</f>
        <v>0</v>
      </c>
      <c r="DL14" s="20">
        <f>IF(AND(BF$2&gt;=VALUE(t_Parts[[SOP]:[SOP]]),BF$2&lt;=VALUE(t_Parts[[EOP]:[EOP]])), 12*t_Parts[[SetupHrsPerMo]:[SetupHrsPerMo]]+(t_Parts[[#This Row],[pv2019]]/t_Parts[[NetPPH]:[NetPPH]]),0)</f>
        <v>0</v>
      </c>
      <c r="DM14" s="15">
        <f>t_Parts[[#This Row],[hp2015.01]]/t_Parts[[#This Row],[ha2015.01]]</f>
        <v>1.0809009209744503E-2</v>
      </c>
      <c r="DN14" s="15">
        <f>t_Parts[[#This Row],[hp2015.02]]/t_Parts[[#This Row],[ha2015.02]]</f>
        <v>1.0655163055898349E-2</v>
      </c>
      <c r="DO14" s="15">
        <f>t_Parts[[#This Row],[hp2015.03]]/t_Parts[[#This Row],[ha2015.03]]</f>
        <v>9.7501856803327378E-3</v>
      </c>
      <c r="DP14" s="15">
        <f>t_Parts[[#This Row],[hp2015.04]]/t_Parts[[#This Row],[ha2015.04]]</f>
        <v>1.0809009209744503E-2</v>
      </c>
      <c r="DQ14" s="15">
        <f>t_Parts[[#This Row],[hp2015.05]]/t_Parts[[#This Row],[ha2015.05]]</f>
        <v>1.0655163055898349E-2</v>
      </c>
      <c r="DR14" s="15">
        <f>t_Parts[[#This Row],[hp2015.06]]/t_Parts[[#This Row],[ha2015.06]]</f>
        <v>9.7501856803327378E-3</v>
      </c>
      <c r="DS14" s="15">
        <f>t_Parts[[#This Row],[hp2015.07]]/t_Parts[[#This Row],[ha2015.07]]</f>
        <v>1.0809009209744503E-2</v>
      </c>
      <c r="DT14" s="15">
        <f>t_Parts[[#This Row],[hp2015.08]]/t_Parts[[#This Row],[ha2015.08]]</f>
        <v>1.0655163055898349E-2</v>
      </c>
      <c r="DU14" s="15">
        <f>t_Parts[[#This Row],[hp2015.09]]/t_Parts[[#This Row],[ha2015.09]]</f>
        <v>9.7501856803327378E-3</v>
      </c>
      <c r="DV14" s="15">
        <f>t_Parts[[#This Row],[hp2015.10]]/t_Parts[[#This Row],[ha2015.10]]</f>
        <v>1.0809009209744503E-2</v>
      </c>
      <c r="DW14" s="15">
        <f>t_Parts[[#This Row],[hp2015.11]]/t_Parts[[#This Row],[ha2015.11]]</f>
        <v>1.0655163055898349E-2</v>
      </c>
      <c r="DX14" s="15">
        <f>t_Parts[[#This Row],[hp2015.12]]/t_Parts[[#This Row],[ha2015.12]]</f>
        <v>9.7501856803327378E-3</v>
      </c>
      <c r="DY14" s="15">
        <f>t_Parts[[#This Row],[hp2015.FY]]/t_Parts[[#This Row],[ha2015.FY]]</f>
        <v>1.0338420974450384E-2</v>
      </c>
      <c r="DZ14" s="15">
        <f>t_Parts[[#This Row],[hp2016.01]]/t_Parts[[#This Row],[ha2016.01]]</f>
        <v>0</v>
      </c>
      <c r="EA14" s="15">
        <f>t_Parts[[#This Row],[hp2016.02]]/t_Parts[[#This Row],[ha2016.02]]</f>
        <v>0</v>
      </c>
      <c r="EB14" s="15">
        <f>t_Parts[[#This Row],[hp2016.03]]/t_Parts[[#This Row],[ha2016.03]]</f>
        <v>0</v>
      </c>
      <c r="EC14" s="15">
        <f>t_Parts[[#This Row],[hp2016.04]]/t_Parts[[#This Row],[ha2016.04]]</f>
        <v>0</v>
      </c>
      <c r="ED14" s="15">
        <f>t_Parts[[#This Row],[hp2016.05]]/t_Parts[[#This Row],[ha2016.05]]</f>
        <v>0</v>
      </c>
      <c r="EE14" s="15">
        <f>t_Parts[[#This Row],[hp2016.06]]/t_Parts[[#This Row],[ha2016.06]]</f>
        <v>0</v>
      </c>
      <c r="EF14" s="15">
        <f>t_Parts[[#This Row],[hp2016.07]]/t_Parts[[#This Row],[ha2016.07]]</f>
        <v>0</v>
      </c>
      <c r="EG14" s="15">
        <f>t_Parts[[#This Row],[hp2016.08]]/t_Parts[[#This Row],[ha2016.08]]</f>
        <v>0</v>
      </c>
      <c r="EH14" s="15">
        <f>t_Parts[[#This Row],[hp2016.09]]/t_Parts[[#This Row],[ha2016.09]]</f>
        <v>0</v>
      </c>
      <c r="EI14" s="15">
        <f>t_Parts[[#This Row],[hp2016.10]]/t_Parts[[#This Row],[ha2016.10]]</f>
        <v>0</v>
      </c>
      <c r="EJ14" s="15">
        <f>t_Parts[[#This Row],[hp2016.11]]/t_Parts[[#This Row],[ha2016.11]]</f>
        <v>0</v>
      </c>
      <c r="EK14" s="15">
        <f>t_Parts[[#This Row],[hp2016.12]]/t_Parts[[#This Row],[ha2016.12]]</f>
        <v>0</v>
      </c>
      <c r="EL14" s="15">
        <f>t_Parts[[#This Row],[hp2016.FY]]/t_Parts[[#This Row],[ha2016.FY]]</f>
        <v>0</v>
      </c>
      <c r="EM14" s="15">
        <f>t_Parts[[#This Row],[hp2017]]/t_Parts[[#This Row],[ha2017]]</f>
        <v>0</v>
      </c>
      <c r="EN14" s="15">
        <f>t_Parts[[#This Row],[hp2018]]/t_Parts[[#This Row],[ha2018]]</f>
        <v>0</v>
      </c>
      <c r="EO14" s="15">
        <f>t_Parts[[#This Row],[hp2019]]/t_Parts[[#This Row],[hp2015.01]]</f>
        <v>0</v>
      </c>
      <c r="EP14" s="68">
        <f>(t_Parts[[#This Row],[ha2015.01]]-t_Parts[[#This Row],[hp2015.01]])*t_Parts[[NetPPH]:[NetPPH]]</f>
        <v>1958598.161764706</v>
      </c>
      <c r="EQ14" s="68">
        <f>(t_Parts[[#This Row],[ha2015.02]]-t_Parts[[#This Row],[hp2015.02]])*t_Parts[[NetPPH]:[NetPPH]]</f>
        <v>2037258.8882352945</v>
      </c>
      <c r="ER14" s="68">
        <f>(t_Parts[[#This Row],[ha2015.03]]-t_Parts[[#This Row],[hp2015.03]])*t_Parts[[NetPPH]:[NetPPH]]</f>
        <v>2666544.7000000002</v>
      </c>
      <c r="ES14" s="68">
        <f>(t_Parts[[#This Row],[ha2015.04]]-t_Parts[[#This Row],[hp2015.04]])*t_Parts[[NetPPH]:[NetPPH]]</f>
        <v>1958598.161764706</v>
      </c>
      <c r="ET14" s="68">
        <f>(t_Parts[[#This Row],[ha2015.05]]-t_Parts[[#This Row],[hp2015.05]])*t_Parts[[NetPPH]:[NetPPH]]</f>
        <v>2037258.8882352945</v>
      </c>
      <c r="EU14" s="68">
        <f>(t_Parts[[#This Row],[ha2015.06]]-t_Parts[[#This Row],[hp2015.06]])*t_Parts[[NetPPH]:[NetPPH]]</f>
        <v>2666544.7000000002</v>
      </c>
      <c r="EV14" s="68">
        <f>(t_Parts[[#This Row],[ha2015.07]]-t_Parts[[#This Row],[hp2015.07]])*t_Parts[[NetPPH]:[NetPPH]]</f>
        <v>1958598.161764706</v>
      </c>
      <c r="EW14" s="68">
        <f>(t_Parts[[#This Row],[ha2015.08]]-t_Parts[[#This Row],[hp2015.08]])*t_Parts[[NetPPH]:[NetPPH]]</f>
        <v>2037258.8882352945</v>
      </c>
      <c r="EX14" s="68">
        <f>(t_Parts[[#This Row],[ha2015.09]]-t_Parts[[#This Row],[hp2015.09]])*t_Parts[[NetPPH]:[NetPPH]]</f>
        <v>2666544.7000000002</v>
      </c>
      <c r="EY14" s="68">
        <f>(t_Parts[[#This Row],[ha2015.10]]-t_Parts[[#This Row],[hp2015.10]])*t_Parts[[NetPPH]:[NetPPH]]</f>
        <v>1958598.161764706</v>
      </c>
      <c r="EZ14" s="68">
        <f>(t_Parts[[#This Row],[ha2015.11]]-t_Parts[[#This Row],[hp2015.11]])*t_Parts[[NetPPH]:[NetPPH]]</f>
        <v>2037258.8882352945</v>
      </c>
      <c r="FA14" s="68">
        <f>(t_Parts[[#This Row],[ha2015.12]]-t_Parts[[#This Row],[hp2015.12]])*t_Parts[[NetPPH]:[NetPPH]]</f>
        <v>2666544.7000000002</v>
      </c>
      <c r="FB14" s="68">
        <f>(t_Parts[[#This Row],[ha2015.FY]]-t_Parts[[#This Row],[hp2015.FY]])*t_Parts[[NetPPH]:[NetPPH]]</f>
        <v>26649607.000000004</v>
      </c>
      <c r="FC14" s="68">
        <f>(t_Parts[[#This Row],[ha2016.01]]-t_Parts[[#This Row],[hp2016.01]])*t_Parts[[NetPPH]:[NetPPH]]</f>
        <v>1980000.0000000002</v>
      </c>
      <c r="FD14" s="68">
        <f>(t_Parts[[#This Row],[ha2016.02]]-t_Parts[[#This Row],[hp2016.02]])*t_Parts[[NetPPH]:[NetPPH]]</f>
        <v>1900800.0000000002</v>
      </c>
      <c r="FE14" s="68">
        <f>(t_Parts[[#This Row],[ha2016.03]]-t_Parts[[#This Row],[hp2016.03]])*t_Parts[[NetPPH]:[NetPPH]]</f>
        <v>2692800.0000000005</v>
      </c>
      <c r="FF14" s="68">
        <f>(t_Parts[[#This Row],[ha2016.04]]-t_Parts[[#This Row],[hp2016.04]])*t_Parts[[NetPPH]:[NetPPH]]</f>
        <v>1980000.0000000002</v>
      </c>
      <c r="FG14" s="68">
        <f>(t_Parts[[#This Row],[ha2016.05]]-t_Parts[[#This Row],[hp2016.05]])*t_Parts[[NetPPH]:[NetPPH]]</f>
        <v>2059200.0000000002</v>
      </c>
      <c r="FH14" s="68">
        <f>(t_Parts[[#This Row],[ha2016.06]]-t_Parts[[#This Row],[hp2016.06]])*t_Parts[[NetPPH]:[NetPPH]]</f>
        <v>2692800.0000000005</v>
      </c>
      <c r="FI14" s="68">
        <f>(t_Parts[[#This Row],[ha2016.07]]-t_Parts[[#This Row],[hp2016.07]])*t_Parts[[NetPPH]:[NetPPH]]</f>
        <v>1980000.0000000002</v>
      </c>
      <c r="FJ14" s="68">
        <f>(t_Parts[[#This Row],[ha2016.08]]-t_Parts[[#This Row],[hp2016.08]])*t_Parts[[NetPPH]:[NetPPH]]</f>
        <v>2059200.0000000002</v>
      </c>
      <c r="FK14" s="68">
        <f>(t_Parts[[#This Row],[ha2016.09]]-t_Parts[[#This Row],[hp2016.09]])*t_Parts[[NetPPH]:[NetPPH]]</f>
        <v>2692800.0000000005</v>
      </c>
      <c r="FL14" s="68">
        <f>(t_Parts[[#This Row],[ha2016.10]]-t_Parts[[#This Row],[hp2016.10]])*t_Parts[[NetPPH]:[NetPPH]]</f>
        <v>1980000.0000000002</v>
      </c>
      <c r="FM14" s="68">
        <f>(t_Parts[[#This Row],[ha2016.11]]-t_Parts[[#This Row],[hp2016.11]])*t_Parts[[NetPPH]:[NetPPH]]</f>
        <v>1742400.0000000002</v>
      </c>
      <c r="FN14" s="68">
        <f>(t_Parts[[#This Row],[ha2016.12]]-t_Parts[[#This Row],[hp2016.12]])*t_Parts[[NetPPH]:[NetPPH]]</f>
        <v>2376000.0000000005</v>
      </c>
      <c r="FO14" s="68">
        <f>(t_Parts[[#This Row],[ha2016.FY]]-t_Parts[[#This Row],[hp2016.FY]])*t_Parts[[NetPPH]:[NetPPH]]</f>
        <v>26136000.000000004</v>
      </c>
      <c r="FP14" s="68">
        <f>(t_Parts[[#This Row],[ha2017]]-t_Parts[[#This Row],[hp2017]])*t_Parts[[NetPPH]:[NetPPH]]</f>
        <v>26136000.000000004</v>
      </c>
      <c r="FQ14" s="68">
        <f>(t_Parts[[#This Row],[ha2018]]-t_Parts[[#This Row],[hp2018]])*t_Parts[[NetPPH]:[NetPPH]]</f>
        <v>26136000.000000004</v>
      </c>
      <c r="FR14" s="68">
        <f>(t_Parts[[#This Row],[ha2019]]-t_Parts[[#This Row],[hp2019]])*t_Parts[[NetPPH]:[NetPPH]]</f>
        <v>26136000.000000004</v>
      </c>
    </row>
    <row r="15" spans="1:174" x14ac:dyDescent="0.25">
      <c r="A15" s="16" t="s">
        <v>179</v>
      </c>
      <c r="B15" s="16" t="s">
        <v>128</v>
      </c>
      <c r="C15">
        <v>1</v>
      </c>
      <c r="D15" s="20">
        <v>60</v>
      </c>
      <c r="E15" s="25">
        <v>1</v>
      </c>
      <c r="F15" s="26">
        <v>0</v>
      </c>
      <c r="G15" t="s">
        <v>16</v>
      </c>
      <c r="H15" t="s">
        <v>94</v>
      </c>
      <c r="I15" s="20">
        <v>100000</v>
      </c>
      <c r="J15" s="20"/>
      <c r="K15" s="20"/>
      <c r="L15" s="20"/>
      <c r="M15" s="43"/>
      <c r="N15" s="45"/>
      <c r="O15" s="45"/>
      <c r="P15" s="46"/>
      <c r="Q15" s="45"/>
      <c r="R15" s="47"/>
      <c r="S15" s="48"/>
      <c r="T15" s="49"/>
      <c r="U15" s="15"/>
      <c r="V15" s="18" t="str">
        <f>VLOOKUP(t_Parts[[#This Row],[Press]],t_Presses[],Press!B$1,FALSE)</f>
        <v>Bond</v>
      </c>
      <c r="W15" s="18" t="str">
        <f>VLOOKUP(t_Parts[[#This Row],[Press]],t_Presses[],Press!E$1,FALSE)</f>
        <v>0-299</v>
      </c>
      <c r="X15" s="15">
        <f>VLOOKUP(t_Parts[[#This Row],[Plant]],t_Plants[],Plants!C$1,FALSE)</f>
        <v>0.76</v>
      </c>
      <c r="Y15" s="15">
        <f>VLOOKUP(t_Parts[[#This Row],[Press]],t_Presses[],Press!F$1,FALSE)</f>
        <v>0</v>
      </c>
      <c r="Z15" s="56">
        <v>1</v>
      </c>
      <c r="AA15" s="15">
        <f>IF(ISBLANK(t_Parts[[#This Row],[PartOEE]])=FALSE,t_Parts[[#This Row],[PartOEE]], IF(t_Parts[[#This Row],[PressOEE]]&gt;0, t_Parts[[#This Row],[PressOEE]], t_Parts[[#This Row],[PlantOEE]] ))</f>
        <v>1</v>
      </c>
      <c r="AB15" s="25">
        <f>t_Parts[[#This Row],[SetupsPerMo]]*t_Parts[[#This Row],[SetupHrs]]</f>
        <v>0</v>
      </c>
      <c r="AC15" s="20">
        <f>(t_Parts[[#This Row],[UnitsPerCycle]]*t_Parts[[#This Row],[CyclesPerHr]])*t_Parts[[#This Row],[UseOEE]]</f>
        <v>60</v>
      </c>
      <c r="AD15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7558.1395348837214</v>
      </c>
      <c r="AE15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7558.1395348837214</v>
      </c>
      <c r="AF15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9883.7209302325591</v>
      </c>
      <c r="AG15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7558.1395348837214</v>
      </c>
      <c r="AH15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7558.1395348837214</v>
      </c>
      <c r="AI15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9883.7209302325591</v>
      </c>
      <c r="AJ15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7558.1395348837214</v>
      </c>
      <c r="AK15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7558.1395348837214</v>
      </c>
      <c r="AL15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9883.7209302325591</v>
      </c>
      <c r="AM15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7558.1395348837214</v>
      </c>
      <c r="AN15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7558.1395348837214</v>
      </c>
      <c r="AO15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9883.7209302325591</v>
      </c>
      <c r="AP15" s="20">
        <f>SUM(t_Parts[[#This Row],[pv2015.01]:[pv2015.12]])</f>
        <v>100000.00000000003</v>
      </c>
      <c r="AQ15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15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15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15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15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15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15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15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15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15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15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15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15" s="43">
        <f>SUM(t_Parts[[#This Row],[pv2016.01]:[pv2016.12]])</f>
        <v>0</v>
      </c>
      <c r="BD15" s="20">
        <f>t_Parts[[#This Row],[2017vol]]</f>
        <v>0</v>
      </c>
      <c r="BE15" s="20">
        <f>t_Parts[[#This Row],[2018vol]]</f>
        <v>0</v>
      </c>
      <c r="BF15" s="20">
        <f>t_Parts[[#This Row],[2019vol]]</f>
        <v>0</v>
      </c>
      <c r="BG15" s="44">
        <f>VLOOKUP(t_Parts[[Plant]:[Plant]],t_Plants[],Plants!CM$1,FALSE)</f>
        <v>208</v>
      </c>
      <c r="BH15" s="14">
        <f>VLOOKUP(t_Parts[[Plant]:[Plant]],t_Plants[],Plants!CN$1,FALSE)</f>
        <v>208</v>
      </c>
      <c r="BI15" s="14">
        <f>VLOOKUP(t_Parts[[Plant]:[Plant]],t_Plants[],Plants!CO$1,FALSE)</f>
        <v>272</v>
      </c>
      <c r="BJ15" s="14">
        <f>VLOOKUP(t_Parts[[Plant]:[Plant]],t_Plants[],Plants!CP$1,FALSE)</f>
        <v>208</v>
      </c>
      <c r="BK15" s="14">
        <f>VLOOKUP(t_Parts[[Plant]:[Plant]],t_Plants[],Plants!CQ$1,FALSE)</f>
        <v>208</v>
      </c>
      <c r="BL15" s="14">
        <f>VLOOKUP(t_Parts[[Plant]:[Plant]],t_Plants[],Plants!CR$1,FALSE)</f>
        <v>272</v>
      </c>
      <c r="BM15" s="14">
        <f>VLOOKUP(t_Parts[[Plant]:[Plant]],t_Plants[],Plants!CS$1,FALSE)</f>
        <v>208</v>
      </c>
      <c r="BN15" s="14">
        <f>VLOOKUP(t_Parts[[Plant]:[Plant]],t_Plants[],Plants!CT$1,FALSE)</f>
        <v>208</v>
      </c>
      <c r="BO15" s="14">
        <f>VLOOKUP(t_Parts[[Plant]:[Plant]],t_Plants[],Plants!CU$1,FALSE)</f>
        <v>272</v>
      </c>
      <c r="BP15" s="14">
        <f>VLOOKUP(t_Parts[[Plant]:[Plant]],t_Plants[],Plants!CV$1,FALSE)</f>
        <v>208</v>
      </c>
      <c r="BQ15" s="14">
        <f>VLOOKUP(t_Parts[[Plant]:[Plant]],t_Plants[],Plants!CW$1,FALSE)</f>
        <v>208</v>
      </c>
      <c r="BR15" s="14">
        <f>VLOOKUP(t_Parts[[Plant]:[Plant]],t_Plants[],Plants!CX$1,FALSE)</f>
        <v>272</v>
      </c>
      <c r="BS15" s="44">
        <f>SUM(t_Parts[[#This Row],[ha2015.01]:[ha2015.12]])</f>
        <v>2752</v>
      </c>
      <c r="BT15">
        <f>VLOOKUP(t_Parts[[Plant]:[Plant]],t_Plants[],Plants!CZ$1,FALSE)</f>
        <v>208</v>
      </c>
      <c r="BU15">
        <f>VLOOKUP(t_Parts[[Plant]:[Plant]],t_Plants[],Plants!DA$1,FALSE)</f>
        <v>208</v>
      </c>
      <c r="BV15">
        <f>VLOOKUP(t_Parts[[Plant]:[Plant]],t_Plants[],Plants!DB$1,FALSE)</f>
        <v>272</v>
      </c>
      <c r="BW15">
        <f>VLOOKUP(t_Parts[[Plant]:[Plant]],t_Plants[],Plants!DC$1,FALSE)</f>
        <v>208</v>
      </c>
      <c r="BX15">
        <f>VLOOKUP(t_Parts[[Plant]:[Plant]],t_Plants[],Plants!DD$1,FALSE)</f>
        <v>208</v>
      </c>
      <c r="BY15">
        <f>VLOOKUP(t_Parts[[Plant]:[Plant]],t_Plants[],Plants!DE$1,FALSE)</f>
        <v>272</v>
      </c>
      <c r="BZ15">
        <f>VLOOKUP(t_Parts[[Plant]:[Plant]],t_Plants[],Plants!DF$1,FALSE)</f>
        <v>208</v>
      </c>
      <c r="CA15">
        <f>VLOOKUP(t_Parts[[Plant]:[Plant]],t_Plants[],Plants!DG$1,FALSE)</f>
        <v>208</v>
      </c>
      <c r="CB15">
        <f>VLOOKUP(t_Parts[[Plant]:[Plant]],t_Plants[],Plants!DH$1,FALSE)</f>
        <v>272</v>
      </c>
      <c r="CC15">
        <f>VLOOKUP(t_Parts[[Plant]:[Plant]],t_Plants[],Plants!DI$1,FALSE)</f>
        <v>208</v>
      </c>
      <c r="CD15">
        <f>VLOOKUP(t_Parts[[Plant]:[Plant]],t_Plants[],Plants!DJ$1,FALSE)</f>
        <v>208</v>
      </c>
      <c r="CE15">
        <f>VLOOKUP(t_Parts[[Plant]:[Plant]],t_Plants[],Plants!DK$1,FALSE)</f>
        <v>272</v>
      </c>
      <c r="CF15">
        <f>VLOOKUP(t_Parts[[Plant]:[Plant]],t_Plants[],Plants!DL$1,FALSE)</f>
        <v>2752</v>
      </c>
      <c r="CG15">
        <f>VLOOKUP(t_Parts[[Plant]:[Plant]],t_Plants[],Plants!DM$1,FALSE)</f>
        <v>2752</v>
      </c>
      <c r="CH15">
        <f>VLOOKUP(t_Parts[[Plant]:[Plant]],t_Plants[],Plants!DN$1,FALSE)</f>
        <v>2752</v>
      </c>
      <c r="CI15">
        <f>VLOOKUP(t_Parts[[Plant]:[Plant]],t_Plants[],Plants!DO$1,FALSE)</f>
        <v>2752</v>
      </c>
      <c r="CJ15" s="43">
        <f>IF(AND(AD$2&gt;=VALUE(t_Parts[[SOP]:[SOP]]),AD$2&lt;=VALUE(t_Parts[[EOP]:[EOP]])), t_Parts[[SetupHrsPerMo]:[SetupHrsPerMo]]+(t_Parts[[#This Row],[pv2015.01]]/t_Parts[[NetPPH]:[NetPPH]]),0)</f>
        <v>125.96899224806202</v>
      </c>
      <c r="CK15" s="43">
        <f>IF(AND(AE$2&gt;=VALUE(t_Parts[[SOP]:[SOP]]),AE$2&lt;=VALUE(t_Parts[[EOP]:[EOP]])), t_Parts[[SetupHrsPerMo]:[SetupHrsPerMo]]+(t_Parts[[#This Row],[pv2015.02]]/t_Parts[[NetPPH]:[NetPPH]]),0)</f>
        <v>125.96899224806202</v>
      </c>
      <c r="CL15" s="43">
        <f>IF(AND(AF$2&gt;=VALUE(t_Parts[[SOP]:[SOP]]),AF$2&lt;=VALUE(t_Parts[[EOP]:[EOP]])), t_Parts[[SetupHrsPerMo]:[SetupHrsPerMo]]+(t_Parts[[#This Row],[pv2015.03]]/t_Parts[[NetPPH]:[NetPPH]]),0)</f>
        <v>164.72868217054264</v>
      </c>
      <c r="CM15" s="43">
        <f>IF(AND(AG$2&gt;=VALUE(t_Parts[[SOP]:[SOP]]),AG$2&lt;=VALUE(t_Parts[[EOP]:[EOP]])), t_Parts[[SetupHrsPerMo]:[SetupHrsPerMo]]+(t_Parts[[#This Row],[pv2015.04]]/t_Parts[[NetPPH]:[NetPPH]]),0)</f>
        <v>125.96899224806202</v>
      </c>
      <c r="CN15" s="43">
        <f>IF(AND(AH$2&gt;=VALUE(t_Parts[[SOP]:[SOP]]),AH$2&lt;=VALUE(t_Parts[[EOP]:[EOP]])), t_Parts[[SetupHrsPerMo]:[SetupHrsPerMo]]+(t_Parts[[#This Row],[pv2015.05]]/t_Parts[[NetPPH]:[NetPPH]]),0)</f>
        <v>125.96899224806202</v>
      </c>
      <c r="CO15" s="43">
        <f>IF(AND(AI$2&gt;=VALUE(t_Parts[[SOP]:[SOP]]),AI$2&lt;=VALUE(t_Parts[[EOP]:[EOP]])), t_Parts[[SetupHrsPerMo]:[SetupHrsPerMo]]+(t_Parts[[#This Row],[pv2015.06]]/t_Parts[[NetPPH]:[NetPPH]]),0)</f>
        <v>164.72868217054264</v>
      </c>
      <c r="CP15" s="43">
        <f>IF(AND(AJ$2&gt;=VALUE(t_Parts[[SOP]:[SOP]]),AJ$2&lt;=VALUE(t_Parts[[EOP]:[EOP]])), t_Parts[[SetupHrsPerMo]:[SetupHrsPerMo]]+(t_Parts[[#This Row],[pv2015.07]]/t_Parts[[NetPPH]:[NetPPH]]),0)</f>
        <v>125.96899224806202</v>
      </c>
      <c r="CQ15" s="43">
        <f>IF(AND(AK$2&gt;=VALUE(t_Parts[[SOP]:[SOP]]),AK$2&lt;=VALUE(t_Parts[[EOP]:[EOP]])), t_Parts[[SetupHrsPerMo]:[SetupHrsPerMo]]+(t_Parts[[#This Row],[pv2015.08]]/t_Parts[[NetPPH]:[NetPPH]]),0)</f>
        <v>125.96899224806202</v>
      </c>
      <c r="CR15" s="43">
        <f>IF(AND(AL$2&gt;=VALUE(t_Parts[[SOP]:[SOP]]),AL$2&lt;=VALUE(t_Parts[[EOP]:[EOP]])), t_Parts[[SetupHrsPerMo]:[SetupHrsPerMo]]+(t_Parts[[#This Row],[pv2015.09]]/t_Parts[[NetPPH]:[NetPPH]]),0)</f>
        <v>164.72868217054264</v>
      </c>
      <c r="CS15" s="43">
        <f>IF(AND(AM$2&gt;=VALUE(t_Parts[[SOP]:[SOP]]),AM$2&lt;=VALUE(t_Parts[[EOP]:[EOP]])), t_Parts[[SetupHrsPerMo]:[SetupHrsPerMo]]+(t_Parts[[#This Row],[pv2015.10]]/t_Parts[[NetPPH]:[NetPPH]]),0)</f>
        <v>125.96899224806202</v>
      </c>
      <c r="CT15" s="43">
        <f>IF(AND(AN$2&gt;=VALUE(t_Parts[[SOP]:[SOP]]),AN$2&lt;=VALUE(t_Parts[[EOP]:[EOP]])), t_Parts[[SetupHrsPerMo]:[SetupHrsPerMo]]+(t_Parts[[#This Row],[pv2015.11]]/t_Parts[[NetPPH]:[NetPPH]]),0)</f>
        <v>125.96899224806202</v>
      </c>
      <c r="CU15" s="43">
        <f>IF(AND(AO$2&gt;=VALUE(t_Parts[[SOP]:[SOP]]),AO$2&lt;=VALUE(t_Parts[[EOP]:[EOP]])), t_Parts[[SetupHrsPerMo]:[SetupHrsPerMo]]+(t_Parts[[#This Row],[pv2015.12]]/t_Parts[[NetPPH]:[NetPPH]]),0)</f>
        <v>164.72868217054264</v>
      </c>
      <c r="CV15" s="20">
        <f>SUM(t_Parts[[#This Row],[hp2015.01]:[hp2015.12]])</f>
        <v>1666.666666666667</v>
      </c>
      <c r="CW15" s="20">
        <f>IF(AND(AQ$2&gt;=VALUE(t_Parts[[SOP]:[SOP]]),AQ$2&lt;=VALUE(t_Parts[[EOP]:[EOP]])), t_Parts[[SetupHrsPerMo]:[SetupHrsPerMo]]+(t_Parts[[#This Row],[pv2016.01]]/t_Parts[[NetPPH]:[NetPPH]]),0)</f>
        <v>0</v>
      </c>
      <c r="CX15" s="20">
        <f>IF(AND(AR$2&gt;=VALUE(t_Parts[[SOP]:[SOP]]),AR$2&lt;=VALUE(t_Parts[[EOP]:[EOP]])), t_Parts[[SetupHrsPerMo]:[SetupHrsPerMo]]+(t_Parts[[#This Row],[pv2016.02]]/t_Parts[[NetPPH]:[NetPPH]]),0)</f>
        <v>0</v>
      </c>
      <c r="CY15" s="20">
        <f>IF(AND(AS$2&gt;=VALUE(t_Parts[[SOP]:[SOP]]),AS$2&lt;=VALUE(t_Parts[[EOP]:[EOP]])), t_Parts[[SetupHrsPerMo]:[SetupHrsPerMo]]+(t_Parts[[#This Row],[pv2016.03]]/t_Parts[[NetPPH]:[NetPPH]]),0)</f>
        <v>0</v>
      </c>
      <c r="CZ15" s="20">
        <f>IF(AND(AT$2&gt;=VALUE(t_Parts[[SOP]:[SOP]]),AT$2&lt;=VALUE(t_Parts[[EOP]:[EOP]])), t_Parts[[SetupHrsPerMo]:[SetupHrsPerMo]]+(t_Parts[[#This Row],[pv2016.04]]/t_Parts[[NetPPH]:[NetPPH]]),0)</f>
        <v>0</v>
      </c>
      <c r="DA15" s="20">
        <f>IF(AND(AU$2&gt;=VALUE(t_Parts[[SOP]:[SOP]]),AU$2&lt;=VALUE(t_Parts[[EOP]:[EOP]])), t_Parts[[SetupHrsPerMo]:[SetupHrsPerMo]]+(t_Parts[[#This Row],[pv2016.05]]/t_Parts[[NetPPH]:[NetPPH]]),0)</f>
        <v>0</v>
      </c>
      <c r="DB15" s="20">
        <f>IF(AND(AV$2&gt;=VALUE(t_Parts[[SOP]:[SOP]]),AV$2&lt;=VALUE(t_Parts[[EOP]:[EOP]])), t_Parts[[SetupHrsPerMo]:[SetupHrsPerMo]]+(t_Parts[[#This Row],[pv2016.06]]/t_Parts[[NetPPH]:[NetPPH]]),0)</f>
        <v>0</v>
      </c>
      <c r="DC15" s="20">
        <f>IF(AND(AW$2&gt;=VALUE(t_Parts[[SOP]:[SOP]]),AW$2&lt;=VALUE(t_Parts[[EOP]:[EOP]])), t_Parts[[SetupHrsPerMo]:[SetupHrsPerMo]]+(t_Parts[[#This Row],[pv2016.07]]/t_Parts[[NetPPH]:[NetPPH]]),0)</f>
        <v>0</v>
      </c>
      <c r="DD15" s="20">
        <f>IF(AND(AX$2&gt;=VALUE(t_Parts[[SOP]:[SOP]]),AX$2&lt;=VALUE(t_Parts[[EOP]:[EOP]])), t_Parts[[SetupHrsPerMo]:[SetupHrsPerMo]]+(t_Parts[[#This Row],[pv2016.08]]/t_Parts[[NetPPH]:[NetPPH]]),0)</f>
        <v>0</v>
      </c>
      <c r="DE15" s="20">
        <f>IF(AND(AY$2&gt;=VALUE(t_Parts[[SOP]:[SOP]]),AY$2&lt;=VALUE(t_Parts[[EOP]:[EOP]])), t_Parts[[SetupHrsPerMo]:[SetupHrsPerMo]]+(t_Parts[[#This Row],[pv2016.09]]/t_Parts[[NetPPH]:[NetPPH]]),0)</f>
        <v>0</v>
      </c>
      <c r="DF15" s="20">
        <f>IF(AND(AZ$2&gt;=VALUE(t_Parts[[SOP]:[SOP]]),AZ$2&lt;=VALUE(t_Parts[[EOP]:[EOP]])), t_Parts[[SetupHrsPerMo]:[SetupHrsPerMo]]+(t_Parts[[#This Row],[pv2016.10]]/t_Parts[[NetPPH]:[NetPPH]]),0)</f>
        <v>0</v>
      </c>
      <c r="DG15" s="20">
        <f>IF(AND(BA$2&gt;=VALUE(t_Parts[[SOP]:[SOP]]),BA$2&lt;=VALUE(t_Parts[[EOP]:[EOP]])), t_Parts[[SetupHrsPerMo]:[SetupHrsPerMo]]+(t_Parts[[#This Row],[pv2016.11]]/t_Parts[[NetPPH]:[NetPPH]]),0)</f>
        <v>0</v>
      </c>
      <c r="DH15" s="20">
        <f>IF(AND(BB$2&gt;=VALUE(t_Parts[[SOP]:[SOP]]),BB$2&lt;=VALUE(t_Parts[[EOP]:[EOP]])), t_Parts[[SetupHrsPerMo]:[SetupHrsPerMo]]+(t_Parts[[#This Row],[pv2016.12]]/t_Parts[[NetPPH]:[NetPPH]]),0)</f>
        <v>0</v>
      </c>
      <c r="DI15" s="43">
        <f>SUM(t_Parts[[#This Row],[hp2016.01]:[hp2016.12]])</f>
        <v>0</v>
      </c>
      <c r="DJ15" s="43">
        <f>IF(AND(BD$2&gt;=VALUE(t_Parts[[SOP]:[SOP]]),BD$2&lt;=VALUE(t_Parts[[EOP]:[EOP]])), 12*t_Parts[[SetupHrsPerMo]:[SetupHrsPerMo]]+(t_Parts[[#This Row],[pv2017]]/t_Parts[[NetPPH]:[NetPPH]]),0)</f>
        <v>0</v>
      </c>
      <c r="DK15" s="20">
        <f>IF(AND(BE$2&gt;=VALUE(t_Parts[[SOP]:[SOP]]),BE$2&lt;=VALUE(t_Parts[[EOP]:[EOP]])), 12*t_Parts[[SetupHrsPerMo]:[SetupHrsPerMo]]+(t_Parts[[#This Row],[pv2018]]/t_Parts[[NetPPH]:[NetPPH]]),0)</f>
        <v>0</v>
      </c>
      <c r="DL15" s="20">
        <f>IF(AND(BF$2&gt;=VALUE(t_Parts[[SOP]:[SOP]]),BF$2&lt;=VALUE(t_Parts[[EOP]:[EOP]])), 12*t_Parts[[SetupHrsPerMo]:[SetupHrsPerMo]]+(t_Parts[[#This Row],[pv2019]]/t_Parts[[NetPPH]:[NetPPH]]),0)</f>
        <v>0</v>
      </c>
      <c r="DM15" s="57">
        <f>t_Parts[[#This Row],[hp2015.01]]/t_Parts[[#This Row],[ha2015.01]]</f>
        <v>0.60562015503875977</v>
      </c>
      <c r="DN15" s="57">
        <f>t_Parts[[#This Row],[hp2015.02]]/t_Parts[[#This Row],[ha2015.02]]</f>
        <v>0.60562015503875977</v>
      </c>
      <c r="DO15" s="57">
        <f>t_Parts[[#This Row],[hp2015.03]]/t_Parts[[#This Row],[ha2015.03]]</f>
        <v>0.60562015503875966</v>
      </c>
      <c r="DP15" s="57">
        <f>t_Parts[[#This Row],[hp2015.04]]/t_Parts[[#This Row],[ha2015.04]]</f>
        <v>0.60562015503875977</v>
      </c>
      <c r="DQ15" s="57">
        <f>t_Parts[[#This Row],[hp2015.05]]/t_Parts[[#This Row],[ha2015.05]]</f>
        <v>0.60562015503875977</v>
      </c>
      <c r="DR15" s="57">
        <f>t_Parts[[#This Row],[hp2015.06]]/t_Parts[[#This Row],[ha2015.06]]</f>
        <v>0.60562015503875966</v>
      </c>
      <c r="DS15" s="57">
        <f>t_Parts[[#This Row],[hp2015.07]]/t_Parts[[#This Row],[ha2015.07]]</f>
        <v>0.60562015503875977</v>
      </c>
      <c r="DT15" s="57">
        <f>t_Parts[[#This Row],[hp2015.08]]/t_Parts[[#This Row],[ha2015.08]]</f>
        <v>0.60562015503875977</v>
      </c>
      <c r="DU15" s="57">
        <f>t_Parts[[#This Row],[hp2015.09]]/t_Parts[[#This Row],[ha2015.09]]</f>
        <v>0.60562015503875966</v>
      </c>
      <c r="DV15" s="57">
        <f>t_Parts[[#This Row],[hp2015.10]]/t_Parts[[#This Row],[ha2015.10]]</f>
        <v>0.60562015503875977</v>
      </c>
      <c r="DW15" s="57">
        <f>t_Parts[[#This Row],[hp2015.11]]/t_Parts[[#This Row],[ha2015.11]]</f>
        <v>0.60562015503875977</v>
      </c>
      <c r="DX15" s="57">
        <f>t_Parts[[#This Row],[hp2015.12]]/t_Parts[[#This Row],[ha2015.12]]</f>
        <v>0.60562015503875966</v>
      </c>
      <c r="DY15" s="57">
        <f>t_Parts[[#This Row],[hp2015.FY]]/t_Parts[[#This Row],[ha2015.FY]]</f>
        <v>0.60562015503875977</v>
      </c>
      <c r="DZ15" s="15">
        <f>t_Parts[[#This Row],[hp2016.01]]/t_Parts[[#This Row],[ha2016.01]]</f>
        <v>0</v>
      </c>
      <c r="EA15" s="15">
        <f>t_Parts[[#This Row],[hp2016.02]]/t_Parts[[#This Row],[ha2016.02]]</f>
        <v>0</v>
      </c>
      <c r="EB15" s="15">
        <f>t_Parts[[#This Row],[hp2016.03]]/t_Parts[[#This Row],[ha2016.03]]</f>
        <v>0</v>
      </c>
      <c r="EC15" s="15">
        <f>t_Parts[[#This Row],[hp2016.04]]/t_Parts[[#This Row],[ha2016.04]]</f>
        <v>0</v>
      </c>
      <c r="ED15" s="15">
        <f>t_Parts[[#This Row],[hp2016.05]]/t_Parts[[#This Row],[ha2016.05]]</f>
        <v>0</v>
      </c>
      <c r="EE15" s="15">
        <f>t_Parts[[#This Row],[hp2016.06]]/t_Parts[[#This Row],[ha2016.06]]</f>
        <v>0</v>
      </c>
      <c r="EF15" s="15">
        <f>t_Parts[[#This Row],[hp2016.07]]/t_Parts[[#This Row],[ha2016.07]]</f>
        <v>0</v>
      </c>
      <c r="EG15" s="15">
        <f>t_Parts[[#This Row],[hp2016.08]]/t_Parts[[#This Row],[ha2016.08]]</f>
        <v>0</v>
      </c>
      <c r="EH15" s="15">
        <f>t_Parts[[#This Row],[hp2016.09]]/t_Parts[[#This Row],[ha2016.09]]</f>
        <v>0</v>
      </c>
      <c r="EI15" s="15">
        <f>t_Parts[[#This Row],[hp2016.10]]/t_Parts[[#This Row],[ha2016.10]]</f>
        <v>0</v>
      </c>
      <c r="EJ15" s="15">
        <f>t_Parts[[#This Row],[hp2016.11]]/t_Parts[[#This Row],[ha2016.11]]</f>
        <v>0</v>
      </c>
      <c r="EK15" s="15">
        <f>t_Parts[[#This Row],[hp2016.12]]/t_Parts[[#This Row],[ha2016.12]]</f>
        <v>0</v>
      </c>
      <c r="EL15" s="15">
        <f>t_Parts[[#This Row],[hp2016.FY]]/t_Parts[[#This Row],[ha2016.FY]]</f>
        <v>0</v>
      </c>
      <c r="EM15" s="15">
        <f>t_Parts[[#This Row],[hp2017]]/t_Parts[[#This Row],[ha2017]]</f>
        <v>0</v>
      </c>
      <c r="EN15" s="15">
        <f>t_Parts[[#This Row],[hp2018]]/t_Parts[[#This Row],[ha2018]]</f>
        <v>0</v>
      </c>
      <c r="EO15" s="15">
        <f>t_Parts[[#This Row],[hp2019]]/t_Parts[[#This Row],[hp2015.01]]</f>
        <v>0</v>
      </c>
      <c r="EP15" s="68">
        <f>(t_Parts[[#This Row],[ha2015.01]]-t_Parts[[#This Row],[hp2015.01]])*t_Parts[[NetPPH]:[NetPPH]]</f>
        <v>4921.8604651162786</v>
      </c>
      <c r="EQ15" s="68">
        <f>(t_Parts[[#This Row],[ha2015.02]]-t_Parts[[#This Row],[hp2015.02]])*t_Parts[[NetPPH]:[NetPPH]]</f>
        <v>4921.8604651162786</v>
      </c>
      <c r="ER15" s="68">
        <f>(t_Parts[[#This Row],[ha2015.03]]-t_Parts[[#This Row],[hp2015.03]])*t_Parts[[NetPPH]:[NetPPH]]</f>
        <v>6436.2790697674418</v>
      </c>
      <c r="ES15" s="68">
        <f>(t_Parts[[#This Row],[ha2015.04]]-t_Parts[[#This Row],[hp2015.04]])*t_Parts[[NetPPH]:[NetPPH]]</f>
        <v>4921.8604651162786</v>
      </c>
      <c r="ET15" s="68">
        <f>(t_Parts[[#This Row],[ha2015.05]]-t_Parts[[#This Row],[hp2015.05]])*t_Parts[[NetPPH]:[NetPPH]]</f>
        <v>4921.8604651162786</v>
      </c>
      <c r="EU15" s="68">
        <f>(t_Parts[[#This Row],[ha2015.06]]-t_Parts[[#This Row],[hp2015.06]])*t_Parts[[NetPPH]:[NetPPH]]</f>
        <v>6436.2790697674418</v>
      </c>
      <c r="EV15" s="68">
        <f>(t_Parts[[#This Row],[ha2015.07]]-t_Parts[[#This Row],[hp2015.07]])*t_Parts[[NetPPH]:[NetPPH]]</f>
        <v>4921.8604651162786</v>
      </c>
      <c r="EW15" s="68">
        <f>(t_Parts[[#This Row],[ha2015.08]]-t_Parts[[#This Row],[hp2015.08]])*t_Parts[[NetPPH]:[NetPPH]]</f>
        <v>4921.8604651162786</v>
      </c>
      <c r="EX15" s="68">
        <f>(t_Parts[[#This Row],[ha2015.09]]-t_Parts[[#This Row],[hp2015.09]])*t_Parts[[NetPPH]:[NetPPH]]</f>
        <v>6436.2790697674418</v>
      </c>
      <c r="EY15" s="68">
        <f>(t_Parts[[#This Row],[ha2015.10]]-t_Parts[[#This Row],[hp2015.10]])*t_Parts[[NetPPH]:[NetPPH]]</f>
        <v>4921.8604651162786</v>
      </c>
      <c r="EZ15" s="68">
        <f>(t_Parts[[#This Row],[ha2015.11]]-t_Parts[[#This Row],[hp2015.11]])*t_Parts[[NetPPH]:[NetPPH]]</f>
        <v>4921.8604651162786</v>
      </c>
      <c r="FA15" s="68">
        <f>(t_Parts[[#This Row],[ha2015.12]]-t_Parts[[#This Row],[hp2015.12]])*t_Parts[[NetPPH]:[NetPPH]]</f>
        <v>6436.2790697674418</v>
      </c>
      <c r="FB15" s="68">
        <f>(t_Parts[[#This Row],[ha2015.FY]]-t_Parts[[#This Row],[hp2015.FY]])*t_Parts[[NetPPH]:[NetPPH]]</f>
        <v>65119.999999999985</v>
      </c>
      <c r="FC15" s="68">
        <f>(t_Parts[[#This Row],[ha2016.01]]-t_Parts[[#This Row],[hp2016.01]])*t_Parts[[NetPPH]:[NetPPH]]</f>
        <v>12480</v>
      </c>
      <c r="FD15" s="68">
        <f>(t_Parts[[#This Row],[ha2016.02]]-t_Parts[[#This Row],[hp2016.02]])*t_Parts[[NetPPH]:[NetPPH]]</f>
        <v>12480</v>
      </c>
      <c r="FE15" s="68">
        <f>(t_Parts[[#This Row],[ha2016.03]]-t_Parts[[#This Row],[hp2016.03]])*t_Parts[[NetPPH]:[NetPPH]]</f>
        <v>16320</v>
      </c>
      <c r="FF15" s="68">
        <f>(t_Parts[[#This Row],[ha2016.04]]-t_Parts[[#This Row],[hp2016.04]])*t_Parts[[NetPPH]:[NetPPH]]</f>
        <v>12480</v>
      </c>
      <c r="FG15" s="68">
        <f>(t_Parts[[#This Row],[ha2016.05]]-t_Parts[[#This Row],[hp2016.05]])*t_Parts[[NetPPH]:[NetPPH]]</f>
        <v>12480</v>
      </c>
      <c r="FH15" s="68">
        <f>(t_Parts[[#This Row],[ha2016.06]]-t_Parts[[#This Row],[hp2016.06]])*t_Parts[[NetPPH]:[NetPPH]]</f>
        <v>16320</v>
      </c>
      <c r="FI15" s="68">
        <f>(t_Parts[[#This Row],[ha2016.07]]-t_Parts[[#This Row],[hp2016.07]])*t_Parts[[NetPPH]:[NetPPH]]</f>
        <v>12480</v>
      </c>
      <c r="FJ15" s="68">
        <f>(t_Parts[[#This Row],[ha2016.08]]-t_Parts[[#This Row],[hp2016.08]])*t_Parts[[NetPPH]:[NetPPH]]</f>
        <v>12480</v>
      </c>
      <c r="FK15" s="68">
        <f>(t_Parts[[#This Row],[ha2016.09]]-t_Parts[[#This Row],[hp2016.09]])*t_Parts[[NetPPH]:[NetPPH]]</f>
        <v>16320</v>
      </c>
      <c r="FL15" s="68">
        <f>(t_Parts[[#This Row],[ha2016.10]]-t_Parts[[#This Row],[hp2016.10]])*t_Parts[[NetPPH]:[NetPPH]]</f>
        <v>12480</v>
      </c>
      <c r="FM15" s="68">
        <f>(t_Parts[[#This Row],[ha2016.11]]-t_Parts[[#This Row],[hp2016.11]])*t_Parts[[NetPPH]:[NetPPH]]</f>
        <v>12480</v>
      </c>
      <c r="FN15" s="68">
        <f>(t_Parts[[#This Row],[ha2016.12]]-t_Parts[[#This Row],[hp2016.12]])*t_Parts[[NetPPH]:[NetPPH]]</f>
        <v>16320</v>
      </c>
      <c r="FO15" s="68">
        <f>(t_Parts[[#This Row],[ha2016.FY]]-t_Parts[[#This Row],[hp2016.FY]])*t_Parts[[NetPPH]:[NetPPH]]</f>
        <v>165120</v>
      </c>
      <c r="FP15" s="68">
        <f>(t_Parts[[#This Row],[ha2017]]-t_Parts[[#This Row],[hp2017]])*t_Parts[[NetPPH]:[NetPPH]]</f>
        <v>165120</v>
      </c>
      <c r="FQ15" s="68">
        <f>(t_Parts[[#This Row],[ha2018]]-t_Parts[[#This Row],[hp2018]])*t_Parts[[NetPPH]:[NetPPH]]</f>
        <v>165120</v>
      </c>
      <c r="FR15" s="68">
        <f>(t_Parts[[#This Row],[ha2019]]-t_Parts[[#This Row],[hp2019]])*t_Parts[[NetPPH]:[NetPPH]]</f>
        <v>165120</v>
      </c>
    </row>
    <row r="16" spans="1:174" x14ac:dyDescent="0.25">
      <c r="B16" s="16"/>
      <c r="K16" s="20"/>
      <c r="L16" s="25"/>
      <c r="M16" s="20"/>
      <c r="N16" s="26"/>
      <c r="O16" s="16"/>
      <c r="P16" s="27"/>
      <c r="S16" s="20"/>
      <c r="T16" s="25"/>
      <c r="AB16" s="15"/>
      <c r="AC16" s="20"/>
      <c r="AE16" s="20"/>
      <c r="AH16" s="20"/>
      <c r="AI16" s="20"/>
      <c r="AL16" s="15"/>
      <c r="AM16" s="15"/>
      <c r="AO16" s="15"/>
      <c r="AP16" s="20"/>
      <c r="AQ16" s="20"/>
      <c r="AR16" s="26"/>
      <c r="AS16" s="25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</row>
    <row r="17" spans="1:174" x14ac:dyDescent="0.25">
      <c r="B17" s="16"/>
      <c r="K17" s="20"/>
      <c r="L17" s="25"/>
      <c r="M17" s="20"/>
      <c r="N17" s="26"/>
      <c r="O17" s="16"/>
      <c r="P17" s="27"/>
      <c r="S17" s="20"/>
      <c r="T17" s="25"/>
      <c r="AB17" s="15"/>
      <c r="AC17" s="20"/>
      <c r="AE17" s="20"/>
      <c r="AH17" s="20"/>
      <c r="AI17" s="20"/>
      <c r="AL17" s="15"/>
      <c r="AM17" s="15"/>
      <c r="AO17" s="15"/>
      <c r="AP17" s="20"/>
      <c r="AQ17" s="20"/>
      <c r="AR17" s="26"/>
      <c r="AS17" s="25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</row>
    <row r="18" spans="1:174" x14ac:dyDescent="0.25">
      <c r="B18" s="16" t="s">
        <v>457</v>
      </c>
      <c r="K18" s="20"/>
      <c r="L18" s="25"/>
      <c r="M18" s="20"/>
      <c r="N18" s="26"/>
      <c r="O18" s="16"/>
      <c r="P18" s="27"/>
      <c r="S18" s="20"/>
      <c r="T18" s="25"/>
      <c r="AB18" s="15"/>
      <c r="AC18" s="20"/>
      <c r="AE18" s="20"/>
      <c r="AH18" s="20"/>
      <c r="AI18" s="20"/>
      <c r="AL18" s="15"/>
      <c r="AM18" s="15"/>
      <c r="AO18" s="15"/>
      <c r="AP18" s="20"/>
      <c r="AQ18" s="20"/>
      <c r="AR18" s="26"/>
      <c r="AS18" s="25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</row>
    <row r="19" spans="1:174" x14ac:dyDescent="0.25">
      <c r="A19" s="16">
        <v>3</v>
      </c>
      <c r="B19" s="16" t="s">
        <v>453</v>
      </c>
      <c r="K19" s="20"/>
      <c r="L19" s="25"/>
      <c r="M19" s="20"/>
      <c r="N19" s="26"/>
      <c r="O19" s="16"/>
      <c r="P19" s="27"/>
      <c r="S19" s="20"/>
      <c r="T19" s="25"/>
      <c r="AB19" s="15"/>
      <c r="AC19" s="20"/>
      <c r="AE19" s="20"/>
      <c r="AH19" s="20"/>
      <c r="AI19" s="20"/>
      <c r="AL19" s="15"/>
      <c r="AM19" s="15"/>
      <c r="AO19" s="15"/>
      <c r="AP19" s="20"/>
      <c r="AQ19" s="20"/>
      <c r="AR19" s="26"/>
      <c r="AS19" s="25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</row>
    <row r="20" spans="1:174" x14ac:dyDescent="0.25">
      <c r="B20" s="16" t="s">
        <v>454</v>
      </c>
      <c r="K20" s="20"/>
      <c r="L20" s="25"/>
      <c r="M20" s="20"/>
      <c r="N20" s="26"/>
      <c r="O20" s="16"/>
      <c r="P20" s="27"/>
      <c r="S20" s="20"/>
      <c r="T20" s="25"/>
      <c r="AB20" s="15"/>
      <c r="AC20" s="20"/>
      <c r="AE20" s="20"/>
      <c r="AH20" s="20"/>
      <c r="AI20" s="20"/>
      <c r="AL20" s="15"/>
      <c r="AM20" s="15"/>
      <c r="AO20" s="15"/>
      <c r="AP20" s="20"/>
      <c r="AQ20" s="20"/>
      <c r="AR20" s="26"/>
      <c r="AS20" s="25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</row>
    <row r="21" spans="1:174" x14ac:dyDescent="0.25">
      <c r="B21" s="16" t="s">
        <v>455</v>
      </c>
      <c r="K21" s="20"/>
      <c r="L21" s="25"/>
      <c r="M21" s="20"/>
      <c r="N21" s="26"/>
      <c r="O21" s="16"/>
      <c r="P21" s="27"/>
      <c r="S21" s="20"/>
      <c r="T21" s="25"/>
      <c r="AB21" s="15"/>
      <c r="AC21" s="20"/>
      <c r="AE21" s="20"/>
      <c r="AH21" s="20"/>
      <c r="AI21" s="20"/>
      <c r="AL21" s="15"/>
      <c r="AM21" s="15"/>
      <c r="AO21" s="15"/>
      <c r="AP21" s="20"/>
      <c r="AQ21" s="20"/>
      <c r="AR21" s="26"/>
      <c r="AS21" s="25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H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DC21" s="20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</row>
    <row r="22" spans="1:174" x14ac:dyDescent="0.25">
      <c r="B22" s="16" t="s">
        <v>456</v>
      </c>
      <c r="K22" s="20"/>
      <c r="L22" s="25"/>
      <c r="M22" s="20"/>
      <c r="N22" s="26"/>
      <c r="O22" s="16"/>
      <c r="P22" s="27"/>
      <c r="S22" s="20"/>
      <c r="T22" s="25"/>
      <c r="AB22" s="15"/>
      <c r="AC22" s="20"/>
      <c r="AE22" s="20"/>
      <c r="AH22" s="20"/>
      <c r="AI22" s="20"/>
      <c r="AL22" s="15"/>
      <c r="AM22" s="15"/>
      <c r="AO22" s="15"/>
      <c r="AP22" s="20"/>
      <c r="AQ22" s="20"/>
      <c r="AR22" s="26"/>
      <c r="AS22" s="25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</row>
    <row r="23" spans="1:174" x14ac:dyDescent="0.25">
      <c r="B23" s="16"/>
      <c r="K23" s="20"/>
      <c r="L23" s="25"/>
      <c r="M23" s="20"/>
      <c r="N23" s="26"/>
      <c r="O23" s="16"/>
      <c r="P23" s="27"/>
      <c r="S23" s="20"/>
      <c r="T23" s="25"/>
      <c r="AB23" s="15"/>
      <c r="AC23" s="20"/>
      <c r="AE23" s="20"/>
      <c r="AH23" s="20"/>
      <c r="AI23" s="20"/>
      <c r="AL23" s="15"/>
      <c r="AM23" s="15"/>
      <c r="AO23" s="15"/>
      <c r="AP23" s="20"/>
      <c r="AQ23" s="20"/>
      <c r="AR23" s="26"/>
      <c r="AS23" s="25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</row>
    <row r="24" spans="1:174" x14ac:dyDescent="0.25">
      <c r="B24" s="16" t="s">
        <v>461</v>
      </c>
      <c r="K24" s="20"/>
      <c r="L24" s="25"/>
      <c r="M24" s="20"/>
      <c r="N24" s="26"/>
      <c r="O24" s="16"/>
      <c r="P24" s="27"/>
      <c r="S24" s="20"/>
      <c r="T24" s="25"/>
      <c r="AB24" s="15"/>
      <c r="AC24" s="20"/>
      <c r="AE24" s="20"/>
      <c r="AH24" s="20"/>
      <c r="AI24" s="20"/>
      <c r="AL24" s="15"/>
      <c r="AM24" s="15"/>
      <c r="AO24" s="15"/>
      <c r="AP24" s="20"/>
      <c r="AQ24" s="20"/>
      <c r="AR24" s="26"/>
      <c r="AS24" s="25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</row>
    <row r="25" spans="1:174" x14ac:dyDescent="0.25">
      <c r="B25" s="16" t="s">
        <v>462</v>
      </c>
    </row>
    <row r="26" spans="1:174" x14ac:dyDescent="0.25">
      <c r="B26" s="16" t="s">
        <v>458</v>
      </c>
    </row>
    <row r="27" spans="1:174" x14ac:dyDescent="0.25">
      <c r="B27" s="16" t="s">
        <v>459</v>
      </c>
    </row>
    <row r="28" spans="1:174" x14ac:dyDescent="0.25">
      <c r="B28" s="16" t="s">
        <v>460</v>
      </c>
    </row>
  </sheetData>
  <dataValidations count="2">
    <dataValidation type="list" showInputMessage="1" showErrorMessage="1" sqref="B5:B15">
      <formula1>list_Presses</formula1>
    </dataValidation>
    <dataValidation type="list" allowBlank="1" showInputMessage="1" showErrorMessage="1" sqref="G5:H15">
      <formula1>list_Periods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5" r:id="rId4" name="Drop Down 11">
              <controlPr defaultSize="0" autoLine="0" autoPict="0">
                <anchor moveWithCells="1">
                  <from>
                    <xdr:col>0</xdr:col>
                    <xdr:colOff>47625</xdr:colOff>
                    <xdr:row>16</xdr:row>
                    <xdr:rowOff>9525</xdr:rowOff>
                  </from>
                  <to>
                    <xdr:col>0</xdr:col>
                    <xdr:colOff>981075</xdr:colOff>
                    <xdr:row>17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G37"/>
  <sheetViews>
    <sheetView workbookViewId="0">
      <selection activeCell="A8" sqref="A8"/>
    </sheetView>
  </sheetViews>
  <sheetFormatPr defaultRowHeight="15" x14ac:dyDescent="0.25"/>
  <cols>
    <col min="1" max="1" width="27.7109375" style="16" customWidth="1"/>
    <col min="2" max="2" width="13.7109375" customWidth="1"/>
    <col min="7" max="7" width="13" customWidth="1"/>
  </cols>
  <sheetData>
    <row r="1" spans="1:7" x14ac:dyDescent="0.25">
      <c r="A1" s="36" t="s">
        <v>24</v>
      </c>
      <c r="B1" s="13"/>
      <c r="C1" s="13"/>
    </row>
    <row r="2" spans="1:7" s="39" customFormat="1" ht="18" customHeight="1" x14ac:dyDescent="0.25">
      <c r="A2" s="63" t="s">
        <v>25</v>
      </c>
      <c r="B2" s="40" t="s">
        <v>26</v>
      </c>
      <c r="C2" s="40" t="s">
        <v>27</v>
      </c>
    </row>
    <row r="3" spans="1:7" s="41" customFormat="1" x14ac:dyDescent="0.25">
      <c r="A3" s="64" t="s">
        <v>28</v>
      </c>
      <c r="B3" s="41" t="s">
        <v>29</v>
      </c>
      <c r="C3" s="42">
        <v>300</v>
      </c>
      <c r="G3" s="59"/>
    </row>
    <row r="4" spans="1:7" s="41" customFormat="1" x14ac:dyDescent="0.25">
      <c r="A4" s="64" t="s">
        <v>180</v>
      </c>
      <c r="C4" s="58">
        <v>0.2</v>
      </c>
    </row>
    <row r="5" spans="1:7" s="41" customFormat="1" x14ac:dyDescent="0.25">
      <c r="A5" s="64" t="s">
        <v>181</v>
      </c>
      <c r="C5" s="58">
        <v>0.75</v>
      </c>
    </row>
    <row r="6" spans="1:7" s="41" customFormat="1" x14ac:dyDescent="0.25">
      <c r="A6" s="64" t="s">
        <v>182</v>
      </c>
      <c r="C6" s="58">
        <v>1</v>
      </c>
    </row>
    <row r="7" spans="1:7" x14ac:dyDescent="0.25">
      <c r="F7" s="41"/>
      <c r="G7" s="41"/>
    </row>
    <row r="8" spans="1:7" x14ac:dyDescent="0.25">
      <c r="F8" s="41"/>
      <c r="G8" s="41"/>
    </row>
    <row r="9" spans="1:7" x14ac:dyDescent="0.25">
      <c r="F9" s="41"/>
      <c r="G9" s="41"/>
    </row>
    <row r="10" spans="1:7" x14ac:dyDescent="0.25">
      <c r="A10" s="63" t="s">
        <v>372</v>
      </c>
      <c r="E10" s="41"/>
      <c r="F10" s="41"/>
      <c r="G10" s="41"/>
    </row>
    <row r="11" spans="1:7" x14ac:dyDescent="0.25">
      <c r="A11" s="16">
        <v>2015.01</v>
      </c>
      <c r="F11" s="41"/>
      <c r="G11" s="41"/>
    </row>
    <row r="12" spans="1:7" x14ac:dyDescent="0.25">
      <c r="A12" s="16">
        <v>2015.02</v>
      </c>
    </row>
    <row r="13" spans="1:7" x14ac:dyDescent="0.25">
      <c r="A13" s="16">
        <v>2015.03</v>
      </c>
    </row>
    <row r="14" spans="1:7" x14ac:dyDescent="0.25">
      <c r="A14" s="16">
        <v>2015.04</v>
      </c>
    </row>
    <row r="15" spans="1:7" x14ac:dyDescent="0.25">
      <c r="A15" s="16">
        <v>2015.05</v>
      </c>
    </row>
    <row r="16" spans="1:7" x14ac:dyDescent="0.25">
      <c r="A16" s="16">
        <v>2015.06</v>
      </c>
    </row>
    <row r="17" spans="1:1" x14ac:dyDescent="0.25">
      <c r="A17" s="16">
        <v>2015.07</v>
      </c>
    </row>
    <row r="18" spans="1:1" x14ac:dyDescent="0.25">
      <c r="A18" s="16">
        <v>2015.08</v>
      </c>
    </row>
    <row r="19" spans="1:1" x14ac:dyDescent="0.25">
      <c r="A19" s="16">
        <v>2015.09</v>
      </c>
    </row>
    <row r="20" spans="1:1" x14ac:dyDescent="0.25">
      <c r="A20" s="16">
        <v>2015.1</v>
      </c>
    </row>
    <row r="21" spans="1:1" x14ac:dyDescent="0.25">
      <c r="A21" s="16">
        <v>2015.11</v>
      </c>
    </row>
    <row r="22" spans="1:1" x14ac:dyDescent="0.25">
      <c r="A22" s="16">
        <v>2015.12</v>
      </c>
    </row>
    <row r="23" spans="1:1" x14ac:dyDescent="0.25">
      <c r="A23" s="16" t="s">
        <v>338</v>
      </c>
    </row>
    <row r="24" spans="1:1" x14ac:dyDescent="0.25">
      <c r="A24" s="16" t="s">
        <v>339</v>
      </c>
    </row>
    <row r="25" spans="1:1" x14ac:dyDescent="0.25">
      <c r="A25" s="16" t="s">
        <v>340</v>
      </c>
    </row>
    <row r="26" spans="1:1" x14ac:dyDescent="0.25">
      <c r="A26" s="16" t="s">
        <v>341</v>
      </c>
    </row>
    <row r="27" spans="1:1" x14ac:dyDescent="0.25">
      <c r="A27" s="16" t="s">
        <v>342</v>
      </c>
    </row>
    <row r="28" spans="1:1" x14ac:dyDescent="0.25">
      <c r="A28" s="16" t="s">
        <v>343</v>
      </c>
    </row>
    <row r="29" spans="1:1" x14ac:dyDescent="0.25">
      <c r="A29" s="16" t="s">
        <v>344</v>
      </c>
    </row>
    <row r="30" spans="1:1" x14ac:dyDescent="0.25">
      <c r="A30" s="16" t="s">
        <v>345</v>
      </c>
    </row>
    <row r="31" spans="1:1" x14ac:dyDescent="0.25">
      <c r="A31" s="16" t="s">
        <v>346</v>
      </c>
    </row>
    <row r="32" spans="1:1" x14ac:dyDescent="0.25">
      <c r="A32" s="16" t="s">
        <v>347</v>
      </c>
    </row>
    <row r="33" spans="1:1" x14ac:dyDescent="0.25">
      <c r="A33" s="16" t="s">
        <v>348</v>
      </c>
    </row>
    <row r="34" spans="1:1" x14ac:dyDescent="0.25">
      <c r="A34" s="16" t="s">
        <v>349</v>
      </c>
    </row>
    <row r="35" spans="1:1" x14ac:dyDescent="0.25">
      <c r="A35" s="16" t="s">
        <v>83</v>
      </c>
    </row>
    <row r="36" spans="1:1" x14ac:dyDescent="0.25">
      <c r="A36" s="16" t="s">
        <v>84</v>
      </c>
    </row>
    <row r="37" spans="1:1" x14ac:dyDescent="0.25">
      <c r="A37" s="16" t="s">
        <v>85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6"/>
  <sheetViews>
    <sheetView workbookViewId="0">
      <selection activeCell="B17" sqref="B17"/>
    </sheetView>
  </sheetViews>
  <sheetFormatPr defaultRowHeight="15" x14ac:dyDescent="0.25"/>
  <sheetData>
    <row r="1" spans="1:5" x14ac:dyDescent="0.25">
      <c r="A1" s="72" t="s">
        <v>440</v>
      </c>
    </row>
    <row r="3" spans="1:5" x14ac:dyDescent="0.25">
      <c r="A3">
        <v>1</v>
      </c>
      <c r="B3" t="s">
        <v>441</v>
      </c>
    </row>
    <row r="4" spans="1:5" x14ac:dyDescent="0.25">
      <c r="A4">
        <v>2</v>
      </c>
      <c r="B4" t="s">
        <v>442</v>
      </c>
    </row>
    <row r="5" spans="1:5" x14ac:dyDescent="0.25">
      <c r="A5">
        <v>3</v>
      </c>
      <c r="B5" t="s">
        <v>443</v>
      </c>
    </row>
    <row r="6" spans="1:5" x14ac:dyDescent="0.25">
      <c r="A6">
        <v>4</v>
      </c>
      <c r="B6" t="s">
        <v>444</v>
      </c>
    </row>
    <row r="9" spans="1:5" x14ac:dyDescent="0.25">
      <c r="B9" t="s">
        <v>445</v>
      </c>
    </row>
    <row r="10" spans="1:5" x14ac:dyDescent="0.25">
      <c r="C10" t="s">
        <v>446</v>
      </c>
      <c r="E10" t="s">
        <v>449</v>
      </c>
    </row>
    <row r="11" spans="1:5" x14ac:dyDescent="0.25">
      <c r="C11" t="s">
        <v>447</v>
      </c>
    </row>
    <row r="12" spans="1:5" x14ac:dyDescent="0.25">
      <c r="C12" t="s">
        <v>450</v>
      </c>
    </row>
    <row r="13" spans="1:5" x14ac:dyDescent="0.25">
      <c r="C13" t="s">
        <v>448</v>
      </c>
    </row>
    <row r="16" spans="1:5" x14ac:dyDescent="0.25">
      <c r="B16" t="s">
        <v>463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4"/>
  <sheetViews>
    <sheetView workbookViewId="0">
      <selection activeCell="A9" sqref="A9"/>
    </sheetView>
  </sheetViews>
  <sheetFormatPr defaultRowHeight="15" x14ac:dyDescent="0.25"/>
  <cols>
    <col min="1" max="1" width="35.140625" customWidth="1"/>
    <col min="2" max="2" width="23.5703125" customWidth="1"/>
  </cols>
  <sheetData>
    <row r="1" spans="1:1" x14ac:dyDescent="0.25">
      <c r="A1" t="s">
        <v>464</v>
      </c>
    </row>
    <row r="2" spans="1:1" x14ac:dyDescent="0.25">
      <c r="A2" s="16" t="s">
        <v>472</v>
      </c>
    </row>
    <row r="3" spans="1:1" x14ac:dyDescent="0.25">
      <c r="A3" t="s">
        <v>471</v>
      </c>
    </row>
    <row r="4" spans="1:1" x14ac:dyDescent="0.25">
      <c r="A4" s="16" t="s">
        <v>31</v>
      </c>
    </row>
    <row r="5" spans="1:1" x14ac:dyDescent="0.25">
      <c r="A5" s="16" t="s">
        <v>473</v>
      </c>
    </row>
    <row r="6" spans="1:1" x14ac:dyDescent="0.25">
      <c r="A6" s="16" t="s">
        <v>187</v>
      </c>
    </row>
    <row r="7" spans="1:1" x14ac:dyDescent="0.25">
      <c r="A7" s="16" t="s">
        <v>474</v>
      </c>
    </row>
    <row r="8" spans="1:1" x14ac:dyDescent="0.25">
      <c r="A8" s="16" t="s">
        <v>475</v>
      </c>
    </row>
    <row r="9" spans="1:1" x14ac:dyDescent="0.25">
      <c r="A9" s="16" t="s">
        <v>465</v>
      </c>
    </row>
    <row r="10" spans="1:1" x14ac:dyDescent="0.25">
      <c r="A10" t="s">
        <v>467</v>
      </c>
    </row>
    <row r="11" spans="1:1" x14ac:dyDescent="0.25">
      <c r="A11" s="16" t="s">
        <v>466</v>
      </c>
    </row>
    <row r="12" spans="1:1" x14ac:dyDescent="0.25">
      <c r="A12" s="16"/>
    </row>
    <row r="13" spans="1:1" x14ac:dyDescent="0.25">
      <c r="A13" s="16"/>
    </row>
    <row r="14" spans="1:1" x14ac:dyDescent="0.25">
      <c r="A14" t="s">
        <v>26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25</vt:i4>
      </vt:variant>
    </vt:vector>
  </HeadingPairs>
  <TitlesOfParts>
    <vt:vector size="33" baseType="lpstr">
      <vt:lpstr>Plants</vt:lpstr>
      <vt:lpstr>Tonnage</vt:lpstr>
      <vt:lpstr>Press</vt:lpstr>
      <vt:lpstr>Parts</vt:lpstr>
      <vt:lpstr>Variables</vt:lpstr>
      <vt:lpstr>ToDo</vt:lpstr>
      <vt:lpstr>Setup</vt:lpstr>
      <vt:lpstr>Plant_Util%</vt:lpstr>
      <vt:lpstr>list_Periods</vt:lpstr>
      <vt:lpstr>list_Plants</vt:lpstr>
      <vt:lpstr>list_Presses</vt:lpstr>
      <vt:lpstr>Parts!PressUtilization</vt:lpstr>
      <vt:lpstr>PressUtilization</vt:lpstr>
      <vt:lpstr>r_DieCols</vt:lpstr>
      <vt:lpstr>r_PartPresses</vt:lpstr>
      <vt:lpstr>r_PlantViews</vt:lpstr>
      <vt:lpstr>r_Press_Plants</vt:lpstr>
      <vt:lpstr>r_Press_Tonnage</vt:lpstr>
      <vt:lpstr>r_PressPlants</vt:lpstr>
      <vt:lpstr>v_TRBS</vt:lpstr>
      <vt:lpstr>v_uGrn</vt:lpstr>
      <vt:lpstr>v_uRed</vt:lpstr>
      <vt:lpstr>v_uYel</vt:lpstr>
      <vt:lpstr>vr_PlAll</vt:lpstr>
      <vt:lpstr>vr_PlBusinessDays</vt:lpstr>
      <vt:lpstr>vr_PlDaysAvail</vt:lpstr>
      <vt:lpstr>vr_PlDaysOff</vt:lpstr>
      <vt:lpstr>vr_PlHrsAvail</vt:lpstr>
      <vt:lpstr>vr_PlHrsPlanned</vt:lpstr>
      <vt:lpstr>vr_PlUtilAnnual</vt:lpstr>
      <vt:lpstr>vr_PlUtilYr1</vt:lpstr>
      <vt:lpstr>vr_PlUtilYr2</vt:lpstr>
      <vt:lpstr>vr_PlYr1Detail</vt:lpstr>
    </vt:vector>
  </TitlesOfParts>
  <Company>Gill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Morey, Scott</dc:creator>
  <cp:lastModifiedBy>Morey, Scott</cp:lastModifiedBy>
  <cp:lastPrinted>2015-03-11T16:43:37Z</cp:lastPrinted>
  <dcterms:created xsi:type="dcterms:W3CDTF">2015-03-06T17:30:17Z</dcterms:created>
  <dcterms:modified xsi:type="dcterms:W3CDTF">2015-03-19T15:35:10Z</dcterms:modified>
</cp:coreProperties>
</file>