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6" i="6"/>
  <c r="DL6" i="6"/>
  <c r="DK7" i="6"/>
  <c r="DL7" i="6"/>
  <c r="DK8" i="6"/>
  <c r="DL8" i="6"/>
  <c r="DK9" i="6"/>
  <c r="DL9" i="6"/>
  <c r="DK10" i="6"/>
  <c r="DL10" i="6"/>
  <c r="DK11" i="6"/>
  <c r="DL11" i="6"/>
  <c r="DK12" i="6"/>
  <c r="DL12" i="6"/>
  <c r="DK13" i="6"/>
  <c r="DL13" i="6"/>
  <c r="DK14" i="6"/>
  <c r="DL14" i="6"/>
  <c r="DK15" i="6"/>
  <c r="BK13" i="3" s="1"/>
  <c r="EQ6" i="2" s="1"/>
  <c r="DL15" i="6"/>
  <c r="BL13" i="3" s="1"/>
  <c r="ER6" i="2" s="1"/>
  <c r="DJ6" i="6"/>
  <c r="DJ7" i="6"/>
  <c r="DJ8" i="6"/>
  <c r="DJ9" i="6"/>
  <c r="DJ10" i="6"/>
  <c r="DJ11" i="6"/>
  <c r="DJ12" i="6"/>
  <c r="DJ13" i="6"/>
  <c r="DJ14" i="6"/>
  <c r="DJ15" i="6"/>
  <c r="BJ13" i="3" s="1"/>
  <c r="EP6" i="2" s="1"/>
  <c r="CW6" i="6"/>
  <c r="CX6" i="6"/>
  <c r="CY6" i="6"/>
  <c r="CZ6" i="6"/>
  <c r="DA6" i="6"/>
  <c r="DB6" i="6"/>
  <c r="DC6" i="6"/>
  <c r="DD6" i="6"/>
  <c r="DE6" i="6"/>
  <c r="DF6" i="6"/>
  <c r="DG6" i="6"/>
  <c r="DH6" i="6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AW13" i="3" s="1"/>
  <c r="EC6" i="2" s="1"/>
  <c r="CX15" i="6"/>
  <c r="AX13" i="3" s="1"/>
  <c r="ED6" i="2" s="1"/>
  <c r="CY15" i="6"/>
  <c r="AY13" i="3" s="1"/>
  <c r="EE6" i="2" s="1"/>
  <c r="CZ15" i="6"/>
  <c r="AZ13" i="3" s="1"/>
  <c r="EF6" i="2" s="1"/>
  <c r="DA15" i="6"/>
  <c r="BA13" i="3" s="1"/>
  <c r="EG6" i="2" s="1"/>
  <c r="DB15" i="6"/>
  <c r="BB13" i="3" s="1"/>
  <c r="EH6" i="2" s="1"/>
  <c r="DC15" i="6"/>
  <c r="BC13" i="3" s="1"/>
  <c r="EI6" i="2" s="1"/>
  <c r="DD15" i="6"/>
  <c r="BD13" i="3" s="1"/>
  <c r="EJ6" i="2" s="1"/>
  <c r="DE15" i="6"/>
  <c r="BE13" i="3" s="1"/>
  <c r="EK6" i="2" s="1"/>
  <c r="DF15" i="6"/>
  <c r="BF13" i="3" s="1"/>
  <c r="EL6" i="2" s="1"/>
  <c r="DG15" i="6"/>
  <c r="BG13" i="3" s="1"/>
  <c r="EM6" i="2" s="1"/>
  <c r="DH15" i="6"/>
  <c r="BH13" i="3" s="1"/>
  <c r="EN6" i="2" s="1"/>
  <c r="BD6" i="6"/>
  <c r="BE6" i="6"/>
  <c r="BF6" i="6"/>
  <c r="BD7" i="6"/>
  <c r="BE7" i="6"/>
  <c r="BF7" i="6"/>
  <c r="BD8" i="6"/>
  <c r="BE8" i="6"/>
  <c r="BF8" i="6"/>
  <c r="BD9" i="6"/>
  <c r="BE9" i="6"/>
  <c r="BF9" i="6"/>
  <c r="BD10" i="6"/>
  <c r="BE10" i="6"/>
  <c r="BF10" i="6"/>
  <c r="BD11" i="6"/>
  <c r="BE11" i="6"/>
  <c r="BF11" i="6"/>
  <c r="BD12" i="6"/>
  <c r="BE12" i="6"/>
  <c r="BF12" i="6"/>
  <c r="BD13" i="6"/>
  <c r="BE13" i="6"/>
  <c r="BF13" i="6"/>
  <c r="BD14" i="6"/>
  <c r="BE14" i="6"/>
  <c r="BF14" i="6"/>
  <c r="BD15" i="6"/>
  <c r="BE15" i="6"/>
  <c r="BF15" i="6"/>
  <c r="BE5" i="6"/>
  <c r="BF5" i="6"/>
  <c r="BD5" i="6"/>
  <c r="AQ6" i="6"/>
  <c r="AR6" i="6"/>
  <c r="AS6" i="6"/>
  <c r="AT6" i="6"/>
  <c r="AU6" i="6"/>
  <c r="AV6" i="6"/>
  <c r="AW6" i="6"/>
  <c r="AX6" i="6"/>
  <c r="AY6" i="6"/>
  <c r="AZ6" i="6"/>
  <c r="BA6" i="6"/>
  <c r="BB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5" i="6"/>
  <c r="BI13" i="3" s="1"/>
  <c r="EO6" i="2" s="1"/>
  <c r="DI14" i="6"/>
  <c r="DI13" i="6"/>
  <c r="DI12" i="6"/>
  <c r="DI11" i="6"/>
  <c r="DI10" i="6"/>
  <c r="DI9" i="6"/>
  <c r="DI8" i="6"/>
  <c r="DI7" i="6"/>
  <c r="DI6" i="6"/>
  <c r="BC15" i="6"/>
  <c r="BC14" i="6"/>
  <c r="BC13" i="6"/>
  <c r="BC12" i="6"/>
  <c r="BC11" i="6"/>
  <c r="BC10" i="6"/>
  <c r="BC9" i="6"/>
  <c r="BC8" i="6"/>
  <c r="BC7" i="6"/>
  <c r="BC6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5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5" i="6"/>
  <c r="AB14" i="6"/>
  <c r="AB13" i="6"/>
  <c r="AB12" i="6"/>
  <c r="AB8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5" i="6"/>
  <c r="AC15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5" i="6"/>
  <c r="AB6" i="6"/>
  <c r="AB7" i="6"/>
  <c r="AB9" i="6"/>
  <c r="AB10" i="6"/>
  <c r="AB11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5" i="6" l="1"/>
  <c r="B1" i="3"/>
  <c r="V15" i="6" s="1"/>
  <c r="CI15" i="6" s="1"/>
  <c r="FR15" i="6" s="1"/>
  <c r="D1" i="3"/>
  <c r="E1" i="3"/>
  <c r="W15" i="6" s="1"/>
  <c r="F1" i="3"/>
  <c r="Y15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0" i="6" l="1"/>
  <c r="W5" i="6"/>
  <c r="DJ5" i="6"/>
  <c r="BJ10" i="3" s="1"/>
  <c r="BF5" i="9" s="1"/>
  <c r="CI5" i="9" s="1"/>
  <c r="DK5" i="6"/>
  <c r="BK10" i="3" s="1"/>
  <c r="BG5" i="9" s="1"/>
  <c r="CJ5" i="9" s="1"/>
  <c r="DL5" i="6"/>
  <c r="BL10" i="3" s="1"/>
  <c r="BH5" i="9" s="1"/>
  <c r="CK5" i="9" s="1"/>
  <c r="CG15" i="6"/>
  <c r="CH15" i="6"/>
  <c r="CF15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X15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5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5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5" i="6"/>
  <c r="L26" i="3"/>
  <c r="BR26" i="3" s="1"/>
  <c r="L23" i="3"/>
  <c r="BR23" i="3" s="1"/>
  <c r="L24" i="3"/>
  <c r="BR24" i="3" s="1"/>
  <c r="L21" i="3"/>
  <c r="BR21" i="3" s="1"/>
  <c r="BH15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5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5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5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5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5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5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5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5" i="6"/>
  <c r="I13" i="3"/>
  <c r="I29" i="3"/>
  <c r="BO29" i="3" s="1"/>
  <c r="I26" i="3"/>
  <c r="BO26" i="3" s="1"/>
  <c r="I23" i="3"/>
  <c r="BO23" i="3" s="1"/>
  <c r="I24" i="3"/>
  <c r="BO24" i="3" s="1"/>
  <c r="Y9" i="6"/>
  <c r="Y14" i="6"/>
  <c r="Y13" i="6"/>
  <c r="Y12" i="6"/>
  <c r="Y8" i="6"/>
  <c r="W8" i="6"/>
  <c r="W14" i="6"/>
  <c r="W13" i="6"/>
  <c r="W12" i="6"/>
  <c r="V6" i="6"/>
  <c r="CI6" i="6" s="1"/>
  <c r="V13" i="6"/>
  <c r="CI13" i="6" s="1"/>
  <c r="V8" i="6"/>
  <c r="CI8" i="6" s="1"/>
  <c r="V14" i="6"/>
  <c r="CI14" i="6" s="1"/>
  <c r="V12" i="6"/>
  <c r="CI12" i="6" s="1"/>
  <c r="V10" i="6"/>
  <c r="CI10" i="6" s="1"/>
  <c r="V5" i="6"/>
  <c r="CI5" i="6" s="1"/>
  <c r="FR5" i="6" s="1"/>
  <c r="Y7" i="6"/>
  <c r="V9" i="6"/>
  <c r="CI9" i="6" s="1"/>
  <c r="Y11" i="6"/>
  <c r="Y6" i="6"/>
  <c r="V7" i="6"/>
  <c r="CI7" i="6" s="1"/>
  <c r="Y10" i="6"/>
  <c r="Y5" i="6"/>
  <c r="V11" i="6"/>
  <c r="CI11" i="6" s="1"/>
  <c r="W9" i="6"/>
  <c r="W7" i="6"/>
  <c r="W11" i="6"/>
  <c r="W6" i="6"/>
  <c r="BV8" i="2"/>
  <c r="BV7" i="2"/>
  <c r="BV5" i="2"/>
  <c r="BV6" i="2"/>
  <c r="AH15" i="6" s="1"/>
  <c r="CN15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5" i="6"/>
  <c r="FF15" i="6"/>
  <c r="EI15" i="6"/>
  <c r="FL15" i="6"/>
  <c r="ED15" i="6"/>
  <c r="FG15" i="6"/>
  <c r="EM15" i="6"/>
  <c r="FP15" i="6"/>
  <c r="ET15" i="6"/>
  <c r="EJ15" i="6"/>
  <c r="FM15" i="6"/>
  <c r="EE15" i="6"/>
  <c r="FH15" i="6"/>
  <c r="DZ15" i="6"/>
  <c r="FC15" i="6"/>
  <c r="EK15" i="6"/>
  <c r="FN15" i="6"/>
  <c r="EF15" i="6"/>
  <c r="FI15" i="6"/>
  <c r="EA15" i="6"/>
  <c r="FD15" i="6"/>
  <c r="EL15" i="6"/>
  <c r="FO15" i="6"/>
  <c r="EG15" i="6"/>
  <c r="FJ15" i="6"/>
  <c r="EB15" i="6"/>
  <c r="FE15" i="6"/>
  <c r="EH15" i="6"/>
  <c r="FK15" i="6"/>
  <c r="EN15" i="6"/>
  <c r="FQ15" i="6"/>
  <c r="CF6" i="6"/>
  <c r="CG6" i="6"/>
  <c r="CH6" i="6"/>
  <c r="CF9" i="6"/>
  <c r="CG9" i="6"/>
  <c r="CH9" i="6"/>
  <c r="CG7" i="6"/>
  <c r="CH7" i="6"/>
  <c r="CF7" i="6"/>
  <c r="CF14" i="6"/>
  <c r="CG14" i="6"/>
  <c r="CH14" i="6"/>
  <c r="CG11" i="6"/>
  <c r="CH11" i="6"/>
  <c r="CF11" i="6"/>
  <c r="CH8" i="6"/>
  <c r="CF8" i="6"/>
  <c r="CG8" i="6"/>
  <c r="CH12" i="6"/>
  <c r="CF12" i="6"/>
  <c r="CG12" i="6"/>
  <c r="CF10" i="6"/>
  <c r="CG10" i="6"/>
  <c r="CH10" i="6"/>
  <c r="CF13" i="6"/>
  <c r="CG13" i="6"/>
  <c r="CH13" i="6"/>
  <c r="CF5" i="6"/>
  <c r="CG5" i="6"/>
  <c r="CH5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6" i="6"/>
  <c r="BX6" i="6"/>
  <c r="CB6" i="6"/>
  <c r="BU6" i="6"/>
  <c r="BY6" i="6"/>
  <c r="CC6" i="6"/>
  <c r="BV6" i="6"/>
  <c r="BZ6" i="6"/>
  <c r="CD6" i="6"/>
  <c r="BW6" i="6"/>
  <c r="CA6" i="6"/>
  <c r="CE6" i="6"/>
  <c r="BT7" i="6"/>
  <c r="BX7" i="6"/>
  <c r="CB7" i="6"/>
  <c r="BU7" i="6"/>
  <c r="BY7" i="6"/>
  <c r="CC7" i="6"/>
  <c r="BV7" i="6"/>
  <c r="BZ7" i="6"/>
  <c r="CD7" i="6"/>
  <c r="BW7" i="6"/>
  <c r="CA7" i="6"/>
  <c r="CE7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8" i="6"/>
  <c r="BX8" i="6"/>
  <c r="CB8" i="6"/>
  <c r="BU8" i="6"/>
  <c r="BY8" i="6"/>
  <c r="CC8" i="6"/>
  <c r="BV8" i="6"/>
  <c r="BZ8" i="6"/>
  <c r="CD8" i="6"/>
  <c r="BW8" i="6"/>
  <c r="CA8" i="6"/>
  <c r="CE8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X5" i="6"/>
  <c r="CB5" i="6"/>
  <c r="BY5" i="6"/>
  <c r="CC5" i="6"/>
  <c r="BZ5" i="6"/>
  <c r="CD5" i="6"/>
  <c r="CA5" i="6"/>
  <c r="CE5" i="6"/>
  <c r="BT5" i="6"/>
  <c r="BU5" i="6"/>
  <c r="BV5" i="6"/>
  <c r="BW5" i="6"/>
  <c r="AT5" i="6"/>
  <c r="CZ5" i="6" s="1"/>
  <c r="AZ10" i="3" s="1"/>
  <c r="AV5" i="9" s="1"/>
  <c r="BY5" i="9" s="1"/>
  <c r="BB5" i="6"/>
  <c r="DH5" i="6" s="1"/>
  <c r="BH10" i="3" s="1"/>
  <c r="BD5" i="9" s="1"/>
  <c r="CG5" i="9" s="1"/>
  <c r="AU5" i="6"/>
  <c r="DA5" i="6" s="1"/>
  <c r="AY5" i="6"/>
  <c r="DE5" i="6" s="1"/>
  <c r="BE10" i="3" s="1"/>
  <c r="BA5" i="9" s="1"/>
  <c r="CD5" i="9" s="1"/>
  <c r="AV5" i="6"/>
  <c r="DB5" i="6" s="1"/>
  <c r="AZ5" i="6"/>
  <c r="DF5" i="6" s="1"/>
  <c r="AW5" i="6"/>
  <c r="DC5" i="6" s="1"/>
  <c r="BA5" i="6"/>
  <c r="DG5" i="6" s="1"/>
  <c r="BG10" i="3" s="1"/>
  <c r="BC5" i="9" s="1"/>
  <c r="CF5" i="9" s="1"/>
  <c r="AX5" i="6"/>
  <c r="DD5" i="6" s="1"/>
  <c r="AR5" i="6"/>
  <c r="CX5" i="6" s="1"/>
  <c r="AS5" i="6"/>
  <c r="CY5" i="6" s="1"/>
  <c r="AQ5" i="6"/>
  <c r="CW5" i="6" s="1"/>
  <c r="AD7" i="6"/>
  <c r="AH7" i="6"/>
  <c r="AL7" i="6"/>
  <c r="AE7" i="6"/>
  <c r="AI7" i="6"/>
  <c r="AM7" i="6"/>
  <c r="AF7" i="6"/>
  <c r="AJ7" i="6"/>
  <c r="AN7" i="6"/>
  <c r="AG7" i="6"/>
  <c r="AK7" i="6"/>
  <c r="AO7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6" i="6"/>
  <c r="AH6" i="6"/>
  <c r="AL6" i="6"/>
  <c r="AE6" i="6"/>
  <c r="AI6" i="6"/>
  <c r="AM6" i="6"/>
  <c r="AF6" i="6"/>
  <c r="AJ6" i="6"/>
  <c r="AN6" i="6"/>
  <c r="AG6" i="6"/>
  <c r="AK6" i="6"/>
  <c r="AO6" i="6"/>
  <c r="AL15" i="6"/>
  <c r="CR15" i="6" s="1"/>
  <c r="AR13" i="3" s="1"/>
  <c r="DX6" i="2" s="1"/>
  <c r="FA6" i="2" s="1"/>
  <c r="AG15" i="6"/>
  <c r="CM15" i="6" s="1"/>
  <c r="AM13" i="3" s="1"/>
  <c r="DS6" i="2" s="1"/>
  <c r="EV6" i="2" s="1"/>
  <c r="AM15" i="6"/>
  <c r="CS15" i="6" s="1"/>
  <c r="AS13" i="3" s="1"/>
  <c r="DY6" i="2" s="1"/>
  <c r="FB6" i="2" s="1"/>
  <c r="AD15" i="6"/>
  <c r="CJ15" i="6" s="1"/>
  <c r="EO15" i="6" s="1"/>
  <c r="AJ15" i="6"/>
  <c r="CP15" i="6" s="1"/>
  <c r="AP13" i="3" s="1"/>
  <c r="DV6" i="2" s="1"/>
  <c r="EY6" i="2" s="1"/>
  <c r="AI15" i="6"/>
  <c r="CO15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8" i="6"/>
  <c r="AH8" i="6"/>
  <c r="AL8" i="6"/>
  <c r="AE8" i="6"/>
  <c r="AI8" i="6"/>
  <c r="AM8" i="6"/>
  <c r="AF8" i="6"/>
  <c r="AJ8" i="6"/>
  <c r="AN8" i="6"/>
  <c r="AG8" i="6"/>
  <c r="AK8" i="6"/>
  <c r="AO8" i="6"/>
  <c r="AO15" i="6"/>
  <c r="CU15" i="6" s="1"/>
  <c r="AN15" i="6"/>
  <c r="CT15" i="6" s="1"/>
  <c r="AT13" i="3" s="1"/>
  <c r="DZ6" i="2" s="1"/>
  <c r="FC6" i="2" s="1"/>
  <c r="AE15" i="6"/>
  <c r="CK15" i="6" s="1"/>
  <c r="AK13" i="3" s="1"/>
  <c r="DQ6" i="2" s="1"/>
  <c r="ET6" i="2" s="1"/>
  <c r="BS13" i="3"/>
  <c r="AK15" i="6"/>
  <c r="CQ15" i="6" s="1"/>
  <c r="AQ13" i="3" s="1"/>
  <c r="DW6" i="2" s="1"/>
  <c r="EZ6" i="2" s="1"/>
  <c r="AF15" i="6"/>
  <c r="CL15" i="6" s="1"/>
  <c r="AL13" i="3" s="1"/>
  <c r="DR6" i="2" s="1"/>
  <c r="EU6" i="2" s="1"/>
  <c r="AE5" i="6"/>
  <c r="CK5" i="6" s="1"/>
  <c r="AF5" i="6"/>
  <c r="AJ5" i="6"/>
  <c r="AN5" i="6"/>
  <c r="AK5" i="6"/>
  <c r="CQ5" i="6" s="1"/>
  <c r="AO5" i="6"/>
  <c r="AG5" i="6"/>
  <c r="AH5" i="6"/>
  <c r="CN5" i="6" s="1"/>
  <c r="AL5" i="6"/>
  <c r="AI5" i="6"/>
  <c r="AM5" i="6"/>
  <c r="CS5" i="6" s="1"/>
  <c r="AD5" i="6"/>
  <c r="X7" i="6"/>
  <c r="AA7" i="6" s="1"/>
  <c r="AC7" i="6" s="1"/>
  <c r="CT7" i="6" s="1"/>
  <c r="BG6" i="6"/>
  <c r="DS15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5" i="6"/>
  <c r="BM45" i="3"/>
  <c r="S45" i="3"/>
  <c r="BY45" i="3" s="1"/>
  <c r="DP15" i="6"/>
  <c r="DT15" i="6"/>
  <c r="DX15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DR15" i="6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5" i="6"/>
  <c r="DU15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P13" i="3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BR13" i="3"/>
  <c r="DV15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6" i="6"/>
  <c r="BN6" i="6"/>
  <c r="BH6" i="6"/>
  <c r="BM6" i="6"/>
  <c r="BJ6" i="6"/>
  <c r="X6" i="6"/>
  <c r="AA6" i="6" s="1"/>
  <c r="AC6" i="6" s="1"/>
  <c r="FR6" i="6" s="1"/>
  <c r="BR6" i="6"/>
  <c r="BI6" i="6"/>
  <c r="BO6" i="6"/>
  <c r="BK6" i="6"/>
  <c r="X8" i="6"/>
  <c r="AA8" i="6" s="1"/>
  <c r="AC8" i="6" s="1"/>
  <c r="FR8" i="6" s="1"/>
  <c r="BO8" i="6"/>
  <c r="BK8" i="6"/>
  <c r="BG8" i="6"/>
  <c r="BN8" i="6"/>
  <c r="BR8" i="6"/>
  <c r="BQ8" i="6"/>
  <c r="BP8" i="6"/>
  <c r="BL8" i="6"/>
  <c r="BH8" i="6"/>
  <c r="BJ8" i="6"/>
  <c r="BM8" i="6"/>
  <c r="BI8" i="6"/>
  <c r="X13" i="6"/>
  <c r="AA13" i="6" s="1"/>
  <c r="AC13" i="6" s="1"/>
  <c r="FR13" i="6" s="1"/>
  <c r="BP13" i="6"/>
  <c r="BR13" i="6"/>
  <c r="BN13" i="6"/>
  <c r="BQ13" i="6"/>
  <c r="BL13" i="6"/>
  <c r="BJ13" i="6"/>
  <c r="BM13" i="6"/>
  <c r="BH13" i="6"/>
  <c r="BG13" i="6"/>
  <c r="BI13" i="6"/>
  <c r="BO13" i="6"/>
  <c r="BK13" i="6"/>
  <c r="X12" i="6"/>
  <c r="AA12" i="6" s="1"/>
  <c r="AC12" i="6" s="1"/>
  <c r="FR12" i="6" s="1"/>
  <c r="BL12" i="6"/>
  <c r="BH12" i="6"/>
  <c r="BO12" i="6"/>
  <c r="BR12" i="6"/>
  <c r="BQ12" i="6"/>
  <c r="BM12" i="6"/>
  <c r="BJ12" i="6"/>
  <c r="BI12" i="6"/>
  <c r="BP12" i="6"/>
  <c r="BK12" i="6"/>
  <c r="BG12" i="6"/>
  <c r="BN12" i="6"/>
  <c r="BQ6" i="6"/>
  <c r="BL6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7" i="6"/>
  <c r="BK7" i="6"/>
  <c r="BO7" i="6"/>
  <c r="BH7" i="6"/>
  <c r="BL7" i="6"/>
  <c r="BP7" i="6"/>
  <c r="BI7" i="6"/>
  <c r="BM7" i="6"/>
  <c r="BQ7" i="6"/>
  <c r="EZ7" i="6" s="1"/>
  <c r="BJ7" i="6"/>
  <c r="BN7" i="6"/>
  <c r="BR7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X5" i="6"/>
  <c r="BI5" i="6"/>
  <c r="BM5" i="6"/>
  <c r="BQ5" i="6"/>
  <c r="BJ5" i="6"/>
  <c r="BN5" i="6"/>
  <c r="EW5" i="6" s="1"/>
  <c r="BR5" i="6"/>
  <c r="BK5" i="6"/>
  <c r="ET5" i="6" s="1"/>
  <c r="BO5" i="6"/>
  <c r="BH5" i="6"/>
  <c r="EQ5" i="6" s="1"/>
  <c r="BL5" i="6"/>
  <c r="BP5" i="6"/>
  <c r="EY5" i="6" s="1"/>
  <c r="BG5" i="6"/>
  <c r="CO5" i="6"/>
  <c r="CP5" i="6"/>
  <c r="CT5" i="6"/>
  <c r="CU5" i="6"/>
  <c r="CR5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X9" i="6"/>
  <c r="AA9" i="6" s="1"/>
  <c r="AC9" i="6" s="1"/>
  <c r="FR9" i="6" s="1"/>
  <c r="BG9" i="6"/>
  <c r="BK9" i="6"/>
  <c r="BO9" i="6"/>
  <c r="BH9" i="6"/>
  <c r="BL9" i="6"/>
  <c r="BP9" i="6"/>
  <c r="BI9" i="6"/>
  <c r="BM9" i="6"/>
  <c r="BQ9" i="6"/>
  <c r="BJ9" i="6"/>
  <c r="BN9" i="6"/>
  <c r="BR9" i="6"/>
  <c r="CM5" i="6"/>
  <c r="BT6" i="9" l="1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5" i="6"/>
  <c r="AX10" i="3"/>
  <c r="AT5" i="9" s="1"/>
  <c r="BW5" i="9" s="1"/>
  <c r="EI5" i="6"/>
  <c r="BF10" i="3"/>
  <c r="BB5" i="9" s="1"/>
  <c r="CE5" i="9" s="1"/>
  <c r="EG5" i="6"/>
  <c r="BD10" i="3"/>
  <c r="AZ5" i="9" s="1"/>
  <c r="CC5" i="9" s="1"/>
  <c r="EE5" i="6"/>
  <c r="BB10" i="3"/>
  <c r="AX5" i="9" s="1"/>
  <c r="CA5" i="9" s="1"/>
  <c r="EB5" i="6"/>
  <c r="AY10" i="3"/>
  <c r="AU5" i="9" s="1"/>
  <c r="BX5" i="9" s="1"/>
  <c r="EF5" i="6"/>
  <c r="BC10" i="3"/>
  <c r="AY5" i="9" s="1"/>
  <c r="CB5" i="9" s="1"/>
  <c r="ED5" i="6"/>
  <c r="BA10" i="3"/>
  <c r="AW5" i="9" s="1"/>
  <c r="BZ5" i="9" s="1"/>
  <c r="DZ5" i="6"/>
  <c r="AW10" i="3"/>
  <c r="AS5" i="9" s="1"/>
  <c r="BV5" i="9" s="1"/>
  <c r="FA15" i="6"/>
  <c r="EK5" i="6"/>
  <c r="EU5" i="6"/>
  <c r="EX5" i="6"/>
  <c r="FA5" i="6"/>
  <c r="EK9" i="6"/>
  <c r="FN9" i="6"/>
  <c r="EF9" i="6"/>
  <c r="FI9" i="6"/>
  <c r="EA9" i="6"/>
  <c r="FD9" i="6"/>
  <c r="EK13" i="6"/>
  <c r="FN13" i="6"/>
  <c r="EF13" i="6"/>
  <c r="FI13" i="6"/>
  <c r="EA13" i="6"/>
  <c r="FD13" i="6"/>
  <c r="EK10" i="6"/>
  <c r="FN10" i="6"/>
  <c r="EF10" i="6"/>
  <c r="FI10" i="6"/>
  <c r="EA10" i="6"/>
  <c r="FD10" i="6"/>
  <c r="EK11" i="6"/>
  <c r="FN11" i="6"/>
  <c r="EF11" i="6"/>
  <c r="FI11" i="6"/>
  <c r="EA11" i="6"/>
  <c r="FD11" i="6"/>
  <c r="EK8" i="6"/>
  <c r="FN8" i="6"/>
  <c r="EF8" i="6"/>
  <c r="FI8" i="6"/>
  <c r="EA8" i="6"/>
  <c r="FD8" i="6"/>
  <c r="EK14" i="6"/>
  <c r="FN14" i="6"/>
  <c r="EF14" i="6"/>
  <c r="FI14" i="6"/>
  <c r="EA14" i="6"/>
  <c r="FD14" i="6"/>
  <c r="EK7" i="6"/>
  <c r="FN7" i="6"/>
  <c r="EF7" i="6"/>
  <c r="FI7" i="6"/>
  <c r="EA7" i="6"/>
  <c r="FD7" i="6"/>
  <c r="EK6" i="6"/>
  <c r="FN6" i="6"/>
  <c r="EF6" i="6"/>
  <c r="FI6" i="6"/>
  <c r="EA6" i="6"/>
  <c r="FD6" i="6"/>
  <c r="EK12" i="6"/>
  <c r="FN12" i="6"/>
  <c r="EF12" i="6"/>
  <c r="FI12" i="6"/>
  <c r="EA12" i="6"/>
  <c r="FD12" i="6"/>
  <c r="EM13" i="6"/>
  <c r="FP13" i="6"/>
  <c r="EL10" i="6"/>
  <c r="FO10" i="6"/>
  <c r="EM8" i="6"/>
  <c r="FP8" i="6"/>
  <c r="EN11" i="6"/>
  <c r="FQ11" i="6"/>
  <c r="EL14" i="6"/>
  <c r="FO14" i="6"/>
  <c r="EN9" i="6"/>
  <c r="FQ9" i="6"/>
  <c r="EM6" i="6"/>
  <c r="FP6" i="6"/>
  <c r="EZ15" i="6"/>
  <c r="EX15" i="6"/>
  <c r="EG9" i="6"/>
  <c r="FJ9" i="6"/>
  <c r="EB9" i="6"/>
  <c r="FE9" i="6"/>
  <c r="EH9" i="6"/>
  <c r="FK9" i="6"/>
  <c r="EG13" i="6"/>
  <c r="FJ13" i="6"/>
  <c r="EB13" i="6"/>
  <c r="FE13" i="6"/>
  <c r="EH13" i="6"/>
  <c r="FK13" i="6"/>
  <c r="EG10" i="6"/>
  <c r="FJ10" i="6"/>
  <c r="EB10" i="6"/>
  <c r="FE10" i="6"/>
  <c r="EH10" i="6"/>
  <c r="FK10" i="6"/>
  <c r="EG11" i="6"/>
  <c r="FJ11" i="6"/>
  <c r="EB11" i="6"/>
  <c r="FE11" i="6"/>
  <c r="EH11" i="6"/>
  <c r="FK11" i="6"/>
  <c r="EG8" i="6"/>
  <c r="FJ8" i="6"/>
  <c r="EB8" i="6"/>
  <c r="FE8" i="6"/>
  <c r="EH8" i="6"/>
  <c r="FK8" i="6"/>
  <c r="EG14" i="6"/>
  <c r="FJ14" i="6"/>
  <c r="EB14" i="6"/>
  <c r="FE14" i="6"/>
  <c r="EH14" i="6"/>
  <c r="FK14" i="6"/>
  <c r="EG7" i="6"/>
  <c r="FJ7" i="6"/>
  <c r="EB7" i="6"/>
  <c r="FE7" i="6"/>
  <c r="EH7" i="6"/>
  <c r="FK7" i="6"/>
  <c r="EG6" i="6"/>
  <c r="FJ6" i="6"/>
  <c r="EB6" i="6"/>
  <c r="FE6" i="6"/>
  <c r="EH6" i="6"/>
  <c r="FK6" i="6"/>
  <c r="EG12" i="6"/>
  <c r="FJ12" i="6"/>
  <c r="EB12" i="6"/>
  <c r="FE12" i="6"/>
  <c r="EH12" i="6"/>
  <c r="FK12" i="6"/>
  <c r="EL13" i="6"/>
  <c r="FO13" i="6"/>
  <c r="EM12" i="6"/>
  <c r="FP12" i="6"/>
  <c r="EL8" i="6"/>
  <c r="FO8" i="6"/>
  <c r="EM11" i="6"/>
  <c r="FP11" i="6"/>
  <c r="EL7" i="6"/>
  <c r="FO7" i="6"/>
  <c r="EM9" i="6"/>
  <c r="FP9" i="6"/>
  <c r="EL6" i="6"/>
  <c r="FO6" i="6"/>
  <c r="EU15" i="6"/>
  <c r="EC9" i="6"/>
  <c r="FF9" i="6"/>
  <c r="EI9" i="6"/>
  <c r="FL9" i="6"/>
  <c r="ED9" i="6"/>
  <c r="FG9" i="6"/>
  <c r="EC13" i="6"/>
  <c r="FF13" i="6"/>
  <c r="EI13" i="6"/>
  <c r="FL13" i="6"/>
  <c r="ED13" i="6"/>
  <c r="FG13" i="6"/>
  <c r="EC10" i="6"/>
  <c r="FF10" i="6"/>
  <c r="EI10" i="6"/>
  <c r="FL10" i="6"/>
  <c r="ED10" i="6"/>
  <c r="FG10" i="6"/>
  <c r="EC11" i="6"/>
  <c r="FF11" i="6"/>
  <c r="EI11" i="6"/>
  <c r="FL11" i="6"/>
  <c r="ED11" i="6"/>
  <c r="FG11" i="6"/>
  <c r="EC8" i="6"/>
  <c r="FF8" i="6"/>
  <c r="EI8" i="6"/>
  <c r="FL8" i="6"/>
  <c r="ED8" i="6"/>
  <c r="FG8" i="6"/>
  <c r="EC14" i="6"/>
  <c r="FF14" i="6"/>
  <c r="EI14" i="6"/>
  <c r="FL14" i="6"/>
  <c r="ED14" i="6"/>
  <c r="FG14" i="6"/>
  <c r="EC7" i="6"/>
  <c r="FF7" i="6"/>
  <c r="EI7" i="6"/>
  <c r="FL7" i="6"/>
  <c r="ED7" i="6"/>
  <c r="FG7" i="6"/>
  <c r="EC6" i="6"/>
  <c r="FF6" i="6"/>
  <c r="EI6" i="6"/>
  <c r="FL6" i="6"/>
  <c r="ED6" i="6"/>
  <c r="FG6" i="6"/>
  <c r="EC12" i="6"/>
  <c r="FF12" i="6"/>
  <c r="EI12" i="6"/>
  <c r="FL12" i="6"/>
  <c r="ED12" i="6"/>
  <c r="FG12" i="6"/>
  <c r="EN10" i="6"/>
  <c r="FQ10" i="6"/>
  <c r="EL12" i="6"/>
  <c r="FO12" i="6"/>
  <c r="EN8" i="6"/>
  <c r="FQ8" i="6"/>
  <c r="EN14" i="6"/>
  <c r="FQ14" i="6"/>
  <c r="EN7" i="6"/>
  <c r="FQ7" i="6"/>
  <c r="EL9" i="6"/>
  <c r="FO9" i="6"/>
  <c r="EY15" i="6"/>
  <c r="FR7" i="6"/>
  <c r="EV15" i="6"/>
  <c r="EJ9" i="6"/>
  <c r="FM9" i="6"/>
  <c r="EE9" i="6"/>
  <c r="FH9" i="6"/>
  <c r="DZ9" i="6"/>
  <c r="FC9" i="6"/>
  <c r="EJ13" i="6"/>
  <c r="FM13" i="6"/>
  <c r="EE13" i="6"/>
  <c r="FH13" i="6"/>
  <c r="DZ13" i="6"/>
  <c r="FC13" i="6"/>
  <c r="EJ10" i="6"/>
  <c r="FM10" i="6"/>
  <c r="EE10" i="6"/>
  <c r="FH10" i="6"/>
  <c r="DZ10" i="6"/>
  <c r="FC10" i="6"/>
  <c r="EJ11" i="6"/>
  <c r="FM11" i="6"/>
  <c r="EE11" i="6"/>
  <c r="FH11" i="6"/>
  <c r="DZ11" i="6"/>
  <c r="FC11" i="6"/>
  <c r="EJ8" i="6"/>
  <c r="FM8" i="6"/>
  <c r="EE8" i="6"/>
  <c r="FH8" i="6"/>
  <c r="DZ8" i="6"/>
  <c r="FC8" i="6"/>
  <c r="EJ14" i="6"/>
  <c r="FM14" i="6"/>
  <c r="EE14" i="6"/>
  <c r="FH14" i="6"/>
  <c r="DZ14" i="6"/>
  <c r="FC14" i="6"/>
  <c r="EJ7" i="6"/>
  <c r="FM7" i="6"/>
  <c r="EE7" i="6"/>
  <c r="FH7" i="6"/>
  <c r="DZ7" i="6"/>
  <c r="FC7" i="6"/>
  <c r="EJ6" i="6"/>
  <c r="FM6" i="6"/>
  <c r="EE6" i="6"/>
  <c r="FH6" i="6"/>
  <c r="DZ6" i="6"/>
  <c r="FC6" i="6"/>
  <c r="EJ12" i="6"/>
  <c r="FM12" i="6"/>
  <c r="EE12" i="6"/>
  <c r="FH12" i="6"/>
  <c r="DZ12" i="6"/>
  <c r="FC12" i="6"/>
  <c r="EN13" i="6"/>
  <c r="FQ13" i="6"/>
  <c r="EM10" i="6"/>
  <c r="FP10" i="6"/>
  <c r="EN12" i="6"/>
  <c r="FQ12" i="6"/>
  <c r="EL11" i="6"/>
  <c r="FO11" i="6"/>
  <c r="EM14" i="6"/>
  <c r="FP14" i="6"/>
  <c r="EM7" i="6"/>
  <c r="FP7" i="6"/>
  <c r="EN6" i="6"/>
  <c r="FQ6" i="6"/>
  <c r="ES15" i="6"/>
  <c r="EW15" i="6"/>
  <c r="EQ15" i="6"/>
  <c r="ER15" i="6"/>
  <c r="FD5" i="6"/>
  <c r="FM5" i="6"/>
  <c r="FK5" i="6"/>
  <c r="FI5" i="6"/>
  <c r="FG5" i="6"/>
  <c r="FF5" i="6"/>
  <c r="FN5" i="6"/>
  <c r="FL5" i="6"/>
  <c r="EN5" i="6"/>
  <c r="FQ5" i="6"/>
  <c r="FE5" i="6"/>
  <c r="FJ5" i="6"/>
  <c r="FH5" i="6"/>
  <c r="EM5" i="6"/>
  <c r="FP5" i="6"/>
  <c r="ES5" i="6"/>
  <c r="EZ5" i="6"/>
  <c r="FC5" i="6"/>
  <c r="EV5" i="6"/>
  <c r="EP15" i="6"/>
  <c r="EJ5" i="6"/>
  <c r="EH5" i="6"/>
  <c r="EC5" i="6"/>
  <c r="AU13" i="3"/>
  <c r="CQ8" i="6"/>
  <c r="EW8" i="6" s="1"/>
  <c r="DI5" i="6"/>
  <c r="CV15" i="6"/>
  <c r="DY15" i="6" s="1"/>
  <c r="BC5" i="6"/>
  <c r="CS8" i="6"/>
  <c r="EY8" i="6" s="1"/>
  <c r="CT8" i="6"/>
  <c r="EZ8" i="6" s="1"/>
  <c r="AJ13" i="3"/>
  <c r="DM15" i="6"/>
  <c r="AP15" i="6"/>
  <c r="AP8" i="6"/>
  <c r="AP11" i="6"/>
  <c r="AP14" i="6"/>
  <c r="AP6" i="6"/>
  <c r="AP12" i="6"/>
  <c r="AP9" i="6"/>
  <c r="AP13" i="6"/>
  <c r="AP10" i="6"/>
  <c r="AP7" i="6"/>
  <c r="AP5" i="6"/>
  <c r="CO7" i="6"/>
  <c r="DR7" i="6" s="1"/>
  <c r="BN13" i="3"/>
  <c r="BW13" i="3"/>
  <c r="DN15" i="6"/>
  <c r="DW15" i="6"/>
  <c r="DO15" i="6"/>
  <c r="CU13" i="6"/>
  <c r="FA13" i="6" s="1"/>
  <c r="BM13" i="3"/>
  <c r="CJ5" i="6"/>
  <c r="EO5" i="6" s="1"/>
  <c r="CJ7" i="6"/>
  <c r="EO7" i="6" s="1"/>
  <c r="CJ13" i="6"/>
  <c r="EO13" i="6" s="1"/>
  <c r="CP7" i="6"/>
  <c r="DS7" i="6" s="1"/>
  <c r="BY7" i="3"/>
  <c r="O5" i="9"/>
  <c r="BY18" i="3"/>
  <c r="O7" i="9"/>
  <c r="BU7" i="9" s="1"/>
  <c r="BY5" i="3"/>
  <c r="O6" i="9"/>
  <c r="BU6" i="9" s="1"/>
  <c r="BY6" i="3"/>
  <c r="O8" i="9"/>
  <c r="BU8" i="9" s="1"/>
  <c r="BS6" i="6"/>
  <c r="CU6" i="6"/>
  <c r="CK6" i="6"/>
  <c r="DN6" i="6" s="1"/>
  <c r="CO6" i="6"/>
  <c r="DR6" i="6" s="1"/>
  <c r="CN6" i="6"/>
  <c r="DQ6" i="6" s="1"/>
  <c r="CM6" i="6"/>
  <c r="DP6" i="6" s="1"/>
  <c r="CR6" i="6"/>
  <c r="DU6" i="6" s="1"/>
  <c r="CL6" i="6"/>
  <c r="DO6" i="6" s="1"/>
  <c r="CP6" i="6"/>
  <c r="DS6" i="6" s="1"/>
  <c r="CS6" i="6"/>
  <c r="DV6" i="6" s="1"/>
  <c r="CJ6" i="6"/>
  <c r="EO6" i="6" s="1"/>
  <c r="CJ8" i="6"/>
  <c r="EO8" i="6" s="1"/>
  <c r="CJ12" i="6"/>
  <c r="EO12" i="6" s="1"/>
  <c r="CU12" i="6"/>
  <c r="FA12" i="6" s="1"/>
  <c r="CK12" i="6"/>
  <c r="DN12" i="6" s="1"/>
  <c r="CR13" i="6"/>
  <c r="DU13" i="6" s="1"/>
  <c r="CM8" i="6"/>
  <c r="DP8" i="6" s="1"/>
  <c r="CK8" i="6"/>
  <c r="DN8" i="6" s="1"/>
  <c r="CN12" i="6"/>
  <c r="DQ12" i="6" s="1"/>
  <c r="CL12" i="6"/>
  <c r="ER12" i="6" s="1"/>
  <c r="CT12" i="6"/>
  <c r="DW12" i="6" s="1"/>
  <c r="CO8" i="6"/>
  <c r="DR8" i="6" s="1"/>
  <c r="CM12" i="6"/>
  <c r="DP12" i="6" s="1"/>
  <c r="CP12" i="6"/>
  <c r="DS12" i="6" s="1"/>
  <c r="CR12" i="6"/>
  <c r="DU12" i="6" s="1"/>
  <c r="CM13" i="6"/>
  <c r="DP13" i="6" s="1"/>
  <c r="CK13" i="6"/>
  <c r="DN13" i="6" s="1"/>
  <c r="CS13" i="6"/>
  <c r="DV13" i="6" s="1"/>
  <c r="CR8" i="6"/>
  <c r="DU8" i="6" s="1"/>
  <c r="CN8" i="6"/>
  <c r="DQ8" i="6" s="1"/>
  <c r="CP8" i="6"/>
  <c r="DS8" i="6" s="1"/>
  <c r="CS12" i="6"/>
  <c r="DV12" i="6" s="1"/>
  <c r="CQ12" i="6"/>
  <c r="DT12" i="6" s="1"/>
  <c r="CQ13" i="6"/>
  <c r="DT13" i="6" s="1"/>
  <c r="CL13" i="6"/>
  <c r="DO13" i="6" s="1"/>
  <c r="CN13" i="6"/>
  <c r="DQ13" i="6" s="1"/>
  <c r="CU8" i="6"/>
  <c r="FA8" i="6" s="1"/>
  <c r="CL8" i="6"/>
  <c r="DO8" i="6" s="1"/>
  <c r="DW7" i="6"/>
  <c r="CL7" i="6"/>
  <c r="DO7" i="6" s="1"/>
  <c r="CR7" i="6"/>
  <c r="DU7" i="6" s="1"/>
  <c r="BS12" i="6"/>
  <c r="CQ6" i="6"/>
  <c r="DT6" i="6" s="1"/>
  <c r="CT13" i="6"/>
  <c r="DW13" i="6" s="1"/>
  <c r="CO12" i="6"/>
  <c r="DR12" i="6" s="1"/>
  <c r="CQ7" i="6"/>
  <c r="DT7" i="6" s="1"/>
  <c r="CQ14" i="6"/>
  <c r="DT14" i="6" s="1"/>
  <c r="CN14" i="6"/>
  <c r="DQ14" i="6" s="1"/>
  <c r="CO13" i="6"/>
  <c r="DR13" i="6" s="1"/>
  <c r="DW8" i="6"/>
  <c r="CO14" i="6"/>
  <c r="DR14" i="6" s="1"/>
  <c r="CL14" i="6"/>
  <c r="DO14" i="6" s="1"/>
  <c r="CM14" i="6"/>
  <c r="DP14" i="6" s="1"/>
  <c r="BS13" i="6"/>
  <c r="CP13" i="6"/>
  <c r="DS13" i="6" s="1"/>
  <c r="CK14" i="6"/>
  <c r="DN14" i="6" s="1"/>
  <c r="CS14" i="6"/>
  <c r="DV14" i="6" s="1"/>
  <c r="CU14" i="6"/>
  <c r="FA14" i="6" s="1"/>
  <c r="CJ14" i="6"/>
  <c r="EO14" i="6" s="1"/>
  <c r="CS7" i="6"/>
  <c r="DV7" i="6" s="1"/>
  <c r="CP14" i="6"/>
  <c r="DS14" i="6" s="1"/>
  <c r="CR14" i="6"/>
  <c r="DU14" i="6" s="1"/>
  <c r="BS14" i="6"/>
  <c r="CT14" i="6"/>
  <c r="DW14" i="6" s="1"/>
  <c r="BS8" i="6"/>
  <c r="DN5" i="6"/>
  <c r="DP5" i="6"/>
  <c r="DQ5" i="6"/>
  <c r="DV5" i="6"/>
  <c r="DU5" i="6"/>
  <c r="CK7" i="6"/>
  <c r="DN7" i="6" s="1"/>
  <c r="CU7" i="6"/>
  <c r="FA7" i="6" s="1"/>
  <c r="CN7" i="6"/>
  <c r="DQ7" i="6" s="1"/>
  <c r="CM7" i="6"/>
  <c r="DP7" i="6" s="1"/>
  <c r="CL10" i="6"/>
  <c r="DO10" i="6" s="1"/>
  <c r="CK10" i="6"/>
  <c r="DN10" i="6" s="1"/>
  <c r="CJ10" i="6"/>
  <c r="EO10" i="6" s="1"/>
  <c r="CT11" i="6"/>
  <c r="DW11" i="6" s="1"/>
  <c r="CS11" i="6"/>
  <c r="DV11" i="6" s="1"/>
  <c r="CJ11" i="6"/>
  <c r="EO11" i="6" s="1"/>
  <c r="CL9" i="6"/>
  <c r="DO9" i="6" s="1"/>
  <c r="CK9" i="6"/>
  <c r="DN9" i="6" s="1"/>
  <c r="CU9" i="6"/>
  <c r="FA9" i="6" s="1"/>
  <c r="CT10" i="6"/>
  <c r="DW10" i="6" s="1"/>
  <c r="CP10" i="6"/>
  <c r="DS10" i="6" s="1"/>
  <c r="CU10" i="6"/>
  <c r="FA10" i="6" s="1"/>
  <c r="CO11" i="6"/>
  <c r="DR11" i="6" s="1"/>
  <c r="CK11" i="6"/>
  <c r="EQ11" i="6" s="1"/>
  <c r="CM11" i="6"/>
  <c r="DP11" i="6" s="1"/>
  <c r="CT6" i="6"/>
  <c r="EZ6" i="6" s="1"/>
  <c r="CT9" i="6"/>
  <c r="DW9" i="6" s="1"/>
  <c r="CR9" i="6"/>
  <c r="DU9" i="6" s="1"/>
  <c r="CQ9" i="6"/>
  <c r="DT9" i="6" s="1"/>
  <c r="CS10" i="6"/>
  <c r="DV10" i="6" s="1"/>
  <c r="CR10" i="6"/>
  <c r="DU10" i="6" s="1"/>
  <c r="CQ10" i="6"/>
  <c r="DT10" i="6" s="1"/>
  <c r="CU11" i="6"/>
  <c r="FA11" i="6" s="1"/>
  <c r="CQ11" i="6"/>
  <c r="DT11" i="6" s="1"/>
  <c r="CR11" i="6"/>
  <c r="DU11" i="6" s="1"/>
  <c r="CS9" i="6"/>
  <c r="DV9" i="6" s="1"/>
  <c r="CN9" i="6"/>
  <c r="DQ9" i="6" s="1"/>
  <c r="CM9" i="6"/>
  <c r="DP9" i="6" s="1"/>
  <c r="CO10" i="6"/>
  <c r="DR10" i="6" s="1"/>
  <c r="CN10" i="6"/>
  <c r="DQ10" i="6" s="1"/>
  <c r="CM10" i="6"/>
  <c r="DP10" i="6" s="1"/>
  <c r="CL11" i="6"/>
  <c r="DO11" i="6" s="1"/>
  <c r="CP11" i="6"/>
  <c r="DS11" i="6" s="1"/>
  <c r="CN11" i="6"/>
  <c r="DQ11" i="6" s="1"/>
  <c r="DM12" i="6"/>
  <c r="CP9" i="6"/>
  <c r="DS9" i="6" s="1"/>
  <c r="CO9" i="6"/>
  <c r="DR9" i="6" s="1"/>
  <c r="CJ9" i="6"/>
  <c r="EO9" i="6" s="1"/>
  <c r="DW5" i="6"/>
  <c r="CL5" i="6"/>
  <c r="ER5" i="6" s="1"/>
  <c r="DT5" i="6"/>
  <c r="DX5" i="6"/>
  <c r="DR5" i="6"/>
  <c r="DS5" i="6"/>
  <c r="BS5" i="6"/>
  <c r="BS11" i="6"/>
  <c r="BS10" i="6"/>
  <c r="BS9" i="6"/>
  <c r="BS7" i="6"/>
  <c r="DM7" i="6" l="1"/>
  <c r="DT8" i="6"/>
  <c r="DV8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5" i="6"/>
  <c r="BI10" i="3"/>
  <c r="BE5" i="9" s="1"/>
  <c r="CH5" i="9" s="1"/>
  <c r="FA6" i="6"/>
  <c r="EY6" i="6"/>
  <c r="EU14" i="6"/>
  <c r="EV11" i="6"/>
  <c r="EQ9" i="6"/>
  <c r="EY7" i="6"/>
  <c r="EV8" i="6"/>
  <c r="EU12" i="6"/>
  <c r="EX14" i="6"/>
  <c r="ET10" i="6"/>
  <c r="FB15" i="6"/>
  <c r="EU8" i="6"/>
  <c r="EX13" i="6"/>
  <c r="EU6" i="6"/>
  <c r="EX7" i="6"/>
  <c r="EY11" i="6"/>
  <c r="EW10" i="6"/>
  <c r="ER6" i="6"/>
  <c r="EY14" i="6"/>
  <c r="ER11" i="6"/>
  <c r="EQ8" i="6"/>
  <c r="ER14" i="6"/>
  <c r="ES6" i="6"/>
  <c r="ES8" i="6"/>
  <c r="EV9" i="6"/>
  <c r="EZ11" i="6"/>
  <c r="EW6" i="6"/>
  <c r="EZ12" i="6"/>
  <c r="ET7" i="6"/>
  <c r="EY10" i="6"/>
  <c r="EQ6" i="6"/>
  <c r="ER8" i="6"/>
  <c r="EQ12" i="6"/>
  <c r="ET14" i="6"/>
  <c r="ER7" i="6"/>
  <c r="ES11" i="6"/>
  <c r="ET9" i="6"/>
  <c r="EV14" i="6"/>
  <c r="EV10" i="6"/>
  <c r="EZ13" i="6"/>
  <c r="EV7" i="6"/>
  <c r="EQ10" i="6"/>
  <c r="EX6" i="6"/>
  <c r="EY13" i="6"/>
  <c r="EW12" i="6"/>
  <c r="EU7" i="6"/>
  <c r="EU10" i="6"/>
  <c r="ES10" i="6"/>
  <c r="ET6" i="6"/>
  <c r="ES13" i="6"/>
  <c r="EY12" i="6"/>
  <c r="ES7" i="6"/>
  <c r="EZ9" i="6"/>
  <c r="EW13" i="6"/>
  <c r="EV12" i="6"/>
  <c r="EZ14" i="6"/>
  <c r="EW7" i="6"/>
  <c r="EX10" i="6"/>
  <c r="EY9" i="6"/>
  <c r="EQ13" i="6"/>
  <c r="EQ7" i="6"/>
  <c r="EX9" i="6"/>
  <c r="EV6" i="6"/>
  <c r="ET13" i="6"/>
  <c r="EX11" i="6"/>
  <c r="ET8" i="6"/>
  <c r="EU13" i="6"/>
  <c r="EQ14" i="6"/>
  <c r="EZ10" i="6"/>
  <c r="EW14" i="6"/>
  <c r="EU9" i="6"/>
  <c r="ER13" i="6"/>
  <c r="EU11" i="6"/>
  <c r="EV13" i="6"/>
  <c r="ET12" i="6"/>
  <c r="ES14" i="6"/>
  <c r="ET11" i="6"/>
  <c r="ER10" i="6"/>
  <c r="ES9" i="6"/>
  <c r="EX12" i="6"/>
  <c r="EW9" i="6"/>
  <c r="EX8" i="6"/>
  <c r="ES12" i="6"/>
  <c r="EW11" i="6"/>
  <c r="ER9" i="6"/>
  <c r="FO5" i="6"/>
  <c r="EP5" i="6"/>
  <c r="EP7" i="6"/>
  <c r="EP9" i="6"/>
  <c r="EP10" i="6"/>
  <c r="EP6" i="6"/>
  <c r="EP12" i="6"/>
  <c r="EP14" i="6"/>
  <c r="EP8" i="6"/>
  <c r="EP13" i="6"/>
  <c r="EP11" i="6"/>
  <c r="DX7" i="6"/>
  <c r="DX14" i="6"/>
  <c r="DX12" i="6"/>
  <c r="DX6" i="6"/>
  <c r="DX9" i="6"/>
  <c r="DX8" i="6"/>
  <c r="DX10" i="6"/>
  <c r="EA6" i="2"/>
  <c r="FD6" i="2" s="1"/>
  <c r="BX13" i="3"/>
  <c r="DX11" i="6"/>
  <c r="DX13" i="6"/>
  <c r="CV7" i="6"/>
  <c r="DY7" i="6" s="1"/>
  <c r="DM10" i="6"/>
  <c r="CV10" i="6"/>
  <c r="DY10" i="6" s="1"/>
  <c r="CV12" i="6"/>
  <c r="DY12" i="6" s="1"/>
  <c r="CV9" i="6"/>
  <c r="FB9" i="6" s="1"/>
  <c r="DM11" i="6"/>
  <c r="CV11" i="6"/>
  <c r="FB11" i="6" s="1"/>
  <c r="DM14" i="6"/>
  <c r="CV14" i="6"/>
  <c r="DY14" i="6" s="1"/>
  <c r="DM8" i="6"/>
  <c r="CV8" i="6"/>
  <c r="DY8" i="6" s="1"/>
  <c r="DM6" i="6"/>
  <c r="CV6" i="6"/>
  <c r="FB6" i="6" s="1"/>
  <c r="DM13" i="6"/>
  <c r="CV13" i="6"/>
  <c r="DY13" i="6" s="1"/>
  <c r="DM5" i="6"/>
  <c r="CV5" i="6"/>
  <c r="DY5" i="6" s="1"/>
  <c r="AV13" i="3"/>
  <c r="DP6" i="2"/>
  <c r="ES6" i="2" s="1"/>
  <c r="AK10" i="3"/>
  <c r="BN10" i="3" s="1"/>
  <c r="DO12" i="6"/>
  <c r="DN11" i="6"/>
  <c r="DO5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6" i="6"/>
  <c r="AT11" i="3"/>
  <c r="BW11" i="3" s="1"/>
  <c r="AU10" i="3"/>
  <c r="AN11" i="3"/>
  <c r="BQ11" i="3" s="1"/>
  <c r="AP10" i="3"/>
  <c r="AJ10" i="3"/>
  <c r="AJ11" i="3"/>
  <c r="DM9" i="6"/>
  <c r="DY9" i="6" l="1"/>
  <c r="CL10" i="3"/>
  <c r="EO7" i="2"/>
  <c r="FR7" i="2" s="1"/>
  <c r="DY11" i="6"/>
  <c r="DY6" i="6"/>
  <c r="FB13" i="6"/>
  <c r="FB14" i="6"/>
  <c r="FB8" i="6"/>
  <c r="FB10" i="6"/>
  <c r="FB12" i="6"/>
  <c r="FB7" i="6"/>
  <c r="FB5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2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2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<sst xmlns="http://schemas.openxmlformats.org/spreadsheetml/2006/main" count="830" uniqueCount="476">
  <si>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</si>
  <si>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</si>
  <si>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</si>
  <si>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</si>
  <si>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</si>
  <si>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</si>
  <si>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</si>
  <si>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</si>
  <si>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</si>
  <si>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</si>
  <si>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</si>
  <si>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</si>
  <si>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</si>
  <si>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</si>
  <si>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</si>
  <si>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</si>
  <si>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</si>
  <si>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</si>
  <si>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</si>
  <si>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</si>
  <si>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</si>
  <si>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</si>
  <si>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</si>
  <si>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</si>
  <si>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</si>
  <si>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</si>
  <si>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</si>
  <si>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</si>
  <si>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</si>
  <si>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</si>
  <si>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</si>
  <si>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</si>
  <si>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</si>
  <si>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</si>
  <si>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</si>
  <si>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</si>
  <si>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</si>
  <si>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</si>
  <si>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</si>
  <si>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</si>
  <si>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</si>
  <si>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</si>
  <si>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</si>
  <si>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</si>
  <si>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</si>
  <si>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</si>
  <si>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</si>
  <si>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</si>
  <si>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</si>
  <si>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</si>
  <si>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</si>
  <si>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</si>
  <si>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</si>
  <si>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</si>
  <si>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</si>
  <si>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</si>
  <si>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</si>
  <si>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</si>
  <si>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</si>
  <si>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</si>
  <si>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</si>
  <si>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</si>
  <si>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</si>
  <si>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</si>
  <si>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</si>
  <si>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</si>
  <si>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</si>
  <si>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</si>
  <si>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</si>
  <si>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</si>
  <si>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</si>
  <si>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</si>
  <si>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</si>
  <si>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</si>
  <si>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</si>
  <si>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</si>
  <si>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</si>
  <si>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</si>
  <si>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</si>
  <si>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</si>
  <si>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</si>
  <si>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</si>
  <si>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</si>
  <si>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</si>
  <si>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</si>
  <si>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</si>
  <si>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</si>
  <si>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</si>
  <si>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</si>
  <si>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</si>
  <si>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</si>
  <si>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</si>
  <si>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</si>
  <si>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</si>
  <si>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</si>
  <si>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</si>
  <si>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</si>
  <si>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</si>
  <si>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</si>
  <si>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</si>
  <si>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</si>
  <si>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</si>
  <si>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</si>
  <si>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</si>
  <si>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</si>
  <si>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</si>
  <si>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</si>
  <si>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</si>
  <si>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</si>
  <si>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</si>
  <si>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</si>
  <si>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</si>
  <si>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</si>
  <si>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</si>
  <si>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</si>
  <si>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</si>
  <si>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</si>
  <si>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</si>
  <si>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</si>
  <si>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</si>
  <si>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</si>
  <si>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</si>
  <si>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</si>
  <si>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</si>
  <si>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</si>
  <si>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</si>
  <si>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</si>
  <si>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</si>
  <si>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</si>
  <si>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</si>
  <si>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</si>
  <si>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</si>
  <si>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</si>
  <si>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</si>
  <si>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</si>
  <si>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</si>
  <si>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</si>
  <si>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</si>
  <si>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</si>
  <si>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</si>
  <si>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</si>
  <si>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</si>
  <si>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</si>
  <si>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</si>
  <si>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</si>
  <si>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</si>
  <si>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</si>
  <si>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</si>
  <si>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</si>
  <si>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</si>
  <si>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</si>
  <si>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</si>
  <si>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</si>
  <si>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</si>
  <si>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</si>
  <si>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</si>
  <si>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</si>
  <si>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</si>
  <si>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</si>
  <si>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</si>
  <si>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</si>
  <si>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</si>
  <si>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</si>
  <si>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</si>
  <si>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</si>
  <si>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</si>
  <si>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</si>
  <si>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</si>
  <si>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</si>
  <si>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</si>
  <si>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</si>
  <si>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</si>
  <si>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</si>
  <si>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</si>
  <si>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</si>
  <si>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</si>
  <si>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</si>
  <si>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</si>
  <si>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</si>
  <si>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</si>
  <si>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</si>
  <si>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</si>
  <si>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</si>
  <si>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</si>
  <si>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</si>
  <si>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</si>
  <si>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</si>
  <si>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</si>
  <si>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</si>
  <si>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</si>
  <si>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</si>
  <si>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</si>
  <si>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</si>
  <si>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</si>
  <si>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</si>
  <si>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</si>
  <si>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</si>
  <si>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</si>
  <si>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</si>
  <si>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</si>
  <si>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</si>
  <si>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</si>
  <si>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</si>
  <si>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</si>
  <si>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</si>
  <si>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</si>
  <si>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</si>
  <si>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</si>
  <si>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</si>
  <si>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</si>
  <si>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</si>
  <si>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</si>
  <si>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</si>
  <si>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</si>
  <si>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</si>
  <si>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</si>
  <si>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</si>
  <si>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</si>
  <si>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</si>
  <si>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</si>
  <si>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</si>
  <si>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</si>
  <si>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</si>
  <si>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</si>
  <si>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</si>
  <si>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</si>
  <si>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</si>
  <si>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</si>
  <si>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</si>
  <si>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</si>
  <si>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</si>
  <si>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</si>
  <si>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</si>
  <si>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</si>
  <si>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</si>
  <si>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</si>
  <si>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</si>
  <si>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</si>
  <si>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</si>
  <si>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</si>
  <si>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</si>
  <si>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</si>
  <si>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</si>
  <si>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</si>
  <si>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</si>
  <si>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</si>
  <si>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</si>
  <si>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</si>
  <si>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</si>
  <si>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</si>
  <si>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</si>
  <si>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</si>
  <si>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</si>
  <si>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</si>
  <si>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</si>
  <si>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</si>
  <si>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</si>
  <si>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</si>
  <si>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</si>
  <si>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</si>
  <si>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</si>
  <si>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</si>
  <si>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</si>
  <si>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</si>
  <si>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</si>
  <si>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</si>
  <si>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</si>
  <si>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</si>
  <si>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</si>
  <si>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</si>
  <si>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</si>
  <si>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</si>
  <si>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</si>
  <si>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</si>
  <si>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</si>
  <si>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</si>
  <si>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</si>
  <si>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</si>
  <si>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</si>
  <si>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</si>
  <si>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</si>
  <si>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</si>
  <si>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</si>
  <si>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</si>
  <si>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</si>
  <si>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</si>
  <si>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</si>
  <si>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</si>
  <si>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</si>
  <si>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</si>
  <si>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</si>
  <si>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</si>
  <si>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</si>
  <si>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</si>
  <si>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</si>
  <si>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</si>
  <si>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</si>
  <si>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</si>
  <si>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</si>
  <si>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</si>
  <si>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</si>
  <si>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</si>
  <si>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</si>
  <si>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</si>
  <si>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</si>
  <si>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</si>
  <si>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</si>
  <si>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</si>
  <si>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</si>
  <si>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</si>
  <si>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</si>
  <si>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</si>
  <si>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</si>
  <si>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</si>
  <si>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</si>
  <si>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</si>
  <si>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</si>
  <si>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</si>
  <si>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</si>
  <si>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</si>
  <si>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</si>
  <si>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</si>
  <si>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</si>
  <si>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</si>
  <si>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</si>
  <si>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</si>
  <si>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</si>
  <si>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</si>
  <si>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</si>
  <si>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</si>
  <si>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</si>
  <si>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</si>
  <si>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</si>
  <si>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</si>
  <si>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</si>
  <si>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</si>
  <si>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</si>
  <si>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</si>
  <si>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</si>
  <si>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</si>
  <si>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</si>
  <si>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</si>
  <si>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</si>
  <si>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</si>
  <si>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</si>
  <si>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</si>
  <si>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</si>
  <si>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</si>
  <si>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</si>
  <si>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</si>
  <si>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</si>
  <si>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</si>
  <si>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</si>
  <si>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</si>
  <si>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</si>
  <si>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</si>
  <si>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</si>
  <si>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</si>
  <si>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</si>
  <si>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</si>
  <si>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</si>
  <si>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</si>
  <si>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</si>
  <si>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</si>
  <si>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</si>
  <si>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</si>
  <si>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</si>
  <si>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</si>
  <si>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</si>
  <si>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</si>
  <si>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</si>
  <si>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</si>
  <si>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</si>
  <si>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</si>
  <si>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</si>
  <si>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</si>
  <si>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</si>
  <si>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</si>
  <si>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</si>
  <si>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</si>
  <si>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</si>
  <si>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</si>
  <si>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</si>
  <si>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</si>
  <si>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</si>
  <si>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</si>
  <si>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</si>
  <si>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</si>
  <si>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</si>
  <si>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</si>
  <si>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</si>
  <si>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</si>
  <si>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</si>
  <si>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</si>
  <si>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</si>
  <si>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</si>
  <si>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</si>
  <si>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</si>
  <si>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</si>
  <si>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</si>
  <si>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</si>
  <si>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</si>
  <si>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</si>
  <si>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</si>
  <si>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</si>
  <si>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</si>
  <si>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</si>
  <si>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</si>
  <si>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</si>
  <si>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</si>
  <si>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</si>
  <si>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</si>
  <si>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</si>
  <si>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</si>
  <si>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</si>
  <si>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</si>
  <si>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</si>
  <si>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</si>
  <si>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</si>
  <si>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</si>
  <si>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</si>
  <si>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</si>
  <si>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</si>
  <si>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</si>
  <si>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</si>
  <si>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</si>
  <si>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</si>
  <si>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</si>
  <si>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</si>
  <si>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</si>
  <si>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</si>
  <si>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</si>
  <si>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</si>
  <si>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</si>
  <si>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</si>
  <si>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</si>
  <si>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</si>
  <si>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</si>
  <si>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</si>
  <si>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</si>
  <si>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</si>
  <si>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</si>
  <si>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</si>
  <si>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</si>
  <si>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</si>
  <si>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</si>
  <si>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</si>
  <si>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</si>
  <si>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</si>
  <si>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</si>
  <si>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</si>
  <si>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</si>
  <si>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</si>
  <si>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P1=Show in Periods Yr1 View</t>
  </si>
  <si>
    <t>P2=Show in Periods Yr2 View</t>
  </si>
  <si>
    <t>Y=Show Annual View Only</t>
  </si>
  <si>
    <t>* One macro will unhide all columns</t>
  </si>
  <si>
    <t>A=Always Show (FY  columns will always be A)</t>
  </si>
  <si>
    <t>Die = Die Info</t>
  </si>
  <si>
    <t>Calc = Production Calculations</t>
  </si>
  <si>
    <t>All</t>
  </si>
  <si>
    <t>O = Periods in Year One</t>
  </si>
  <si>
    <t>T = Periods in Year Two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</si>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</sst>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77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34"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protection locked="0" hidden="0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33"/>
      <tableStyleElement type="headerRow" dxfId="432"/>
      <tableStyleElement type="totalRow" dxfId="431"/>
      <tableStyleElement type="firstColumn" dxfId="430"/>
      <tableStyleElement type="lastColumn" dxfId="429"/>
      <tableStyleElement type="firstRowStripe" dxfId="428"/>
      <tableStyleElement type="firstColumnStripe" dxfId="427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37984"/>
        <c:axId val="116139520"/>
      </c:barChart>
      <c:catAx>
        <c:axId val="116137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16139520"/>
        <c:crosses val="autoZero"/>
        <c:auto val="1"/>
        <c:lblAlgn val="ctr"/>
        <c:lblOffset val="100"/>
        <c:noMultiLvlLbl val="0"/>
      </c:catAx>
      <c:valAx>
        <c:axId val="116139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161379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Link="B2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A$19" fmlaRange="$B$18:$B$21" sel="3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24020</xdr:rowOff>
        </xdr:from>
        <xdr:to>
          <xdr:col>2</xdr:col>
          <xdr:colOff>646044</xdr:colOff>
          <xdr:row>1</xdr:row>
          <xdr:rowOff>231913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16</xdr:row>
          <xdr:rowOff>9525</xdr:rowOff>
        </xdr:from>
        <xdr:to>
          <xdr:col>0</xdr:col>
          <xdr:colOff>981075</xdr:colOff>
          <xdr:row>17</xdr:row>
          <xdr:rowOff>19050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26"/>
    <tableColumn id="4" name="OEE%" dataDxfId="62"/>
    <tableColumn id="5" name="d2015.01" dataDxfId="61"/>
    <tableColumn id="6" name="d2015.02" dataDxfId="60"/>
    <tableColumn id="7" name="d2015.03" dataDxfId="59"/>
    <tableColumn id="17" name="d2015.04" dataDxfId="58"/>
    <tableColumn id="18" name="d2015.05" dataDxfId="57"/>
    <tableColumn id="19" name="d2015.06" dataDxfId="56"/>
    <tableColumn id="20" name="d2015.07" dataDxfId="55"/>
    <tableColumn id="21" name="d2015.08" dataDxfId="54"/>
    <tableColumn id="22" name="d2015.09" dataDxfId="53"/>
    <tableColumn id="23" name="d2015.10" dataDxfId="52"/>
    <tableColumn id="24" name="d2015.11" dataDxfId="51"/>
    <tableColumn id="25" name="d2015.12" dataDxfId="50"/>
    <tableColumn id="26" name="d2015.FY" dataDxfId="49">
      <calculatedColumnFormula>SUM(t_Plants[[#This Row],[d2015.01]:[d2015.12]])</calculatedColumnFormula>
    </tableColumn>
    <tableColumn id="13" name="d2016.01" dataDxfId="48"/>
    <tableColumn id="46" name="d2016.02" dataDxfId="47"/>
    <tableColumn id="84" name="d2016.03" dataDxfId="46"/>
    <tableColumn id="85" name="d2016.04" dataDxfId="45"/>
    <tableColumn id="86" name="d2016.05" dataDxfId="44"/>
    <tableColumn id="87" name="d2016.06" dataDxfId="43"/>
    <tableColumn id="88" name="d2016.07" dataDxfId="42"/>
    <tableColumn id="89" name="d2016.08" dataDxfId="41"/>
    <tableColumn id="90" name="d2016.09" dataDxfId="40"/>
    <tableColumn id="91" name="d2016.10" dataDxfId="39"/>
    <tableColumn id="92" name="d2016.11" dataDxfId="38"/>
    <tableColumn id="93" name="d2016.12" dataDxfId="37"/>
    <tableColumn id="94" name="d2016.FY" dataDxfId="36">
      <calculatedColumnFormula>SUM(t_Plants[[#This Row],[d2016.01]:[d2016.12]])</calculatedColumnFormula>
    </tableColumn>
    <tableColumn id="95" name="d2017" dataDxfId="35">
      <calculatedColumnFormula>t_Plants[[#This Row],[d2016.FY]]</calculatedColumnFormula>
    </tableColumn>
    <tableColumn id="96" name="d2018" dataDxfId="34">
      <calculatedColumnFormula>t_Plants[[#This Row],[d2016.FY]]</calculatedColumnFormula>
    </tableColumn>
    <tableColumn id="97" name="d2019" dataDxfId="33">
      <calculatedColumnFormula>t_Plants[[#This Row],[d2016.FY]]</calculatedColumnFormula>
    </tableColumn>
    <tableColumn id="8" name="o2015.01" dataDxfId="32"/>
    <tableColumn id="9" name="o2015.02" dataDxfId="31"/>
    <tableColumn id="10" name="o2015.03" dataDxfId="30"/>
    <tableColumn id="27" name="o2015.04" dataDxfId="29"/>
    <tableColumn id="28" name="o2015.05" dataDxfId="28"/>
    <tableColumn id="29" name="o2015.06" dataDxfId="27"/>
    <tableColumn id="30" name="o2015.07" dataDxfId="26"/>
    <tableColumn id="31" name="o2015.08" dataDxfId="25"/>
    <tableColumn id="32" name="o2015.09" dataDxfId="24"/>
    <tableColumn id="33" name="o2015.10" dataDxfId="23"/>
    <tableColumn id="34" name="o2015.11" dataDxfId="22"/>
    <tableColumn id="35" name="o2015.12" dataDxfId="21"/>
    <tableColumn id="36" name="o2015.FY" dataDxfId="20">
      <calculatedColumnFormula>SUM(t_Plants[[#This Row],[o2015.01]:[o2015.12]])</calculatedColumnFormula>
    </tableColumn>
    <tableColumn id="98" name="o2016.01" dataDxfId="19"/>
    <tableColumn id="99" name="o2016.02" dataDxfId="18"/>
    <tableColumn id="100" name="o2016.03" dataDxfId="17"/>
    <tableColumn id="101" name="o2016.04" dataDxfId="16"/>
    <tableColumn id="102" name="o2016.05" dataDxfId="15"/>
    <tableColumn id="103" name="o2016.06" dataDxfId="14"/>
    <tableColumn id="104" name="o2016.07" dataDxfId="13"/>
    <tableColumn id="105" name="o2016.08" dataDxfId="12"/>
    <tableColumn id="106" name="o2016.09" dataDxfId="11"/>
    <tableColumn id="107" name="o2016.10" dataDxfId="10"/>
    <tableColumn id="108" name="o2016.11" dataDxfId="9"/>
    <tableColumn id="109" name="o2016.12" dataDxfId="8"/>
    <tableColumn id="110" name="o2016.FY" dataDxfId="7">
      <calculatedColumnFormula>SUM(t_Plants[[#This Row],[o2016.01]:[o2016.12]])</calculatedColumnFormula>
    </tableColumn>
    <tableColumn id="113" name="o2017" dataDxfId="6">
      <calculatedColumnFormula>t_Plants[[#This Row],[o2016.FY]]</calculatedColumnFormula>
    </tableColumn>
    <tableColumn id="114" name="o2018" dataDxfId="5">
      <calculatedColumnFormula>t_Plants[[#This Row],[o2016.FY]]</calculatedColumnFormula>
    </tableColumn>
    <tableColumn id="112" name="o2019" dataDxfId="3">
      <calculatedColumnFormula>t_Plants[[#This Row],[o2016.FY]]</calculatedColumnFormula>
    </tableColumn>
    <tableColumn id="3" name="a2015.01" dataDxfId="4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425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424">
      <calculatedColumnFormula>SUM(t_Plants[[#This Row],[a2016.01]:[a2016.12]])</calculatedColumnFormula>
    </tableColumn>
    <tableColumn id="128" name="a2017" dataDxfId="423">
      <calculatedColumnFormula>t_Plants[[#This Row],[a2016.FY]]</calculatedColumnFormula>
    </tableColumn>
    <tableColumn id="130" name="a2018" dataDxfId="422">
      <calculatedColumnFormula>t_Plants[[#This Row],[a2016.FY]]</calculatedColumnFormula>
    </tableColumn>
    <tableColumn id="129" name="a2019" dataDxfId="421">
      <calculatedColumnFormula>t_Plants[[#This Row],[a2016.FY]]</calculatedColumnFormula>
    </tableColumn>
    <tableColumn id="11" name="h2015.01" dataDxfId="420">
      <calculatedColumnFormula>t_Plants[[#This Row],[a2015.01]]*t_Plants[[OperHrsPerDay]:[OperHrsPerDay]]</calculatedColumnFormula>
    </tableColumn>
    <tableColumn id="12" name="h2015.02" dataDxfId="419">
      <calculatedColumnFormula>t_Plants[[#This Row],[a2015.02]]*t_Plants[[OperHrsPerDay]:[OperHrsPerDay]]</calculatedColumnFormula>
    </tableColumn>
    <tableColumn id="47" name="h2015.03" dataDxfId="418">
      <calculatedColumnFormula>t_Plants[[#This Row],[a2015.03]]*t_Plants[[OperHrsPerDay]:[OperHrsPerDay]]</calculatedColumnFormula>
    </tableColumn>
    <tableColumn id="48" name="h2015.04" dataDxfId="417">
      <calculatedColumnFormula>t_Plants[[#This Row],[a2015.04]]*t_Plants[[OperHrsPerDay]:[OperHrsPerDay]]</calculatedColumnFormula>
    </tableColumn>
    <tableColumn id="49" name="h2015.05" dataDxfId="416">
      <calculatedColumnFormula>t_Plants[[#This Row],[a2015.05]]*t_Plants[[OperHrsPerDay]:[OperHrsPerDay]]</calculatedColumnFormula>
    </tableColumn>
    <tableColumn id="50" name="h2015.06" dataDxfId="415">
      <calculatedColumnFormula>t_Plants[[#This Row],[a2015.06]]*t_Plants[[OperHrsPerDay]:[OperHrsPerDay]]</calculatedColumnFormula>
    </tableColumn>
    <tableColumn id="51" name="h2015.07" dataDxfId="414">
      <calculatedColumnFormula>t_Plants[[#This Row],[a2015.07]]*t_Plants[[OperHrsPerDay]:[OperHrsPerDay]]</calculatedColumnFormula>
    </tableColumn>
    <tableColumn id="52" name="h2015.08" dataDxfId="413">
      <calculatedColumnFormula>t_Plants[[#This Row],[a2015.08]]*t_Plants[[OperHrsPerDay]:[OperHrsPerDay]]</calculatedColumnFormula>
    </tableColumn>
    <tableColumn id="53" name="h2015.09" dataDxfId="412">
      <calculatedColumnFormula>t_Plants[[#This Row],[a2015.09]]*t_Plants[[OperHrsPerDay]:[OperHrsPerDay]]</calculatedColumnFormula>
    </tableColumn>
    <tableColumn id="54" name="h2015.10" dataDxfId="411">
      <calculatedColumnFormula>t_Plants[[#This Row],[a2015.10]]*t_Plants[[OperHrsPerDay]:[OperHrsPerDay]]</calculatedColumnFormula>
    </tableColumn>
    <tableColumn id="55" name="h2015.11" dataDxfId="410">
      <calculatedColumnFormula>t_Plants[[#This Row],[a2015.11]]*t_Plants[[OperHrsPerDay]:[OperHrsPerDay]]</calculatedColumnFormula>
    </tableColumn>
    <tableColumn id="56" name="h2015.12" dataDxfId="409">
      <calculatedColumnFormula>t_Plants[[#This Row],[a2015.12]]*t_Plants[[OperHrsPerDay]:[OperHrsPerDay]]</calculatedColumnFormula>
    </tableColumn>
    <tableColumn id="57" name="h2015.FY" dataDxfId="408">
      <calculatedColumnFormula>SUM(t_Plants[[#This Row],[h2015.01]:[h2015.12]])</calculatedColumnFormula>
    </tableColumn>
    <tableColumn id="162" name="h2016.01" dataDxfId="407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406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405">
      <calculatedColumnFormula>SUMIF(r_Press_Plants,t_Plants[[Plant]:[Plant]],t_Presses[hp2016.01])</calculatedColumnFormula>
    </tableColumn>
    <tableColumn id="131" name="p2016.02" dataDxfId="404">
      <calculatedColumnFormula>SUMIF(r_Press_Plants,t_Plants[[Plant]:[Plant]],t_Presses[hp2016.02])</calculatedColumnFormula>
    </tableColumn>
    <tableColumn id="132" name="p2016.03" dataDxfId="403">
      <calculatedColumnFormula>SUMIF(r_Press_Plants,t_Plants[[Plant]:[Plant]],t_Presses[hp2016.03])</calculatedColumnFormula>
    </tableColumn>
    <tableColumn id="133" name="p2016.04" dataDxfId="402">
      <calculatedColumnFormula>SUMIF(r_Press_Plants,t_Plants[[Plant]:[Plant]],t_Presses[hp2016.04])</calculatedColumnFormula>
    </tableColumn>
    <tableColumn id="134" name="p2016.05" dataDxfId="401">
      <calculatedColumnFormula>SUMIF(r_Press_Plants,t_Plants[[Plant]:[Plant]],t_Presses[hp2016.05])</calculatedColumnFormula>
    </tableColumn>
    <tableColumn id="135" name="p2016.06" dataDxfId="400">
      <calculatedColumnFormula>SUMIF(r_Press_Plants,t_Plants[[Plant]:[Plant]],t_Presses[hp2016.06])</calculatedColumnFormula>
    </tableColumn>
    <tableColumn id="136" name="p2016.07" dataDxfId="399">
      <calculatedColumnFormula>SUMIF(r_Press_Plants,t_Plants[[Plant]:[Plant]],t_Presses[hp2016.07])</calculatedColumnFormula>
    </tableColumn>
    <tableColumn id="137" name="p2016.08" dataDxfId="398">
      <calculatedColumnFormula>SUMIF(r_Press_Plants,t_Plants[[Plant]:[Plant]],t_Presses[hp2016.08])</calculatedColumnFormula>
    </tableColumn>
    <tableColumn id="138" name="p2016.09" dataDxfId="397">
      <calculatedColumnFormula>SUMIF(r_Press_Plants,t_Plants[[Plant]:[Plant]],t_Presses[hp2016.09])</calculatedColumnFormula>
    </tableColumn>
    <tableColumn id="139" name="p2016.10" dataDxfId="396">
      <calculatedColumnFormula>SUMIF(r_Press_Plants,t_Plants[[Plant]:[Plant]],t_Presses[hp2016.10])</calculatedColumnFormula>
    </tableColumn>
    <tableColumn id="140" name="p2016.11" dataDxfId="395">
      <calculatedColumnFormula>SUMIF(r_Press_Plants,t_Plants[[Plant]:[Plant]],t_Presses[hp2016.11])</calculatedColumnFormula>
    </tableColumn>
    <tableColumn id="141" name="p2016.12" dataDxfId="394">
      <calculatedColumnFormula>SUMIF(r_Press_Plants,t_Plants[[Plant]:[Plant]],t_Presses[hp2016.12])</calculatedColumnFormula>
    </tableColumn>
    <tableColumn id="142" name="p2016.FY" dataDxfId="393">
      <calculatedColumnFormula>SUMIF(r_Press_Plants,t_Plants[[Plant]:[Plant]],t_Presses[hp2016.FY])</calculatedColumnFormula>
    </tableColumn>
    <tableColumn id="143" name="p2017" dataDxfId="392">
      <calculatedColumnFormula>SUMIF(r_Press_Plants,t_Plants[[Plant]:[Plant]],t_Presses[hp2017])</calculatedColumnFormula>
    </tableColumn>
    <tableColumn id="144" name="p2018" dataDxfId="391">
      <calculatedColumnFormula>SUMIF(r_Press_Plants,t_Plants[[Plant]:[Plant]],t_Presses[hp2018])</calculatedColumnFormula>
    </tableColumn>
    <tableColumn id="145" name="p2019" dataDxfId="390">
      <calculatedColumnFormula>SUMIF(r_Press_Plants,t_Plants[[Plant]:[Plant]],t_Presses[hp2019])</calculatedColumnFormula>
    </tableColumn>
    <tableColumn id="58" name="2015.01" dataDxfId="389">
      <calculatedColumnFormula>t_Plants[[#This Row],[p2015.01]]/t_Plants[[#This Row],[h2015.01]]</calculatedColumnFormula>
    </tableColumn>
    <tableColumn id="59" name="2015.02" dataDxfId="388" dataCellStyle="Percent">
      <calculatedColumnFormula>t_Plants[[#This Row],[p2015.02]]/t_Plants[[#This Row],[h2015.02]]</calculatedColumnFormula>
    </tableColumn>
    <tableColumn id="60" name="2015.03" dataDxfId="387" dataCellStyle="Percent">
      <calculatedColumnFormula>t_Plants[[#This Row],[p2015.03]]/t_Plants[[#This Row],[h2015.03]]</calculatedColumnFormula>
    </tableColumn>
    <tableColumn id="61" name="2015.04" dataDxfId="386" dataCellStyle="Percent">
      <calculatedColumnFormula>t_Plants[[#This Row],[p2015.04]]/t_Plants[[#This Row],[h2015.04]]</calculatedColumnFormula>
    </tableColumn>
    <tableColumn id="62" name="2015.05" dataDxfId="385" dataCellStyle="Percent">
      <calculatedColumnFormula>t_Plants[[#This Row],[p2015.05]]/t_Plants[[#This Row],[h2015.05]]</calculatedColumnFormula>
    </tableColumn>
    <tableColumn id="63" name="2015.06" dataDxfId="384" dataCellStyle="Percent">
      <calculatedColumnFormula>t_Plants[[#This Row],[p2015.06]]/t_Plants[[#This Row],[h2015.06]]</calculatedColumnFormula>
    </tableColumn>
    <tableColumn id="64" name="2015.07" dataDxfId="383" dataCellStyle="Percent">
      <calculatedColumnFormula>t_Plants[[#This Row],[p2015.07]]/t_Plants[[#This Row],[h2015.07]]</calculatedColumnFormula>
    </tableColumn>
    <tableColumn id="65" name="2015.08" dataDxfId="382" dataCellStyle="Percent">
      <calculatedColumnFormula>t_Plants[[#This Row],[p2015.08]]/t_Plants[[#This Row],[h2015.08]]</calculatedColumnFormula>
    </tableColumn>
    <tableColumn id="66" name="2015.09" dataDxfId="381" dataCellStyle="Percent">
      <calculatedColumnFormula>t_Plants[[#This Row],[p2015.09]]/t_Plants[[#This Row],[h2015.09]]</calculatedColumnFormula>
    </tableColumn>
    <tableColumn id="67" name="2015.10" dataDxfId="380" dataCellStyle="Percent">
      <calculatedColumnFormula>t_Plants[[#This Row],[p2015.10]]/t_Plants[[#This Row],[h2015.10]]</calculatedColumnFormula>
    </tableColumn>
    <tableColumn id="68" name="2015.11" dataDxfId="379" dataCellStyle="Percent">
      <calculatedColumnFormula>t_Plants[[#This Row],[p2015.11]]/t_Plants[[#This Row],[h2015.11]]</calculatedColumnFormula>
    </tableColumn>
    <tableColumn id="69" name="2015.12" dataDxfId="378" dataCellStyle="Percent">
      <calculatedColumnFormula>t_Plants[[#This Row],[p2015.12]]/t_Plants[[#This Row],[h2015.12]]</calculatedColumnFormula>
    </tableColumn>
    <tableColumn id="70" name="2015" dataDxfId="377" dataCellStyle="Percent">
      <calculatedColumnFormula>t_Plants[[#This Row],[p2015.FY]]/t_Plants[[#This Row],[h2015.FY]]</calculatedColumnFormula>
    </tableColumn>
    <tableColumn id="146" name="2016.01" dataDxfId="376" dataCellStyle="Percent">
      <calculatedColumnFormula>t_Plants[[#This Row],[p2016.01]]/t_Plants[[#This Row],[h2016.01]]</calculatedColumnFormula>
    </tableColumn>
    <tableColumn id="147" name="2016.02" dataDxfId="375" dataCellStyle="Percent">
      <calculatedColumnFormula>t_Plants[[#This Row],[p2016.02]]/t_Plants[[#This Row],[h2016.02]]</calculatedColumnFormula>
    </tableColumn>
    <tableColumn id="148" name="2016.03" dataDxfId="374" dataCellStyle="Percent">
      <calculatedColumnFormula>t_Plants[[#This Row],[p2016.03]]/t_Plants[[#This Row],[h2016.03]]</calculatedColumnFormula>
    </tableColumn>
    <tableColumn id="149" name="2016.04" dataDxfId="373" dataCellStyle="Percent">
      <calculatedColumnFormula>t_Plants[[#This Row],[p2016.04]]/t_Plants[[#This Row],[h2016.04]]</calculatedColumnFormula>
    </tableColumn>
    <tableColumn id="150" name="2016.05" dataDxfId="372" dataCellStyle="Percent">
      <calculatedColumnFormula>t_Plants[[#This Row],[p2016.05]]/t_Plants[[#This Row],[h2016.05]]</calculatedColumnFormula>
    </tableColumn>
    <tableColumn id="151" name="2016.06" dataDxfId="371" dataCellStyle="Percent">
      <calculatedColumnFormula>t_Plants[[#This Row],[p2016.06]]/t_Plants[[#This Row],[h2016.06]]</calculatedColumnFormula>
    </tableColumn>
    <tableColumn id="152" name="2016.07" dataDxfId="370" dataCellStyle="Percent">
      <calculatedColumnFormula>t_Plants[[#This Row],[p2016.07]]/t_Plants[[#This Row],[h2016.07]]</calculatedColumnFormula>
    </tableColumn>
    <tableColumn id="153" name="2016.08" dataDxfId="369" dataCellStyle="Percent">
      <calculatedColumnFormula>t_Plants[[#This Row],[p2016.08]]/t_Plants[[#This Row],[h2016.08]]</calculatedColumnFormula>
    </tableColumn>
    <tableColumn id="154" name="2016.09" dataDxfId="368" dataCellStyle="Percent">
      <calculatedColumnFormula>t_Plants[[#This Row],[p2016.09]]/t_Plants[[#This Row],[h2016.09]]</calculatedColumnFormula>
    </tableColumn>
    <tableColumn id="155" name="2016.10" dataDxfId="367" dataCellStyle="Percent">
      <calculatedColumnFormula>t_Plants[[#This Row],[p2016.10]]/t_Plants[[#This Row],[h2016.10]]</calculatedColumnFormula>
    </tableColumn>
    <tableColumn id="156" name="2016.11" dataDxfId="366" dataCellStyle="Percent">
      <calculatedColumnFormula>t_Plants[[#This Row],[p2016.11]]/t_Plants[[#This Row],[h2016.11]]</calculatedColumnFormula>
    </tableColumn>
    <tableColumn id="157" name="2016.12" dataDxfId="365" dataCellStyle="Percent">
      <calculatedColumnFormula>t_Plants[[#This Row],[p2016.12]]/t_Plants[[#This Row],[h2016.12]]</calculatedColumnFormula>
    </tableColumn>
    <tableColumn id="158" name="2016" dataDxfId="364" dataCellStyle="Percent">
      <calculatedColumnFormula>t_Plants[[#This Row],[p2016.FY]]/t_Plants[[#This Row],[h2016.FY]]</calculatedColumnFormula>
    </tableColumn>
    <tableColumn id="159" name="2017" dataDxfId="363" dataCellStyle="Percent">
      <calculatedColumnFormula>t_Plants[[#This Row],[p2017]]/t_Plants[[#This Row],[h2017]]</calculatedColumnFormula>
    </tableColumn>
    <tableColumn id="160" name="2018" dataDxfId="362" dataCellStyle="Percent">
      <calculatedColumnFormula>t_Plants[[#This Row],[p2018]]/t_Plants[[#This Row],[h2018]]</calculatedColumnFormula>
    </tableColumn>
    <tableColumn id="161" name="2019" dataDxfId="361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60" headerRowCellStyle="Neutral" dataCellStyle="Percent">
  <autoFilter ref="A4:CK9"/>
  <tableColumns count="89">
    <tableColumn id="1" name="Group"/>
    <tableColumn id="2" name="Tonnage Range" dataDxfId="359"/>
    <tableColumn id="3" name="ha2015.01" dataDxfId="358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57"/>
    <tableColumn id="42" name="ha2016.01" dataDxfId="356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55" dataCellStyle="Comma">
      <calculatedColumnFormula>SUMIF(r_Press_Tonnage,Table4[[Tonnage Range]:[Tonnage Range]],t_Presses[hp2015.01])</calculatedColumnFormula>
    </tableColumn>
    <tableColumn id="17" name="hp2015.02" dataDxfId="354" dataCellStyle="Comma">
      <calculatedColumnFormula>SUMIF(r_Press_Tonnage,Table4[[Tonnage Range]:[Tonnage Range]],t_Presses[hp2015.02])</calculatedColumnFormula>
    </tableColumn>
    <tableColumn id="18" name="hp2015.03" dataDxfId="353" dataCellStyle="Comma">
      <calculatedColumnFormula>SUMIF(r_Press_Tonnage,Table4[[Tonnage Range]:[Tonnage Range]],t_Presses[hp2015.03])</calculatedColumnFormula>
    </tableColumn>
    <tableColumn id="19" name="hp2015.04" dataDxfId="352" dataCellStyle="Comma">
      <calculatedColumnFormula>SUMIF(r_Press_Tonnage,Table4[[Tonnage Range]:[Tonnage Range]],t_Presses[hp2015.04])</calculatedColumnFormula>
    </tableColumn>
    <tableColumn id="20" name="hp2015.05" dataDxfId="351" dataCellStyle="Comma">
      <calculatedColumnFormula>SUMIF(r_Press_Tonnage,Table4[[Tonnage Range]:[Tonnage Range]],t_Presses[hp2015.05])</calculatedColumnFormula>
    </tableColumn>
    <tableColumn id="21" name="hp2015.06" dataDxfId="350" dataCellStyle="Comma">
      <calculatedColumnFormula>SUMIF(r_Press_Tonnage,Table4[[Tonnage Range]:[Tonnage Range]],t_Presses[hp2015.06])</calculatedColumnFormula>
    </tableColumn>
    <tableColumn id="22" name="hp2015.07" dataDxfId="349" dataCellStyle="Comma">
      <calculatedColumnFormula>SUMIF(r_Press_Tonnage,Table4[[Tonnage Range]:[Tonnage Range]],t_Presses[hp2015.07])</calculatedColumnFormula>
    </tableColumn>
    <tableColumn id="23" name="hp2015.08" dataDxfId="348" dataCellStyle="Comma">
      <calculatedColumnFormula>SUMIF(r_Press_Tonnage,Table4[[Tonnage Range]:[Tonnage Range]],t_Presses[hp2015.08])</calculatedColumnFormula>
    </tableColumn>
    <tableColumn id="24" name="hp2015.09" dataDxfId="347" dataCellStyle="Comma">
      <calculatedColumnFormula>SUMIF(r_Press_Tonnage,Table4[[Tonnage Range]:[Tonnage Range]],t_Presses[hp2015.09])</calculatedColumnFormula>
    </tableColumn>
    <tableColumn id="25" name="hp2015.10" dataDxfId="346" dataCellStyle="Comma">
      <calculatedColumnFormula>SUMIF(r_Press_Tonnage,Table4[[Tonnage Range]:[Tonnage Range]],t_Presses[hp2015.10])</calculatedColumnFormula>
    </tableColumn>
    <tableColumn id="26" name="hp2015.11" dataDxfId="345" dataCellStyle="Comma">
      <calculatedColumnFormula>SUMIF(r_Press_Tonnage,Table4[[Tonnage Range]:[Tonnage Range]],t_Presses[hp2015.11])</calculatedColumnFormula>
    </tableColumn>
    <tableColumn id="27" name="hp2015.12" dataDxfId="344" dataCellStyle="Comma">
      <calculatedColumnFormula>SUMIF(r_Press_Tonnage,Table4[[Tonnage Range]:[Tonnage Range]],t_Presses[hp2015.12])</calculatedColumnFormula>
    </tableColumn>
    <tableColumn id="28" name="hp2015.FY" dataDxfId="343" dataCellStyle="Comma">
      <calculatedColumnFormula>SUM(Table4[[#This Row],[hp2015.01]:[hp2015.12]])</calculatedColumnFormula>
    </tableColumn>
    <tableColumn id="58" name="hp2016.01" dataDxfId="342" dataCellStyle="Comma">
      <calculatedColumnFormula>SUMIF(r_Press_Tonnage,Table4[[Tonnage Range]:[Tonnage Range]],t_Presses[hp2016.01])</calculatedColumnFormula>
    </tableColumn>
    <tableColumn id="59" name="hp2016.02" dataDxfId="341" dataCellStyle="Comma">
      <calculatedColumnFormula>SUMIF(r_Press_Tonnage,Table4[[Tonnage Range]:[Tonnage Range]],t_Presses[hp2016.02])</calculatedColumnFormula>
    </tableColumn>
    <tableColumn id="60" name="hp2016.03" dataDxfId="340" dataCellStyle="Comma">
      <calculatedColumnFormula>SUMIF(r_Press_Tonnage,Table4[[Tonnage Range]:[Tonnage Range]],t_Presses[hp2016.03])</calculatedColumnFormula>
    </tableColumn>
    <tableColumn id="61" name="hp2016.04" dataDxfId="339" dataCellStyle="Comma">
      <calculatedColumnFormula>SUMIF(r_Press_Tonnage,Table4[[Tonnage Range]:[Tonnage Range]],t_Presses[hp2016.04])</calculatedColumnFormula>
    </tableColumn>
    <tableColumn id="62" name="hp2016.05" dataDxfId="338" dataCellStyle="Comma">
      <calculatedColumnFormula>SUMIF(r_Press_Tonnage,Table4[[Tonnage Range]:[Tonnage Range]],t_Presses[hp2016.05])</calculatedColumnFormula>
    </tableColumn>
    <tableColumn id="63" name="hp2016.06" dataDxfId="337" dataCellStyle="Comma">
      <calculatedColumnFormula>SUMIF(r_Press_Tonnage,Table4[[Tonnage Range]:[Tonnage Range]],t_Presses[hp2016.06])</calculatedColumnFormula>
    </tableColumn>
    <tableColumn id="64" name="hp2016.07" dataDxfId="336" dataCellStyle="Comma">
      <calculatedColumnFormula>SUMIF(r_Press_Tonnage,Table4[[Tonnage Range]:[Tonnage Range]],t_Presses[hp2016.07])</calculatedColumnFormula>
    </tableColumn>
    <tableColumn id="65" name="hp2016.08" dataDxfId="335" dataCellStyle="Comma">
      <calculatedColumnFormula>SUMIF(r_Press_Tonnage,Table4[[Tonnage Range]:[Tonnage Range]],t_Presses[hp2016.08])</calculatedColumnFormula>
    </tableColumn>
    <tableColumn id="66" name="hp2016.09" dataDxfId="334" dataCellStyle="Comma">
      <calculatedColumnFormula>SUMIF(r_Press_Tonnage,Table4[[Tonnage Range]:[Tonnage Range]],t_Presses[hp2016.09])</calculatedColumnFormula>
    </tableColumn>
    <tableColumn id="67" name="hp2016.10" dataDxfId="333" dataCellStyle="Comma">
      <calculatedColumnFormula>SUMIF(r_Press_Tonnage,Table4[[Tonnage Range]:[Tonnage Range]],t_Presses[hp2016.10])</calculatedColumnFormula>
    </tableColumn>
    <tableColumn id="68" name="hp2016.11" dataDxfId="332" dataCellStyle="Comma">
      <calculatedColumnFormula>SUMIF(r_Press_Tonnage,Table4[[Tonnage Range]:[Tonnage Range]],t_Presses[hp2016.11])</calculatedColumnFormula>
    </tableColumn>
    <tableColumn id="69" name="hp2016.12" dataDxfId="331" dataCellStyle="Comma">
      <calculatedColumnFormula>SUMIF(r_Press_Tonnage,Table4[[Tonnage Range]:[Tonnage Range]],t_Presses[hp2016.12])</calculatedColumnFormula>
    </tableColumn>
    <tableColumn id="70" name="hp2016.FY" dataDxfId="330" dataCellStyle="Comma">
      <calculatedColumnFormula>SUMIF(r_Press_Tonnage,Table4[[Tonnage Range]:[Tonnage Range]],t_Presses[hp2016.FY])</calculatedColumnFormula>
    </tableColumn>
    <tableColumn id="71" name="hp2017" dataDxfId="329" dataCellStyle="Comma">
      <calculatedColumnFormula>SUMIF(r_Press_Tonnage,Table4[[Tonnage Range]:[Tonnage Range]],t_Presses[hp2017])</calculatedColumnFormula>
    </tableColumn>
    <tableColumn id="72" name="hp2018" dataDxfId="328" dataCellStyle="Comma">
      <calculatedColumnFormula>SUMIF(r_Press_Tonnage,Table4[[Tonnage Range]:[Tonnage Range]],t_Presses[hp2018])</calculatedColumnFormula>
    </tableColumn>
    <tableColumn id="73" name="hp2019" dataDxfId="327" dataCellStyle="Comma">
      <calculatedColumnFormula>SUMIF(r_Press_Tonnage,Table4[[Tonnage Range]:[Tonnage Range]],t_Presses[hp2019])</calculatedColumnFormula>
    </tableColumn>
    <tableColumn id="29" name="2015.01" dataDxfId="326" dataCellStyle="Percent">
      <calculatedColumnFormula>IF(Table4[[#This Row],[ha2015.01]]&gt;0,Table4[[#This Row],[hp2015.01]]/Table4[[#This Row],[ha2015.01]],0)</calculatedColumnFormula>
    </tableColumn>
    <tableColumn id="30" name="2015.02" dataDxfId="325" dataCellStyle="Percent">
      <calculatedColumnFormula>IF(Table4[[#This Row],[ha2015.02]]&gt;0,Table4[[#This Row],[hp2015.02]]/Table4[[#This Row],[ha2015.02]],0)</calculatedColumnFormula>
    </tableColumn>
    <tableColumn id="31" name="2015.03" dataDxfId="324" dataCellStyle="Percent">
      <calculatedColumnFormula>IF(Table4[[#This Row],[ha2015.03]]&gt;0,Table4[[#This Row],[hp2015.03]]/Table4[[#This Row],[ha2015.03]],0)</calculatedColumnFormula>
    </tableColumn>
    <tableColumn id="32" name="2015.04" dataDxfId="323" dataCellStyle="Percent">
      <calculatedColumnFormula>IF(Table4[[#This Row],[ha2015.04]]&gt;0,Table4[[#This Row],[hp2015.04]]/Table4[[#This Row],[ha2015.04]],0)</calculatedColumnFormula>
    </tableColumn>
    <tableColumn id="33" name="2015.05" dataDxfId="322" dataCellStyle="Percent">
      <calculatedColumnFormula>IF(Table4[[#This Row],[ha2015.05]]&gt;0,Table4[[#This Row],[hp2015.05]]/Table4[[#This Row],[ha2015.05]],0)</calculatedColumnFormula>
    </tableColumn>
    <tableColumn id="34" name="2015.06" dataDxfId="321" dataCellStyle="Percent">
      <calculatedColumnFormula>IF(Table4[[#This Row],[ha2015.06]]&gt;0,Table4[[#This Row],[hp2015.06]]/Table4[[#This Row],[ha2015.06]],0)</calculatedColumnFormula>
    </tableColumn>
    <tableColumn id="35" name="2015.07" dataDxfId="320" dataCellStyle="Percent">
      <calculatedColumnFormula>IF(Table4[[#This Row],[ha2015.07]]&gt;0,Table4[[#This Row],[hp2015.07]]/Table4[[#This Row],[ha2015.07]],0)</calculatedColumnFormula>
    </tableColumn>
    <tableColumn id="36" name="2015.08" dataDxfId="319" dataCellStyle="Percent">
      <calculatedColumnFormula>IF(Table4[[#This Row],[ha2015.08]]&gt;0,Table4[[#This Row],[hp2015.08]]/Table4[[#This Row],[ha2015.08]],0)</calculatedColumnFormula>
    </tableColumn>
    <tableColumn id="37" name="2015.09" dataDxfId="318" dataCellStyle="Percent">
      <calculatedColumnFormula>IF(Table4[[#This Row],[ha2015.09]]&gt;0,Table4[[#This Row],[hp2015.09]]/Table4[[#This Row],[ha2015.09]],0)</calculatedColumnFormula>
    </tableColumn>
    <tableColumn id="38" name="2015.10" dataDxfId="317" dataCellStyle="Percent">
      <calculatedColumnFormula>IF(Table4[[#This Row],[ha2015.10]]&gt;0,Table4[[#This Row],[hp2015.10]]/Table4[[#This Row],[ha2015.10]],0)</calculatedColumnFormula>
    </tableColumn>
    <tableColumn id="39" name="2015.11" dataDxfId="316" dataCellStyle="Percent">
      <calculatedColumnFormula>IF(Table4[[#This Row],[ha2015.11]]&gt;0,Table4[[#This Row],[hp2015.11]]/Table4[[#This Row],[ha2015.11]],0)</calculatedColumnFormula>
    </tableColumn>
    <tableColumn id="40" name="2015.12" dataDxfId="315" dataCellStyle="Percent">
      <calculatedColumnFormula>IF(Table4[[#This Row],[ha2015.12]]&gt;0,Table4[[#This Row],[hp2015.12]]/Table4[[#This Row],[ha2015.12]],0)</calculatedColumnFormula>
    </tableColumn>
    <tableColumn id="41" name="2015.FY" dataDxfId="314" dataCellStyle="Percent">
      <calculatedColumnFormula>IF(Table4[[#This Row],[ha2015.FY]]&gt;0,Table4[[#This Row],[hp2015.FY]]/Table4[[#This Row],[ha2015.FY]],0)</calculatedColumnFormula>
    </tableColumn>
    <tableColumn id="74" name="2016.01" dataDxfId="313" dataCellStyle="Percent">
      <calculatedColumnFormula>IF(Table4[[#This Row],[ha2016.01]]&gt;0,Table4[[#This Row],[hp2016.01]]/Table4[[#This Row],[ha2016.01]],0)</calculatedColumnFormula>
    </tableColumn>
    <tableColumn id="75" name="2016.02" dataDxfId="312" dataCellStyle="Percent">
      <calculatedColumnFormula>IF(Table4[[#This Row],[ha2016.02]]&gt;0,Table4[[#This Row],[hp2016.02]]/Table4[[#This Row],[ha2016.02]],0)</calculatedColumnFormula>
    </tableColumn>
    <tableColumn id="76" name="2016.03" dataDxfId="311" dataCellStyle="Percent">
      <calculatedColumnFormula>IF(Table4[[#This Row],[ha2016.03]]&gt;0,Table4[[#This Row],[hp2016.03]]/Table4[[#This Row],[ha2016.03]],0)</calculatedColumnFormula>
    </tableColumn>
    <tableColumn id="77" name="2016.04" dataDxfId="310" dataCellStyle="Percent">
      <calculatedColumnFormula>IF(Table4[[#This Row],[ha2016.04]]&gt;0,Table4[[#This Row],[hp2016.04]]/Table4[[#This Row],[ha2016.04]],0)</calculatedColumnFormula>
    </tableColumn>
    <tableColumn id="78" name="2016.05" dataDxfId="309" dataCellStyle="Percent">
      <calculatedColumnFormula>IF(Table4[[#This Row],[ha2016.05]]&gt;0,Table4[[#This Row],[hp2016.05]]/Table4[[#This Row],[ha2016.05]],0)</calculatedColumnFormula>
    </tableColumn>
    <tableColumn id="79" name="2016.06" dataDxfId="308" dataCellStyle="Percent">
      <calculatedColumnFormula>IF(Table4[[#This Row],[ha2016.06]]&gt;0,Table4[[#This Row],[hp2016.06]]/Table4[[#This Row],[ha2016.06]],0)</calculatedColumnFormula>
    </tableColumn>
    <tableColumn id="80" name="2016.07" dataDxfId="307" dataCellStyle="Percent">
      <calculatedColumnFormula>IF(Table4[[#This Row],[ha2016.07]]&gt;0,Table4[[#This Row],[hp2016.07]]/Table4[[#This Row],[ha2016.07]],0)</calculatedColumnFormula>
    </tableColumn>
    <tableColumn id="81" name="2016.08" dataDxfId="306" dataCellStyle="Percent">
      <calculatedColumnFormula>IF(Table4[[#This Row],[ha2016.08]]&gt;0,Table4[[#This Row],[hp2016.08]]/Table4[[#This Row],[ha2016.08]],0)</calculatedColumnFormula>
    </tableColumn>
    <tableColumn id="82" name="2016.09" dataDxfId="305" dataCellStyle="Percent">
      <calculatedColumnFormula>IF(Table4[[#This Row],[ha2016.09]]&gt;0,Table4[[#This Row],[hp2016.09]]/Table4[[#This Row],[ha2016.09]],0)</calculatedColumnFormula>
    </tableColumn>
    <tableColumn id="83" name="2016.10" dataDxfId="304" dataCellStyle="Percent">
      <calculatedColumnFormula>IF(Table4[[#This Row],[ha2016.10]]&gt;0,Table4[[#This Row],[hp2016.10]]/Table4[[#This Row],[ha2016.10]],0)</calculatedColumnFormula>
    </tableColumn>
    <tableColumn id="84" name="2016.11" dataDxfId="303" dataCellStyle="Percent">
      <calculatedColumnFormula>IF(Table4[[#This Row],[ha2016.11]]&gt;0,Table4[[#This Row],[hp2016.11]]/Table4[[#This Row],[ha2016.11]],0)</calculatedColumnFormula>
    </tableColumn>
    <tableColumn id="85" name="2016.12" dataDxfId="302" dataCellStyle="Percent">
      <calculatedColumnFormula>IF(Table4[[#This Row],[ha2016.12]]&gt;0,Table4[[#This Row],[hp2016.12]]/Table4[[#This Row],[ha2016.12]],0)</calculatedColumnFormula>
    </tableColumn>
    <tableColumn id="86" name="2016.FY" dataDxfId="301" dataCellStyle="Percent">
      <calculatedColumnFormula>IF(Table4[[#This Row],[ha2016.FY]]&gt;0,Table4[[#This Row],[hp2016.FY]]/Table4[[#This Row],[ha2016.FY]],0)</calculatedColumnFormula>
    </tableColumn>
    <tableColumn id="87" name="2017" dataDxfId="300" dataCellStyle="Percent">
      <calculatedColumnFormula>IF(Table4[[#This Row],[ha2017]]&gt;0,Table4[[#This Row],[hp2017]]/Table4[[#This Row],[ha2017]],0)</calculatedColumnFormula>
    </tableColumn>
    <tableColumn id="88" name="2018" dataDxfId="299" dataCellStyle="Percent">
      <calculatedColumnFormula>IF(Table4[[#This Row],[ha2018]]&gt;0,Table4[[#This Row],[hp2018]]/Table4[[#This Row],[ha2018]],0)</calculatedColumnFormula>
    </tableColumn>
    <tableColumn id="89" name="2019" dataDxfId="298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97"/>
    <tableColumn id="2" name="Plant"/>
    <tableColumn id="36" name="Type"/>
    <tableColumn id="3" name="Tonnage"/>
    <tableColumn id="4" name="Range" dataDxfId="296">
      <calculatedColumnFormula>CONCATENATE(FLOOR(D5,v_TRBS),"-",FLOOR(D5,v_TRBS)+v_TRBS-1)</calculatedColumnFormula>
    </tableColumn>
    <tableColumn id="5" name="PressOEE" dataDxfId="295" dataCellStyle="Percent"/>
    <tableColumn id="7" name="ha2015.01" dataDxfId="294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93">
      <calculatedColumnFormula>VLOOKUP(t_Presses[[Plant]:[Plant]],t_Plants[],Plants!CO$1,FALSE)</calculatedColumnFormula>
    </tableColumn>
    <tableColumn id="16" name="ha2015.04" dataDxfId="292">
      <calculatedColumnFormula>VLOOKUP(t_Presses[[Plant]:[Plant]],t_Plants[],Plants!CP$1,FALSE)</calculatedColumnFormula>
    </tableColumn>
    <tableColumn id="17" name="ha2015.05" dataDxfId="291">
      <calculatedColumnFormula>VLOOKUP(t_Presses[[Plant]:[Plant]],t_Plants[],Plants!CQ$1,FALSE)</calculatedColumnFormula>
    </tableColumn>
    <tableColumn id="18" name="ha2015.06" dataDxfId="290">
      <calculatedColumnFormula>VLOOKUP(t_Presses[[Plant]:[Plant]],t_Plants[],Plants!CR$1,FALSE)</calculatedColumnFormula>
    </tableColumn>
    <tableColumn id="19" name="ha2015.07" dataDxfId="289">
      <calculatedColumnFormula>VLOOKUP(t_Presses[[Plant]:[Plant]],t_Plants[],Plants!CS$1,FALSE)</calculatedColumnFormula>
    </tableColumn>
    <tableColumn id="20" name="ha2015.08" dataDxfId="288">
      <calculatedColumnFormula>VLOOKUP(t_Presses[[Plant]:[Plant]],t_Plants[],Plants!CT$1,FALSE)</calculatedColumnFormula>
    </tableColumn>
    <tableColumn id="21" name="ha2015.09" dataDxfId="287">
      <calculatedColumnFormula>VLOOKUP(t_Presses[[Plant]:[Plant]],t_Plants[],Plants!CU$1,FALSE)</calculatedColumnFormula>
    </tableColumn>
    <tableColumn id="22" name="ha2015.10" dataDxfId="286">
      <calculatedColumnFormula>VLOOKUP(t_Presses[[Plant]:[Plant]],t_Plants[],Plants!CV$1,FALSE)</calculatedColumnFormula>
    </tableColumn>
    <tableColumn id="23" name="ha2015.11" dataDxfId="285">
      <calculatedColumnFormula>VLOOKUP(t_Presses[[Plant]:[Plant]],t_Plants[],Plants!CW$1,FALSE)</calculatedColumnFormula>
    </tableColumn>
    <tableColumn id="24" name="ha2015.12" dataDxfId="284">
      <calculatedColumnFormula>VLOOKUP(t_Presses[[Plant]:[Plant]],t_Plants[],Plants!CX$1,FALSE)</calculatedColumnFormula>
    </tableColumn>
    <tableColumn id="25" name="ha2015.FY" dataDxfId="283">
      <calculatedColumnFormula>SUM(t_Presses[[#This Row],[ha2015.01]:[ha2015.12]])</calculatedColumnFormula>
    </tableColumn>
    <tableColumn id="6" name="ha2016.01" dataDxfId="282"/>
    <tableColumn id="47" name="ha2016.02" dataDxfId="281"/>
    <tableColumn id="48" name="ha2016.03" dataDxfId="280"/>
    <tableColumn id="49" name="ha2016.04" dataDxfId="279"/>
    <tableColumn id="50" name="ha2016.05" dataDxfId="278"/>
    <tableColumn id="51" name="ha2016.06" dataDxfId="277"/>
    <tableColumn id="52" name="ha2016.07" dataDxfId="276"/>
    <tableColumn id="53" name="ha2016.08" dataDxfId="275"/>
    <tableColumn id="54" name="ha2016.09" dataDxfId="274"/>
    <tableColumn id="55" name="ha2016.10" dataDxfId="273"/>
    <tableColumn id="56" name="ha2016.11" dataDxfId="272"/>
    <tableColumn id="57" name="ha2016.12" dataDxfId="271"/>
    <tableColumn id="58" name="ha2016.FY" dataDxfId="270">
      <calculatedColumnFormula>SUM(t_Presses[[#This Row],[ha2016.01]:[ha2016.12]])</calculatedColumnFormula>
    </tableColumn>
    <tableColumn id="59" name="ha2017" dataDxfId="269"/>
    <tableColumn id="60" name="ha2018" dataDxfId="268"/>
    <tableColumn id="61" name="ha2019" dataDxfId="26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66">
      <calculatedColumnFormula>SUM(t_Presses[[#This Row],[hp2015.01]:[hp2015.12]])</calculatedColumnFormula>
    </tableColumn>
    <tableColumn id="63" name="hp2016.01" dataDxfId="265" dataCellStyle="Comma">
      <calculatedColumnFormula>SUMIF(r_PartPresses,t_Presses[[PRESS]:[PRESS]],t_Parts[hp2016.01])</calculatedColumnFormula>
    </tableColumn>
    <tableColumn id="64" name="hp2016.02" dataDxfId="264" dataCellStyle="Comma"/>
    <tableColumn id="65" name="hp2016.03" dataDxfId="263" dataCellStyle="Comma"/>
    <tableColumn id="66" name="hp2016.04" dataDxfId="262" dataCellStyle="Comma"/>
    <tableColumn id="67" name="hp2016.05" dataDxfId="261" dataCellStyle="Comma"/>
    <tableColumn id="68" name="hp2016.06" dataDxfId="260" dataCellStyle="Comma"/>
    <tableColumn id="69" name="hp2016.07" dataDxfId="259" dataCellStyle="Comma"/>
    <tableColumn id="70" name="hp2016.08" dataDxfId="258" dataCellStyle="Comma"/>
    <tableColumn id="71" name="hp2016.09" dataDxfId="257" dataCellStyle="Comma"/>
    <tableColumn id="72" name="hp2016.10" dataDxfId="256" dataCellStyle="Comma"/>
    <tableColumn id="73" name="hp2016.11" dataDxfId="255" dataCellStyle="Comma"/>
    <tableColumn id="74" name="hp2016.12" dataDxfId="254" dataCellStyle="Comma"/>
    <tableColumn id="75" name="hp2016.FY" dataDxfId="253" dataCellStyle="Comma"/>
    <tableColumn id="76" name="hp2017" dataDxfId="252" dataCellStyle="Comma"/>
    <tableColumn id="77" name="hp2018" dataDxfId="251" dataCellStyle="Comma"/>
    <tableColumn id="78" name="hp2019" dataDxfId="250" dataCellStyle="Comma"/>
    <tableColumn id="13" name="2015.01" dataDxfId="249" dataCellStyle="Percent">
      <calculatedColumnFormula>t_Presses[[#This Row],[hp2015.01]]/t_Presses[[#This Row],[ha2015.01]]</calculatedColumnFormula>
    </tableColumn>
    <tableColumn id="14" name="2015.02" dataDxfId="248" dataCellStyle="Percent">
      <calculatedColumnFormula>t_Presses[[#This Row],[hp2015.02]]/t_Presses[[#This Row],[ha2015.02]]</calculatedColumnFormula>
    </tableColumn>
    <tableColumn id="15" name="2015.03" dataDxfId="247" dataCellStyle="Percent"/>
    <tableColumn id="37" name="2015.04" dataDxfId="246" dataCellStyle="Percent"/>
    <tableColumn id="38" name="2015.05" dataDxfId="245" dataCellStyle="Percent"/>
    <tableColumn id="39" name="2015.06" dataDxfId="244" dataCellStyle="Percent"/>
    <tableColumn id="40" name="2015.07" dataDxfId="243" dataCellStyle="Percent"/>
    <tableColumn id="41" name="2015.08" dataDxfId="242" dataCellStyle="Percent"/>
    <tableColumn id="42" name="2015.09" dataDxfId="241" dataCellStyle="Percent"/>
    <tableColumn id="43" name="2015.10" dataDxfId="240" dataCellStyle="Percent"/>
    <tableColumn id="44" name="2015.11" dataDxfId="239" dataCellStyle="Percent"/>
    <tableColumn id="45" name="2015.12" dataDxfId="238" dataCellStyle="Percent"/>
    <tableColumn id="46" name="2015.FY" dataDxfId="237" dataCellStyle="Percent"/>
    <tableColumn id="80" name="2016.01" dataDxfId="236" dataCellStyle="Percent">
      <calculatedColumnFormula>t_Presses[[#This Row],[hp2016.01]]/t_Presses[[#This Row],[ha2016.01]]</calculatedColumnFormula>
    </tableColumn>
    <tableColumn id="81" name="2016.02" dataDxfId="235" dataCellStyle="Percent"/>
    <tableColumn id="82" name="2016.03" dataDxfId="234" dataCellStyle="Percent"/>
    <tableColumn id="83" name="2016.04" dataDxfId="233" dataCellStyle="Percent"/>
    <tableColumn id="84" name="2016.05" dataDxfId="232" dataCellStyle="Percent"/>
    <tableColumn id="85" name="2016.06" dataDxfId="231" dataCellStyle="Percent"/>
    <tableColumn id="86" name="2016.07" dataDxfId="230" dataCellStyle="Percent"/>
    <tableColumn id="87" name="2016.08" dataDxfId="229" dataCellStyle="Percent"/>
    <tableColumn id="88" name="2016.09" dataDxfId="228" dataCellStyle="Percent"/>
    <tableColumn id="89" name="2016.10" dataDxfId="227" dataCellStyle="Percent"/>
    <tableColumn id="90" name="2016.11" dataDxfId="226" dataCellStyle="Percent"/>
    <tableColumn id="91" name="2016.12" dataDxfId="225" dataCellStyle="Percent"/>
    <tableColumn id="92" name="2016.FY" dataDxfId="224" dataCellStyle="Percent">
      <calculatedColumnFormula>t_Presses[[#This Row],[hp2016.FY]]/t_Presses[[#This Row],[ha2016.FY]]</calculatedColumnFormula>
    </tableColumn>
    <tableColumn id="93" name="2017" dataDxfId="223" dataCellStyle="Percent"/>
    <tableColumn id="94" name="2018" dataDxfId="222" dataCellStyle="Percent"/>
    <tableColumn id="95" name="2019" dataDxfId="221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4:FR15" totalsRowShown="0" dataDxfId="220" headerRowCellStyle="Neutral">
  <autoFilter ref="A4:FR15"/>
  <sortState ref="A5:CC12">
    <sortCondition ref="A4:A12"/>
  </sortState>
  <tableColumns count="174">
    <tableColumn id="1" name="PartNo" dataDxfId="219"/>
    <tableColumn id="2" name="Press" dataDxfId="218"/>
    <tableColumn id="9" name="UnitsPerCycle"/>
    <tableColumn id="10" name="CyclesPerHr" dataDxfId="217"/>
    <tableColumn id="71" name="SetupHrs" dataDxfId="216"/>
    <tableColumn id="72" name="SetupsPerMo" dataDxfId="215"/>
    <tableColumn id="12" name="SOP"/>
    <tableColumn id="13" name="EOP"/>
    <tableColumn id="14" name="2015vol" dataDxfId="214"/>
    <tableColumn id="15" name="2016vol" dataDxfId="213"/>
    <tableColumn id="16" name="2017vol" dataDxfId="212"/>
    <tableColumn id="17" name="2018vol" dataDxfId="211"/>
    <tableColumn id="18" name="2019vol" dataDxfId="210"/>
    <tableColumn id="79" name="DieFB" dataDxfId="209" dataCellStyle="Percent"/>
    <tableColumn id="80" name="DieLR" dataDxfId="208" dataCellStyle="Percent"/>
    <tableColumn id="81" name="DieShutHt" dataDxfId="207" dataCellStyle="Percent"/>
    <tableColumn id="74" name="ActTonnage" dataDxfId="206" dataCellStyle="Percent"/>
    <tableColumn id="75" name="FeedHt" dataDxfId="205" dataCellStyle="Percent"/>
    <tableColumn id="76" name="SteelPN" dataDxfId="204" dataCellStyle="Percent"/>
    <tableColumn id="77" name="BlankWt" dataDxfId="203" dataCellStyle="Percent"/>
    <tableColumn id="11" name="Routing" dataDxfId="202" dataCellStyle="Percent"/>
    <tableColumn id="3" name="Plant" dataDxfId="201">
      <calculatedColumnFormula>VLOOKUP(t_Parts[[#This Row],[Press]],t_Presses[],Press!B$1,FALSE)</calculatedColumnFormula>
    </tableColumn>
    <tableColumn id="4" name="T Range" dataDxfId="200">
      <calculatedColumnFormula>VLOOKUP(t_Parts[[#This Row],[Press]],t_Presses[],Press!E$1,FALSE)</calculatedColumnFormula>
    </tableColumn>
    <tableColumn id="6" name="PlantOEE" dataDxfId="199" dataCellStyle="Percent">
      <calculatedColumnFormula>VLOOKUP(t_Parts[[#This Row],[Plant]],t_Plants[],Plants!C$1,FALSE)</calculatedColumnFormula>
    </tableColumn>
    <tableColumn id="5" name="PressOEE" dataDxfId="198" dataCellStyle="Percent">
      <calculatedColumnFormula>VLOOKUP(t_Parts[[#This Row],[Press]],t_Presses[],Press!F$1,FALSE)</calculatedColumnFormula>
    </tableColumn>
    <tableColumn id="7" name="PartOEE" dataDxfId="197" dataCellStyle="Percent"/>
    <tableColumn id="8" name="UseOEE" dataDxfId="196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95">
      <calculatedColumnFormula>t_Parts[[#This Row],[SetupsPerMo]]*t_Parts[[#This Row],[SetupHrs]]</calculatedColumnFormula>
    </tableColumn>
    <tableColumn id="73" name="NetPPH" dataDxfId="194">
      <calculatedColumnFormula>(t_Parts[[#This Row],[UnitsPerCycle]]*t_Parts[[#This Row],[CyclesPerHr]])*t_Parts[[#This Row],[UseOEE]]</calculatedColumnFormula>
    </tableColumn>
    <tableColumn id="19" name="pv2015.01" dataDxfId="193">
      <calculatedColumnFormula>IF(AND(AD$2&gt;=VALUE(t_Parts[[SOP]:[SOP]]),AD$2&lt;=VALUE(t_Parts[[EOP]:[EOP]])),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92">
      <calculatedColumnFormula>IF(AND(AE$2&gt;=VALUE(t_Parts[[SOP]:[SOP]]),AE$2&lt;=VALUE(t_Parts[[EOP]:[EOP]])),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91">
      <calculatedColumnFormula>IF(AND(AF$2&gt;=VALUE(t_Parts[[SOP]:[SOP]]),AF$2&lt;=VALUE(t_Parts[[EOP]:[EOP]])),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90">
      <calculatedColumnFormula>IF(AND(AG$2&gt;=VALUE(t_Parts[[SOP]:[SOP]]),AG$2&lt;=VALUE(t_Parts[[EOP]:[EOP]])),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89">
      <calculatedColumnFormula>IF(AND(AH$2&gt;=VALUE(t_Parts[[SOP]:[SOP]]),AH$2&lt;=VALUE(t_Parts[[EOP]:[EOP]])),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88">
      <calculatedColumnFormula>IF(AND(AI$2&gt;=VALUE(t_Parts[[SOP]:[SOP]]),AI$2&lt;=VALUE(t_Parts[[EOP]:[EOP]])),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87">
      <calculatedColumnFormula>IF(AND(AJ$2&gt;=VALUE(t_Parts[[SOP]:[SOP]]),AJ$2&lt;=VALUE(t_Parts[[EOP]:[EOP]])),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86">
      <calculatedColumnFormula>IF(AND(AK$2&gt;=VALUE(t_Parts[[SOP]:[SOP]]),AK$2&lt;=VALUE(t_Parts[[EOP]:[EOP]])),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85">
      <calculatedColumnFormula>IF(AND(AL$2&gt;=VALUE(t_Parts[[SOP]:[SOP]]),AL$2&lt;=VALUE(t_Parts[[EOP]:[EOP]])),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84">
      <calculatedColumnFormula>IF(AND(AM$2&gt;=VALUE(t_Parts[[SOP]:[SOP]]),AM$2&lt;=VALUE(t_Parts[[EOP]:[EOP]])),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83">
      <calculatedColumnFormula>IF(AND(AN$2&gt;=VALUE(t_Parts[[SOP]:[SOP]]),AN$2&lt;=VALUE(t_Parts[[EOP]:[EOP]])),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82">
      <calculatedColumnFormula>IF(AND(AO$2&gt;=VALUE(t_Parts[[SOP]:[SOP]]),AO$2&lt;=VALUE(t_Parts[[EOP]:[EOP]])),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81">
      <calculatedColumnFormula>SUM(t_Parts[[#This Row],[pv2015.01]:[pv2015.12]])</calculatedColumnFormula>
    </tableColumn>
    <tableColumn id="82" name="pv2016.01" dataDxfId="180">
      <calculatedColumnFormula>IF(AND(AQ$2&gt;=VALUE(t_Parts[[SOP]:[SOP]]),AQ$2&lt;=VALUE(t_Parts[[EOP]:[EOP]])),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79">
      <calculatedColumnFormula>IF(AND(AR$2&gt;=VALUE(t_Parts[[SOP]:[SOP]]),AR$2&lt;=VALUE(t_Parts[[EOP]:[EOP]])),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78">
      <calculatedColumnFormula>IF(AND(AS$2&gt;=VALUE(t_Parts[[SOP]:[SOP]]),AS$2&lt;=VALUE(t_Parts[[EOP]:[EOP]])),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77">
      <calculatedColumnFormula>IF(AND(AT$2&gt;=VALUE(t_Parts[[SOP]:[SOP]]),AT$2&lt;=VALUE(t_Parts[[EOP]:[EOP]])),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76">
      <calculatedColumnFormula>IF(AND(AU$2&gt;=VALUE(t_Parts[[SOP]:[SOP]]),AU$2&lt;=VALUE(t_Parts[[EOP]:[EOP]])),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75">
      <calculatedColumnFormula>IF(AND(AV$2&gt;=VALUE(t_Parts[[SOP]:[SOP]]),AV$2&lt;=VALUE(t_Parts[[EOP]:[EOP]])),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74">
      <calculatedColumnFormula>IF(AND(AW$2&gt;=VALUE(t_Parts[[SOP]:[SOP]]),AW$2&lt;=VALUE(t_Parts[[EOP]:[EOP]])),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73">
      <calculatedColumnFormula>IF(AND(AX$2&gt;=VALUE(t_Parts[[SOP]:[SOP]]),AX$2&lt;=VALUE(t_Parts[[EOP]:[EOP]])),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72">
      <calculatedColumnFormula>IF(AND(AY$2&gt;=VALUE(t_Parts[[SOP]:[SOP]]),AY$2&lt;=VALUE(t_Parts[[EOP]:[EOP]])),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71">
      <calculatedColumnFormula>IF(AND(AZ$2&gt;=VALUE(t_Parts[[SOP]:[SOP]]),AZ$2&lt;=VALUE(t_Parts[[EOP]:[EOP]])),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70">
      <calculatedColumnFormula>IF(AND(BA$2&gt;=VALUE(t_Parts[[SOP]:[SOP]]),BA$2&lt;=VALUE(t_Parts[[EOP]:[EOP]])),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69">
      <calculatedColumnFormula>IF(AND(BB$2&gt;=VALUE(t_Parts[[SOP]:[SOP]]),BB$2&lt;=VALUE(t_Parts[[EOP]:[EOP]])),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68">
      <calculatedColumnFormula>SUM(t_Parts[[#This Row],[pv2016.01]:[pv2016.12]])</calculatedColumnFormula>
    </tableColumn>
    <tableColumn id="95" name="pv2017" dataDxfId="167">
      <calculatedColumnFormula>t_Parts[[#This Row],[2017vol]]</calculatedColumnFormula>
    </tableColumn>
    <tableColumn id="97" name="pv2018" dataDxfId="166">
      <calculatedColumnFormula>t_Parts[[#This Row],[2018vol]]</calculatedColumnFormula>
    </tableColumn>
    <tableColumn id="96" name="pv2019" dataDxfId="165">
      <calculatedColumnFormula>t_Parts[[#This Row],[2019vol]]</calculatedColumnFormula>
    </tableColumn>
    <tableColumn id="32" name="ha2015.01" dataDxfId="164">
      <calculatedColumnFormula>VLOOKUP(t_Parts[[Plant]:[Plant]],t_Plants[],Plants!CM$1,FALSE)</calculatedColumnFormula>
    </tableColumn>
    <tableColumn id="33" name="ha2015.02" dataDxfId="163">
      <calculatedColumnFormula>VLOOKUP(t_Parts[[Plant]:[Plant]],t_Plants[],Plants!CN$1,FALSE)</calculatedColumnFormula>
    </tableColumn>
    <tableColumn id="34" name="ha2015.03" dataDxfId="162">
      <calculatedColumnFormula>VLOOKUP(t_Parts[[Plant]:[Plant]],t_Plants[],Plants!CO$1,FALSE)</calculatedColumnFormula>
    </tableColumn>
    <tableColumn id="35" name="ha2015.04" dataDxfId="161">
      <calculatedColumnFormula>VLOOKUP(t_Parts[[Plant]:[Plant]],t_Plants[],Plants!CP$1,FALSE)</calculatedColumnFormula>
    </tableColumn>
    <tableColumn id="36" name="ha2015.05" dataDxfId="160">
      <calculatedColumnFormula>VLOOKUP(t_Parts[[Plant]:[Plant]],t_Plants[],Plants!CQ$1,FALSE)</calculatedColumnFormula>
    </tableColumn>
    <tableColumn id="37" name="ha2015.06" dataDxfId="159">
      <calculatedColumnFormula>VLOOKUP(t_Parts[[Plant]:[Plant]],t_Plants[],Plants!CR$1,FALSE)</calculatedColumnFormula>
    </tableColumn>
    <tableColumn id="38" name="ha2015.07" dataDxfId="158">
      <calculatedColumnFormula>VLOOKUP(t_Parts[[Plant]:[Plant]],t_Plants[],Plants!CS$1,FALSE)</calculatedColumnFormula>
    </tableColumn>
    <tableColumn id="39" name="ha2015.08" dataDxfId="157">
      <calculatedColumnFormula>VLOOKUP(t_Parts[[Plant]:[Plant]],t_Plants[],Plants!CT$1,FALSE)</calculatedColumnFormula>
    </tableColumn>
    <tableColumn id="40" name="ha2015.09" dataDxfId="156">
      <calculatedColumnFormula>VLOOKUP(t_Parts[[Plant]:[Plant]],t_Plants[],Plants!CU$1,FALSE)</calculatedColumnFormula>
    </tableColumn>
    <tableColumn id="41" name="ha2015.10" dataDxfId="155">
      <calculatedColumnFormula>VLOOKUP(t_Parts[[Plant]:[Plant]],t_Plants[],Plants!CV$1,FALSE)</calculatedColumnFormula>
    </tableColumn>
    <tableColumn id="42" name="ha2015.11" dataDxfId="154">
      <calculatedColumnFormula>VLOOKUP(t_Parts[[Plant]:[Plant]],t_Plants[],Plants!CW$1,FALSE)</calculatedColumnFormula>
    </tableColumn>
    <tableColumn id="43" name="ha2015.12" dataDxfId="153">
      <calculatedColumnFormula>VLOOKUP(t_Parts[[Plant]:[Plant]],t_Plants[],Plants!CX$1,FALSE)</calculatedColumnFormula>
    </tableColumn>
    <tableColumn id="44" name="ha2015.FY" dataDxfId="152">
      <calculatedColumnFormula>SUM(t_Parts[[#This Row],[ha2015.01]:[ha2015.12]])</calculatedColumnFormula>
    </tableColumn>
    <tableColumn id="98" name="ha2016.01" dataDxfId="151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150">
      <calculatedColumnFormula>IF(AND(AD$2&gt;=VALUE(t_Parts[[SOP]:[SOP]]),AD$2&lt;=VALUE(t_Parts[[EOP]:[EOP]])), t_Parts[[SetupHrsPerMo]:[SetupHrsPerMo]]+(t_Parts[[#This Row],[pv2015.01]]/t_Parts[[NetPPH]:[NetPPH]]),0)</calculatedColumnFormula>
    </tableColumn>
    <tableColumn id="46" name="hp2015.02" dataDxfId="149">
      <calculatedColumnFormula>IF(AND(AE$2&gt;=VALUE(t_Parts[[SOP]:[SOP]]),AE$2&lt;=VALUE(t_Parts[[EOP]:[EOP]])), t_Parts[[SetupHrsPerMo]:[SetupHrsPerMo]]+(t_Parts[[#This Row],[pv2015.02]]/t_Parts[[NetPPH]:[NetPPH]]),0)</calculatedColumnFormula>
    </tableColumn>
    <tableColumn id="47" name="hp2015.03" dataDxfId="148">
      <calculatedColumnFormula>IF(AND(AF$2&gt;=VALUE(t_Parts[[SOP]:[SOP]]),AF$2&lt;=VALUE(t_Parts[[EOP]:[EOP]])), t_Parts[[SetupHrsPerMo]:[SetupHrsPerMo]]+(t_Parts[[#This Row],[pv2015.03]]/t_Parts[[NetPPH]:[NetPPH]]),0)</calculatedColumnFormula>
    </tableColumn>
    <tableColumn id="48" name="hp2015.04" dataDxfId="147">
      <calculatedColumnFormula>IF(AND(AG$2&gt;=VALUE(t_Parts[[SOP]:[SOP]]),AG$2&lt;=VALUE(t_Parts[[EOP]:[EOP]])), t_Parts[[SetupHrsPerMo]:[SetupHrsPerMo]]+(t_Parts[[#This Row],[pv2015.04]]/t_Parts[[NetPPH]:[NetPPH]]),0)</calculatedColumnFormula>
    </tableColumn>
    <tableColumn id="49" name="hp2015.05" dataDxfId="146">
      <calculatedColumnFormula>IF(AND(AH$2&gt;=VALUE(t_Parts[[SOP]:[SOP]]),AH$2&lt;=VALUE(t_Parts[[EOP]:[EOP]])), t_Parts[[SetupHrsPerMo]:[SetupHrsPerMo]]+(t_Parts[[#This Row],[pv2015.05]]/t_Parts[[NetPPH]:[NetPPH]]),0)</calculatedColumnFormula>
    </tableColumn>
    <tableColumn id="50" name="hp2015.06" dataDxfId="145">
      <calculatedColumnFormula>IF(AND(AI$2&gt;=VALUE(t_Parts[[SOP]:[SOP]]),AI$2&lt;=VALUE(t_Parts[[EOP]:[EOP]])), t_Parts[[SetupHrsPerMo]:[SetupHrsPerMo]]+(t_Parts[[#This Row],[pv2015.06]]/t_Parts[[NetPPH]:[NetPPH]]),0)</calculatedColumnFormula>
    </tableColumn>
    <tableColumn id="51" name="hp2015.07" dataDxfId="144">
      <calculatedColumnFormula>IF(AND(AJ$2&gt;=VALUE(t_Parts[[SOP]:[SOP]]),AJ$2&lt;=VALUE(t_Parts[[EOP]:[EOP]])), t_Parts[[SetupHrsPerMo]:[SetupHrsPerMo]]+(t_Parts[[#This Row],[pv2015.07]]/t_Parts[[NetPPH]:[NetPPH]]),0)</calculatedColumnFormula>
    </tableColumn>
    <tableColumn id="52" name="hp2015.08" dataDxfId="143">
      <calculatedColumnFormula>IF(AND(AK$2&gt;=VALUE(t_Parts[[SOP]:[SOP]]),AK$2&lt;=VALUE(t_Parts[[EOP]:[EOP]])), t_Parts[[SetupHrsPerMo]:[SetupHrsPerMo]]+(t_Parts[[#This Row],[pv2015.08]]/t_Parts[[NetPPH]:[NetPPH]]),0)</calculatedColumnFormula>
    </tableColumn>
    <tableColumn id="53" name="hp2015.09" dataDxfId="142">
      <calculatedColumnFormula>IF(AND(AL$2&gt;=VALUE(t_Parts[[SOP]:[SOP]]),AL$2&lt;=VALUE(t_Parts[[EOP]:[EOP]])), t_Parts[[SetupHrsPerMo]:[SetupHrsPerMo]]+(t_Parts[[#This Row],[pv2015.09]]/t_Parts[[NetPPH]:[NetPPH]]),0)</calculatedColumnFormula>
    </tableColumn>
    <tableColumn id="54" name="hp2015.10" dataDxfId="141">
      <calculatedColumnFormula>IF(AND(AM$2&gt;=VALUE(t_Parts[[SOP]:[SOP]]),AM$2&lt;=VALUE(t_Parts[[EOP]:[EOP]])), t_Parts[[SetupHrsPerMo]:[SetupHrsPerMo]]+(t_Parts[[#This Row],[pv2015.10]]/t_Parts[[NetPPH]:[NetPPH]]),0)</calculatedColumnFormula>
    </tableColumn>
    <tableColumn id="55" name="hp2015.11" dataDxfId="140">
      <calculatedColumnFormula>IF(AND(AN$2&gt;=VALUE(t_Parts[[SOP]:[SOP]]),AN$2&lt;=VALUE(t_Parts[[EOP]:[EOP]])), t_Parts[[SetupHrsPerMo]:[SetupHrsPerMo]]+(t_Parts[[#This Row],[pv2015.11]]/t_Parts[[NetPPH]:[NetPPH]]),0)</calculatedColumnFormula>
    </tableColumn>
    <tableColumn id="56" name="hp2015.12" dataDxfId="139">
      <calculatedColumnFormula>IF(AND(AO$2&gt;=VALUE(t_Parts[[SOP]:[SOP]]),AO$2&lt;=VALUE(t_Parts[[EOP]:[EOP]])), t_Parts[[SetupHrsPerMo]:[SetupHrsPerMo]]+(t_Parts[[#This Row],[pv2015.12]]/t_Parts[[NetPPH]:[NetPPH]]),0)</calculatedColumnFormula>
    </tableColumn>
    <tableColumn id="57" name="hp2015.FY" dataDxfId="138">
      <calculatedColumnFormula>SUM(t_Parts[[#This Row],[hp2015.01]:[hp2015.12]])</calculatedColumnFormula>
    </tableColumn>
    <tableColumn id="113" name="hp2016.01" dataDxfId="137">
      <calculatedColumnFormula>IF(AND(AQ$2&gt;=VALUE(t_Parts[[SOP]:[SOP]]),AQ$2&lt;=VALUE(t_Parts[[EOP]:[EOP]])), t_Parts[[SetupHrsPerMo]:[SetupHrsPerMo]]+(t_Parts[[#This Row],[pv2016.01]]/t_Parts[[NetPPH]:[NetPPH]]),0)</calculatedColumnFormula>
    </tableColumn>
    <tableColumn id="114" name="hp2016.02" dataDxfId="136">
      <calculatedColumnFormula>IF(AND(AR$2&gt;=VALUE(t_Parts[[SOP]:[SOP]]),AR$2&lt;=VALUE(t_Parts[[EOP]:[EOP]])), t_Parts[[SetupHrsPerMo]:[SetupHrsPerMo]]+(t_Parts[[#This Row],[pv2016.02]]/t_Parts[[NetPPH]:[NetPPH]]),0)</calculatedColumnFormula>
    </tableColumn>
    <tableColumn id="115" name="hp2016.03" dataDxfId="135">
      <calculatedColumnFormula>IF(AND(AS$2&gt;=VALUE(t_Parts[[SOP]:[SOP]]),AS$2&lt;=VALUE(t_Parts[[EOP]:[EOP]])), t_Parts[[SetupHrsPerMo]:[SetupHrsPerMo]]+(t_Parts[[#This Row],[pv2016.03]]/t_Parts[[NetPPH]:[NetPPH]]),0)</calculatedColumnFormula>
    </tableColumn>
    <tableColumn id="116" name="hp2016.04" dataDxfId="134">
      <calculatedColumnFormula>IF(AND(AT$2&gt;=VALUE(t_Parts[[SOP]:[SOP]]),AT$2&lt;=VALUE(t_Parts[[EOP]:[EOP]])), t_Parts[[SetupHrsPerMo]:[SetupHrsPerMo]]+(t_Parts[[#This Row],[pv2016.04]]/t_Parts[[NetPPH]:[NetPPH]]),0)</calculatedColumnFormula>
    </tableColumn>
    <tableColumn id="117" name="hp2016.05" dataDxfId="133">
      <calculatedColumnFormula>IF(AND(AU$2&gt;=VALUE(t_Parts[[SOP]:[SOP]]),AU$2&lt;=VALUE(t_Parts[[EOP]:[EOP]])), t_Parts[[SetupHrsPerMo]:[SetupHrsPerMo]]+(t_Parts[[#This Row],[pv2016.05]]/t_Parts[[NetPPH]:[NetPPH]]),0)</calculatedColumnFormula>
    </tableColumn>
    <tableColumn id="118" name="hp2016.06" dataDxfId="132">
      <calculatedColumnFormula>IF(AND(AV$2&gt;=VALUE(t_Parts[[SOP]:[SOP]]),AV$2&lt;=VALUE(t_Parts[[EOP]:[EOP]])), t_Parts[[SetupHrsPerMo]:[SetupHrsPerMo]]+(t_Parts[[#This Row],[pv2016.06]]/t_Parts[[NetPPH]:[NetPPH]]),0)</calculatedColumnFormula>
    </tableColumn>
    <tableColumn id="119" name="hp2016.07" dataDxfId="131">
      <calculatedColumnFormula>IF(AND(AW$2&gt;=VALUE(t_Parts[[SOP]:[SOP]]),AW$2&lt;=VALUE(t_Parts[[EOP]:[EOP]])), t_Parts[[SetupHrsPerMo]:[SetupHrsPerMo]]+(t_Parts[[#This Row],[pv2016.07]]/t_Parts[[NetPPH]:[NetPPH]]),0)</calculatedColumnFormula>
    </tableColumn>
    <tableColumn id="120" name="hp2016.08" dataDxfId="130">
      <calculatedColumnFormula>IF(AND(AX$2&gt;=VALUE(t_Parts[[SOP]:[SOP]]),AX$2&lt;=VALUE(t_Parts[[EOP]:[EOP]])), t_Parts[[SetupHrsPerMo]:[SetupHrsPerMo]]+(t_Parts[[#This Row],[pv2016.08]]/t_Parts[[NetPPH]:[NetPPH]]),0)</calculatedColumnFormula>
    </tableColumn>
    <tableColumn id="121" name="hp2016.09" dataDxfId="129">
      <calculatedColumnFormula>IF(AND(AY$2&gt;=VALUE(t_Parts[[SOP]:[SOP]]),AY$2&lt;=VALUE(t_Parts[[EOP]:[EOP]])), t_Parts[[SetupHrsPerMo]:[SetupHrsPerMo]]+(t_Parts[[#This Row],[pv2016.09]]/t_Parts[[NetPPH]:[NetPPH]]),0)</calculatedColumnFormula>
    </tableColumn>
    <tableColumn id="122" name="hp2016.10" dataDxfId="128">
      <calculatedColumnFormula>IF(AND(AZ$2&gt;=VALUE(t_Parts[[SOP]:[SOP]]),AZ$2&lt;=VALUE(t_Parts[[EOP]:[EOP]])), t_Parts[[SetupHrsPerMo]:[SetupHrsPerMo]]+(t_Parts[[#This Row],[pv2016.10]]/t_Parts[[NetPPH]:[NetPPH]]),0)</calculatedColumnFormula>
    </tableColumn>
    <tableColumn id="123" name="hp2016.11" dataDxfId="127">
      <calculatedColumnFormula>IF(AND(BA$2&gt;=VALUE(t_Parts[[SOP]:[SOP]]),BA$2&lt;=VALUE(t_Parts[[EOP]:[EOP]])), t_Parts[[SetupHrsPerMo]:[SetupHrsPerMo]]+(t_Parts[[#This Row],[pv2016.11]]/t_Parts[[NetPPH]:[NetPPH]]),0)</calculatedColumnFormula>
    </tableColumn>
    <tableColumn id="124" name="hp2016.12" dataDxfId="126">
      <calculatedColumnFormula>IF(AND(BB$2&gt;=VALUE(t_Parts[[SOP]:[SOP]]),BB$2&lt;=VALUE(t_Parts[[EOP]:[EOP]])), t_Parts[[SetupHrsPerMo]:[SetupHrsPerMo]]+(t_Parts[[#This Row],[pv2016.12]]/t_Parts[[NetPPH]:[NetPPH]]),0)</calculatedColumnFormula>
    </tableColumn>
    <tableColumn id="127" name="hp2016.FY" dataDxfId="125">
      <calculatedColumnFormula>SUM(t_Parts[[#This Row],[hp2016.01]:[hp2016.12]])</calculatedColumnFormula>
    </tableColumn>
    <tableColumn id="126" name="hp2017" dataDxfId="124">
      <calculatedColumnFormula>IF(AND(BD$2&gt;=VALUE(t_Parts[[SOP]:[SOP]]),BD$2&lt;=VALUE(t_Parts[[EOP]:[EOP]])), 12*t_Parts[[SetupHrsPerMo]:[SetupHrsPerMo]]+(t_Parts[[#This Row],[pv2017]]/t_Parts[[NetPPH]:[NetPPH]]),0)</calculatedColumnFormula>
    </tableColumn>
    <tableColumn id="125" name="hp2018" dataDxfId="123">
      <calculatedColumnFormula>IF(AND(BE$2&gt;=VALUE(t_Parts[[SOP]:[SOP]]),BE$2&lt;=VALUE(t_Parts[[EOP]:[EOP]])), 12*t_Parts[[SetupHrsPerMo]:[SetupHrsPerMo]]+(t_Parts[[#This Row],[pv2018]]/t_Parts[[NetPPH]:[NetPPH]]),0)</calculatedColumnFormula>
    </tableColumn>
    <tableColumn id="128" name="hp2019" dataDxfId="122">
      <calculatedColumnFormula>IF(AND(BF$2&gt;=VALUE(t_Parts[[SOP]:[SOP]]),BF$2&lt;=VALUE(t_Parts[[EOP]:[EOP]])), 12*t_Parts[[SetupHrsPerMo]:[SetupHrsPerMo]]+(t_Parts[[#This Row],[pv2019]]/t_Parts[[NetPPH]:[NetPPH]]),0)</calculatedColumnFormula>
    </tableColumn>
    <tableColumn id="58" name="2015.01" dataDxfId="121">
      <calculatedColumnFormula>t_Parts[[#This Row],[hp2015.01]]/t_Parts[[#This Row],[ha2015.01]]</calculatedColumnFormula>
    </tableColumn>
    <tableColumn id="59" name="2015.02" dataDxfId="120">
      <calculatedColumnFormula>t_Parts[[#This Row],[hp2015.02]]/t_Parts[[#This Row],[ha2015.02]]</calculatedColumnFormula>
    </tableColumn>
    <tableColumn id="60" name="2015.03" dataDxfId="119">
      <calculatedColumnFormula>t_Parts[[#This Row],[hp2015.03]]/t_Parts[[#This Row],[ha2015.03]]</calculatedColumnFormula>
    </tableColumn>
    <tableColumn id="61" name="2015.04" dataDxfId="118">
      <calculatedColumnFormula>t_Parts[[#This Row],[hp2015.04]]/t_Parts[[#This Row],[ha2015.04]]</calculatedColumnFormula>
    </tableColumn>
    <tableColumn id="62" name="2015.05" dataDxfId="117">
      <calculatedColumnFormula>t_Parts[[#This Row],[hp2015.05]]/t_Parts[[#This Row],[ha2015.05]]</calculatedColumnFormula>
    </tableColumn>
    <tableColumn id="63" name="2015.06" dataDxfId="116">
      <calculatedColumnFormula>t_Parts[[#This Row],[hp2015.06]]/t_Parts[[#This Row],[ha2015.06]]</calculatedColumnFormula>
    </tableColumn>
    <tableColumn id="64" name="2015.07" dataDxfId="115">
      <calculatedColumnFormula>t_Parts[[#This Row],[hp2015.07]]/t_Parts[[#This Row],[ha2015.07]]</calculatedColumnFormula>
    </tableColumn>
    <tableColumn id="65" name="2015.08" dataDxfId="114">
      <calculatedColumnFormula>t_Parts[[#This Row],[hp2015.08]]/t_Parts[[#This Row],[ha2015.08]]</calculatedColumnFormula>
    </tableColumn>
    <tableColumn id="66" name="2015.09" dataDxfId="113">
      <calculatedColumnFormula>t_Parts[[#This Row],[hp2015.09]]/t_Parts[[#This Row],[ha2015.09]]</calculatedColumnFormula>
    </tableColumn>
    <tableColumn id="67" name="2015.1" dataDxfId="112">
      <calculatedColumnFormula>t_Parts[[#This Row],[hp2015.10]]/t_Parts[[#This Row],[ha2015.10]]</calculatedColumnFormula>
    </tableColumn>
    <tableColumn id="68" name="2015.11" dataDxfId="111">
      <calculatedColumnFormula>t_Parts[[#This Row],[hp2015.11]]/t_Parts[[#This Row],[ha2015.11]]</calculatedColumnFormula>
    </tableColumn>
    <tableColumn id="69" name="2015.12" dataDxfId="110">
      <calculatedColumnFormula>t_Parts[[#This Row],[hp2015.12]]/t_Parts[[#This Row],[ha2015.12]]</calculatedColumnFormula>
    </tableColumn>
    <tableColumn id="70" name="2015.FY" dataDxfId="109">
      <calculatedColumnFormula>t_Parts[[#This Row],[hp2015.FY]]/t_Parts[[#This Row],[ha2015.FY]]</calculatedColumnFormula>
    </tableColumn>
    <tableColumn id="129" name="2016.01" dataDxfId="108">
      <calculatedColumnFormula>t_Parts[[#This Row],[hp2016.01]]/t_Parts[[#This Row],[ha2016.01]]</calculatedColumnFormula>
    </tableColumn>
    <tableColumn id="130" name="2016.02" dataDxfId="107">
      <calculatedColumnFormula>t_Parts[[#This Row],[hp2016.02]]/t_Parts[[#This Row],[ha2016.02]]</calculatedColumnFormula>
    </tableColumn>
    <tableColumn id="131" name="2016.03" dataDxfId="106">
      <calculatedColumnFormula>t_Parts[[#This Row],[hp2016.03]]/t_Parts[[#This Row],[ha2016.03]]</calculatedColumnFormula>
    </tableColumn>
    <tableColumn id="132" name="2016.04" dataDxfId="105">
      <calculatedColumnFormula>t_Parts[[#This Row],[hp2016.04]]/t_Parts[[#This Row],[ha2016.04]]</calculatedColumnFormula>
    </tableColumn>
    <tableColumn id="133" name="2016.05" dataDxfId="104">
      <calculatedColumnFormula>t_Parts[[#This Row],[hp2016.05]]/t_Parts[[#This Row],[ha2016.05]]</calculatedColumnFormula>
    </tableColumn>
    <tableColumn id="134" name="2016.06" dataDxfId="103">
      <calculatedColumnFormula>t_Parts[[#This Row],[hp2016.06]]/t_Parts[[#This Row],[ha2016.06]]</calculatedColumnFormula>
    </tableColumn>
    <tableColumn id="135" name="2016.07" dataDxfId="102">
      <calculatedColumnFormula>t_Parts[[#This Row],[hp2016.07]]/t_Parts[[#This Row],[ha2016.07]]</calculatedColumnFormula>
    </tableColumn>
    <tableColumn id="136" name="2016.08" dataDxfId="101">
      <calculatedColumnFormula>t_Parts[[#This Row],[hp2016.08]]/t_Parts[[#This Row],[ha2016.08]]</calculatedColumnFormula>
    </tableColumn>
    <tableColumn id="137" name="2016.09" dataDxfId="100">
      <calculatedColumnFormula>t_Parts[[#This Row],[hp2016.09]]/t_Parts[[#This Row],[ha2016.09]]</calculatedColumnFormula>
    </tableColumn>
    <tableColumn id="138" name="2016.10" dataDxfId="99">
      <calculatedColumnFormula>t_Parts[[#This Row],[hp2016.10]]/t_Parts[[#This Row],[ha2016.10]]</calculatedColumnFormula>
    </tableColumn>
    <tableColumn id="139" name="2016.11" dataDxfId="98">
      <calculatedColumnFormula>t_Parts[[#This Row],[hp2016.11]]/t_Parts[[#This Row],[ha2016.11]]</calculatedColumnFormula>
    </tableColumn>
    <tableColumn id="140" name="2016.12" dataDxfId="97">
      <calculatedColumnFormula>t_Parts[[#This Row],[hp2016.12]]/t_Parts[[#This Row],[ha2016.12]]</calculatedColumnFormula>
    </tableColumn>
    <tableColumn id="141" name="2016.FY" dataDxfId="96">
      <calculatedColumnFormula>t_Parts[[#This Row],[hp2016.FY]]/t_Parts[[#This Row],[ha2016.FY]]</calculatedColumnFormula>
    </tableColumn>
    <tableColumn id="142" name="2017" dataDxfId="95">
      <calculatedColumnFormula>t_Parts[[#This Row],[hp2017]]/t_Parts[[#This Row],[ha2017]]</calculatedColumnFormula>
    </tableColumn>
    <tableColumn id="143" name="2018" dataDxfId="94">
      <calculatedColumnFormula>t_Parts[[#This Row],[hp2018]]/t_Parts[[#This Row],[ha2018]]</calculatedColumnFormula>
    </tableColumn>
    <tableColumn id="144" name="2019" dataDxfId="93">
      <calculatedColumnFormula>t_Parts[[#This Row],[hp2019]]/t_Parts[[#This Row],[hp2015.01]]</calculatedColumnFormula>
    </tableColumn>
    <tableColumn id="146" name="hr2015.01" dataDxfId="92">
      <calculatedColumnFormula>(t_Parts[[#This Row],[ha2015.01]]-t_Parts[[#This Row],[hp2015.01]])*t_Parts[[NetPPH]:[NetPPH]]</calculatedColumnFormula>
    </tableColumn>
    <tableColumn id="147" name="hr2015.02" dataDxfId="91">
      <calculatedColumnFormula>(t_Parts[[#This Row],[ha2015.02]]-t_Parts[[#This Row],[hp2015.02]])*t_Parts[[NetPPH]:[NetPPH]]</calculatedColumnFormula>
    </tableColumn>
    <tableColumn id="148" name="hr2015.03" dataDxfId="90">
      <calculatedColumnFormula>(t_Parts[[#This Row],[ha2015.03]]-t_Parts[[#This Row],[hp2015.03]])*t_Parts[[NetPPH]:[NetPPH]]</calculatedColumnFormula>
    </tableColumn>
    <tableColumn id="149" name="hr2015.04" dataDxfId="89">
      <calculatedColumnFormula>(t_Parts[[#This Row],[ha2015.04]]-t_Parts[[#This Row],[hp2015.04]])*t_Parts[[NetPPH]:[NetPPH]]</calculatedColumnFormula>
    </tableColumn>
    <tableColumn id="150" name="hr2015.05" dataDxfId="88">
      <calculatedColumnFormula>(t_Parts[[#This Row],[ha2015.05]]-t_Parts[[#This Row],[hp2015.05]])*t_Parts[[NetPPH]:[NetPPH]]</calculatedColumnFormula>
    </tableColumn>
    <tableColumn id="151" name="hr2015.06" dataDxfId="87">
      <calculatedColumnFormula>(t_Parts[[#This Row],[ha2015.06]]-t_Parts[[#This Row],[hp2015.06]])*t_Parts[[NetPPH]:[NetPPH]]</calculatedColumnFormula>
    </tableColumn>
    <tableColumn id="152" name="hr2015.07" dataDxfId="86">
      <calculatedColumnFormula>(t_Parts[[#This Row],[ha2015.07]]-t_Parts[[#This Row],[hp2015.07]])*t_Parts[[NetPPH]:[NetPPH]]</calculatedColumnFormula>
    </tableColumn>
    <tableColumn id="153" name="hr2015.08" dataDxfId="85">
      <calculatedColumnFormula>(t_Parts[[#This Row],[ha2015.08]]-t_Parts[[#This Row],[hp2015.08]])*t_Parts[[NetPPH]:[NetPPH]]</calculatedColumnFormula>
    </tableColumn>
    <tableColumn id="154" name="hr2015.09" dataDxfId="84">
      <calculatedColumnFormula>(t_Parts[[#This Row],[ha2015.09]]-t_Parts[[#This Row],[hp2015.09]])*t_Parts[[NetPPH]:[NetPPH]]</calculatedColumnFormula>
    </tableColumn>
    <tableColumn id="155" name="hr2015.10" dataDxfId="83">
      <calculatedColumnFormula>(t_Parts[[#This Row],[ha2015.10]]-t_Parts[[#This Row],[hp2015.10]])*t_Parts[[NetPPH]:[NetPPH]]</calculatedColumnFormula>
    </tableColumn>
    <tableColumn id="156" name="hr2015.11" dataDxfId="82">
      <calculatedColumnFormula>(t_Parts[[#This Row],[ha2015.11]]-t_Parts[[#This Row],[hp2015.11]])*t_Parts[[NetPPH]:[NetPPH]]</calculatedColumnFormula>
    </tableColumn>
    <tableColumn id="157" name="hr2015.12" dataDxfId="81">
      <calculatedColumnFormula>(t_Parts[[#This Row],[ha2015.12]]-t_Parts[[#This Row],[hp2015.12]])*t_Parts[[NetPPH]:[NetPPH]]</calculatedColumnFormula>
    </tableColumn>
    <tableColumn id="158" name="hr2015.FY" dataDxfId="80">
      <calculatedColumnFormula>(t_Parts[[#This Row],[ha2015.FY]]-t_Parts[[#This Row],[hp2015.FY]])*t_Parts[[NetPPH]:[NetPPH]]</calculatedColumnFormula>
    </tableColumn>
    <tableColumn id="159" name="hr2016.01" dataDxfId="79">
      <calculatedColumnFormula>(t_Parts[[#This Row],[ha2016.01]]-t_Parts[[#This Row],[hp2016.01]])*t_Parts[[NetPPH]:[NetPPH]]</calculatedColumnFormula>
    </tableColumn>
    <tableColumn id="160" name="hr2016.02" dataDxfId="78">
      <calculatedColumnFormula>(t_Parts[[#This Row],[ha2016.02]]-t_Parts[[#This Row],[hp2016.02]])*t_Parts[[NetPPH]:[NetPPH]]</calculatedColumnFormula>
    </tableColumn>
    <tableColumn id="161" name="hr2016.03" dataDxfId="77">
      <calculatedColumnFormula>(t_Parts[[#This Row],[ha2016.03]]-t_Parts[[#This Row],[hp2016.03]])*t_Parts[[NetPPH]:[NetPPH]]</calculatedColumnFormula>
    </tableColumn>
    <tableColumn id="162" name="hr2016.04" dataDxfId="76">
      <calculatedColumnFormula>(t_Parts[[#This Row],[ha2016.04]]-t_Parts[[#This Row],[hp2016.04]])*t_Parts[[NetPPH]:[NetPPH]]</calculatedColumnFormula>
    </tableColumn>
    <tableColumn id="163" name="hr2016.05" dataDxfId="75">
      <calculatedColumnFormula>(t_Parts[[#This Row],[ha2016.05]]-t_Parts[[#This Row],[hp2016.05]])*t_Parts[[NetPPH]:[NetPPH]]</calculatedColumnFormula>
    </tableColumn>
    <tableColumn id="164" name="hr2016.06" dataDxfId="74">
      <calculatedColumnFormula>(t_Parts[[#This Row],[ha2016.06]]-t_Parts[[#This Row],[hp2016.06]])*t_Parts[[NetPPH]:[NetPPH]]</calculatedColumnFormula>
    </tableColumn>
    <tableColumn id="165" name="hr2016.07" dataDxfId="73">
      <calculatedColumnFormula>(t_Parts[[#This Row],[ha2016.07]]-t_Parts[[#This Row],[hp2016.07]])*t_Parts[[NetPPH]:[NetPPH]]</calculatedColumnFormula>
    </tableColumn>
    <tableColumn id="166" name="hr2016.08" dataDxfId="72">
      <calculatedColumnFormula>(t_Parts[[#This Row],[ha2016.08]]-t_Parts[[#This Row],[hp2016.08]])*t_Parts[[NetPPH]:[NetPPH]]</calculatedColumnFormula>
    </tableColumn>
    <tableColumn id="167" name="hr2016.09" dataDxfId="71">
      <calculatedColumnFormula>(t_Parts[[#This Row],[ha2016.09]]-t_Parts[[#This Row],[hp2016.09]])*t_Parts[[NetPPH]:[NetPPH]]</calculatedColumnFormula>
    </tableColumn>
    <tableColumn id="168" name="hr2016.10" dataDxfId="70">
      <calculatedColumnFormula>(t_Parts[[#This Row],[ha2016.10]]-t_Parts[[#This Row],[hp2016.10]])*t_Parts[[NetPPH]:[NetPPH]]</calculatedColumnFormula>
    </tableColumn>
    <tableColumn id="169" name="hr2016.11" dataDxfId="69">
      <calculatedColumnFormula>(t_Parts[[#This Row],[ha2016.11]]-t_Parts[[#This Row],[hp2016.11]])*t_Parts[[NetPPH]:[NetPPH]]</calculatedColumnFormula>
    </tableColumn>
    <tableColumn id="170" name="hr2016.12" dataDxfId="68">
      <calculatedColumnFormula>(t_Parts[[#This Row],[ha2016.12]]-t_Parts[[#This Row],[hp2016.12]])*t_Parts[[NetPPH]:[NetPPH]]</calculatedColumnFormula>
    </tableColumn>
    <tableColumn id="171" name="hr2016.FY" dataDxfId="67">
      <calculatedColumnFormula>(t_Parts[[#This Row],[ha2016.FY]]-t_Parts[[#This Row],[hp2016.FY]])*t_Parts[[NetPPH]:[NetPPH]]</calculatedColumnFormula>
    </tableColumn>
    <tableColumn id="172" name="hr2017" dataDxfId="66">
      <calculatedColumnFormula>(t_Parts[[#This Row],[ha2017]]-t_Parts[[#This Row],[hp2017]])*t_Parts[[NetPPH]:[NetPPH]]</calculatedColumnFormula>
    </tableColumn>
    <tableColumn id="173" name="hr2018" dataDxfId="65">
      <calculatedColumnFormula>(t_Parts[[#This Row],[ha2018]]-t_Parts[[#This Row],[hp2018]])*t_Parts[[NetPPH]:[NetPPH]]</calculatedColumnFormula>
    </tableColumn>
    <tableColumn id="174" name="hr2019" dataDxfId="64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6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0" totalsRowShown="0">
  <autoFilter ref="A14:A20"/>
  <tableColumns count="1">
    <tableColumn id="2" name="Range Nam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abSelected="1" topLeftCell="A2" zoomScale="115" zoomScaleNormal="115" workbookViewId="0">
      <selection activeCell="B20" sqref="B20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74" t="s">
        <v>468</v>
      </c>
      <c r="B2" s="76">
        <v>9</v>
      </c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61"/>
      <c r="G3" s="61"/>
      <c r="H3" s="61"/>
      <c r="I3" s="61"/>
      <c r="J3" s="61"/>
      <c r="K3" s="61"/>
      <c r="L3" s="61"/>
      <c r="M3" s="61"/>
      <c r="N3" s="61"/>
      <c r="O3" s="6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70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71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53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5" t="s">
        <v>439</v>
      </c>
    </row>
    <row r="4" spans="1:177" x14ac:dyDescent="0.25">
      <c r="A4" s="73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469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470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73">
        <v>12</v>
      </c>
      <c r="C5" s="75">
        <v>0.77</v>
      </c>
      <c r="D5" s="73">
        <v>4</v>
      </c>
      <c r="E5" s="73">
        <v>3</v>
      </c>
      <c r="F5" s="73">
        <v>2</v>
      </c>
      <c r="G5" s="73">
        <v>4</v>
      </c>
      <c r="H5" s="73">
        <v>3</v>
      </c>
      <c r="I5" s="73">
        <v>2</v>
      </c>
      <c r="J5" s="73">
        <v>4</v>
      </c>
      <c r="K5" s="73">
        <v>3</v>
      </c>
      <c r="L5" s="73">
        <v>2</v>
      </c>
      <c r="M5" s="73">
        <v>4</v>
      </c>
      <c r="N5" s="73">
        <v>3</v>
      </c>
      <c r="O5" s="73">
        <v>2</v>
      </c>
      <c r="P5" s="73">
        <f>SUM(t_Plants[[#This Row],[d2015.01]:[d2015.12]])</f>
        <v>36</v>
      </c>
      <c r="Q5" s="73">
        <v>4</v>
      </c>
      <c r="R5" s="73">
        <v>3</v>
      </c>
      <c r="S5" s="73">
        <v>2</v>
      </c>
      <c r="T5" s="73">
        <v>4</v>
      </c>
      <c r="U5" s="73">
        <v>3</v>
      </c>
      <c r="V5" s="73">
        <v>2</v>
      </c>
      <c r="W5" s="73">
        <v>4</v>
      </c>
      <c r="X5" s="73">
        <v>3</v>
      </c>
      <c r="Y5" s="73">
        <v>2</v>
      </c>
      <c r="Z5" s="73">
        <v>4</v>
      </c>
      <c r="AA5" s="73">
        <v>3</v>
      </c>
      <c r="AB5" s="73">
        <v>2</v>
      </c>
      <c r="AC5" s="73">
        <f>SUM(t_Plants[[#This Row],[d2016.01]:[d2016.12]])</f>
        <v>36</v>
      </c>
      <c r="AD5" s="73">
        <f>t_Plants[[#This Row],[d2016.FY]]</f>
        <v>36</v>
      </c>
      <c r="AE5" s="73">
        <f>t_Plants[[#This Row],[d2016.FY]]</f>
        <v>36</v>
      </c>
      <c r="AF5" s="73">
        <f>t_Plants[[#This Row],[d2016.FY]]</f>
        <v>36</v>
      </c>
      <c r="AG5" s="73">
        <v>3</v>
      </c>
      <c r="AH5" s="73">
        <v>2</v>
      </c>
      <c r="AI5" s="73">
        <v>1</v>
      </c>
      <c r="AJ5" s="73">
        <v>3</v>
      </c>
      <c r="AK5" s="73">
        <v>2</v>
      </c>
      <c r="AL5" s="73">
        <v>1</v>
      </c>
      <c r="AM5" s="73">
        <v>3</v>
      </c>
      <c r="AN5" s="73">
        <v>2</v>
      </c>
      <c r="AO5" s="73">
        <v>1</v>
      </c>
      <c r="AP5" s="73">
        <v>3</v>
      </c>
      <c r="AQ5" s="73">
        <v>2</v>
      </c>
      <c r="AR5" s="73">
        <v>1</v>
      </c>
      <c r="AS5" s="73">
        <f>SUM(t_Plants[[#This Row],[o2015.01]:[o2015.12]])</f>
        <v>24</v>
      </c>
      <c r="AT5" s="73">
        <v>3</v>
      </c>
      <c r="AU5" s="73">
        <v>2</v>
      </c>
      <c r="AV5" s="73">
        <v>1</v>
      </c>
      <c r="AW5" s="73">
        <v>3</v>
      </c>
      <c r="AX5" s="73">
        <v>2</v>
      </c>
      <c r="AY5" s="73">
        <v>1</v>
      </c>
      <c r="AZ5" s="73">
        <v>3</v>
      </c>
      <c r="BA5" s="73">
        <v>2</v>
      </c>
      <c r="BB5" s="73">
        <v>1</v>
      </c>
      <c r="BC5" s="73">
        <v>3</v>
      </c>
      <c r="BD5" s="73">
        <v>2</v>
      </c>
      <c r="BE5" s="73">
        <v>1</v>
      </c>
      <c r="BF5" s="73">
        <f>SUM(t_Plants[[#This Row],[o2016.01]:[o2016.12]])</f>
        <v>24</v>
      </c>
      <c r="BG5" s="73">
        <f>t_Plants[[#This Row],[o2016.FY]]</f>
        <v>24</v>
      </c>
      <c r="BH5" s="73">
        <f>t_Plants[[#This Row],[o2016.FY]]</f>
        <v>24</v>
      </c>
      <c r="BI5" s="73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73">
        <v>8</v>
      </c>
      <c r="C6" s="75">
        <v>0.76</v>
      </c>
      <c r="D6" s="73">
        <v>28</v>
      </c>
      <c r="E6" s="73">
        <v>28</v>
      </c>
      <c r="F6" s="73">
        <v>35</v>
      </c>
      <c r="G6" s="73">
        <v>28</v>
      </c>
      <c r="H6" s="73">
        <v>28</v>
      </c>
      <c r="I6" s="73">
        <v>35</v>
      </c>
      <c r="J6" s="73">
        <v>28</v>
      </c>
      <c r="K6" s="73">
        <v>28</v>
      </c>
      <c r="L6" s="73">
        <v>35</v>
      </c>
      <c r="M6" s="73">
        <v>28</v>
      </c>
      <c r="N6" s="73">
        <v>28</v>
      </c>
      <c r="O6" s="73">
        <v>35</v>
      </c>
      <c r="P6" s="73">
        <f>SUM(t_Plants[[#This Row],[d2015.01]:[d2015.12]])</f>
        <v>364</v>
      </c>
      <c r="Q6" s="73">
        <v>28</v>
      </c>
      <c r="R6" s="73">
        <v>28</v>
      </c>
      <c r="S6" s="73">
        <v>35</v>
      </c>
      <c r="T6" s="73">
        <v>28</v>
      </c>
      <c r="U6" s="73">
        <v>28</v>
      </c>
      <c r="V6" s="73">
        <v>35</v>
      </c>
      <c r="W6" s="73">
        <v>28</v>
      </c>
      <c r="X6" s="73">
        <v>28</v>
      </c>
      <c r="Y6" s="73">
        <v>35</v>
      </c>
      <c r="Z6" s="73">
        <v>28</v>
      </c>
      <c r="AA6" s="73">
        <v>28</v>
      </c>
      <c r="AB6" s="73">
        <v>35</v>
      </c>
      <c r="AC6" s="73">
        <f>SUM(t_Plants[[#This Row],[d2016.01]:[d2016.12]])</f>
        <v>364</v>
      </c>
      <c r="AD6" s="73">
        <f>t_Plants[[#This Row],[d2016.FY]]</f>
        <v>364</v>
      </c>
      <c r="AE6" s="73">
        <f>t_Plants[[#This Row],[d2016.FY]]</f>
        <v>364</v>
      </c>
      <c r="AF6" s="73">
        <f>t_Plants[[#This Row],[d2016.FY]]</f>
        <v>364</v>
      </c>
      <c r="AG6" s="73">
        <v>2</v>
      </c>
      <c r="AH6" s="73">
        <v>2</v>
      </c>
      <c r="AI6" s="73">
        <v>1</v>
      </c>
      <c r="AJ6" s="73">
        <v>2</v>
      </c>
      <c r="AK6" s="73">
        <v>2</v>
      </c>
      <c r="AL6" s="73">
        <v>1</v>
      </c>
      <c r="AM6" s="73">
        <v>2</v>
      </c>
      <c r="AN6" s="73">
        <v>2</v>
      </c>
      <c r="AO6" s="73">
        <v>1</v>
      </c>
      <c r="AP6" s="73">
        <v>2</v>
      </c>
      <c r="AQ6" s="73">
        <v>2</v>
      </c>
      <c r="AR6" s="73">
        <v>1</v>
      </c>
      <c r="AS6" s="73">
        <f>SUM(t_Plants[[#This Row],[o2015.01]:[o2015.12]])</f>
        <v>20</v>
      </c>
      <c r="AT6" s="73">
        <v>2</v>
      </c>
      <c r="AU6" s="73">
        <v>2</v>
      </c>
      <c r="AV6" s="73">
        <v>1</v>
      </c>
      <c r="AW6" s="73">
        <v>2</v>
      </c>
      <c r="AX6" s="73">
        <v>2</v>
      </c>
      <c r="AY6" s="73">
        <v>1</v>
      </c>
      <c r="AZ6" s="73">
        <v>2</v>
      </c>
      <c r="BA6" s="73">
        <v>2</v>
      </c>
      <c r="BB6" s="73">
        <v>1</v>
      </c>
      <c r="BC6" s="73">
        <v>2</v>
      </c>
      <c r="BD6" s="73">
        <v>2</v>
      </c>
      <c r="BE6" s="73">
        <v>1</v>
      </c>
      <c r="BF6" s="73">
        <f>SUM(t_Plants[[#This Row],[o2016.01]:[o2016.12]])</f>
        <v>20</v>
      </c>
      <c r="BG6" s="73">
        <f>t_Plants[[#This Row],[o2016.FY]]</f>
        <v>20</v>
      </c>
      <c r="BH6" s="73">
        <f>t_Plants[[#This Row],[o2016.FY]]</f>
        <v>20</v>
      </c>
      <c r="BI6" s="73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73">
        <v>10</v>
      </c>
      <c r="C7" s="75">
        <v>0.55000000000000004</v>
      </c>
      <c r="D7" s="73">
        <v>28</v>
      </c>
      <c r="E7" s="73">
        <v>28</v>
      </c>
      <c r="F7" s="73">
        <v>35</v>
      </c>
      <c r="G7" s="73">
        <v>28</v>
      </c>
      <c r="H7" s="73">
        <v>28</v>
      </c>
      <c r="I7" s="73">
        <v>35</v>
      </c>
      <c r="J7" s="73">
        <v>28</v>
      </c>
      <c r="K7" s="73">
        <v>28</v>
      </c>
      <c r="L7" s="73">
        <v>35</v>
      </c>
      <c r="M7" s="73">
        <v>28</v>
      </c>
      <c r="N7" s="73">
        <v>28</v>
      </c>
      <c r="O7" s="73">
        <v>35</v>
      </c>
      <c r="P7" s="73">
        <f>SUM(t_Plants[[#This Row],[d2015.01]:[d2015.12]])</f>
        <v>364</v>
      </c>
      <c r="Q7" s="73">
        <v>28</v>
      </c>
      <c r="R7" s="73">
        <v>28</v>
      </c>
      <c r="S7" s="73">
        <v>35</v>
      </c>
      <c r="T7" s="73">
        <v>28</v>
      </c>
      <c r="U7" s="73">
        <v>28</v>
      </c>
      <c r="V7" s="73">
        <v>35</v>
      </c>
      <c r="W7" s="73">
        <v>28</v>
      </c>
      <c r="X7" s="73">
        <v>28</v>
      </c>
      <c r="Y7" s="73">
        <v>35</v>
      </c>
      <c r="Z7" s="73">
        <v>28</v>
      </c>
      <c r="AA7" s="73">
        <v>28</v>
      </c>
      <c r="AB7" s="73">
        <v>35</v>
      </c>
      <c r="AC7" s="73">
        <f>SUM(t_Plants[[#This Row],[d2016.01]:[d2016.12]])</f>
        <v>364</v>
      </c>
      <c r="AD7" s="73">
        <f>t_Plants[[#This Row],[d2016.FY]]</f>
        <v>364</v>
      </c>
      <c r="AE7" s="73">
        <f>t_Plants[[#This Row],[d2016.FY]]</f>
        <v>364</v>
      </c>
      <c r="AF7" s="73">
        <f>t_Plants[[#This Row],[d2016.FY]]</f>
        <v>364</v>
      </c>
      <c r="AG7" s="73">
        <v>3</v>
      </c>
      <c r="AH7" s="73">
        <v>2</v>
      </c>
      <c r="AI7" s="73">
        <v>1</v>
      </c>
      <c r="AJ7" s="73">
        <v>3</v>
      </c>
      <c r="AK7" s="73">
        <v>2</v>
      </c>
      <c r="AL7" s="73">
        <v>1</v>
      </c>
      <c r="AM7" s="73">
        <v>3</v>
      </c>
      <c r="AN7" s="73">
        <v>2</v>
      </c>
      <c r="AO7" s="73">
        <v>1</v>
      </c>
      <c r="AP7" s="73">
        <v>3</v>
      </c>
      <c r="AQ7" s="73">
        <v>2</v>
      </c>
      <c r="AR7" s="73">
        <v>1</v>
      </c>
      <c r="AS7" s="73">
        <f>SUM(t_Plants[[#This Row],[o2015.01]:[o2015.12]])</f>
        <v>24</v>
      </c>
      <c r="AT7" s="73">
        <v>3</v>
      </c>
      <c r="AU7" s="73">
        <v>4</v>
      </c>
      <c r="AV7" s="73">
        <v>1</v>
      </c>
      <c r="AW7" s="73">
        <v>3</v>
      </c>
      <c r="AX7" s="73">
        <v>2</v>
      </c>
      <c r="AY7" s="73">
        <v>1</v>
      </c>
      <c r="AZ7" s="73">
        <v>3</v>
      </c>
      <c r="BA7" s="73">
        <v>2</v>
      </c>
      <c r="BB7" s="73">
        <v>1</v>
      </c>
      <c r="BC7" s="73">
        <v>3</v>
      </c>
      <c r="BD7" s="73">
        <v>6</v>
      </c>
      <c r="BE7" s="73">
        <v>5</v>
      </c>
      <c r="BF7" s="73">
        <f>SUM(t_Plants[[#This Row],[o2016.01]:[o2016.12]])</f>
        <v>34</v>
      </c>
      <c r="BG7" s="73">
        <f>t_Plants[[#This Row],[o2016.FY]]</f>
        <v>34</v>
      </c>
      <c r="BH7" s="73">
        <f>t_Plants[[#This Row],[o2016.FY]]</f>
        <v>34</v>
      </c>
      <c r="BI7" s="73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73">
        <v>10</v>
      </c>
      <c r="C8" s="75">
        <v>0.79</v>
      </c>
      <c r="D8" s="73">
        <v>28</v>
      </c>
      <c r="E8" s="73">
        <v>28</v>
      </c>
      <c r="F8" s="73">
        <v>35</v>
      </c>
      <c r="G8" s="73">
        <v>28</v>
      </c>
      <c r="H8" s="73">
        <v>28</v>
      </c>
      <c r="I8" s="73">
        <v>35</v>
      </c>
      <c r="J8" s="73">
        <v>28</v>
      </c>
      <c r="K8" s="73">
        <v>28</v>
      </c>
      <c r="L8" s="73">
        <v>35</v>
      </c>
      <c r="M8" s="73">
        <v>28</v>
      </c>
      <c r="N8" s="73">
        <v>28</v>
      </c>
      <c r="O8" s="73">
        <v>35</v>
      </c>
      <c r="P8" s="73">
        <f>SUM(t_Plants[[#This Row],[d2015.01]:[d2015.12]])</f>
        <v>364</v>
      </c>
      <c r="Q8" s="73">
        <v>28</v>
      </c>
      <c r="R8" s="73">
        <v>28</v>
      </c>
      <c r="S8" s="73">
        <v>35</v>
      </c>
      <c r="T8" s="73">
        <v>28</v>
      </c>
      <c r="U8" s="73">
        <v>28</v>
      </c>
      <c r="V8" s="73">
        <v>35</v>
      </c>
      <c r="W8" s="73">
        <v>28</v>
      </c>
      <c r="X8" s="73">
        <v>28</v>
      </c>
      <c r="Y8" s="73">
        <v>35</v>
      </c>
      <c r="Z8" s="73">
        <v>28</v>
      </c>
      <c r="AA8" s="73">
        <v>28</v>
      </c>
      <c r="AB8" s="73">
        <v>35</v>
      </c>
      <c r="AC8" s="73">
        <f>SUM(t_Plants[[#This Row],[d2016.01]:[d2016.12]])</f>
        <v>364</v>
      </c>
      <c r="AD8" s="73">
        <f>t_Plants[[#This Row],[d2016.FY]]</f>
        <v>364</v>
      </c>
      <c r="AE8" s="73">
        <f>t_Plants[[#This Row],[d2016.FY]]</f>
        <v>364</v>
      </c>
      <c r="AF8" s="73">
        <f>t_Plants[[#This Row],[d2016.FY]]</f>
        <v>364</v>
      </c>
      <c r="AG8" s="73">
        <v>3</v>
      </c>
      <c r="AH8" s="73">
        <v>2</v>
      </c>
      <c r="AI8" s="73">
        <v>1</v>
      </c>
      <c r="AJ8" s="73">
        <v>3</v>
      </c>
      <c r="AK8" s="73">
        <v>2</v>
      </c>
      <c r="AL8" s="73">
        <v>1</v>
      </c>
      <c r="AM8" s="73">
        <v>3</v>
      </c>
      <c r="AN8" s="73">
        <v>2</v>
      </c>
      <c r="AO8" s="73">
        <v>1</v>
      </c>
      <c r="AP8" s="73">
        <v>3</v>
      </c>
      <c r="AQ8" s="73">
        <v>2</v>
      </c>
      <c r="AR8" s="73">
        <v>1</v>
      </c>
      <c r="AS8" s="73">
        <f>SUM(t_Plants[[#This Row],[o2015.01]:[o2015.12]])</f>
        <v>24</v>
      </c>
      <c r="AT8" s="73">
        <v>3</v>
      </c>
      <c r="AU8" s="73">
        <v>2</v>
      </c>
      <c r="AV8" s="73">
        <v>1</v>
      </c>
      <c r="AW8" s="73">
        <v>3</v>
      </c>
      <c r="AX8" s="73">
        <v>2</v>
      </c>
      <c r="AY8" s="73">
        <v>1</v>
      </c>
      <c r="AZ8" s="73">
        <v>3</v>
      </c>
      <c r="BA8" s="73">
        <v>2</v>
      </c>
      <c r="BB8" s="73">
        <v>1</v>
      </c>
      <c r="BC8" s="73">
        <v>3</v>
      </c>
      <c r="BD8" s="73">
        <v>2</v>
      </c>
      <c r="BE8" s="73">
        <v>1</v>
      </c>
      <c r="BF8" s="73">
        <f>SUM(t_Plants[[#This Row],[o2016.01]:[o2016.12]])</f>
        <v>24</v>
      </c>
      <c r="BG8" s="73">
        <f>t_Plants[[#This Row],[o2016.FY]]</f>
        <v>24</v>
      </c>
      <c r="BH8" s="73">
        <f>t_Plants[[#This Row],[o2016.FY]]</f>
        <v>24</v>
      </c>
      <c r="BI8" s="73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73">
        <v>12</v>
      </c>
      <c r="C9" s="75">
        <v>0.78</v>
      </c>
      <c r="D9" s="73">
        <v>28</v>
      </c>
      <c r="E9" s="73">
        <v>28</v>
      </c>
      <c r="F9" s="73">
        <v>35</v>
      </c>
      <c r="G9" s="73">
        <v>28</v>
      </c>
      <c r="H9" s="73">
        <v>28</v>
      </c>
      <c r="I9" s="73">
        <v>35</v>
      </c>
      <c r="J9" s="73">
        <v>28</v>
      </c>
      <c r="K9" s="73">
        <v>28</v>
      </c>
      <c r="L9" s="73">
        <v>35</v>
      </c>
      <c r="M9" s="73">
        <v>28</v>
      </c>
      <c r="N9" s="73">
        <v>28</v>
      </c>
      <c r="O9" s="73">
        <v>35</v>
      </c>
      <c r="P9" s="73">
        <f>SUM(t_Plants[[#This Row],[d2015.01]:[d2015.12]])</f>
        <v>364</v>
      </c>
      <c r="Q9" s="73">
        <v>28</v>
      </c>
      <c r="R9" s="73">
        <v>28</v>
      </c>
      <c r="S9" s="73">
        <v>35</v>
      </c>
      <c r="T9" s="73">
        <v>28</v>
      </c>
      <c r="U9" s="73">
        <v>28</v>
      </c>
      <c r="V9" s="73">
        <v>35</v>
      </c>
      <c r="W9" s="73">
        <v>28</v>
      </c>
      <c r="X9" s="73">
        <v>28</v>
      </c>
      <c r="Y9" s="73">
        <v>35</v>
      </c>
      <c r="Z9" s="73">
        <v>28</v>
      </c>
      <c r="AA9" s="73">
        <v>28</v>
      </c>
      <c r="AB9" s="73">
        <v>35</v>
      </c>
      <c r="AC9" s="73">
        <f>SUM(t_Plants[[#This Row],[d2016.01]:[d2016.12]])</f>
        <v>364</v>
      </c>
      <c r="AD9" s="73">
        <f>t_Plants[[#This Row],[d2016.FY]]</f>
        <v>364</v>
      </c>
      <c r="AE9" s="73">
        <f>t_Plants[[#This Row],[d2016.FY]]</f>
        <v>364</v>
      </c>
      <c r="AF9" s="73">
        <f>t_Plants[[#This Row],[d2016.FY]]</f>
        <v>364</v>
      </c>
      <c r="AG9" s="73">
        <v>3</v>
      </c>
      <c r="AH9" s="73">
        <v>2</v>
      </c>
      <c r="AI9" s="73">
        <v>1</v>
      </c>
      <c r="AJ9" s="73">
        <v>3</v>
      </c>
      <c r="AK9" s="73">
        <v>2</v>
      </c>
      <c r="AL9" s="73">
        <v>1</v>
      </c>
      <c r="AM9" s="73">
        <v>3</v>
      </c>
      <c r="AN9" s="73">
        <v>2</v>
      </c>
      <c r="AO9" s="73">
        <v>1</v>
      </c>
      <c r="AP9" s="73">
        <v>3</v>
      </c>
      <c r="AQ9" s="73">
        <v>2</v>
      </c>
      <c r="AR9" s="73">
        <v>1</v>
      </c>
      <c r="AS9" s="73">
        <f>SUM(t_Plants[[#This Row],[o2015.01]:[o2015.12]])</f>
        <v>24</v>
      </c>
      <c r="AT9" s="73">
        <v>3</v>
      </c>
      <c r="AU9" s="73">
        <v>2</v>
      </c>
      <c r="AV9" s="73">
        <v>1</v>
      </c>
      <c r="AW9" s="73">
        <v>3</v>
      </c>
      <c r="AX9" s="73">
        <v>2</v>
      </c>
      <c r="AY9" s="73">
        <v>1</v>
      </c>
      <c r="AZ9" s="73">
        <v>3</v>
      </c>
      <c r="BA9" s="73">
        <v>2</v>
      </c>
      <c r="BB9" s="73">
        <v>1</v>
      </c>
      <c r="BC9" s="73">
        <v>3</v>
      </c>
      <c r="BD9" s="73">
        <v>2</v>
      </c>
      <c r="BE9" s="73">
        <v>1</v>
      </c>
      <c r="BF9" s="73">
        <f>SUM(t_Plants[[#This Row],[o2016.01]:[o2016.12]])</f>
        <v>24</v>
      </c>
      <c r="BG9" s="73">
        <f>t_Plants[[#This Row],[o2016.FY]]</f>
        <v>24</v>
      </c>
      <c r="BH9" s="73">
        <f>t_Plants[[#This Row],[o2016.FY]]</f>
        <v>24</v>
      </c>
      <c r="BI9" s="73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6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tnMenuToggle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53" t="s">
        <v>54</v>
      </c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54" t="s">
        <v>100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5" t="s">
        <v>189</v>
      </c>
    </row>
    <row r="4" spans="1:89" x14ac:dyDescent="0.25">
      <c r="A4" s="60" t="s">
        <v>183</v>
      </c>
      <c r="B4" s="60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52">
        <f>SUMIF(r_Press_Tonnage,Table4[[Tonnage Range]:[Tonnage Range]],t_Presses[ha2015.01])</f>
        <v>3872</v>
      </c>
      <c r="D5" s="52">
        <f>SUMIF(r_Press_Tonnage,Table4[[Tonnage Range]:[Tonnage Range]],t_Presses[ha2015.02])</f>
        <v>3952</v>
      </c>
      <c r="E5" s="52">
        <f>SUMIF(r_Press_Tonnage,Table4[[Tonnage Range]:[Tonnage Range]],t_Presses[ha2015.03])</f>
        <v>5168</v>
      </c>
      <c r="F5" s="52">
        <f>SUMIF(r_Press_Tonnage,Table4[[Tonnage Range]:[Tonnage Range]],t_Presses[ha2015.04])</f>
        <v>3872</v>
      </c>
      <c r="G5" s="52">
        <f>SUMIF(r_Press_Tonnage,Table4[[Tonnage Range]:[Tonnage Range]],t_Presses[ha2015.05])</f>
        <v>3952</v>
      </c>
      <c r="H5" s="52">
        <f>SUMIF(r_Press_Tonnage,Table4[[Tonnage Range]:[Tonnage Range]],t_Presses[ha2015.06])</f>
        <v>5168</v>
      </c>
      <c r="I5" s="52">
        <f>SUMIF(r_Press_Tonnage,Table4[[Tonnage Range]:[Tonnage Range]],t_Presses[ha2015.07])</f>
        <v>3872</v>
      </c>
      <c r="J5" s="52">
        <f>SUMIF(r_Press_Tonnage,Table4[[Tonnage Range]:[Tonnage Range]],t_Presses[ha2015.08])</f>
        <v>3952</v>
      </c>
      <c r="K5" s="52">
        <f>SUMIF(r_Press_Tonnage,Table4[[Tonnage Range]:[Tonnage Range]],t_Presses[ha2015.09])</f>
        <v>5168</v>
      </c>
      <c r="L5" s="52">
        <f>SUMIF(r_Press_Tonnage,Table4[[Tonnage Range]:[Tonnage Range]],t_Presses[ha2015.10])</f>
        <v>3872</v>
      </c>
      <c r="M5" s="52">
        <f>SUMIF(r_Press_Tonnage,Table4[[Tonnage Range]:[Tonnage Range]],t_Presses[ha2015.11])</f>
        <v>3952</v>
      </c>
      <c r="N5" s="52">
        <f>SUMIF(r_Press_Tonnage,Table4[[Tonnage Range]:[Tonnage Range]],t_Presses[ha2015.12])</f>
        <v>5168</v>
      </c>
      <c r="O5" s="52">
        <f>SUMIF(r_Press_Tonnage,Table4[[Tonnage Range]:[Tonnage Range]],t_Presses[ha2015.FY])</f>
        <v>51968</v>
      </c>
      <c r="P5" s="52">
        <f>SUMIF(r_Press_Tonnage,Table4[[Tonnage Range]:[Tonnage Range]],t_Presses[ha2016.01])</f>
        <v>3372</v>
      </c>
      <c r="Q5" s="52">
        <f>SUMIF(r_Press_Tonnage,Table4[[Tonnage Range]:[Tonnage Range]],t_Presses[ha2016.02])</f>
        <v>3312</v>
      </c>
      <c r="R5" s="52">
        <f>SUMIF(r_Press_Tonnage,Table4[[Tonnage Range]:[Tonnage Range]],t_Presses[ha2016.03])</f>
        <v>4488</v>
      </c>
      <c r="S5" s="52">
        <f>SUMIF(r_Press_Tonnage,Table4[[Tonnage Range]:[Tonnage Range]],t_Presses[ha2016.04])</f>
        <v>3372</v>
      </c>
      <c r="T5" s="52">
        <f>SUMIF(r_Press_Tonnage,Table4[[Tonnage Range]:[Tonnage Range]],t_Presses[ha2016.05])</f>
        <v>3432</v>
      </c>
      <c r="U5" s="52">
        <f>SUMIF(r_Press_Tonnage,Table4[[Tonnage Range]:[Tonnage Range]],t_Presses[ha2016.06])</f>
        <v>4488</v>
      </c>
      <c r="V5" s="52">
        <f>SUMIF(r_Press_Tonnage,Table4[[Tonnage Range]:[Tonnage Range]],t_Presses[ha2016.07])</f>
        <v>3372</v>
      </c>
      <c r="W5" s="52">
        <f>SUMIF(r_Press_Tonnage,Table4[[Tonnage Range]:[Tonnage Range]],t_Presses[ha2016.08])</f>
        <v>3432</v>
      </c>
      <c r="X5" s="52">
        <f>SUMIF(r_Press_Tonnage,Table4[[Tonnage Range]:[Tonnage Range]],t_Presses[ha2016.09])</f>
        <v>4488</v>
      </c>
      <c r="Y5" s="52">
        <f>SUMIF(r_Press_Tonnage,Table4[[Tonnage Range]:[Tonnage Range]],t_Presses[ha2016.10])</f>
        <v>3372</v>
      </c>
      <c r="Z5" s="52">
        <f>SUMIF(r_Press_Tonnage,Table4[[Tonnage Range]:[Tonnage Range]],t_Presses[ha2016.11])</f>
        <v>3192</v>
      </c>
      <c r="AA5" s="52">
        <f>SUMIF(r_Press_Tonnage,Table4[[Tonnage Range]:[Tonnage Range]],t_Presses[ha2016.12])</f>
        <v>4248</v>
      </c>
      <c r="AB5" s="52">
        <f>SUMIF(r_Press_Tonnage,Table4[[Tonnage Range]:[Tonnage Range]],t_Presses[ha2016.FY])</f>
        <v>44568</v>
      </c>
      <c r="AC5" s="52">
        <f>SUMIF(r_Press_Tonnage,Table4[[Tonnage Range]:[Tonnage Range]],t_Presses[ha2017])</f>
        <v>44568</v>
      </c>
      <c r="AD5" s="52">
        <f>SUMIF(r_Press_Tonnage,Table4[[Tonnage Range]:[Tonnage Range]],t_Presses[ha2018])</f>
        <v>44568</v>
      </c>
      <c r="AE5" s="52">
        <f>SUMIF(r_Press_Tonnage,Table4[[Tonnage Range]:[Tonnage Range]],t_Presses[ha2019])</f>
        <v>44568</v>
      </c>
      <c r="AF5" s="52">
        <f>SUMIF(r_Press_Tonnage,Table4[[Tonnage Range]:[Tonnage Range]],t_Presses[hp2015.01])</f>
        <v>204.17692902125614</v>
      </c>
      <c r="AG5" s="52">
        <f>SUMIF(r_Press_Tonnage,Table4[[Tonnage Range]:[Tonnage Range]],t_Presses[hp2015.02])</f>
        <v>206.38524649218391</v>
      </c>
      <c r="AH5" s="52">
        <f>SUMIF(r_Press_Tonnage,Table4[[Tonnage Range]:[Tonnage Range]],t_Presses[hp2015.03])</f>
        <v>262.81147618208661</v>
      </c>
      <c r="AI5" s="52">
        <f>SUMIF(r_Press_Tonnage,Table4[[Tonnage Range]:[Tonnage Range]],t_Presses[hp2015.04])</f>
        <v>204.17692902125614</v>
      </c>
      <c r="AJ5" s="52">
        <f>SUMIF(r_Press_Tonnage,Table4[[Tonnage Range]:[Tonnage Range]],t_Presses[hp2015.05])</f>
        <v>206.38524649218391</v>
      </c>
      <c r="AK5" s="52">
        <f>SUMIF(r_Press_Tonnage,Table4[[Tonnage Range]:[Tonnage Range]],t_Presses[hp2015.06])</f>
        <v>262.81147618208661</v>
      </c>
      <c r="AL5" s="52">
        <f>SUMIF(r_Press_Tonnage,Table4[[Tonnage Range]:[Tonnage Range]],t_Presses[hp2015.07])</f>
        <v>204.17692902125614</v>
      </c>
      <c r="AM5" s="52">
        <f>SUMIF(r_Press_Tonnage,Table4[[Tonnage Range]:[Tonnage Range]],t_Presses[hp2015.08])</f>
        <v>206.38524649218391</v>
      </c>
      <c r="AN5" s="52">
        <f>SUMIF(r_Press_Tonnage,Table4[[Tonnage Range]:[Tonnage Range]],t_Presses[hp2015.09])</f>
        <v>262.81147618208661</v>
      </c>
      <c r="AO5" s="52">
        <f>SUMIF(r_Press_Tonnage,Table4[[Tonnage Range]:[Tonnage Range]],t_Presses[hp2015.10])</f>
        <v>204.17692902125614</v>
      </c>
      <c r="AP5" s="52">
        <f>SUMIF(r_Press_Tonnage,Table4[[Tonnage Range]:[Tonnage Range]],t_Presses[hp2015.11])</f>
        <v>206.38524649218391</v>
      </c>
      <c r="AQ5" s="52">
        <f>SUMIF(r_Press_Tonnage,Table4[[Tonnage Range]:[Tonnage Range]],t_Presses[hp2015.12])</f>
        <v>262.81147618208661</v>
      </c>
      <c r="AR5" s="52">
        <f>SUM(Table4[[#This Row],[hp2015.01]:[hp2015.12]])</f>
        <v>2693.4946067821065</v>
      </c>
      <c r="AS5" s="52">
        <f>SUMIF(r_Press_Tonnage,Table4[[Tonnage Range]:[Tonnage Range]],t_Presses[hp2016.01])</f>
        <v>0.59523809523809523</v>
      </c>
      <c r="AT5" s="52">
        <f>SUMIF(r_Press_Tonnage,Table4[[Tonnage Range]:[Tonnage Range]],t_Presses[hp2016.02])</f>
        <v>0.5714285714285714</v>
      </c>
      <c r="AU5" s="52">
        <f>SUMIF(r_Press_Tonnage,Table4[[Tonnage Range]:[Tonnage Range]],t_Presses[hp2016.03])</f>
        <v>0.80952380952380953</v>
      </c>
      <c r="AV5" s="52">
        <f>SUMIF(r_Press_Tonnage,Table4[[Tonnage Range]:[Tonnage Range]],t_Presses[hp2016.04])</f>
        <v>0.59523809523809523</v>
      </c>
      <c r="AW5" s="52">
        <f>SUMIF(r_Press_Tonnage,Table4[[Tonnage Range]:[Tonnage Range]],t_Presses[hp2016.05])</f>
        <v>0.61904761904761907</v>
      </c>
      <c r="AX5" s="52">
        <f>SUMIF(r_Press_Tonnage,Table4[[Tonnage Range]:[Tonnage Range]],t_Presses[hp2016.06])</f>
        <v>0.80952380952380953</v>
      </c>
      <c r="AY5" s="52">
        <f>SUMIF(r_Press_Tonnage,Table4[[Tonnage Range]:[Tonnage Range]],t_Presses[hp2016.07])</f>
        <v>0.59523809523809523</v>
      </c>
      <c r="AZ5" s="52">
        <f>SUMIF(r_Press_Tonnage,Table4[[Tonnage Range]:[Tonnage Range]],t_Presses[hp2016.08])</f>
        <v>0.61904761904761907</v>
      </c>
      <c r="BA5" s="52">
        <f>SUMIF(r_Press_Tonnage,Table4[[Tonnage Range]:[Tonnage Range]],t_Presses[hp2016.09])</f>
        <v>0.80952380952380953</v>
      </c>
      <c r="BB5" s="52">
        <f>SUMIF(r_Press_Tonnage,Table4[[Tonnage Range]:[Tonnage Range]],t_Presses[hp2016.10])</f>
        <v>0.59523809523809523</v>
      </c>
      <c r="BC5" s="52">
        <f>SUMIF(r_Press_Tonnage,Table4[[Tonnage Range]:[Tonnage Range]],t_Presses[hp2016.11])</f>
        <v>0.52380952380952384</v>
      </c>
      <c r="BD5" s="52">
        <f>SUMIF(r_Press_Tonnage,Table4[[Tonnage Range]:[Tonnage Range]],t_Presses[hp2016.12])</f>
        <v>0.7142857142857143</v>
      </c>
      <c r="BE5" s="52">
        <f>SUMIF(r_Press_Tonnage,Table4[[Tonnage Range]:[Tonnage Range]],t_Presses[hp2016.FY])</f>
        <v>7.8571428571428559</v>
      </c>
      <c r="BF5" s="52">
        <f>SUMIF(r_Press_Tonnage,Table4[[Tonnage Range]:[Tonnage Range]],t_Presses[hp2017])</f>
        <v>40.476190476190474</v>
      </c>
      <c r="BG5" s="52">
        <f>SUMIF(r_Press_Tonnage,Table4[[Tonnage Range]:[Tonnage Range]],t_Presses[hp2018])</f>
        <v>42.857142857142854</v>
      </c>
      <c r="BH5" s="52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52">
        <f>SUMIF(r_Press_Tonnage,Table4[[Tonnage Range]:[Tonnage Range]],t_Presses[ha2016.02])</f>
        <v>624</v>
      </c>
      <c r="R7" s="52">
        <f>SUMIF(r_Press_Tonnage,Table4[[Tonnage Range]:[Tonnage Range]],t_Presses[ha2016.03])</f>
        <v>816</v>
      </c>
      <c r="S7" s="52">
        <f>SUMIF(r_Press_Tonnage,Table4[[Tonnage Range]:[Tonnage Range]],t_Presses[ha2016.04])</f>
        <v>624</v>
      </c>
      <c r="T7" s="52">
        <f>SUMIF(r_Press_Tonnage,Table4[[Tonnage Range]:[Tonnage Range]],t_Presses[ha2016.05])</f>
        <v>624</v>
      </c>
      <c r="U7" s="52">
        <f>SUMIF(r_Press_Tonnage,Table4[[Tonnage Range]:[Tonnage Range]],t_Presses[ha2016.06])</f>
        <v>816</v>
      </c>
      <c r="V7" s="52">
        <f>SUMIF(r_Press_Tonnage,Table4[[Tonnage Range]:[Tonnage Range]],t_Presses[ha2016.07])</f>
        <v>624</v>
      </c>
      <c r="W7" s="52">
        <f>SUMIF(r_Press_Tonnage,Table4[[Tonnage Range]:[Tonnage Range]],t_Presses[ha2016.08])</f>
        <v>624</v>
      </c>
      <c r="X7" s="52">
        <f>SUMIF(r_Press_Tonnage,Table4[[Tonnage Range]:[Tonnage Range]],t_Presses[ha2016.09])</f>
        <v>816</v>
      </c>
      <c r="Y7" s="52">
        <f>SUMIF(r_Press_Tonnage,Table4[[Tonnage Range]:[Tonnage Range]],t_Presses[ha2016.10])</f>
        <v>624</v>
      </c>
      <c r="Z7" s="52">
        <f>SUMIF(r_Press_Tonnage,Table4[[Tonnage Range]:[Tonnage Range]],t_Presses[ha2016.11])</f>
        <v>624</v>
      </c>
      <c r="AA7" s="52">
        <f>SUMIF(r_Press_Tonnage,Table4[[Tonnage Range]:[Tonnage Range]],t_Presses[ha2016.12])</f>
        <v>816</v>
      </c>
      <c r="AB7" s="52">
        <f>SUMIF(r_Press_Tonnage,Table4[[Tonnage Range]:[Tonnage Range]],t_Presses[ha2016.FY])</f>
        <v>8256</v>
      </c>
      <c r="AC7" s="52">
        <f>SUMIF(r_Press_Tonnage,Table4[[Tonnage Range]:[Tonnage Range]],t_Presses[ha2017])</f>
        <v>8256</v>
      </c>
      <c r="AD7" s="52">
        <f>SUMIF(r_Press_Tonnage,Table4[[Tonnage Range]:[Tonnage Range]],t_Presses[ha2018])</f>
        <v>8256</v>
      </c>
      <c r="AE7" s="52">
        <f>SUMIF(r_Press_Tonnage,Table4[[Tonnage Range]:[Tonnage Range]],t_Presses[ha2019])</f>
        <v>8256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52">
        <f>SUMIF(r_Press_Tonnage,Table4[[Tonnage Range]:[Tonnage Range]],t_Presses[ha2016.02])</f>
        <v>864</v>
      </c>
      <c r="R8" s="52">
        <f>SUMIF(r_Press_Tonnage,Table4[[Tonnage Range]:[Tonnage Range]],t_Presses[ha2016.03])</f>
        <v>1156</v>
      </c>
      <c r="S8" s="52">
        <f>SUMIF(r_Press_Tonnage,Table4[[Tonnage Range]:[Tonnage Range]],t_Presses[ha2016.04])</f>
        <v>874</v>
      </c>
      <c r="T8" s="52">
        <f>SUMIF(r_Press_Tonnage,Table4[[Tonnage Range]:[Tonnage Range]],t_Presses[ha2016.05])</f>
        <v>884</v>
      </c>
      <c r="U8" s="52">
        <f>SUMIF(r_Press_Tonnage,Table4[[Tonnage Range]:[Tonnage Range]],t_Presses[ha2016.06])</f>
        <v>1156</v>
      </c>
      <c r="V8" s="52">
        <f>SUMIF(r_Press_Tonnage,Table4[[Tonnage Range]:[Tonnage Range]],t_Presses[ha2016.07])</f>
        <v>874</v>
      </c>
      <c r="W8" s="52">
        <f>SUMIF(r_Press_Tonnage,Table4[[Tonnage Range]:[Tonnage Range]],t_Presses[ha2016.08])</f>
        <v>884</v>
      </c>
      <c r="X8" s="52">
        <f>SUMIF(r_Press_Tonnage,Table4[[Tonnage Range]:[Tonnage Range]],t_Presses[ha2016.09])</f>
        <v>1156</v>
      </c>
      <c r="Y8" s="52">
        <f>SUMIF(r_Press_Tonnage,Table4[[Tonnage Range]:[Tonnage Range]],t_Presses[ha2016.10])</f>
        <v>874</v>
      </c>
      <c r="Z8" s="52">
        <f>SUMIF(r_Press_Tonnage,Table4[[Tonnage Range]:[Tonnage Range]],t_Presses[ha2016.11])</f>
        <v>844</v>
      </c>
      <c r="AA8" s="52">
        <f>SUMIF(r_Press_Tonnage,Table4[[Tonnage Range]:[Tonnage Range]],t_Presses[ha2016.12])</f>
        <v>1116</v>
      </c>
      <c r="AB8" s="52">
        <f>SUMIF(r_Press_Tonnage,Table4[[Tonnage Range]:[Tonnage Range]],t_Presses[ha2016.FY])</f>
        <v>11556</v>
      </c>
      <c r="AC8" s="52">
        <f>SUMIF(r_Press_Tonnage,Table4[[Tonnage Range]:[Tonnage Range]],t_Presses[ha2017])</f>
        <v>11556</v>
      </c>
      <c r="AD8" s="52">
        <f>SUMIF(r_Press_Tonnage,Table4[[Tonnage Range]:[Tonnage Range]],t_Presses[ha2018])</f>
        <v>11556</v>
      </c>
      <c r="AE8" s="52">
        <f>SUMIF(r_Press_Tonnage,Table4[[Tonnage Range]:[Tonnage Range]],t_Presses[ha2019])</f>
        <v>11556</v>
      </c>
      <c r="AF8" s="52">
        <f>SUMIF(r_Press_Tonnage,Table4[[Tonnage Range]:[Tonnage Range]],t_Presses[hp2015.01])</f>
        <v>0</v>
      </c>
      <c r="AG8" s="52">
        <f>SUMIF(r_Press_Tonnage,Table4[[Tonnage Range]:[Tonnage Range]],t_Presses[hp2015.02])</f>
        <v>0</v>
      </c>
      <c r="AH8" s="52">
        <f>SUMIF(r_Press_Tonnage,Table4[[Tonnage Range]:[Tonnage Range]],t_Presses[hp2015.03])</f>
        <v>0</v>
      </c>
      <c r="AI8" s="52">
        <f>SUMIF(r_Press_Tonnage,Table4[[Tonnage Range]:[Tonnage Range]],t_Presses[hp2015.04])</f>
        <v>0</v>
      </c>
      <c r="AJ8" s="52">
        <f>SUMIF(r_Press_Tonnage,Table4[[Tonnage Range]:[Tonnage Range]],t_Presses[hp2015.05])</f>
        <v>0</v>
      </c>
      <c r="AK8" s="52">
        <f>SUMIF(r_Press_Tonnage,Table4[[Tonnage Range]:[Tonnage Range]],t_Presses[hp2015.06])</f>
        <v>0</v>
      </c>
      <c r="AL8" s="52">
        <f>SUMIF(r_Press_Tonnage,Table4[[Tonnage Range]:[Tonnage Range]],t_Presses[hp2015.07])</f>
        <v>0</v>
      </c>
      <c r="AM8" s="52">
        <f>SUMIF(r_Press_Tonnage,Table4[[Tonnage Range]:[Tonnage Range]],t_Presses[hp2015.08])</f>
        <v>0</v>
      </c>
      <c r="AN8" s="52">
        <f>SUMIF(r_Press_Tonnage,Table4[[Tonnage Range]:[Tonnage Range]],t_Presses[hp2015.09])</f>
        <v>0</v>
      </c>
      <c r="AO8" s="52">
        <f>SUMIF(r_Press_Tonnage,Table4[[Tonnage Range]:[Tonnage Range]],t_Presses[hp2015.10])</f>
        <v>0</v>
      </c>
      <c r="AP8" s="52">
        <f>SUMIF(r_Press_Tonnage,Table4[[Tonnage Range]:[Tonnage Range]],t_Presses[hp2015.11])</f>
        <v>0</v>
      </c>
      <c r="AQ8" s="52">
        <f>SUMIF(r_Press_Tonnage,Table4[[Tonnage Range]:[Tonnage Range]],t_Presses[hp2015.12])</f>
        <v>0</v>
      </c>
      <c r="AR8" s="52">
        <f>SUM(Table4[[#This Row],[hp2015.01]:[hp2015.12]])</f>
        <v>0</v>
      </c>
      <c r="AS8" s="52">
        <f>SUMIF(r_Press_Tonnage,Table4[[Tonnage Range]:[Tonnage Range]],t_Presses[hp2016.01])</f>
        <v>0</v>
      </c>
      <c r="AT8" s="52">
        <f>SUMIF(r_Press_Tonnage,Table4[[Tonnage Range]:[Tonnage Range]],t_Presses[hp2016.02])</f>
        <v>0</v>
      </c>
      <c r="AU8" s="52">
        <f>SUMIF(r_Press_Tonnage,Table4[[Tonnage Range]:[Tonnage Range]],t_Presses[hp2016.03])</f>
        <v>0</v>
      </c>
      <c r="AV8" s="52">
        <f>SUMIF(r_Press_Tonnage,Table4[[Tonnage Range]:[Tonnage Range]],t_Presses[hp2016.04])</f>
        <v>0</v>
      </c>
      <c r="AW8" s="52">
        <f>SUMIF(r_Press_Tonnage,Table4[[Tonnage Range]:[Tonnage Range]],t_Presses[hp2016.05])</f>
        <v>0</v>
      </c>
      <c r="AX8" s="52">
        <f>SUMIF(r_Press_Tonnage,Table4[[Tonnage Range]:[Tonnage Range]],t_Presses[hp2016.06])</f>
        <v>0</v>
      </c>
      <c r="AY8" s="52">
        <f>SUMIF(r_Press_Tonnage,Table4[[Tonnage Range]:[Tonnage Range]],t_Presses[hp2016.07])</f>
        <v>0</v>
      </c>
      <c r="AZ8" s="52">
        <f>SUMIF(r_Press_Tonnage,Table4[[Tonnage Range]:[Tonnage Range]],t_Presses[hp2016.08])</f>
        <v>0</v>
      </c>
      <c r="BA8" s="52">
        <f>SUMIF(r_Press_Tonnage,Table4[[Tonnage Range]:[Tonnage Range]],t_Presses[hp2016.09])</f>
        <v>0</v>
      </c>
      <c r="BB8" s="52">
        <f>SUMIF(r_Press_Tonnage,Table4[[Tonnage Range]:[Tonnage Range]],t_Presses[hp2016.10])</f>
        <v>0</v>
      </c>
      <c r="BC8" s="52">
        <f>SUMIF(r_Press_Tonnage,Table4[[Tonnage Range]:[Tonnage Range]],t_Presses[hp2016.11])</f>
        <v>0</v>
      </c>
      <c r="BD8" s="52">
        <f>SUMIF(r_Press_Tonnage,Table4[[Tonnage Range]:[Tonnage Range]],t_Presses[hp2016.12])</f>
        <v>0</v>
      </c>
      <c r="BE8" s="52">
        <f>SUMIF(r_Press_Tonnage,Table4[[Tonnage Range]:[Tonnage Range]],t_Presses[hp2016.FY])</f>
        <v>0</v>
      </c>
      <c r="BF8" s="52">
        <f>SUMIF(r_Press_Tonnage,Table4[[Tonnage Range]:[Tonnage Range]],t_Presses[hp2017])</f>
        <v>0</v>
      </c>
      <c r="BG8" s="52">
        <f>SUMIF(r_Press_Tonnage,Table4[[Tonnage Range]:[Tonnage Range]],t_Presses[hp2018])</f>
        <v>0</v>
      </c>
      <c r="BH8" s="52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52">
        <f>SUMIF(r_Press_Tonnage,Table4[[Tonnage Range]:[Tonnage Range]],t_Presses[ha2016.02])</f>
        <v>0</v>
      </c>
      <c r="R9" s="52">
        <f>SUMIF(r_Press_Tonnage,Table4[[Tonnage Range]:[Tonnage Range]],t_Presses[ha2016.03])</f>
        <v>0</v>
      </c>
      <c r="S9" s="52">
        <f>SUMIF(r_Press_Tonnage,Table4[[Tonnage Range]:[Tonnage Range]],t_Presses[ha2016.04])</f>
        <v>0</v>
      </c>
      <c r="T9" s="52">
        <f>SUMIF(r_Press_Tonnage,Table4[[Tonnage Range]:[Tonnage Range]],t_Presses[ha2016.05])</f>
        <v>0</v>
      </c>
      <c r="U9" s="52">
        <f>SUMIF(r_Press_Tonnage,Table4[[Tonnage Range]:[Tonnage Range]],t_Presses[ha2016.06])</f>
        <v>0</v>
      </c>
      <c r="V9" s="52">
        <f>SUMIF(r_Press_Tonnage,Table4[[Tonnage Range]:[Tonnage Range]],t_Presses[ha2016.07])</f>
        <v>0</v>
      </c>
      <c r="W9" s="52">
        <f>SUMIF(r_Press_Tonnage,Table4[[Tonnage Range]:[Tonnage Range]],t_Presses[ha2016.08])</f>
        <v>0</v>
      </c>
      <c r="X9" s="52">
        <f>SUMIF(r_Press_Tonnage,Table4[[Tonnage Range]:[Tonnage Range]],t_Presses[ha2016.09])</f>
        <v>0</v>
      </c>
      <c r="Y9" s="52">
        <f>SUMIF(r_Press_Tonnage,Table4[[Tonnage Range]:[Tonnage Range]],t_Presses[ha2016.10])</f>
        <v>0</v>
      </c>
      <c r="Z9" s="52">
        <f>SUMIF(r_Press_Tonnage,Table4[[Tonnage Range]:[Tonnage Range]],t_Presses[ha2016.11])</f>
        <v>0</v>
      </c>
      <c r="AA9" s="52">
        <f>SUMIF(r_Press_Tonnage,Table4[[Tonnage Range]:[Tonnage Range]],t_Presses[ha2016.12])</f>
        <v>0</v>
      </c>
      <c r="AB9" s="52">
        <f>SUMIF(r_Press_Tonnage,Table4[[Tonnage Range]:[Tonnage Range]],t_Presses[ha2016.FY])</f>
        <v>0</v>
      </c>
      <c r="AC9" s="52">
        <f>SUMIF(r_Press_Tonnage,Table4[[Tonnage Range]:[Tonnage Range]],t_Presses[ha2017])</f>
        <v>0</v>
      </c>
      <c r="AD9" s="52">
        <f>SUMIF(r_Press_Tonnage,Table4[[Tonnage Range]:[Tonnage Range]],t_Presses[ha2018])</f>
        <v>0</v>
      </c>
      <c r="AE9" s="52">
        <f>SUMIF(r_Press_Tonnage,Table4[[Tonnage Range]:[Tonnage Range]],t_Presses[ha2019])</f>
        <v>0</v>
      </c>
      <c r="AF9" s="52">
        <f>SUMIF(r_Press_Tonnage,Table4[[Tonnage Range]:[Tonnage Range]],t_Presses[hp2015.01])</f>
        <v>0</v>
      </c>
      <c r="AG9" s="52">
        <f>SUMIF(r_Press_Tonnage,Table4[[Tonnage Range]:[Tonnage Range]],t_Presses[hp2015.02])</f>
        <v>0</v>
      </c>
      <c r="AH9" s="52">
        <f>SUMIF(r_Press_Tonnage,Table4[[Tonnage Range]:[Tonnage Range]],t_Presses[hp2015.03])</f>
        <v>0</v>
      </c>
      <c r="AI9" s="52">
        <f>SUMIF(r_Press_Tonnage,Table4[[Tonnage Range]:[Tonnage Range]],t_Presses[hp2015.04])</f>
        <v>0</v>
      </c>
      <c r="AJ9" s="52">
        <f>SUMIF(r_Press_Tonnage,Table4[[Tonnage Range]:[Tonnage Range]],t_Presses[hp2015.05])</f>
        <v>0</v>
      </c>
      <c r="AK9" s="52">
        <f>SUMIF(r_Press_Tonnage,Table4[[Tonnage Range]:[Tonnage Range]],t_Presses[hp2015.06])</f>
        <v>0</v>
      </c>
      <c r="AL9" s="52">
        <f>SUMIF(r_Press_Tonnage,Table4[[Tonnage Range]:[Tonnage Range]],t_Presses[hp2015.07])</f>
        <v>0</v>
      </c>
      <c r="AM9" s="52">
        <f>SUMIF(r_Press_Tonnage,Table4[[Tonnage Range]:[Tonnage Range]],t_Presses[hp2015.08])</f>
        <v>0</v>
      </c>
      <c r="AN9" s="52">
        <f>SUMIF(r_Press_Tonnage,Table4[[Tonnage Range]:[Tonnage Range]],t_Presses[hp2015.09])</f>
        <v>0</v>
      </c>
      <c r="AO9" s="52">
        <f>SUMIF(r_Press_Tonnage,Table4[[Tonnage Range]:[Tonnage Range]],t_Presses[hp2015.10])</f>
        <v>0</v>
      </c>
      <c r="AP9" s="52">
        <f>SUMIF(r_Press_Tonnage,Table4[[Tonnage Range]:[Tonnage Range]],t_Presses[hp2015.11])</f>
        <v>0</v>
      </c>
      <c r="AQ9" s="52">
        <f>SUMIF(r_Press_Tonnage,Table4[[Tonnage Range]:[Tonnage Range]],t_Presses[hp2015.12])</f>
        <v>0</v>
      </c>
      <c r="AR9" s="52">
        <f>SUM(Table4[[#This Row],[hp2015.01]:[hp2015.12]])</f>
        <v>0</v>
      </c>
      <c r="AS9" s="52">
        <f>SUMIF(r_Press_Tonnage,Table4[[Tonnage Range]:[Tonnage Range]],t_Presses[hp2016.01])</f>
        <v>0</v>
      </c>
      <c r="AT9" s="52">
        <f>SUMIF(r_Press_Tonnage,Table4[[Tonnage Range]:[Tonnage Range]],t_Presses[hp2016.02])</f>
        <v>0</v>
      </c>
      <c r="AU9" s="52">
        <f>SUMIF(r_Press_Tonnage,Table4[[Tonnage Range]:[Tonnage Range]],t_Presses[hp2016.03])</f>
        <v>0</v>
      </c>
      <c r="AV9" s="52">
        <f>SUMIF(r_Press_Tonnage,Table4[[Tonnage Range]:[Tonnage Range]],t_Presses[hp2016.04])</f>
        <v>0</v>
      </c>
      <c r="AW9" s="52">
        <f>SUMIF(r_Press_Tonnage,Table4[[Tonnage Range]:[Tonnage Range]],t_Presses[hp2016.05])</f>
        <v>0</v>
      </c>
      <c r="AX9" s="52">
        <f>SUMIF(r_Press_Tonnage,Table4[[Tonnage Range]:[Tonnage Range]],t_Presses[hp2016.06])</f>
        <v>0</v>
      </c>
      <c r="AY9" s="52">
        <f>SUMIF(r_Press_Tonnage,Table4[[Tonnage Range]:[Tonnage Range]],t_Presses[hp2016.07])</f>
        <v>0</v>
      </c>
      <c r="AZ9" s="52">
        <f>SUMIF(r_Press_Tonnage,Table4[[Tonnage Range]:[Tonnage Range]],t_Presses[hp2016.08])</f>
        <v>0</v>
      </c>
      <c r="BA9" s="52">
        <f>SUMIF(r_Press_Tonnage,Table4[[Tonnage Range]:[Tonnage Range]],t_Presses[hp2016.09])</f>
        <v>0</v>
      </c>
      <c r="BB9" s="52">
        <f>SUMIF(r_Press_Tonnage,Table4[[Tonnage Range]:[Tonnage Range]],t_Presses[hp2016.10])</f>
        <v>0</v>
      </c>
      <c r="BC9" s="52">
        <f>SUMIF(r_Press_Tonnage,Table4[[Tonnage Range]:[Tonnage Range]],t_Presses[hp2016.11])</f>
        <v>0</v>
      </c>
      <c r="BD9" s="52">
        <f>SUMIF(r_Press_Tonnage,Table4[[Tonnage Range]:[Tonnage Range]],t_Presses[hp2016.12])</f>
        <v>0</v>
      </c>
      <c r="BE9" s="52">
        <f>SUMIF(r_Press_Tonnage,Table4[[Tonnage Range]:[Tonnage Range]],t_Presses[hp2016.FY])</f>
        <v>0</v>
      </c>
      <c r="BF9" s="52">
        <f>SUMIF(r_Press_Tonnage,Table4[[Tonnage Range]:[Tonnage Range]],t_Presses[hp2017])</f>
        <v>0</v>
      </c>
      <c r="BG9" s="52">
        <f>SUMIF(r_Press_Tonnage,Table4[[Tonnage Range]:[Tonnage Range]],t_Presses[hp2018])</f>
        <v>0</v>
      </c>
      <c r="BH9" s="52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" priority="1" stopIfTrue="1" operator="greaterThan">
      <formula>v_uRed</formula>
    </cfRule>
    <cfRule type="cellIs" dxfId="1" priority="2" stopIfTrue="1" operator="greaterThan">
      <formula>v_uYel</formula>
    </cfRule>
    <cfRule type="cellIs" dxfId="0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8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B24" sqref="B24:B28"/>
    </sheetView>
  </sheetViews>
  <sheetFormatPr defaultRowHeight="15" outlineLevelCol="2" x14ac:dyDescent="0.25"/>
  <cols>
    <col min="1" max="1" width="15.140625" style="16" customWidth="1"/>
    <col min="2" max="2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7" width="9.140625" hidden="1" customWidth="1" outlineLevel="1"/>
    <col min="28" max="28" width="11" hidden="1" customWidth="1" outlineLevel="1"/>
    <col min="29" max="29" width="13.42578125" customWidth="1" collapsed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 collapsed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 collapsed="1"/>
    <col min="58" max="58" width="11.85546875" customWidth="1" collapsed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customWidth="1" collapsed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customWidth="1" collapsed="1"/>
    <col min="117" max="143" width="12" customWidth="1" outlineLevel="1"/>
    <col min="144" max="144" width="9.7109375" customWidth="1" outlineLevel="1"/>
    <col min="145" max="145" width="9.7109375" customWidth="1"/>
    <col min="146" max="146" width="15" hidden="1" customWidth="1" outlineLevel="1"/>
    <col min="147" max="156" width="9.7109375" hidden="1" customWidth="1" outlineLevel="1"/>
    <col min="157" max="157" width="12" hidden="1" customWidth="1" outlineLevel="1"/>
    <col min="158" max="158" width="12.42578125" hidden="1" customWidth="1" outlineLevel="1"/>
    <col min="159" max="159" width="12.5703125" hidden="1" customWidth="1" outlineLevel="1"/>
    <col min="160" max="160" width="13.5703125" hidden="1" customWidth="1" outlineLevel="1"/>
    <col min="161" max="169" width="9.7109375" hidden="1" customWidth="1" outlineLevel="1"/>
    <col min="170" max="173" width="13.7109375" hidden="1" customWidth="1" outlineLevel="1"/>
    <col min="174" max="174" width="14.5703125" customWidth="1" collapsed="1"/>
  </cols>
  <sheetData>
    <row r="1" spans="1:174" ht="25.5" customHeight="1" x14ac:dyDescent="0.25"/>
    <row r="2" spans="1:174" s="16" customFormat="1" x14ac:dyDescent="0.25">
      <c r="A2" s="12" t="s">
        <v>36</v>
      </c>
      <c r="B2" s="13"/>
      <c r="C2" s="22"/>
      <c r="D2" s="22"/>
      <c r="E2" s="22"/>
      <c r="F2" s="22"/>
      <c r="G2" s="22"/>
      <c r="H2" s="22"/>
      <c r="I2" s="22" t="s">
        <v>102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" t="s">
        <v>191</v>
      </c>
      <c r="V2" s="22"/>
      <c r="W2" s="22"/>
      <c r="X2" s="22"/>
      <c r="Y2" s="22"/>
      <c r="Z2" s="22"/>
      <c r="AA2" s="22"/>
      <c r="AB2" s="22"/>
      <c r="AC2" s="6" t="s">
        <v>123</v>
      </c>
      <c r="AD2" s="23">
        <v>2015.01</v>
      </c>
      <c r="AE2" s="23">
        <v>2015.02</v>
      </c>
      <c r="AF2" s="23">
        <v>2015.03</v>
      </c>
      <c r="AG2" s="23">
        <v>2015.04</v>
      </c>
      <c r="AH2" s="23">
        <v>2015.05</v>
      </c>
      <c r="AI2" s="23">
        <v>2015.06</v>
      </c>
      <c r="AJ2" s="23">
        <v>2015.07</v>
      </c>
      <c r="AK2" s="23">
        <v>2015.08</v>
      </c>
      <c r="AL2" s="23">
        <v>2015.09</v>
      </c>
      <c r="AM2" s="23">
        <v>2015.1</v>
      </c>
      <c r="AN2" s="23">
        <v>2015.11</v>
      </c>
      <c r="AO2" s="23">
        <v>2015.12</v>
      </c>
      <c r="AP2" s="23">
        <v>2015.13</v>
      </c>
      <c r="AQ2" s="23">
        <v>2016.01</v>
      </c>
      <c r="AR2" s="23">
        <v>2016.02</v>
      </c>
      <c r="AS2" s="23">
        <v>2016.03</v>
      </c>
      <c r="AT2" s="23">
        <v>2016.04</v>
      </c>
      <c r="AU2" s="23">
        <v>2016.05</v>
      </c>
      <c r="AV2" s="23">
        <v>2016.06</v>
      </c>
      <c r="AW2" s="23">
        <v>2016.07</v>
      </c>
      <c r="AX2" s="23">
        <v>2016.08</v>
      </c>
      <c r="AY2" s="23">
        <v>2016.09</v>
      </c>
      <c r="AZ2" s="23">
        <v>2016.1</v>
      </c>
      <c r="BA2" s="23">
        <v>2016.11</v>
      </c>
      <c r="BB2" s="23">
        <v>2016.12</v>
      </c>
      <c r="BC2" s="23">
        <v>2016.13</v>
      </c>
      <c r="BD2" s="23">
        <v>2017</v>
      </c>
      <c r="BE2" s="23">
        <v>2018</v>
      </c>
      <c r="BF2" s="23">
        <v>2019</v>
      </c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2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65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2" t="s">
        <v>7</v>
      </c>
      <c r="DN2" s="51"/>
      <c r="DO2" s="51"/>
      <c r="DP2" s="50" t="s">
        <v>5</v>
      </c>
      <c r="DQ2" s="51"/>
      <c r="DR2" s="51"/>
      <c r="DS2" s="51"/>
      <c r="DT2" s="51"/>
      <c r="DU2" s="51"/>
      <c r="DV2" s="51"/>
      <c r="DW2" s="51"/>
      <c r="DX2" s="51"/>
      <c r="DY2" s="2" t="s">
        <v>121</v>
      </c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66" t="s">
        <v>436</v>
      </c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9" t="s">
        <v>452</v>
      </c>
    </row>
    <row r="3" spans="1:174" x14ac:dyDescent="0.25">
      <c r="A3" s="21"/>
      <c r="B3" s="6"/>
      <c r="C3" s="6"/>
      <c r="D3" s="6"/>
      <c r="E3" s="6"/>
      <c r="F3" s="6"/>
      <c r="G3" s="6" t="s">
        <v>451</v>
      </c>
      <c r="H3" s="6"/>
      <c r="I3" s="28" t="s">
        <v>19</v>
      </c>
      <c r="J3" s="28" t="s">
        <v>20</v>
      </c>
      <c r="K3" s="28" t="s">
        <v>21</v>
      </c>
      <c r="L3" s="28" t="s">
        <v>22</v>
      </c>
      <c r="M3" s="28" t="s">
        <v>23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405</v>
      </c>
      <c r="AD3" s="11" t="s">
        <v>122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61" t="s">
        <v>124</v>
      </c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24" t="s">
        <v>124</v>
      </c>
      <c r="BG3" s="31" t="s">
        <v>3</v>
      </c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2" t="s">
        <v>54</v>
      </c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65" t="s">
        <v>54</v>
      </c>
      <c r="CJ3" s="19" t="s">
        <v>68</v>
      </c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34" t="s">
        <v>100</v>
      </c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 t="s">
        <v>100</v>
      </c>
      <c r="DM3" s="2"/>
      <c r="DN3" s="2"/>
      <c r="DO3" s="2"/>
      <c r="DP3" s="50"/>
      <c r="DQ3" s="2"/>
      <c r="DR3" s="2"/>
      <c r="DS3" s="2"/>
      <c r="DT3" s="2"/>
      <c r="DU3" s="2"/>
      <c r="DV3" s="2"/>
      <c r="DW3" s="2"/>
      <c r="DX3" s="2"/>
      <c r="DY3" s="2" t="s">
        <v>103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</row>
    <row r="4" spans="1:174" x14ac:dyDescent="0.25">
      <c r="A4" s="37" t="s">
        <v>406</v>
      </c>
      <c r="B4" s="7" t="s">
        <v>37</v>
      </c>
      <c r="C4" s="7" t="s">
        <v>107</v>
      </c>
      <c r="D4" s="7" t="s">
        <v>104</v>
      </c>
      <c r="E4" s="7" t="s">
        <v>105</v>
      </c>
      <c r="F4" s="7" t="s">
        <v>106</v>
      </c>
      <c r="G4" s="7" t="s">
        <v>96</v>
      </c>
      <c r="H4" s="7" t="s">
        <v>97</v>
      </c>
      <c r="I4" s="29" t="s">
        <v>367</v>
      </c>
      <c r="J4" s="29" t="s">
        <v>368</v>
      </c>
      <c r="K4" s="29" t="s">
        <v>369</v>
      </c>
      <c r="L4" s="29" t="s">
        <v>370</v>
      </c>
      <c r="M4" s="29" t="s">
        <v>371</v>
      </c>
      <c r="N4" s="7" t="s">
        <v>118</v>
      </c>
      <c r="O4" s="7" t="s">
        <v>119</v>
      </c>
      <c r="P4" s="7" t="s">
        <v>120</v>
      </c>
      <c r="Q4" s="7" t="s">
        <v>110</v>
      </c>
      <c r="R4" s="7" t="s">
        <v>111</v>
      </c>
      <c r="S4" s="7" t="s">
        <v>112</v>
      </c>
      <c r="T4" s="7" t="s">
        <v>113</v>
      </c>
      <c r="U4" s="7" t="s">
        <v>114</v>
      </c>
      <c r="V4" s="5" t="s">
        <v>38</v>
      </c>
      <c r="W4" s="5" t="s">
        <v>39</v>
      </c>
      <c r="X4" s="5" t="s">
        <v>57</v>
      </c>
      <c r="Y4" s="5" t="s">
        <v>30</v>
      </c>
      <c r="Z4" s="7" t="s">
        <v>56</v>
      </c>
      <c r="AA4" s="5" t="s">
        <v>95</v>
      </c>
      <c r="AB4" s="5" t="s">
        <v>109</v>
      </c>
      <c r="AC4" s="5" t="s">
        <v>108</v>
      </c>
      <c r="AD4" s="11" t="s">
        <v>40</v>
      </c>
      <c r="AE4" s="11" t="s">
        <v>41</v>
      </c>
      <c r="AF4" s="11" t="s">
        <v>42</v>
      </c>
      <c r="AG4" s="11" t="s">
        <v>58</v>
      </c>
      <c r="AH4" s="11" t="s">
        <v>59</v>
      </c>
      <c r="AI4" s="11" t="s">
        <v>60</v>
      </c>
      <c r="AJ4" s="11" t="s">
        <v>61</v>
      </c>
      <c r="AK4" s="11" t="s">
        <v>62</v>
      </c>
      <c r="AL4" s="11" t="s">
        <v>63</v>
      </c>
      <c r="AM4" s="11" t="s">
        <v>64</v>
      </c>
      <c r="AN4" s="11" t="s">
        <v>65</v>
      </c>
      <c r="AO4" s="11" t="s">
        <v>66</v>
      </c>
      <c r="AP4" s="11" t="s">
        <v>67</v>
      </c>
      <c r="AQ4" s="11" t="s">
        <v>192</v>
      </c>
      <c r="AR4" s="11" t="s">
        <v>193</v>
      </c>
      <c r="AS4" s="11" t="s">
        <v>194</v>
      </c>
      <c r="AT4" s="11" t="s">
        <v>195</v>
      </c>
      <c r="AU4" s="11" t="s">
        <v>196</v>
      </c>
      <c r="AV4" s="11" t="s">
        <v>197</v>
      </c>
      <c r="AW4" s="11" t="s">
        <v>198</v>
      </c>
      <c r="AX4" s="11" t="s">
        <v>199</v>
      </c>
      <c r="AY4" s="11" t="s">
        <v>200</v>
      </c>
      <c r="AZ4" s="11" t="s">
        <v>201</v>
      </c>
      <c r="BA4" s="11" t="s">
        <v>202</v>
      </c>
      <c r="BB4" s="11" t="s">
        <v>203</v>
      </c>
      <c r="BC4" s="11" t="s">
        <v>204</v>
      </c>
      <c r="BD4" s="11" t="s">
        <v>205</v>
      </c>
      <c r="BE4" s="11" t="s">
        <v>206</v>
      </c>
      <c r="BF4" s="11" t="s">
        <v>207</v>
      </c>
      <c r="BG4" s="31" t="s">
        <v>14</v>
      </c>
      <c r="BH4" s="31" t="s">
        <v>13</v>
      </c>
      <c r="BI4" s="31" t="s">
        <v>15</v>
      </c>
      <c r="BJ4" s="31" t="s">
        <v>43</v>
      </c>
      <c r="BK4" s="31" t="s">
        <v>44</v>
      </c>
      <c r="BL4" s="31" t="s">
        <v>45</v>
      </c>
      <c r="BM4" s="31" t="s">
        <v>46</v>
      </c>
      <c r="BN4" s="31" t="s">
        <v>47</v>
      </c>
      <c r="BO4" s="31" t="s">
        <v>48</v>
      </c>
      <c r="BP4" s="31" t="s">
        <v>49</v>
      </c>
      <c r="BQ4" s="31" t="s">
        <v>50</v>
      </c>
      <c r="BR4" s="31" t="s">
        <v>51</v>
      </c>
      <c r="BS4" s="31" t="s">
        <v>52</v>
      </c>
      <c r="BT4" s="31" t="s">
        <v>373</v>
      </c>
      <c r="BU4" s="31" t="s">
        <v>374</v>
      </c>
      <c r="BV4" s="31" t="s">
        <v>375</v>
      </c>
      <c r="BW4" s="31" t="s">
        <v>376</v>
      </c>
      <c r="BX4" s="31" t="s">
        <v>377</v>
      </c>
      <c r="BY4" s="31" t="s">
        <v>378</v>
      </c>
      <c r="BZ4" s="31" t="s">
        <v>379</v>
      </c>
      <c r="CA4" s="31" t="s">
        <v>380</v>
      </c>
      <c r="CB4" s="31" t="s">
        <v>381</v>
      </c>
      <c r="CC4" s="31" t="s">
        <v>382</v>
      </c>
      <c r="CD4" s="31" t="s">
        <v>383</v>
      </c>
      <c r="CE4" s="31" t="s">
        <v>384</v>
      </c>
      <c r="CF4" s="31" t="s">
        <v>385</v>
      </c>
      <c r="CG4" s="31" t="s">
        <v>386</v>
      </c>
      <c r="CH4" s="31" t="s">
        <v>387</v>
      </c>
      <c r="CI4" s="31" t="s">
        <v>404</v>
      </c>
      <c r="CJ4" s="19" t="s">
        <v>69</v>
      </c>
      <c r="CK4" s="19" t="s">
        <v>70</v>
      </c>
      <c r="CL4" s="19" t="s">
        <v>71</v>
      </c>
      <c r="CM4" s="19" t="s">
        <v>72</v>
      </c>
      <c r="CN4" s="19" t="s">
        <v>73</v>
      </c>
      <c r="CO4" s="19" t="s">
        <v>74</v>
      </c>
      <c r="CP4" s="19" t="s">
        <v>75</v>
      </c>
      <c r="CQ4" s="19" t="s">
        <v>76</v>
      </c>
      <c r="CR4" s="19" t="s">
        <v>77</v>
      </c>
      <c r="CS4" s="19" t="s">
        <v>78</v>
      </c>
      <c r="CT4" s="19" t="s">
        <v>79</v>
      </c>
      <c r="CU4" s="19" t="s">
        <v>80</v>
      </c>
      <c r="CV4" s="19" t="s">
        <v>81</v>
      </c>
      <c r="CW4" s="19" t="s">
        <v>388</v>
      </c>
      <c r="CX4" s="19" t="s">
        <v>389</v>
      </c>
      <c r="CY4" s="19" t="s">
        <v>390</v>
      </c>
      <c r="CZ4" s="19" t="s">
        <v>391</v>
      </c>
      <c r="DA4" s="19" t="s">
        <v>392</v>
      </c>
      <c r="DB4" s="19" t="s">
        <v>393</v>
      </c>
      <c r="DC4" s="19" t="s">
        <v>394</v>
      </c>
      <c r="DD4" s="19" t="s">
        <v>395</v>
      </c>
      <c r="DE4" s="19" t="s">
        <v>396</v>
      </c>
      <c r="DF4" s="19" t="s">
        <v>397</v>
      </c>
      <c r="DG4" s="19" t="s">
        <v>398</v>
      </c>
      <c r="DH4" s="19" t="s">
        <v>399</v>
      </c>
      <c r="DI4" s="19" t="s">
        <v>400</v>
      </c>
      <c r="DJ4" s="19" t="s">
        <v>401</v>
      </c>
      <c r="DK4" s="19" t="s">
        <v>402</v>
      </c>
      <c r="DL4" s="19" t="s">
        <v>403</v>
      </c>
      <c r="DM4" s="2" t="s">
        <v>16</v>
      </c>
      <c r="DN4" s="2" t="s">
        <v>17</v>
      </c>
      <c r="DO4" s="2" t="s">
        <v>18</v>
      </c>
      <c r="DP4" s="2" t="s">
        <v>86</v>
      </c>
      <c r="DQ4" s="2" t="s">
        <v>87</v>
      </c>
      <c r="DR4" s="2" t="s">
        <v>88</v>
      </c>
      <c r="DS4" s="2" t="s">
        <v>89</v>
      </c>
      <c r="DT4" s="2" t="s">
        <v>90</v>
      </c>
      <c r="DU4" s="2" t="s">
        <v>91</v>
      </c>
      <c r="DV4" s="2" t="s">
        <v>92</v>
      </c>
      <c r="DW4" s="2" t="s">
        <v>93</v>
      </c>
      <c r="DX4" s="2" t="s">
        <v>94</v>
      </c>
      <c r="DY4" s="2" t="s">
        <v>82</v>
      </c>
      <c r="DZ4" s="2" t="s">
        <v>338</v>
      </c>
      <c r="EA4" s="2" t="s">
        <v>339</v>
      </c>
      <c r="EB4" s="2" t="s">
        <v>340</v>
      </c>
      <c r="EC4" s="2" t="s">
        <v>341</v>
      </c>
      <c r="ED4" s="2" t="s">
        <v>342</v>
      </c>
      <c r="EE4" s="2" t="s">
        <v>343</v>
      </c>
      <c r="EF4" s="2" t="s">
        <v>344</v>
      </c>
      <c r="EG4" s="2" t="s">
        <v>345</v>
      </c>
      <c r="EH4" s="2" t="s">
        <v>346</v>
      </c>
      <c r="EI4" s="2" t="s">
        <v>347</v>
      </c>
      <c r="EJ4" s="2" t="s">
        <v>348</v>
      </c>
      <c r="EK4" s="2" t="s">
        <v>349</v>
      </c>
      <c r="EL4" s="2" t="s">
        <v>350</v>
      </c>
      <c r="EM4" s="2" t="s">
        <v>83</v>
      </c>
      <c r="EN4" s="2" t="s">
        <v>84</v>
      </c>
      <c r="EO4" s="2" t="s">
        <v>85</v>
      </c>
      <c r="EP4" s="67" t="s">
        <v>407</v>
      </c>
      <c r="EQ4" s="67" t="s">
        <v>408</v>
      </c>
      <c r="ER4" s="67" t="s">
        <v>409</v>
      </c>
      <c r="ES4" s="67" t="s">
        <v>410</v>
      </c>
      <c r="ET4" s="67" t="s">
        <v>411</v>
      </c>
      <c r="EU4" s="67" t="s">
        <v>412</v>
      </c>
      <c r="EV4" s="67" t="s">
        <v>413</v>
      </c>
      <c r="EW4" s="67" t="s">
        <v>414</v>
      </c>
      <c r="EX4" s="67" t="s">
        <v>415</v>
      </c>
      <c r="EY4" s="67" t="s">
        <v>416</v>
      </c>
      <c r="EZ4" s="67" t="s">
        <v>417</v>
      </c>
      <c r="FA4" s="67" t="s">
        <v>418</v>
      </c>
      <c r="FB4" s="67" t="s">
        <v>419</v>
      </c>
      <c r="FC4" s="67" t="s">
        <v>420</v>
      </c>
      <c r="FD4" s="67" t="s">
        <v>421</v>
      </c>
      <c r="FE4" s="67" t="s">
        <v>422</v>
      </c>
      <c r="FF4" s="67" t="s">
        <v>423</v>
      </c>
      <c r="FG4" s="67" t="s">
        <v>424</v>
      </c>
      <c r="FH4" s="67" t="s">
        <v>425</v>
      </c>
      <c r="FI4" s="67" t="s">
        <v>426</v>
      </c>
      <c r="FJ4" s="67" t="s">
        <v>427</v>
      </c>
      <c r="FK4" s="67" t="s">
        <v>428</v>
      </c>
      <c r="FL4" s="67" t="s">
        <v>429</v>
      </c>
      <c r="FM4" s="67" t="s">
        <v>430</v>
      </c>
      <c r="FN4" s="67" t="s">
        <v>431</v>
      </c>
      <c r="FO4" s="67" t="s">
        <v>432</v>
      </c>
      <c r="FP4" s="67" t="s">
        <v>433</v>
      </c>
      <c r="FQ4" s="67" t="s">
        <v>434</v>
      </c>
      <c r="FR4" s="67" t="s">
        <v>435</v>
      </c>
    </row>
    <row r="5" spans="1:174" x14ac:dyDescent="0.25">
      <c r="A5" s="16">
        <v>29203</v>
      </c>
      <c r="B5" s="16">
        <v>21013</v>
      </c>
      <c r="C5">
        <v>1</v>
      </c>
      <c r="D5" s="20">
        <v>4200</v>
      </c>
      <c r="E5" s="25">
        <v>1</v>
      </c>
      <c r="F5" s="26">
        <v>0</v>
      </c>
      <c r="G5" t="s">
        <v>16</v>
      </c>
      <c r="H5" t="s">
        <v>85</v>
      </c>
      <c r="I5" s="20">
        <v>340000</v>
      </c>
      <c r="J5" s="20">
        <v>33000</v>
      </c>
      <c r="K5" s="20">
        <v>170000</v>
      </c>
      <c r="L5" s="20">
        <v>180000</v>
      </c>
      <c r="M5" s="20">
        <v>190000</v>
      </c>
      <c r="N5" s="20"/>
      <c r="O5" s="20"/>
      <c r="P5" s="25"/>
      <c r="Q5" s="20"/>
      <c r="R5" s="26"/>
      <c r="S5" s="16"/>
      <c r="T5" s="27">
        <v>1.0620000000000001</v>
      </c>
      <c r="U5" t="s">
        <v>115</v>
      </c>
      <c r="V5" t="str">
        <f>VLOOKUP(t_Parts[[#This Row],[Press]],t_Presses[],Press!B$1,FALSE)</f>
        <v>Plainfield</v>
      </c>
      <c r="W5" t="str">
        <f>VLOOKUP(t_Parts[[#This Row],[Press]],t_Presses[],Press!E$1,FALSE)</f>
        <v>0-299</v>
      </c>
      <c r="X5" s="15">
        <f>VLOOKUP(t_Parts[[#This Row],[Plant]],t_Plants[],Plants!C$1,FALSE)</f>
        <v>0.55000000000000004</v>
      </c>
      <c r="Y5" s="15">
        <f>VLOOKUP(t_Parts[[#This Row],[Press]],t_Presses[],Press!F$1,FALSE)</f>
        <v>0</v>
      </c>
      <c r="Z5" s="15">
        <v>1</v>
      </c>
      <c r="AA5" s="15">
        <f>IF(ISBLANK(t_Parts[[#This Row],[PartOEE]])=FALSE,t_Parts[[#This Row],[PartOEE]], IF(t_Parts[[#This Row],[PressOEE]]&gt;0, t_Parts[[#This Row],[PressOEE]], t_Parts[[#This Row],[PlantOEE]] ))</f>
        <v>1</v>
      </c>
      <c r="AB5" s="25">
        <f>t_Parts[[#This Row],[SetupsPerMo]]*t_Parts[[#This Row],[SetupHrs]]</f>
        <v>0</v>
      </c>
      <c r="AC5" s="20">
        <f>(t_Parts[[#This Row],[UnitsPerCycle]]*t_Parts[[#This Row],[CyclesPerHr]])*t_Parts[[#This Row],[UseOEE]]</f>
        <v>4200</v>
      </c>
      <c r="AD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25000</v>
      </c>
      <c r="AE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26000</v>
      </c>
      <c r="AF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34000</v>
      </c>
      <c r="AG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25000</v>
      </c>
      <c r="AH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26000</v>
      </c>
      <c r="AI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34000</v>
      </c>
      <c r="AJ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25000</v>
      </c>
      <c r="AK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26000</v>
      </c>
      <c r="AL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34000</v>
      </c>
      <c r="AM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25000</v>
      </c>
      <c r="AN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26000</v>
      </c>
      <c r="AO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34000</v>
      </c>
      <c r="AP5" s="20">
        <f>SUM(t_Parts[[#This Row],[pv2015.01]:[pv2015.12]])</f>
        <v>340000</v>
      </c>
      <c r="AQ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2500</v>
      </c>
      <c r="AR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2400</v>
      </c>
      <c r="AS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3400</v>
      </c>
      <c r="AT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2500</v>
      </c>
      <c r="AU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2600</v>
      </c>
      <c r="AV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3400</v>
      </c>
      <c r="AW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2500</v>
      </c>
      <c r="AX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2600</v>
      </c>
      <c r="AY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3400</v>
      </c>
      <c r="AZ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2500</v>
      </c>
      <c r="BA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2200</v>
      </c>
      <c r="BB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3000</v>
      </c>
      <c r="BC5" s="20">
        <f>SUM(t_Parts[[#This Row],[pv2016.01]:[pv2016.12]])</f>
        <v>33000</v>
      </c>
      <c r="BD5" s="20">
        <f>t_Parts[[#This Row],[2017vol]]</f>
        <v>170000</v>
      </c>
      <c r="BE5" s="20">
        <f>t_Parts[[#This Row],[2018vol]]</f>
        <v>180000</v>
      </c>
      <c r="BF5" s="20">
        <f>t_Parts[[#This Row],[2019vol]]</f>
        <v>190000</v>
      </c>
      <c r="BG5">
        <f>VLOOKUP(t_Parts[[Plant]:[Plant]],t_Plants[],Plants!CM$1,FALSE)</f>
        <v>250</v>
      </c>
      <c r="BH5">
        <f>VLOOKUP(t_Parts[[Plant]:[Plant]],t_Plants[],Plants!CN$1,FALSE)</f>
        <v>260</v>
      </c>
      <c r="BI5">
        <f>VLOOKUP(t_Parts[[Plant]:[Plant]],t_Plants[],Plants!CO$1,FALSE)</f>
        <v>340</v>
      </c>
      <c r="BJ5">
        <f>VLOOKUP(t_Parts[[Plant]:[Plant]],t_Plants[],Plants!CP$1,FALSE)</f>
        <v>250</v>
      </c>
      <c r="BK5">
        <f>VLOOKUP(t_Parts[[Plant]:[Plant]],t_Plants[],Plants!CQ$1,FALSE)</f>
        <v>260</v>
      </c>
      <c r="BL5">
        <f>VLOOKUP(t_Parts[[Plant]:[Plant]],t_Plants[],Plants!CR$1,FALSE)</f>
        <v>340</v>
      </c>
      <c r="BM5">
        <f>VLOOKUP(t_Parts[[Plant]:[Plant]],t_Plants[],Plants!CS$1,FALSE)</f>
        <v>250</v>
      </c>
      <c r="BN5">
        <f>VLOOKUP(t_Parts[[Plant]:[Plant]],t_Plants[],Plants!CT$1,FALSE)</f>
        <v>260</v>
      </c>
      <c r="BO5">
        <f>VLOOKUP(t_Parts[[Plant]:[Plant]],t_Plants[],Plants!CU$1,FALSE)</f>
        <v>340</v>
      </c>
      <c r="BP5">
        <f>VLOOKUP(t_Parts[[Plant]:[Plant]],t_Plants[],Plants!CV$1,FALSE)</f>
        <v>250</v>
      </c>
      <c r="BQ5">
        <f>VLOOKUP(t_Parts[[Plant]:[Plant]],t_Plants[],Plants!CW$1,FALSE)</f>
        <v>260</v>
      </c>
      <c r="BR5">
        <f>VLOOKUP(t_Parts[[Plant]:[Plant]],t_Plants[],Plants!CX$1,FALSE)</f>
        <v>340</v>
      </c>
      <c r="BS5">
        <f>SUM(t_Parts[[#This Row],[ha2015.01]:[ha2015.12]])</f>
        <v>3400</v>
      </c>
      <c r="BT5">
        <f>VLOOKUP(t_Parts[[Plant]:[Plant]],t_Plants[],Plants!CZ$1,FALSE)</f>
        <v>250</v>
      </c>
      <c r="BU5">
        <f>VLOOKUP(t_Parts[[Plant]:[Plant]],t_Plants[],Plants!DA$1,FALSE)</f>
        <v>240</v>
      </c>
      <c r="BV5">
        <f>VLOOKUP(t_Parts[[Plant]:[Plant]],t_Plants[],Plants!DB$1,FALSE)</f>
        <v>340</v>
      </c>
      <c r="BW5">
        <f>VLOOKUP(t_Parts[[Plant]:[Plant]],t_Plants[],Plants!DC$1,FALSE)</f>
        <v>250</v>
      </c>
      <c r="BX5">
        <f>VLOOKUP(t_Parts[[Plant]:[Plant]],t_Plants[],Plants!DD$1,FALSE)</f>
        <v>260</v>
      </c>
      <c r="BY5">
        <f>VLOOKUP(t_Parts[[Plant]:[Plant]],t_Plants[],Plants!DE$1,FALSE)</f>
        <v>340</v>
      </c>
      <c r="BZ5">
        <f>VLOOKUP(t_Parts[[Plant]:[Plant]],t_Plants[],Plants!DF$1,FALSE)</f>
        <v>250</v>
      </c>
      <c r="CA5">
        <f>VLOOKUP(t_Parts[[Plant]:[Plant]],t_Plants[],Plants!DG$1,FALSE)</f>
        <v>260</v>
      </c>
      <c r="CB5">
        <f>VLOOKUP(t_Parts[[Plant]:[Plant]],t_Plants[],Plants!DH$1,FALSE)</f>
        <v>340</v>
      </c>
      <c r="CC5">
        <f>VLOOKUP(t_Parts[[Plant]:[Plant]],t_Plants[],Plants!DI$1,FALSE)</f>
        <v>250</v>
      </c>
      <c r="CD5">
        <f>VLOOKUP(t_Parts[[Plant]:[Plant]],t_Plants[],Plants!DJ$1,FALSE)</f>
        <v>220</v>
      </c>
      <c r="CE5">
        <f>VLOOKUP(t_Parts[[Plant]:[Plant]],t_Plants[],Plants!DK$1,FALSE)</f>
        <v>300</v>
      </c>
      <c r="CF5">
        <f>VLOOKUP(t_Parts[[Plant]:[Plant]],t_Plants[],Plants!DL$1,FALSE)</f>
        <v>3300</v>
      </c>
      <c r="CG5">
        <f>VLOOKUP(t_Parts[[Plant]:[Plant]],t_Plants[],Plants!DM$1,FALSE)</f>
        <v>3300</v>
      </c>
      <c r="CH5">
        <f>VLOOKUP(t_Parts[[Plant]:[Plant]],t_Plants[],Plants!DN$1,FALSE)</f>
        <v>3300</v>
      </c>
      <c r="CI5">
        <f>VLOOKUP(t_Parts[[Plant]:[Plant]],t_Plants[],Plants!DO$1,FALSE)</f>
        <v>3300</v>
      </c>
      <c r="CJ5" s="20">
        <f>IF(AND(AD$2&gt;=VALUE(t_Parts[[SOP]:[SOP]]),AD$2&lt;=VALUE(t_Parts[[EOP]:[EOP]])), t_Parts[[SetupHrsPerMo]:[SetupHrsPerMo]]+(t_Parts[[#This Row],[pv2015.01]]/t_Parts[[NetPPH]:[NetPPH]]),0)</f>
        <v>5.9523809523809526</v>
      </c>
      <c r="CK5" s="20">
        <f>IF(AND(AE$2&gt;=VALUE(t_Parts[[SOP]:[SOP]]),AE$2&lt;=VALUE(t_Parts[[EOP]:[EOP]])), t_Parts[[SetupHrsPerMo]:[SetupHrsPerMo]]+(t_Parts[[#This Row],[pv2015.02]]/t_Parts[[NetPPH]:[NetPPH]]),0)</f>
        <v>6.1904761904761907</v>
      </c>
      <c r="CL5" s="20">
        <f>IF(AND(AF$2&gt;=VALUE(t_Parts[[SOP]:[SOP]]),AF$2&lt;=VALUE(t_Parts[[EOP]:[EOP]])), t_Parts[[SetupHrsPerMo]:[SetupHrsPerMo]]+(t_Parts[[#This Row],[pv2015.03]]/t_Parts[[NetPPH]:[NetPPH]]),0)</f>
        <v>8.0952380952380949</v>
      </c>
      <c r="CM5" s="20">
        <f>IF(AND(AG$2&gt;=VALUE(t_Parts[[SOP]:[SOP]]),AG$2&lt;=VALUE(t_Parts[[EOP]:[EOP]])), t_Parts[[SetupHrsPerMo]:[SetupHrsPerMo]]+(t_Parts[[#This Row],[pv2015.04]]/t_Parts[[NetPPH]:[NetPPH]]),0)</f>
        <v>5.9523809523809526</v>
      </c>
      <c r="CN5" s="20">
        <f>IF(AND(AH$2&gt;=VALUE(t_Parts[[SOP]:[SOP]]),AH$2&lt;=VALUE(t_Parts[[EOP]:[EOP]])), t_Parts[[SetupHrsPerMo]:[SetupHrsPerMo]]+(t_Parts[[#This Row],[pv2015.05]]/t_Parts[[NetPPH]:[NetPPH]]),0)</f>
        <v>6.1904761904761907</v>
      </c>
      <c r="CO5" s="20">
        <f>IF(AND(AI$2&gt;=VALUE(t_Parts[[SOP]:[SOP]]),AI$2&lt;=VALUE(t_Parts[[EOP]:[EOP]])), t_Parts[[SetupHrsPerMo]:[SetupHrsPerMo]]+(t_Parts[[#This Row],[pv2015.06]]/t_Parts[[NetPPH]:[NetPPH]]),0)</f>
        <v>8.0952380952380949</v>
      </c>
      <c r="CP5" s="20">
        <f>IF(AND(AJ$2&gt;=VALUE(t_Parts[[SOP]:[SOP]]),AJ$2&lt;=VALUE(t_Parts[[EOP]:[EOP]])), t_Parts[[SetupHrsPerMo]:[SetupHrsPerMo]]+(t_Parts[[#This Row],[pv2015.07]]/t_Parts[[NetPPH]:[NetPPH]]),0)</f>
        <v>5.9523809523809526</v>
      </c>
      <c r="CQ5" s="20">
        <f>IF(AND(AK$2&gt;=VALUE(t_Parts[[SOP]:[SOP]]),AK$2&lt;=VALUE(t_Parts[[EOP]:[EOP]])), t_Parts[[SetupHrsPerMo]:[SetupHrsPerMo]]+(t_Parts[[#This Row],[pv2015.08]]/t_Parts[[NetPPH]:[NetPPH]]),0)</f>
        <v>6.1904761904761907</v>
      </c>
      <c r="CR5" s="20">
        <f>IF(AND(AL$2&gt;=VALUE(t_Parts[[SOP]:[SOP]]),AL$2&lt;=VALUE(t_Parts[[EOP]:[EOP]])), t_Parts[[SetupHrsPerMo]:[SetupHrsPerMo]]+(t_Parts[[#This Row],[pv2015.09]]/t_Parts[[NetPPH]:[NetPPH]]),0)</f>
        <v>8.0952380952380949</v>
      </c>
      <c r="CS5" s="20">
        <f>IF(AND(AM$2&gt;=VALUE(t_Parts[[SOP]:[SOP]]),AM$2&lt;=VALUE(t_Parts[[EOP]:[EOP]])), t_Parts[[SetupHrsPerMo]:[SetupHrsPerMo]]+(t_Parts[[#This Row],[pv2015.10]]/t_Parts[[NetPPH]:[NetPPH]]),0)</f>
        <v>5.9523809523809526</v>
      </c>
      <c r="CT5" s="20">
        <f>IF(AND(AN$2&gt;=VALUE(t_Parts[[SOP]:[SOP]]),AN$2&lt;=VALUE(t_Parts[[EOP]:[EOP]])), t_Parts[[SetupHrsPerMo]:[SetupHrsPerMo]]+(t_Parts[[#This Row],[pv2015.11]]/t_Parts[[NetPPH]:[NetPPH]]),0)</f>
        <v>6.1904761904761907</v>
      </c>
      <c r="CU5" s="20">
        <f>IF(AND(AO$2&gt;=VALUE(t_Parts[[SOP]:[SOP]]),AO$2&lt;=VALUE(t_Parts[[EOP]:[EOP]])), t_Parts[[SetupHrsPerMo]:[SetupHrsPerMo]]+(t_Parts[[#This Row],[pv2015.12]]/t_Parts[[NetPPH]:[NetPPH]]),0)</f>
        <v>8.0952380952380949</v>
      </c>
      <c r="CV5" s="20">
        <f>SUM(t_Parts[[#This Row],[hp2015.01]:[hp2015.12]])</f>
        <v>80.952380952380963</v>
      </c>
      <c r="CW5" s="20">
        <f>IF(AND(AQ$2&gt;=VALUE(t_Parts[[SOP]:[SOP]]),AQ$2&lt;=VALUE(t_Parts[[EOP]:[EOP]])), t_Parts[[SetupHrsPerMo]:[SetupHrsPerMo]]+(t_Parts[[#This Row],[pv2016.01]]/t_Parts[[NetPPH]:[NetPPH]]),0)</f>
        <v>0.59523809523809523</v>
      </c>
      <c r="CX5" s="20">
        <f>IF(AND(AR$2&gt;=VALUE(t_Parts[[SOP]:[SOP]]),AR$2&lt;=VALUE(t_Parts[[EOP]:[EOP]])), t_Parts[[SetupHrsPerMo]:[SetupHrsPerMo]]+(t_Parts[[#This Row],[pv2016.02]]/t_Parts[[NetPPH]:[NetPPH]]),0)</f>
        <v>0.5714285714285714</v>
      </c>
      <c r="CY5" s="20">
        <f>IF(AND(AS$2&gt;=VALUE(t_Parts[[SOP]:[SOP]]),AS$2&lt;=VALUE(t_Parts[[EOP]:[EOP]])), t_Parts[[SetupHrsPerMo]:[SetupHrsPerMo]]+(t_Parts[[#This Row],[pv2016.03]]/t_Parts[[NetPPH]:[NetPPH]]),0)</f>
        <v>0.80952380952380953</v>
      </c>
      <c r="CZ5" s="20">
        <f>IF(AND(AT$2&gt;=VALUE(t_Parts[[SOP]:[SOP]]),AT$2&lt;=VALUE(t_Parts[[EOP]:[EOP]])), t_Parts[[SetupHrsPerMo]:[SetupHrsPerMo]]+(t_Parts[[#This Row],[pv2016.04]]/t_Parts[[NetPPH]:[NetPPH]]),0)</f>
        <v>0.59523809523809523</v>
      </c>
      <c r="DA5" s="20">
        <f>IF(AND(AU$2&gt;=VALUE(t_Parts[[SOP]:[SOP]]),AU$2&lt;=VALUE(t_Parts[[EOP]:[EOP]])), t_Parts[[SetupHrsPerMo]:[SetupHrsPerMo]]+(t_Parts[[#This Row],[pv2016.05]]/t_Parts[[NetPPH]:[NetPPH]]),0)</f>
        <v>0.61904761904761907</v>
      </c>
      <c r="DB5" s="20">
        <f>IF(AND(AV$2&gt;=VALUE(t_Parts[[SOP]:[SOP]]),AV$2&lt;=VALUE(t_Parts[[EOP]:[EOP]])), t_Parts[[SetupHrsPerMo]:[SetupHrsPerMo]]+(t_Parts[[#This Row],[pv2016.06]]/t_Parts[[NetPPH]:[NetPPH]]),0)</f>
        <v>0.80952380952380953</v>
      </c>
      <c r="DC5" s="20">
        <f>IF(AND(AW$2&gt;=VALUE(t_Parts[[SOP]:[SOP]]),AW$2&lt;=VALUE(t_Parts[[EOP]:[EOP]])), t_Parts[[SetupHrsPerMo]:[SetupHrsPerMo]]+(t_Parts[[#This Row],[pv2016.07]]/t_Parts[[NetPPH]:[NetPPH]]),0)</f>
        <v>0.59523809523809523</v>
      </c>
      <c r="DD5" s="20">
        <f>IF(AND(AX$2&gt;=VALUE(t_Parts[[SOP]:[SOP]]),AX$2&lt;=VALUE(t_Parts[[EOP]:[EOP]])), t_Parts[[SetupHrsPerMo]:[SetupHrsPerMo]]+(t_Parts[[#This Row],[pv2016.08]]/t_Parts[[NetPPH]:[NetPPH]]),0)</f>
        <v>0.61904761904761907</v>
      </c>
      <c r="DE5" s="20">
        <f>IF(AND(AY$2&gt;=VALUE(t_Parts[[SOP]:[SOP]]),AY$2&lt;=VALUE(t_Parts[[EOP]:[EOP]])), t_Parts[[SetupHrsPerMo]:[SetupHrsPerMo]]+(t_Parts[[#This Row],[pv2016.09]]/t_Parts[[NetPPH]:[NetPPH]]),0)</f>
        <v>0.80952380952380953</v>
      </c>
      <c r="DF5" s="20">
        <f>IF(AND(AZ$2&gt;=VALUE(t_Parts[[SOP]:[SOP]]),AZ$2&lt;=VALUE(t_Parts[[EOP]:[EOP]])), t_Parts[[SetupHrsPerMo]:[SetupHrsPerMo]]+(t_Parts[[#This Row],[pv2016.10]]/t_Parts[[NetPPH]:[NetPPH]]),0)</f>
        <v>0.59523809523809523</v>
      </c>
      <c r="DG5" s="20">
        <f>IF(AND(BA$2&gt;=VALUE(t_Parts[[SOP]:[SOP]]),BA$2&lt;=VALUE(t_Parts[[EOP]:[EOP]])), t_Parts[[SetupHrsPerMo]:[SetupHrsPerMo]]+(t_Parts[[#This Row],[pv2016.11]]/t_Parts[[NetPPH]:[NetPPH]]),0)</f>
        <v>0.52380952380952384</v>
      </c>
      <c r="DH5" s="20">
        <f>IF(AND(BB$2&gt;=VALUE(t_Parts[[SOP]:[SOP]]),BB$2&lt;=VALUE(t_Parts[[EOP]:[EOP]])), t_Parts[[SetupHrsPerMo]:[SetupHrsPerMo]]+(t_Parts[[#This Row],[pv2016.12]]/t_Parts[[NetPPH]:[NetPPH]]),0)</f>
        <v>0.7142857142857143</v>
      </c>
      <c r="DI5" s="20">
        <f>SUM(t_Parts[[#This Row],[hp2016.01]:[hp2016.12]])</f>
        <v>7.8571428571428559</v>
      </c>
      <c r="DJ5" s="20">
        <f>IF(AND(BD$2&gt;=VALUE(t_Parts[[SOP]:[SOP]]),BD$2&lt;=VALUE(t_Parts[[EOP]:[EOP]])), 12*t_Parts[[SetupHrsPerMo]:[SetupHrsPerMo]]+(t_Parts[[#This Row],[pv2017]]/t_Parts[[NetPPH]:[NetPPH]]),0)</f>
        <v>40.476190476190474</v>
      </c>
      <c r="DK5" s="20">
        <f>IF(AND(BE$2&gt;=VALUE(t_Parts[[SOP]:[SOP]]),BE$2&lt;=VALUE(t_Parts[[EOP]:[EOP]])), 12*t_Parts[[SetupHrsPerMo]:[SetupHrsPerMo]]+(t_Parts[[#This Row],[pv2018]]/t_Parts[[NetPPH]:[NetPPH]]),0)</f>
        <v>42.857142857142854</v>
      </c>
      <c r="DL5" s="20">
        <f>IF(AND(BF$2&gt;=VALUE(t_Parts[[SOP]:[SOP]]),BF$2&lt;=VALUE(t_Parts[[EOP]:[EOP]])), 12*t_Parts[[SetupHrsPerMo]:[SetupHrsPerMo]]+(t_Parts[[#This Row],[pv2019]]/t_Parts[[NetPPH]:[NetPPH]]),0)</f>
        <v>45.238095238095241</v>
      </c>
      <c r="DM5" s="15">
        <f>t_Parts[[#This Row],[hp2015.01]]/t_Parts[[#This Row],[ha2015.01]]</f>
        <v>2.3809523809523812E-2</v>
      </c>
      <c r="DN5" s="15">
        <f>t_Parts[[#This Row],[hp2015.02]]/t_Parts[[#This Row],[ha2015.02]]</f>
        <v>2.3809523809523812E-2</v>
      </c>
      <c r="DO5" s="15">
        <f>t_Parts[[#This Row],[hp2015.03]]/t_Parts[[#This Row],[ha2015.03]]</f>
        <v>2.3809523809523808E-2</v>
      </c>
      <c r="DP5" s="15">
        <f>t_Parts[[#This Row],[hp2015.04]]/t_Parts[[#This Row],[ha2015.04]]</f>
        <v>2.3809523809523812E-2</v>
      </c>
      <c r="DQ5" s="15">
        <f>t_Parts[[#This Row],[hp2015.05]]/t_Parts[[#This Row],[ha2015.05]]</f>
        <v>2.3809523809523812E-2</v>
      </c>
      <c r="DR5" s="15">
        <f>t_Parts[[#This Row],[hp2015.06]]/t_Parts[[#This Row],[ha2015.06]]</f>
        <v>2.3809523809523808E-2</v>
      </c>
      <c r="DS5" s="15">
        <f>t_Parts[[#This Row],[hp2015.07]]/t_Parts[[#This Row],[ha2015.07]]</f>
        <v>2.3809523809523812E-2</v>
      </c>
      <c r="DT5" s="15">
        <f>t_Parts[[#This Row],[hp2015.08]]/t_Parts[[#This Row],[ha2015.08]]</f>
        <v>2.3809523809523812E-2</v>
      </c>
      <c r="DU5" s="15">
        <f>t_Parts[[#This Row],[hp2015.09]]/t_Parts[[#This Row],[ha2015.09]]</f>
        <v>2.3809523809523808E-2</v>
      </c>
      <c r="DV5" s="15">
        <f>t_Parts[[#This Row],[hp2015.10]]/t_Parts[[#This Row],[ha2015.10]]</f>
        <v>2.3809523809523812E-2</v>
      </c>
      <c r="DW5" s="15">
        <f>t_Parts[[#This Row],[hp2015.11]]/t_Parts[[#This Row],[ha2015.11]]</f>
        <v>2.3809523809523812E-2</v>
      </c>
      <c r="DX5" s="15">
        <f>t_Parts[[#This Row],[hp2015.12]]/t_Parts[[#This Row],[ha2015.12]]</f>
        <v>2.3809523809523808E-2</v>
      </c>
      <c r="DY5" s="15">
        <f>t_Parts[[#This Row],[hp2015.FY]]/t_Parts[[#This Row],[ha2015.FY]]</f>
        <v>2.3809523809523812E-2</v>
      </c>
      <c r="DZ5" s="15">
        <f>t_Parts[[#This Row],[hp2016.01]]/t_Parts[[#This Row],[ha2016.01]]</f>
        <v>2.3809523809523807E-3</v>
      </c>
      <c r="EA5" s="15">
        <f>t_Parts[[#This Row],[hp2016.02]]/t_Parts[[#This Row],[ha2016.02]]</f>
        <v>2.3809523809523807E-3</v>
      </c>
      <c r="EB5" s="15">
        <f>t_Parts[[#This Row],[hp2016.03]]/t_Parts[[#This Row],[ha2016.03]]</f>
        <v>2.3809523809523812E-3</v>
      </c>
      <c r="EC5" s="15">
        <f>t_Parts[[#This Row],[hp2016.04]]/t_Parts[[#This Row],[ha2016.04]]</f>
        <v>2.3809523809523807E-3</v>
      </c>
      <c r="ED5" s="15">
        <f>t_Parts[[#This Row],[hp2016.05]]/t_Parts[[#This Row],[ha2016.05]]</f>
        <v>2.3809523809523812E-3</v>
      </c>
      <c r="EE5" s="15">
        <f>t_Parts[[#This Row],[hp2016.06]]/t_Parts[[#This Row],[ha2016.06]]</f>
        <v>2.3809523809523812E-3</v>
      </c>
      <c r="EF5" s="15">
        <f>t_Parts[[#This Row],[hp2016.07]]/t_Parts[[#This Row],[ha2016.07]]</f>
        <v>2.3809523809523807E-3</v>
      </c>
      <c r="EG5" s="15">
        <f>t_Parts[[#This Row],[hp2016.08]]/t_Parts[[#This Row],[ha2016.08]]</f>
        <v>2.3809523809523812E-3</v>
      </c>
      <c r="EH5" s="15">
        <f>t_Parts[[#This Row],[hp2016.09]]/t_Parts[[#This Row],[ha2016.09]]</f>
        <v>2.3809523809523812E-3</v>
      </c>
      <c r="EI5" s="15">
        <f>t_Parts[[#This Row],[hp2016.10]]/t_Parts[[#This Row],[ha2016.10]]</f>
        <v>2.3809523809523807E-3</v>
      </c>
      <c r="EJ5" s="15">
        <f>t_Parts[[#This Row],[hp2016.11]]/t_Parts[[#This Row],[ha2016.11]]</f>
        <v>2.3809523809523812E-3</v>
      </c>
      <c r="EK5" s="15">
        <f>t_Parts[[#This Row],[hp2016.12]]/t_Parts[[#This Row],[ha2016.12]]</f>
        <v>2.3809523809523812E-3</v>
      </c>
      <c r="EL5" s="15">
        <f>t_Parts[[#This Row],[hp2016.FY]]/t_Parts[[#This Row],[ha2016.FY]]</f>
        <v>2.3809523809523807E-3</v>
      </c>
      <c r="EM5" s="15">
        <f>t_Parts[[#This Row],[hp2017]]/t_Parts[[#This Row],[ha2017]]</f>
        <v>1.2265512265512264E-2</v>
      </c>
      <c r="EN5" s="15">
        <f>t_Parts[[#This Row],[hp2018]]/t_Parts[[#This Row],[ha2018]]</f>
        <v>1.2987012987012986E-2</v>
      </c>
      <c r="EO5" s="15">
        <f>t_Parts[[#This Row],[hp2019]]/t_Parts[[#This Row],[hp2015.01]]</f>
        <v>7.6000000000000005</v>
      </c>
      <c r="EP5" s="68">
        <f>(t_Parts[[#This Row],[ha2015.01]]-t_Parts[[#This Row],[hp2015.01]])*t_Parts[[NetPPH]:[NetPPH]]</f>
        <v>1025000</v>
      </c>
      <c r="EQ5" s="68">
        <f>(t_Parts[[#This Row],[ha2015.02]]-t_Parts[[#This Row],[hp2015.02]])*t_Parts[[NetPPH]:[NetPPH]]</f>
        <v>1066000</v>
      </c>
      <c r="ER5" s="68">
        <f>(t_Parts[[#This Row],[ha2015.03]]-t_Parts[[#This Row],[hp2015.03]])*t_Parts[[NetPPH]:[NetPPH]]</f>
        <v>1394000</v>
      </c>
      <c r="ES5" s="68">
        <f>(t_Parts[[#This Row],[ha2015.04]]-t_Parts[[#This Row],[hp2015.04]])*t_Parts[[NetPPH]:[NetPPH]]</f>
        <v>1025000</v>
      </c>
      <c r="ET5" s="68">
        <f>(t_Parts[[#This Row],[ha2015.05]]-t_Parts[[#This Row],[hp2015.05]])*t_Parts[[NetPPH]:[NetPPH]]</f>
        <v>1066000</v>
      </c>
      <c r="EU5" s="68">
        <f>(t_Parts[[#This Row],[ha2015.06]]-t_Parts[[#This Row],[hp2015.06]])*t_Parts[[NetPPH]:[NetPPH]]</f>
        <v>1394000</v>
      </c>
      <c r="EV5" s="68">
        <f>(t_Parts[[#This Row],[ha2015.07]]-t_Parts[[#This Row],[hp2015.07]])*t_Parts[[NetPPH]:[NetPPH]]</f>
        <v>1025000</v>
      </c>
      <c r="EW5" s="68">
        <f>(t_Parts[[#This Row],[ha2015.08]]-t_Parts[[#This Row],[hp2015.08]])*t_Parts[[NetPPH]:[NetPPH]]</f>
        <v>1066000</v>
      </c>
      <c r="EX5" s="68">
        <f>(t_Parts[[#This Row],[ha2015.09]]-t_Parts[[#This Row],[hp2015.09]])*t_Parts[[NetPPH]:[NetPPH]]</f>
        <v>1394000</v>
      </c>
      <c r="EY5" s="68">
        <f>(t_Parts[[#This Row],[ha2015.10]]-t_Parts[[#This Row],[hp2015.10]])*t_Parts[[NetPPH]:[NetPPH]]</f>
        <v>1025000</v>
      </c>
      <c r="EZ5" s="68">
        <f>(t_Parts[[#This Row],[ha2015.11]]-t_Parts[[#This Row],[hp2015.11]])*t_Parts[[NetPPH]:[NetPPH]]</f>
        <v>1066000</v>
      </c>
      <c r="FA5" s="68">
        <f>(t_Parts[[#This Row],[ha2015.12]]-t_Parts[[#This Row],[hp2015.12]])*t_Parts[[NetPPH]:[NetPPH]]</f>
        <v>1394000</v>
      </c>
      <c r="FB5" s="68">
        <f>(t_Parts[[#This Row],[ha2015.FY]]-t_Parts[[#This Row],[hp2015.FY]])*t_Parts[[NetPPH]:[NetPPH]]</f>
        <v>13940000</v>
      </c>
      <c r="FC5" s="68">
        <f>(t_Parts[[#This Row],[ha2016.01]]-t_Parts[[#This Row],[hp2016.01]])*t_Parts[[NetPPH]:[NetPPH]]</f>
        <v>1047500</v>
      </c>
      <c r="FD5" s="68">
        <f>(t_Parts[[#This Row],[ha2016.02]]-t_Parts[[#This Row],[hp2016.02]])*t_Parts[[NetPPH]:[NetPPH]]</f>
        <v>1005600</v>
      </c>
      <c r="FE5" s="68">
        <f>(t_Parts[[#This Row],[ha2016.03]]-t_Parts[[#This Row],[hp2016.03]])*t_Parts[[NetPPH]:[NetPPH]]</f>
        <v>1424600</v>
      </c>
      <c r="FF5" s="68">
        <f>(t_Parts[[#This Row],[ha2016.04]]-t_Parts[[#This Row],[hp2016.04]])*t_Parts[[NetPPH]:[NetPPH]]</f>
        <v>1047500</v>
      </c>
      <c r="FG5" s="68">
        <f>(t_Parts[[#This Row],[ha2016.05]]-t_Parts[[#This Row],[hp2016.05]])*t_Parts[[NetPPH]:[NetPPH]]</f>
        <v>1089400</v>
      </c>
      <c r="FH5" s="68">
        <f>(t_Parts[[#This Row],[ha2016.06]]-t_Parts[[#This Row],[hp2016.06]])*t_Parts[[NetPPH]:[NetPPH]]</f>
        <v>1424600</v>
      </c>
      <c r="FI5" s="68">
        <f>(t_Parts[[#This Row],[ha2016.07]]-t_Parts[[#This Row],[hp2016.07]])*t_Parts[[NetPPH]:[NetPPH]]</f>
        <v>1047500</v>
      </c>
      <c r="FJ5" s="68">
        <f>(t_Parts[[#This Row],[ha2016.08]]-t_Parts[[#This Row],[hp2016.08]])*t_Parts[[NetPPH]:[NetPPH]]</f>
        <v>1089400</v>
      </c>
      <c r="FK5" s="68">
        <f>(t_Parts[[#This Row],[ha2016.09]]-t_Parts[[#This Row],[hp2016.09]])*t_Parts[[NetPPH]:[NetPPH]]</f>
        <v>1424600</v>
      </c>
      <c r="FL5" s="68">
        <f>(t_Parts[[#This Row],[ha2016.10]]-t_Parts[[#This Row],[hp2016.10]])*t_Parts[[NetPPH]:[NetPPH]]</f>
        <v>1047500</v>
      </c>
      <c r="FM5" s="68">
        <f>(t_Parts[[#This Row],[ha2016.11]]-t_Parts[[#This Row],[hp2016.11]])*t_Parts[[NetPPH]:[NetPPH]]</f>
        <v>921800</v>
      </c>
      <c r="FN5" s="68">
        <f>(t_Parts[[#This Row],[ha2016.12]]-t_Parts[[#This Row],[hp2016.12]])*t_Parts[[NetPPH]:[NetPPH]]</f>
        <v>1257000</v>
      </c>
      <c r="FO5" s="68">
        <f>(t_Parts[[#This Row],[ha2016.FY]]-t_Parts[[#This Row],[hp2016.FY]])*t_Parts[[NetPPH]:[NetPPH]]</f>
        <v>13827000</v>
      </c>
      <c r="FP5" s="68">
        <f>(t_Parts[[#This Row],[ha2017]]-t_Parts[[#This Row],[hp2017]])*t_Parts[[NetPPH]:[NetPPH]]</f>
        <v>13690000</v>
      </c>
      <c r="FQ5" s="68">
        <f>(t_Parts[[#This Row],[ha2018]]-t_Parts[[#This Row],[hp2018]])*t_Parts[[NetPPH]:[NetPPH]]</f>
        <v>13680000</v>
      </c>
      <c r="FR5" s="68">
        <f>(t_Parts[[#This Row],[ha2019]]-t_Parts[[#This Row],[hp2019]])*t_Parts[[NetPPH]:[NetPPH]]</f>
        <v>13670000</v>
      </c>
    </row>
    <row r="6" spans="1:174" x14ac:dyDescent="0.25">
      <c r="A6" s="16" t="s">
        <v>166</v>
      </c>
      <c r="B6" s="16">
        <v>21014</v>
      </c>
      <c r="C6">
        <v>2</v>
      </c>
      <c r="D6" s="20">
        <v>2400</v>
      </c>
      <c r="E6" s="25">
        <v>1</v>
      </c>
      <c r="F6" s="26">
        <v>4</v>
      </c>
      <c r="G6" t="s">
        <v>16</v>
      </c>
      <c r="H6" t="s">
        <v>94</v>
      </c>
      <c r="I6" s="20">
        <v>70848</v>
      </c>
      <c r="J6" s="20"/>
      <c r="K6" s="20"/>
      <c r="L6" s="20"/>
      <c r="M6" s="20"/>
      <c r="N6" s="20"/>
      <c r="O6" s="20"/>
      <c r="P6" s="25"/>
      <c r="Q6" s="20"/>
      <c r="R6" s="26"/>
      <c r="S6" s="16"/>
      <c r="T6" s="27"/>
      <c r="U6" t="s">
        <v>116</v>
      </c>
      <c r="V6" t="str">
        <f>VLOOKUP(t_Parts[[#This Row],[Press]],t_Presses[],Press!B$1,FALSE)</f>
        <v>Plainfield</v>
      </c>
      <c r="W6" t="str">
        <f>VLOOKUP(t_Parts[[#This Row],[Press]],t_Presses[],Press!E$1,FALSE)</f>
        <v>300-599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/>
      <c r="AA6" s="15">
        <f>IF(ISBLANK(t_Parts[[#This Row],[PartOEE]])=FALSE,t_Parts[[#This Row],[PartOEE]], IF(t_Parts[[#This Row],[PressOEE]]&gt;0, t_Parts[[#This Row],[PressOEE]], t_Parts[[#This Row],[PlantOEE]] ))</f>
        <v>0.55000000000000004</v>
      </c>
      <c r="AB6" s="25">
        <f>t_Parts[[#This Row],[SetupsPerMo]]*t_Parts[[#This Row],[SetupHrs]]</f>
        <v>4</v>
      </c>
      <c r="AC6" s="20">
        <f>(t_Parts[[#This Row],[UnitsPerCycle]]*t_Parts[[#This Row],[CyclesPerHr]])*t_Parts[[#This Row],[UseOEE]]</f>
        <v>2640</v>
      </c>
      <c r="AD6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5209.411764705882</v>
      </c>
      <c r="AE6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5417.7882352941178</v>
      </c>
      <c r="AF6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7084.8</v>
      </c>
      <c r="AG6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5209.411764705882</v>
      </c>
      <c r="AH6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5417.7882352941178</v>
      </c>
      <c r="AI6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7084.8</v>
      </c>
      <c r="AJ6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5209.411764705882</v>
      </c>
      <c r="AK6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5417.7882352941178</v>
      </c>
      <c r="AL6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7084.8</v>
      </c>
      <c r="AM6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5209.411764705882</v>
      </c>
      <c r="AN6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5417.7882352941178</v>
      </c>
      <c r="AO6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7084.8</v>
      </c>
      <c r="AP6" s="20">
        <f>SUM(t_Parts[[#This Row],[pv2015.01]:[pv2015.12]])</f>
        <v>70848</v>
      </c>
      <c r="AQ6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6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6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6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6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6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6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6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6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6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6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6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6" s="20">
        <f>SUM(t_Parts[[#This Row],[pv2016.01]:[pv2016.12]])</f>
        <v>0</v>
      </c>
      <c r="BD6" s="20">
        <f>t_Parts[[#This Row],[2017vol]]</f>
        <v>0</v>
      </c>
      <c r="BE6" s="20">
        <f>t_Parts[[#This Row],[2018vol]]</f>
        <v>0</v>
      </c>
      <c r="BF6" s="20">
        <f>t_Parts[[#This Row],[2019vol]]</f>
        <v>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IF(AND(AD$2&gt;=VALUE(t_Parts[[SOP]:[SOP]]),AD$2&lt;=VALUE(t_Parts[[EOP]:[EOP]])), t_Parts[[SetupHrsPerMo]:[SetupHrsPerMo]]+(t_Parts[[#This Row],[pv2015.01]]/t_Parts[[NetPPH]:[NetPPH]]),0)</f>
        <v>5.9732620320855609</v>
      </c>
      <c r="CK6" s="20">
        <f>IF(AND(AE$2&gt;=VALUE(t_Parts[[SOP]:[SOP]]),AE$2&lt;=VALUE(t_Parts[[EOP]:[EOP]])), t_Parts[[SetupHrsPerMo]:[SetupHrsPerMo]]+(t_Parts[[#This Row],[pv2015.02]]/t_Parts[[NetPPH]:[NetPPH]]),0)</f>
        <v>6.0521925133689845</v>
      </c>
      <c r="CL6" s="20">
        <f>IF(AND(AF$2&gt;=VALUE(t_Parts[[SOP]:[SOP]]),AF$2&lt;=VALUE(t_Parts[[EOP]:[EOP]])), t_Parts[[SetupHrsPerMo]:[SetupHrsPerMo]]+(t_Parts[[#This Row],[pv2015.03]]/t_Parts[[NetPPH]:[NetPPH]]),0)</f>
        <v>6.6836363636363636</v>
      </c>
      <c r="CM6" s="20">
        <f>IF(AND(AG$2&gt;=VALUE(t_Parts[[SOP]:[SOP]]),AG$2&lt;=VALUE(t_Parts[[EOP]:[EOP]])), t_Parts[[SetupHrsPerMo]:[SetupHrsPerMo]]+(t_Parts[[#This Row],[pv2015.04]]/t_Parts[[NetPPH]:[NetPPH]]),0)</f>
        <v>5.9732620320855609</v>
      </c>
      <c r="CN6" s="20">
        <f>IF(AND(AH$2&gt;=VALUE(t_Parts[[SOP]:[SOP]]),AH$2&lt;=VALUE(t_Parts[[EOP]:[EOP]])), t_Parts[[SetupHrsPerMo]:[SetupHrsPerMo]]+(t_Parts[[#This Row],[pv2015.05]]/t_Parts[[NetPPH]:[NetPPH]]),0)</f>
        <v>6.0521925133689845</v>
      </c>
      <c r="CO6" s="20">
        <f>IF(AND(AI$2&gt;=VALUE(t_Parts[[SOP]:[SOP]]),AI$2&lt;=VALUE(t_Parts[[EOP]:[EOP]])), t_Parts[[SetupHrsPerMo]:[SetupHrsPerMo]]+(t_Parts[[#This Row],[pv2015.06]]/t_Parts[[NetPPH]:[NetPPH]]),0)</f>
        <v>6.6836363636363636</v>
      </c>
      <c r="CP6" s="20">
        <f>IF(AND(AJ$2&gt;=VALUE(t_Parts[[SOP]:[SOP]]),AJ$2&lt;=VALUE(t_Parts[[EOP]:[EOP]])), t_Parts[[SetupHrsPerMo]:[SetupHrsPerMo]]+(t_Parts[[#This Row],[pv2015.07]]/t_Parts[[NetPPH]:[NetPPH]]),0)</f>
        <v>5.9732620320855609</v>
      </c>
      <c r="CQ6" s="20">
        <f>IF(AND(AK$2&gt;=VALUE(t_Parts[[SOP]:[SOP]]),AK$2&lt;=VALUE(t_Parts[[EOP]:[EOP]])), t_Parts[[SetupHrsPerMo]:[SetupHrsPerMo]]+(t_Parts[[#This Row],[pv2015.08]]/t_Parts[[NetPPH]:[NetPPH]]),0)</f>
        <v>6.0521925133689845</v>
      </c>
      <c r="CR6" s="20">
        <f>IF(AND(AL$2&gt;=VALUE(t_Parts[[SOP]:[SOP]]),AL$2&lt;=VALUE(t_Parts[[EOP]:[EOP]])), t_Parts[[SetupHrsPerMo]:[SetupHrsPerMo]]+(t_Parts[[#This Row],[pv2015.09]]/t_Parts[[NetPPH]:[NetPPH]]),0)</f>
        <v>6.6836363636363636</v>
      </c>
      <c r="CS6" s="20">
        <f>IF(AND(AM$2&gt;=VALUE(t_Parts[[SOP]:[SOP]]),AM$2&lt;=VALUE(t_Parts[[EOP]:[EOP]])), t_Parts[[SetupHrsPerMo]:[SetupHrsPerMo]]+(t_Parts[[#This Row],[pv2015.10]]/t_Parts[[NetPPH]:[NetPPH]]),0)</f>
        <v>5.9732620320855609</v>
      </c>
      <c r="CT6" s="20">
        <f>IF(AND(AN$2&gt;=VALUE(t_Parts[[SOP]:[SOP]]),AN$2&lt;=VALUE(t_Parts[[EOP]:[EOP]])), t_Parts[[SetupHrsPerMo]:[SetupHrsPerMo]]+(t_Parts[[#This Row],[pv2015.11]]/t_Parts[[NetPPH]:[NetPPH]]),0)</f>
        <v>6.0521925133689845</v>
      </c>
      <c r="CU6" s="20">
        <f>IF(AND(AO$2&gt;=VALUE(t_Parts[[SOP]:[SOP]]),AO$2&lt;=VALUE(t_Parts[[EOP]:[EOP]])), t_Parts[[SetupHrsPerMo]:[SetupHrsPerMo]]+(t_Parts[[#This Row],[pv2015.12]]/t_Parts[[NetPPH]:[NetPPH]]),0)</f>
        <v>6.6836363636363636</v>
      </c>
      <c r="CV6" s="20">
        <f>SUM(t_Parts[[#This Row],[hp2015.01]:[hp2015.12]])</f>
        <v>74.836363636363629</v>
      </c>
      <c r="CW6" s="20">
        <f>IF(AND(AQ$2&gt;=VALUE(t_Parts[[SOP]:[SOP]]),AQ$2&lt;=VALUE(t_Parts[[EOP]:[EOP]])), t_Parts[[SetupHrsPerMo]:[SetupHrsPerMo]]+(t_Parts[[#This Row],[pv2016.01]]/t_Parts[[NetPPH]:[NetPPH]]),0)</f>
        <v>0</v>
      </c>
      <c r="CX6" s="20">
        <f>IF(AND(AR$2&gt;=VALUE(t_Parts[[SOP]:[SOP]]),AR$2&lt;=VALUE(t_Parts[[EOP]:[EOP]])), t_Parts[[SetupHrsPerMo]:[SetupHrsPerMo]]+(t_Parts[[#This Row],[pv2016.02]]/t_Parts[[NetPPH]:[NetPPH]]),0)</f>
        <v>0</v>
      </c>
      <c r="CY6" s="20">
        <f>IF(AND(AS$2&gt;=VALUE(t_Parts[[SOP]:[SOP]]),AS$2&lt;=VALUE(t_Parts[[EOP]:[EOP]])), t_Parts[[SetupHrsPerMo]:[SetupHrsPerMo]]+(t_Parts[[#This Row],[pv2016.03]]/t_Parts[[NetPPH]:[NetPPH]]),0)</f>
        <v>0</v>
      </c>
      <c r="CZ6" s="20">
        <f>IF(AND(AT$2&gt;=VALUE(t_Parts[[SOP]:[SOP]]),AT$2&lt;=VALUE(t_Parts[[EOP]:[EOP]])), t_Parts[[SetupHrsPerMo]:[SetupHrsPerMo]]+(t_Parts[[#This Row],[pv2016.04]]/t_Parts[[NetPPH]:[NetPPH]]),0)</f>
        <v>0</v>
      </c>
      <c r="DA6" s="20">
        <f>IF(AND(AU$2&gt;=VALUE(t_Parts[[SOP]:[SOP]]),AU$2&lt;=VALUE(t_Parts[[EOP]:[EOP]])), t_Parts[[SetupHrsPerMo]:[SetupHrsPerMo]]+(t_Parts[[#This Row],[pv2016.05]]/t_Parts[[NetPPH]:[NetPPH]]),0)</f>
        <v>0</v>
      </c>
      <c r="DB6" s="20">
        <f>IF(AND(AV$2&gt;=VALUE(t_Parts[[SOP]:[SOP]]),AV$2&lt;=VALUE(t_Parts[[EOP]:[EOP]])), t_Parts[[SetupHrsPerMo]:[SetupHrsPerMo]]+(t_Parts[[#This Row],[pv2016.06]]/t_Parts[[NetPPH]:[NetPPH]]),0)</f>
        <v>0</v>
      </c>
      <c r="DC6" s="20">
        <f>IF(AND(AW$2&gt;=VALUE(t_Parts[[SOP]:[SOP]]),AW$2&lt;=VALUE(t_Parts[[EOP]:[EOP]])), t_Parts[[SetupHrsPerMo]:[SetupHrsPerMo]]+(t_Parts[[#This Row],[pv2016.07]]/t_Parts[[NetPPH]:[NetPPH]]),0)</f>
        <v>0</v>
      </c>
      <c r="DD6" s="20">
        <f>IF(AND(AX$2&gt;=VALUE(t_Parts[[SOP]:[SOP]]),AX$2&lt;=VALUE(t_Parts[[EOP]:[EOP]])), t_Parts[[SetupHrsPerMo]:[SetupHrsPerMo]]+(t_Parts[[#This Row],[pv2016.08]]/t_Parts[[NetPPH]:[NetPPH]]),0)</f>
        <v>0</v>
      </c>
      <c r="DE6" s="20">
        <f>IF(AND(AY$2&gt;=VALUE(t_Parts[[SOP]:[SOP]]),AY$2&lt;=VALUE(t_Parts[[EOP]:[EOP]])), t_Parts[[SetupHrsPerMo]:[SetupHrsPerMo]]+(t_Parts[[#This Row],[pv2016.09]]/t_Parts[[NetPPH]:[NetPPH]]),0)</f>
        <v>0</v>
      </c>
      <c r="DF6" s="20">
        <f>IF(AND(AZ$2&gt;=VALUE(t_Parts[[SOP]:[SOP]]),AZ$2&lt;=VALUE(t_Parts[[EOP]:[EOP]])), t_Parts[[SetupHrsPerMo]:[SetupHrsPerMo]]+(t_Parts[[#This Row],[pv2016.10]]/t_Parts[[NetPPH]:[NetPPH]]),0)</f>
        <v>0</v>
      </c>
      <c r="DG6" s="20">
        <f>IF(AND(BA$2&gt;=VALUE(t_Parts[[SOP]:[SOP]]),BA$2&lt;=VALUE(t_Parts[[EOP]:[EOP]])), t_Parts[[SetupHrsPerMo]:[SetupHrsPerMo]]+(t_Parts[[#This Row],[pv2016.11]]/t_Parts[[NetPPH]:[NetPPH]]),0)</f>
        <v>0</v>
      </c>
      <c r="DH6" s="20">
        <f>IF(AND(BB$2&gt;=VALUE(t_Parts[[SOP]:[SOP]]),BB$2&lt;=VALUE(t_Parts[[EOP]:[EOP]])), t_Parts[[SetupHrsPerMo]:[SetupHrsPerMo]]+(t_Parts[[#This Row],[pv2016.12]]/t_Parts[[NetPPH]:[NetPPH]]),0)</f>
        <v>0</v>
      </c>
      <c r="DI6" s="20">
        <f>SUM(t_Parts[[#This Row],[hp2016.01]:[hp2016.12]])</f>
        <v>0</v>
      </c>
      <c r="DJ6" s="20">
        <f>IF(AND(BD$2&gt;=VALUE(t_Parts[[SOP]:[SOP]]),BD$2&lt;=VALUE(t_Parts[[EOP]:[EOP]])), 12*t_Parts[[SetupHrsPerMo]:[SetupHrsPerMo]]+(t_Parts[[#This Row],[pv2017]]/t_Parts[[NetPPH]:[NetPPH]]),0)</f>
        <v>0</v>
      </c>
      <c r="DK6" s="20">
        <f>IF(AND(BE$2&gt;=VALUE(t_Parts[[SOP]:[SOP]]),BE$2&lt;=VALUE(t_Parts[[EOP]:[EOP]])), 12*t_Parts[[SetupHrsPerMo]:[SetupHrsPerMo]]+(t_Parts[[#This Row],[pv2018]]/t_Parts[[NetPPH]:[NetPPH]]),0)</f>
        <v>0</v>
      </c>
      <c r="DL6" s="20">
        <f>IF(AND(BF$2&gt;=VALUE(t_Parts[[SOP]:[SOP]]),BF$2&lt;=VALUE(t_Parts[[EOP]:[EOP]])), 12*t_Parts[[SetupHrsPerMo]:[SetupHrsPerMo]]+(t_Parts[[#This Row],[pv2019]]/t_Parts[[NetPPH]:[NetPPH]]),0)</f>
        <v>0</v>
      </c>
      <c r="DM6" s="15">
        <f>t_Parts[[#This Row],[hp2015.01]]/t_Parts[[#This Row],[ha2015.01]]</f>
        <v>2.3893048128342243E-2</v>
      </c>
      <c r="DN6" s="15">
        <f>t_Parts[[#This Row],[hp2015.02]]/t_Parts[[#This Row],[ha2015.02]]</f>
        <v>2.3277663512957632E-2</v>
      </c>
      <c r="DO6" s="15">
        <f>t_Parts[[#This Row],[hp2015.03]]/t_Parts[[#This Row],[ha2015.03]]</f>
        <v>1.9657754010695187E-2</v>
      </c>
      <c r="DP6" s="15">
        <f>t_Parts[[#This Row],[hp2015.04]]/t_Parts[[#This Row],[ha2015.04]]</f>
        <v>2.3893048128342243E-2</v>
      </c>
      <c r="DQ6" s="15">
        <f>t_Parts[[#This Row],[hp2015.05]]/t_Parts[[#This Row],[ha2015.05]]</f>
        <v>2.3277663512957632E-2</v>
      </c>
      <c r="DR6" s="15">
        <f>t_Parts[[#This Row],[hp2015.06]]/t_Parts[[#This Row],[ha2015.06]]</f>
        <v>1.9657754010695187E-2</v>
      </c>
      <c r="DS6" s="15">
        <f>t_Parts[[#This Row],[hp2015.07]]/t_Parts[[#This Row],[ha2015.07]]</f>
        <v>2.3893048128342243E-2</v>
      </c>
      <c r="DT6" s="15">
        <f>t_Parts[[#This Row],[hp2015.08]]/t_Parts[[#This Row],[ha2015.08]]</f>
        <v>2.3277663512957632E-2</v>
      </c>
      <c r="DU6" s="15">
        <f>t_Parts[[#This Row],[hp2015.09]]/t_Parts[[#This Row],[ha2015.09]]</f>
        <v>1.9657754010695187E-2</v>
      </c>
      <c r="DV6" s="15">
        <f>t_Parts[[#This Row],[hp2015.10]]/t_Parts[[#This Row],[ha2015.10]]</f>
        <v>2.3893048128342243E-2</v>
      </c>
      <c r="DW6" s="15">
        <f>t_Parts[[#This Row],[hp2015.11]]/t_Parts[[#This Row],[ha2015.11]]</f>
        <v>2.3277663512957632E-2</v>
      </c>
      <c r="DX6" s="15">
        <f>t_Parts[[#This Row],[hp2015.12]]/t_Parts[[#This Row],[ha2015.12]]</f>
        <v>1.9657754010695187E-2</v>
      </c>
      <c r="DY6" s="15">
        <f>t_Parts[[#This Row],[hp2015.FY]]/t_Parts[[#This Row],[ha2015.FY]]</f>
        <v>2.2010695187165773E-2</v>
      </c>
      <c r="DZ6" s="15">
        <f>t_Parts[[#This Row],[hp2016.01]]/t_Parts[[#This Row],[ha2016.01]]</f>
        <v>0</v>
      </c>
      <c r="EA6" s="15">
        <f>t_Parts[[#This Row],[hp2016.02]]/t_Parts[[#This Row],[ha2016.02]]</f>
        <v>0</v>
      </c>
      <c r="EB6" s="15">
        <f>t_Parts[[#This Row],[hp2016.03]]/t_Parts[[#This Row],[ha2016.03]]</f>
        <v>0</v>
      </c>
      <c r="EC6" s="15">
        <f>t_Parts[[#This Row],[hp2016.04]]/t_Parts[[#This Row],[ha2016.04]]</f>
        <v>0</v>
      </c>
      <c r="ED6" s="15">
        <f>t_Parts[[#This Row],[hp2016.05]]/t_Parts[[#This Row],[ha2016.05]]</f>
        <v>0</v>
      </c>
      <c r="EE6" s="15">
        <f>t_Parts[[#This Row],[hp2016.06]]/t_Parts[[#This Row],[ha2016.06]]</f>
        <v>0</v>
      </c>
      <c r="EF6" s="15">
        <f>t_Parts[[#This Row],[hp2016.07]]/t_Parts[[#This Row],[ha2016.07]]</f>
        <v>0</v>
      </c>
      <c r="EG6" s="15">
        <f>t_Parts[[#This Row],[hp2016.08]]/t_Parts[[#This Row],[ha2016.08]]</f>
        <v>0</v>
      </c>
      <c r="EH6" s="15">
        <f>t_Parts[[#This Row],[hp2016.09]]/t_Parts[[#This Row],[ha2016.09]]</f>
        <v>0</v>
      </c>
      <c r="EI6" s="15">
        <f>t_Parts[[#This Row],[hp2016.10]]/t_Parts[[#This Row],[ha2016.10]]</f>
        <v>0</v>
      </c>
      <c r="EJ6" s="15">
        <f>t_Parts[[#This Row],[hp2016.11]]/t_Parts[[#This Row],[ha2016.11]]</f>
        <v>0</v>
      </c>
      <c r="EK6" s="15">
        <f>t_Parts[[#This Row],[hp2016.12]]/t_Parts[[#This Row],[ha2016.12]]</f>
        <v>0</v>
      </c>
      <c r="EL6" s="15">
        <f>t_Parts[[#This Row],[hp2016.FY]]/t_Parts[[#This Row],[ha2016.FY]]</f>
        <v>0</v>
      </c>
      <c r="EM6" s="15">
        <f>t_Parts[[#This Row],[hp2017]]/t_Parts[[#This Row],[ha2017]]</f>
        <v>0</v>
      </c>
      <c r="EN6" s="15">
        <f>t_Parts[[#This Row],[hp2018]]/t_Parts[[#This Row],[ha2018]]</f>
        <v>0</v>
      </c>
      <c r="EO6" s="15">
        <f>t_Parts[[#This Row],[hp2019]]/t_Parts[[#This Row],[hp2015.01]]</f>
        <v>0</v>
      </c>
      <c r="EP6" s="68">
        <f>(t_Parts[[#This Row],[ha2015.01]]-t_Parts[[#This Row],[hp2015.01]])*t_Parts[[NetPPH]:[NetPPH]]</f>
        <v>644230.5882352941</v>
      </c>
      <c r="EQ6" s="68">
        <f>(t_Parts[[#This Row],[ha2015.02]]-t_Parts[[#This Row],[hp2015.02]])*t_Parts[[NetPPH]:[NetPPH]]</f>
        <v>670422.21176470583</v>
      </c>
      <c r="ER6" s="68">
        <f>(t_Parts[[#This Row],[ha2015.03]]-t_Parts[[#This Row],[hp2015.03]])*t_Parts[[NetPPH]:[NetPPH]]</f>
        <v>879955.2</v>
      </c>
      <c r="ES6" s="68">
        <f>(t_Parts[[#This Row],[ha2015.04]]-t_Parts[[#This Row],[hp2015.04]])*t_Parts[[NetPPH]:[NetPPH]]</f>
        <v>644230.5882352941</v>
      </c>
      <c r="ET6" s="68">
        <f>(t_Parts[[#This Row],[ha2015.05]]-t_Parts[[#This Row],[hp2015.05]])*t_Parts[[NetPPH]:[NetPPH]]</f>
        <v>670422.21176470583</v>
      </c>
      <c r="EU6" s="68">
        <f>(t_Parts[[#This Row],[ha2015.06]]-t_Parts[[#This Row],[hp2015.06]])*t_Parts[[NetPPH]:[NetPPH]]</f>
        <v>879955.2</v>
      </c>
      <c r="EV6" s="68">
        <f>(t_Parts[[#This Row],[ha2015.07]]-t_Parts[[#This Row],[hp2015.07]])*t_Parts[[NetPPH]:[NetPPH]]</f>
        <v>644230.5882352941</v>
      </c>
      <c r="EW6" s="68">
        <f>(t_Parts[[#This Row],[ha2015.08]]-t_Parts[[#This Row],[hp2015.08]])*t_Parts[[NetPPH]:[NetPPH]]</f>
        <v>670422.21176470583</v>
      </c>
      <c r="EX6" s="68">
        <f>(t_Parts[[#This Row],[ha2015.09]]-t_Parts[[#This Row],[hp2015.09]])*t_Parts[[NetPPH]:[NetPPH]]</f>
        <v>879955.2</v>
      </c>
      <c r="EY6" s="68">
        <f>(t_Parts[[#This Row],[ha2015.10]]-t_Parts[[#This Row],[hp2015.10]])*t_Parts[[NetPPH]:[NetPPH]]</f>
        <v>644230.5882352941</v>
      </c>
      <c r="EZ6" s="68">
        <f>(t_Parts[[#This Row],[ha2015.11]]-t_Parts[[#This Row],[hp2015.11]])*t_Parts[[NetPPH]:[NetPPH]]</f>
        <v>670422.21176470583</v>
      </c>
      <c r="FA6" s="68">
        <f>(t_Parts[[#This Row],[ha2015.12]]-t_Parts[[#This Row],[hp2015.12]])*t_Parts[[NetPPH]:[NetPPH]]</f>
        <v>879955.2</v>
      </c>
      <c r="FB6" s="68">
        <f>(t_Parts[[#This Row],[ha2015.FY]]-t_Parts[[#This Row],[hp2015.FY]])*t_Parts[[NetPPH]:[NetPPH]]</f>
        <v>8778432</v>
      </c>
      <c r="FC6" s="68">
        <f>(t_Parts[[#This Row],[ha2016.01]]-t_Parts[[#This Row],[hp2016.01]])*t_Parts[[NetPPH]:[NetPPH]]</f>
        <v>660000</v>
      </c>
      <c r="FD6" s="68">
        <f>(t_Parts[[#This Row],[ha2016.02]]-t_Parts[[#This Row],[hp2016.02]])*t_Parts[[NetPPH]:[NetPPH]]</f>
        <v>633600</v>
      </c>
      <c r="FE6" s="68">
        <f>(t_Parts[[#This Row],[ha2016.03]]-t_Parts[[#This Row],[hp2016.03]])*t_Parts[[NetPPH]:[NetPPH]]</f>
        <v>897600</v>
      </c>
      <c r="FF6" s="68">
        <f>(t_Parts[[#This Row],[ha2016.04]]-t_Parts[[#This Row],[hp2016.04]])*t_Parts[[NetPPH]:[NetPPH]]</f>
        <v>660000</v>
      </c>
      <c r="FG6" s="68">
        <f>(t_Parts[[#This Row],[ha2016.05]]-t_Parts[[#This Row],[hp2016.05]])*t_Parts[[NetPPH]:[NetPPH]]</f>
        <v>686400</v>
      </c>
      <c r="FH6" s="68">
        <f>(t_Parts[[#This Row],[ha2016.06]]-t_Parts[[#This Row],[hp2016.06]])*t_Parts[[NetPPH]:[NetPPH]]</f>
        <v>897600</v>
      </c>
      <c r="FI6" s="68">
        <f>(t_Parts[[#This Row],[ha2016.07]]-t_Parts[[#This Row],[hp2016.07]])*t_Parts[[NetPPH]:[NetPPH]]</f>
        <v>660000</v>
      </c>
      <c r="FJ6" s="68">
        <f>(t_Parts[[#This Row],[ha2016.08]]-t_Parts[[#This Row],[hp2016.08]])*t_Parts[[NetPPH]:[NetPPH]]</f>
        <v>686400</v>
      </c>
      <c r="FK6" s="68">
        <f>(t_Parts[[#This Row],[ha2016.09]]-t_Parts[[#This Row],[hp2016.09]])*t_Parts[[NetPPH]:[NetPPH]]</f>
        <v>897600</v>
      </c>
      <c r="FL6" s="68">
        <f>(t_Parts[[#This Row],[ha2016.10]]-t_Parts[[#This Row],[hp2016.10]])*t_Parts[[NetPPH]:[NetPPH]]</f>
        <v>660000</v>
      </c>
      <c r="FM6" s="68">
        <f>(t_Parts[[#This Row],[ha2016.11]]-t_Parts[[#This Row],[hp2016.11]])*t_Parts[[NetPPH]:[NetPPH]]</f>
        <v>580800</v>
      </c>
      <c r="FN6" s="68">
        <f>(t_Parts[[#This Row],[ha2016.12]]-t_Parts[[#This Row],[hp2016.12]])*t_Parts[[NetPPH]:[NetPPH]]</f>
        <v>792000</v>
      </c>
      <c r="FO6" s="68">
        <f>(t_Parts[[#This Row],[ha2016.FY]]-t_Parts[[#This Row],[hp2016.FY]])*t_Parts[[NetPPH]:[NetPPH]]</f>
        <v>8712000</v>
      </c>
      <c r="FP6" s="68">
        <f>(t_Parts[[#This Row],[ha2017]]-t_Parts[[#This Row],[hp2017]])*t_Parts[[NetPPH]:[NetPPH]]</f>
        <v>8712000</v>
      </c>
      <c r="FQ6" s="68">
        <f>(t_Parts[[#This Row],[ha2018]]-t_Parts[[#This Row],[hp2018]])*t_Parts[[NetPPH]:[NetPPH]]</f>
        <v>8712000</v>
      </c>
      <c r="FR6" s="68">
        <f>(t_Parts[[#This Row],[ha2019]]-t_Parts[[#This Row],[hp2019]])*t_Parts[[NetPPH]:[NetPPH]]</f>
        <v>8712000</v>
      </c>
    </row>
    <row r="7" spans="1:174" x14ac:dyDescent="0.25">
      <c r="A7" s="16" t="s">
        <v>167</v>
      </c>
      <c r="B7" s="16">
        <v>21014</v>
      </c>
      <c r="C7">
        <v>1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161929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1320</v>
      </c>
      <c r="AD7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11906.544117647059</v>
      </c>
      <c r="AE7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12382.805882352941</v>
      </c>
      <c r="AF7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16192.9</v>
      </c>
      <c r="AG7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11906.544117647059</v>
      </c>
      <c r="AH7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12382.805882352941</v>
      </c>
      <c r="AI7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16192.9</v>
      </c>
      <c r="AJ7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11906.544117647059</v>
      </c>
      <c r="AK7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12382.805882352941</v>
      </c>
      <c r="AL7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16192.9</v>
      </c>
      <c r="AM7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11906.544117647059</v>
      </c>
      <c r="AN7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12382.805882352941</v>
      </c>
      <c r="AO7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16192.9</v>
      </c>
      <c r="AP7" s="20">
        <f>SUM(t_Parts[[#This Row],[pv2015.01]:[pv2015.12]])</f>
        <v>161928.99999999997</v>
      </c>
      <c r="AQ7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7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7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7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7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7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7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7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7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7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7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7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IF(AND(AD$2&gt;=VALUE(t_Parts[[SOP]:[SOP]]),AD$2&lt;=VALUE(t_Parts[[EOP]:[EOP]])), t_Parts[[SetupHrsPerMo]:[SetupHrsPerMo]]+(t_Parts[[#This Row],[pv2015.01]]/t_Parts[[NetPPH]:[NetPPH]]),0)</f>
        <v>13.020109180035652</v>
      </c>
      <c r="CK7" s="20">
        <f>IF(AND(AE$2&gt;=VALUE(t_Parts[[SOP]:[SOP]]),AE$2&lt;=VALUE(t_Parts[[EOP]:[EOP]])), t_Parts[[SetupHrsPerMo]:[SetupHrsPerMo]]+(t_Parts[[#This Row],[pv2015.02]]/t_Parts[[NetPPH]:[NetPPH]]),0)</f>
        <v>13.380913547237077</v>
      </c>
      <c r="CL7" s="20">
        <f>IF(AND(AF$2&gt;=VALUE(t_Parts[[SOP]:[SOP]]),AF$2&lt;=VALUE(t_Parts[[EOP]:[EOP]])), t_Parts[[SetupHrsPerMo]:[SetupHrsPerMo]]+(t_Parts[[#This Row],[pv2015.03]]/t_Parts[[NetPPH]:[NetPPH]]),0)</f>
        <v>16.267348484848483</v>
      </c>
      <c r="CM7" s="20">
        <f>IF(AND(AG$2&gt;=VALUE(t_Parts[[SOP]:[SOP]]),AG$2&lt;=VALUE(t_Parts[[EOP]:[EOP]])), t_Parts[[SetupHrsPerMo]:[SetupHrsPerMo]]+(t_Parts[[#This Row],[pv2015.04]]/t_Parts[[NetPPH]:[NetPPH]]),0)</f>
        <v>13.020109180035652</v>
      </c>
      <c r="CN7" s="20">
        <f>IF(AND(AH$2&gt;=VALUE(t_Parts[[SOP]:[SOP]]),AH$2&lt;=VALUE(t_Parts[[EOP]:[EOP]])), t_Parts[[SetupHrsPerMo]:[SetupHrsPerMo]]+(t_Parts[[#This Row],[pv2015.05]]/t_Parts[[NetPPH]:[NetPPH]]),0)</f>
        <v>13.380913547237077</v>
      </c>
      <c r="CO7" s="20">
        <f>IF(AND(AI$2&gt;=VALUE(t_Parts[[SOP]:[SOP]]),AI$2&lt;=VALUE(t_Parts[[EOP]:[EOP]])), t_Parts[[SetupHrsPerMo]:[SetupHrsPerMo]]+(t_Parts[[#This Row],[pv2015.06]]/t_Parts[[NetPPH]:[NetPPH]]),0)</f>
        <v>16.267348484848483</v>
      </c>
      <c r="CP7" s="20">
        <f>IF(AND(AJ$2&gt;=VALUE(t_Parts[[SOP]:[SOP]]),AJ$2&lt;=VALUE(t_Parts[[EOP]:[EOP]])), t_Parts[[SetupHrsPerMo]:[SetupHrsPerMo]]+(t_Parts[[#This Row],[pv2015.07]]/t_Parts[[NetPPH]:[NetPPH]]),0)</f>
        <v>13.020109180035652</v>
      </c>
      <c r="CQ7" s="20">
        <f>IF(AND(AK$2&gt;=VALUE(t_Parts[[SOP]:[SOP]]),AK$2&lt;=VALUE(t_Parts[[EOP]:[EOP]])), t_Parts[[SetupHrsPerMo]:[SetupHrsPerMo]]+(t_Parts[[#This Row],[pv2015.08]]/t_Parts[[NetPPH]:[NetPPH]]),0)</f>
        <v>13.380913547237077</v>
      </c>
      <c r="CR7" s="20">
        <f>IF(AND(AL$2&gt;=VALUE(t_Parts[[SOP]:[SOP]]),AL$2&lt;=VALUE(t_Parts[[EOP]:[EOP]])), t_Parts[[SetupHrsPerMo]:[SetupHrsPerMo]]+(t_Parts[[#This Row],[pv2015.09]]/t_Parts[[NetPPH]:[NetPPH]]),0)</f>
        <v>16.267348484848483</v>
      </c>
      <c r="CS7" s="20">
        <f>IF(AND(AM$2&gt;=VALUE(t_Parts[[SOP]:[SOP]]),AM$2&lt;=VALUE(t_Parts[[EOP]:[EOP]])), t_Parts[[SetupHrsPerMo]:[SetupHrsPerMo]]+(t_Parts[[#This Row],[pv2015.10]]/t_Parts[[NetPPH]:[NetPPH]]),0)</f>
        <v>13.020109180035652</v>
      </c>
      <c r="CT7" s="20">
        <f>IF(AND(AN$2&gt;=VALUE(t_Parts[[SOP]:[SOP]]),AN$2&lt;=VALUE(t_Parts[[EOP]:[EOP]])), t_Parts[[SetupHrsPerMo]:[SetupHrsPerMo]]+(t_Parts[[#This Row],[pv2015.11]]/t_Parts[[NetPPH]:[NetPPH]]),0)</f>
        <v>13.380913547237077</v>
      </c>
      <c r="CU7" s="20">
        <f>IF(AND(AO$2&gt;=VALUE(t_Parts[[SOP]:[SOP]]),AO$2&lt;=VALUE(t_Parts[[EOP]:[EOP]])), t_Parts[[SetupHrsPerMo]:[SetupHrsPerMo]]+(t_Parts[[#This Row],[pv2015.12]]/t_Parts[[NetPPH]:[NetPPH]]),0)</f>
        <v>16.267348484848483</v>
      </c>
      <c r="CV7" s="20">
        <f>SUM(t_Parts[[#This Row],[hp2015.01]:[hp2015.12]])</f>
        <v>170.67348484848486</v>
      </c>
      <c r="CW7" s="20">
        <f>IF(AND(AQ$2&gt;=VALUE(t_Parts[[SOP]:[SOP]]),AQ$2&lt;=VALUE(t_Parts[[EOP]:[EOP]])), t_Parts[[SetupHrsPerMo]:[SetupHrsPerMo]]+(t_Parts[[#This Row],[pv2016.01]]/t_Parts[[NetPPH]:[NetPPH]]),0)</f>
        <v>0</v>
      </c>
      <c r="CX7" s="20">
        <f>IF(AND(AR$2&gt;=VALUE(t_Parts[[SOP]:[SOP]]),AR$2&lt;=VALUE(t_Parts[[EOP]:[EOP]])), t_Parts[[SetupHrsPerMo]:[SetupHrsPerMo]]+(t_Parts[[#This Row],[pv2016.02]]/t_Parts[[NetPPH]:[NetPPH]]),0)</f>
        <v>0</v>
      </c>
      <c r="CY7" s="20">
        <f>IF(AND(AS$2&gt;=VALUE(t_Parts[[SOP]:[SOP]]),AS$2&lt;=VALUE(t_Parts[[EOP]:[EOP]])), t_Parts[[SetupHrsPerMo]:[SetupHrsPerMo]]+(t_Parts[[#This Row],[pv2016.03]]/t_Parts[[NetPPH]:[NetPPH]]),0)</f>
        <v>0</v>
      </c>
      <c r="CZ7" s="20">
        <f>IF(AND(AT$2&gt;=VALUE(t_Parts[[SOP]:[SOP]]),AT$2&lt;=VALUE(t_Parts[[EOP]:[EOP]])), t_Parts[[SetupHrsPerMo]:[SetupHrsPerMo]]+(t_Parts[[#This Row],[pv2016.04]]/t_Parts[[NetPPH]:[NetPPH]]),0)</f>
        <v>0</v>
      </c>
      <c r="DA7" s="20">
        <f>IF(AND(AU$2&gt;=VALUE(t_Parts[[SOP]:[SOP]]),AU$2&lt;=VALUE(t_Parts[[EOP]:[EOP]])), t_Parts[[SetupHrsPerMo]:[SetupHrsPerMo]]+(t_Parts[[#This Row],[pv2016.05]]/t_Parts[[NetPPH]:[NetPPH]]),0)</f>
        <v>0</v>
      </c>
      <c r="DB7" s="20">
        <f>IF(AND(AV$2&gt;=VALUE(t_Parts[[SOP]:[SOP]]),AV$2&lt;=VALUE(t_Parts[[EOP]:[EOP]])), t_Parts[[SetupHrsPerMo]:[SetupHrsPerMo]]+(t_Parts[[#This Row],[pv2016.06]]/t_Parts[[NetPPH]:[NetPPH]]),0)</f>
        <v>0</v>
      </c>
      <c r="DC7" s="20">
        <f>IF(AND(AW$2&gt;=VALUE(t_Parts[[SOP]:[SOP]]),AW$2&lt;=VALUE(t_Parts[[EOP]:[EOP]])), t_Parts[[SetupHrsPerMo]:[SetupHrsPerMo]]+(t_Parts[[#This Row],[pv2016.07]]/t_Parts[[NetPPH]:[NetPPH]]),0)</f>
        <v>0</v>
      </c>
      <c r="DD7" s="20">
        <f>IF(AND(AX$2&gt;=VALUE(t_Parts[[SOP]:[SOP]]),AX$2&lt;=VALUE(t_Parts[[EOP]:[EOP]])), t_Parts[[SetupHrsPerMo]:[SetupHrsPerMo]]+(t_Parts[[#This Row],[pv2016.08]]/t_Parts[[NetPPH]:[NetPPH]]),0)</f>
        <v>0</v>
      </c>
      <c r="DE7" s="20">
        <f>IF(AND(AY$2&gt;=VALUE(t_Parts[[SOP]:[SOP]]),AY$2&lt;=VALUE(t_Parts[[EOP]:[EOP]])), t_Parts[[SetupHrsPerMo]:[SetupHrsPerMo]]+(t_Parts[[#This Row],[pv2016.09]]/t_Parts[[NetPPH]:[NetPPH]]),0)</f>
        <v>0</v>
      </c>
      <c r="DF7" s="20">
        <f>IF(AND(AZ$2&gt;=VALUE(t_Parts[[SOP]:[SOP]]),AZ$2&lt;=VALUE(t_Parts[[EOP]:[EOP]])), t_Parts[[SetupHrsPerMo]:[SetupHrsPerMo]]+(t_Parts[[#This Row],[pv2016.10]]/t_Parts[[NetPPH]:[NetPPH]]),0)</f>
        <v>0</v>
      </c>
      <c r="DG7" s="20">
        <f>IF(AND(BA$2&gt;=VALUE(t_Parts[[SOP]:[SOP]]),BA$2&lt;=VALUE(t_Parts[[EOP]:[EOP]])), t_Parts[[SetupHrsPerMo]:[SetupHrsPerMo]]+(t_Parts[[#This Row],[pv2016.11]]/t_Parts[[NetPPH]:[NetPPH]]),0)</f>
        <v>0</v>
      </c>
      <c r="DH7" s="20">
        <f>IF(AND(BB$2&gt;=VALUE(t_Parts[[SOP]:[SOP]]),BB$2&lt;=VALUE(t_Parts[[EOP]:[EOP]])),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IF(AND(BD$2&gt;=VALUE(t_Parts[[SOP]:[SOP]]),BD$2&lt;=VALUE(t_Parts[[EOP]:[EOP]])), 12*t_Parts[[SetupHrsPerMo]:[SetupHrsPerMo]]+(t_Parts[[#This Row],[pv2017]]/t_Parts[[NetPPH]:[NetPPH]]),0)</f>
        <v>0</v>
      </c>
      <c r="DK7" s="20">
        <f>IF(AND(BE$2&gt;=VALUE(t_Parts[[SOP]:[SOP]]),BE$2&lt;=VALUE(t_Parts[[EOP]:[EOP]])), 12*t_Parts[[SetupHrsPerMo]:[SetupHrsPerMo]]+(t_Parts[[#This Row],[pv2018]]/t_Parts[[NetPPH]:[NetPPH]]),0)</f>
        <v>0</v>
      </c>
      <c r="DL7" s="20">
        <f>IF(AND(BF$2&gt;=VALUE(t_Parts[[SOP]:[SOP]]),BF$2&lt;=VALUE(t_Parts[[EOP]:[EOP]])),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5.2080436720142606E-2</v>
      </c>
      <c r="DN7" s="15">
        <f>t_Parts[[#This Row],[hp2015.02]]/t_Parts[[#This Row],[ha2015.02]]</f>
        <v>5.1465052104757984E-2</v>
      </c>
      <c r="DO7" s="15">
        <f>t_Parts[[#This Row],[hp2015.03]]/t_Parts[[#This Row],[ha2015.03]]</f>
        <v>4.784514260249554E-2</v>
      </c>
      <c r="DP7" s="15">
        <f>t_Parts[[#This Row],[hp2015.04]]/t_Parts[[#This Row],[ha2015.04]]</f>
        <v>5.2080436720142606E-2</v>
      </c>
      <c r="DQ7" s="15">
        <f>t_Parts[[#This Row],[hp2015.05]]/t_Parts[[#This Row],[ha2015.05]]</f>
        <v>5.1465052104757984E-2</v>
      </c>
      <c r="DR7" s="15">
        <f>t_Parts[[#This Row],[hp2015.06]]/t_Parts[[#This Row],[ha2015.06]]</f>
        <v>4.784514260249554E-2</v>
      </c>
      <c r="DS7" s="15">
        <f>t_Parts[[#This Row],[hp2015.07]]/t_Parts[[#This Row],[ha2015.07]]</f>
        <v>5.2080436720142606E-2</v>
      </c>
      <c r="DT7" s="15">
        <f>t_Parts[[#This Row],[hp2015.08]]/t_Parts[[#This Row],[ha2015.08]]</f>
        <v>5.1465052104757984E-2</v>
      </c>
      <c r="DU7" s="15">
        <f>t_Parts[[#This Row],[hp2015.09]]/t_Parts[[#This Row],[ha2015.09]]</f>
        <v>4.784514260249554E-2</v>
      </c>
      <c r="DV7" s="15">
        <f>t_Parts[[#This Row],[hp2015.10]]/t_Parts[[#This Row],[ha2015.10]]</f>
        <v>5.2080436720142606E-2</v>
      </c>
      <c r="DW7" s="15">
        <f>t_Parts[[#This Row],[hp2015.11]]/t_Parts[[#This Row],[ha2015.11]]</f>
        <v>5.1465052104757984E-2</v>
      </c>
      <c r="DX7" s="15">
        <f>t_Parts[[#This Row],[hp2015.12]]/t_Parts[[#This Row],[ha2015.12]]</f>
        <v>4.784514260249554E-2</v>
      </c>
      <c r="DY7" s="15">
        <f>t_Parts[[#This Row],[hp2015.FY]]/t_Parts[[#This Row],[ha2015.FY]]</f>
        <v>5.0198083778966139E-2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312813.45588235295</v>
      </c>
      <c r="EQ7" s="68">
        <f>(t_Parts[[#This Row],[ha2015.02]]-t_Parts[[#This Row],[hp2015.02]])*t_Parts[[NetPPH]:[NetPPH]]</f>
        <v>325537.19411764707</v>
      </c>
      <c r="ER7" s="68">
        <f>(t_Parts[[#This Row],[ha2015.03]]-t_Parts[[#This Row],[hp2015.03]])*t_Parts[[NetPPH]:[NetPPH]]</f>
        <v>427327.10000000003</v>
      </c>
      <c r="ES7" s="68">
        <f>(t_Parts[[#This Row],[ha2015.04]]-t_Parts[[#This Row],[hp2015.04]])*t_Parts[[NetPPH]:[NetPPH]]</f>
        <v>312813.45588235295</v>
      </c>
      <c r="ET7" s="68">
        <f>(t_Parts[[#This Row],[ha2015.05]]-t_Parts[[#This Row],[hp2015.05]])*t_Parts[[NetPPH]:[NetPPH]]</f>
        <v>325537.19411764707</v>
      </c>
      <c r="EU7" s="68">
        <f>(t_Parts[[#This Row],[ha2015.06]]-t_Parts[[#This Row],[hp2015.06]])*t_Parts[[NetPPH]:[NetPPH]]</f>
        <v>427327.10000000003</v>
      </c>
      <c r="EV7" s="68">
        <f>(t_Parts[[#This Row],[ha2015.07]]-t_Parts[[#This Row],[hp2015.07]])*t_Parts[[NetPPH]:[NetPPH]]</f>
        <v>312813.45588235295</v>
      </c>
      <c r="EW7" s="68">
        <f>(t_Parts[[#This Row],[ha2015.08]]-t_Parts[[#This Row],[hp2015.08]])*t_Parts[[NetPPH]:[NetPPH]]</f>
        <v>325537.19411764707</v>
      </c>
      <c r="EX7" s="68">
        <f>(t_Parts[[#This Row],[ha2015.09]]-t_Parts[[#This Row],[hp2015.09]])*t_Parts[[NetPPH]:[NetPPH]]</f>
        <v>427327.10000000003</v>
      </c>
      <c r="EY7" s="68">
        <f>(t_Parts[[#This Row],[ha2015.10]]-t_Parts[[#This Row],[hp2015.10]])*t_Parts[[NetPPH]:[NetPPH]]</f>
        <v>312813.45588235295</v>
      </c>
      <c r="EZ7" s="68">
        <f>(t_Parts[[#This Row],[ha2015.11]]-t_Parts[[#This Row],[hp2015.11]])*t_Parts[[NetPPH]:[NetPPH]]</f>
        <v>325537.19411764707</v>
      </c>
      <c r="FA7" s="68">
        <f>(t_Parts[[#This Row],[ha2015.12]]-t_Parts[[#This Row],[hp2015.12]])*t_Parts[[NetPPH]:[NetPPH]]</f>
        <v>427327.10000000003</v>
      </c>
      <c r="FB7" s="68">
        <f>(t_Parts[[#This Row],[ha2015.FY]]-t_Parts[[#This Row],[hp2015.FY]])*t_Parts[[NetPPH]:[NetPPH]]</f>
        <v>4262711</v>
      </c>
      <c r="FC7" s="68">
        <f>(t_Parts[[#This Row],[ha2016.01]]-t_Parts[[#This Row],[hp2016.01]])*t_Parts[[NetPPH]:[NetPPH]]</f>
        <v>330000</v>
      </c>
      <c r="FD7" s="68">
        <f>(t_Parts[[#This Row],[ha2016.02]]-t_Parts[[#This Row],[hp2016.02]])*t_Parts[[NetPPH]:[NetPPH]]</f>
        <v>316800</v>
      </c>
      <c r="FE7" s="68">
        <f>(t_Parts[[#This Row],[ha2016.03]]-t_Parts[[#This Row],[hp2016.03]])*t_Parts[[NetPPH]:[NetPPH]]</f>
        <v>448800</v>
      </c>
      <c r="FF7" s="68">
        <f>(t_Parts[[#This Row],[ha2016.04]]-t_Parts[[#This Row],[hp2016.04]])*t_Parts[[NetPPH]:[NetPPH]]</f>
        <v>330000</v>
      </c>
      <c r="FG7" s="68">
        <f>(t_Parts[[#This Row],[ha2016.05]]-t_Parts[[#This Row],[hp2016.05]])*t_Parts[[NetPPH]:[NetPPH]]</f>
        <v>343200</v>
      </c>
      <c r="FH7" s="68">
        <f>(t_Parts[[#This Row],[ha2016.06]]-t_Parts[[#This Row],[hp2016.06]])*t_Parts[[NetPPH]:[NetPPH]]</f>
        <v>448800</v>
      </c>
      <c r="FI7" s="68">
        <f>(t_Parts[[#This Row],[ha2016.07]]-t_Parts[[#This Row],[hp2016.07]])*t_Parts[[NetPPH]:[NetPPH]]</f>
        <v>330000</v>
      </c>
      <c r="FJ7" s="68">
        <f>(t_Parts[[#This Row],[ha2016.08]]-t_Parts[[#This Row],[hp2016.08]])*t_Parts[[NetPPH]:[NetPPH]]</f>
        <v>343200</v>
      </c>
      <c r="FK7" s="68">
        <f>(t_Parts[[#This Row],[ha2016.09]]-t_Parts[[#This Row],[hp2016.09]])*t_Parts[[NetPPH]:[NetPPH]]</f>
        <v>448800</v>
      </c>
      <c r="FL7" s="68">
        <f>(t_Parts[[#This Row],[ha2016.10]]-t_Parts[[#This Row],[hp2016.10]])*t_Parts[[NetPPH]:[NetPPH]]</f>
        <v>330000</v>
      </c>
      <c r="FM7" s="68">
        <f>(t_Parts[[#This Row],[ha2016.11]]-t_Parts[[#This Row],[hp2016.11]])*t_Parts[[NetPPH]:[NetPPH]]</f>
        <v>290400</v>
      </c>
      <c r="FN7" s="68">
        <f>(t_Parts[[#This Row],[ha2016.12]]-t_Parts[[#This Row],[hp2016.12]])*t_Parts[[NetPPH]:[NetPPH]]</f>
        <v>396000</v>
      </c>
      <c r="FO7" s="68">
        <f>(t_Parts[[#This Row],[ha2016.FY]]-t_Parts[[#This Row],[hp2016.FY]])*t_Parts[[NetPPH]:[NetPPH]]</f>
        <v>4356000</v>
      </c>
      <c r="FP7" s="68">
        <f>(t_Parts[[#This Row],[ha2017]]-t_Parts[[#This Row],[hp2017]])*t_Parts[[NetPPH]:[NetPPH]]</f>
        <v>4356000</v>
      </c>
      <c r="FQ7" s="68">
        <f>(t_Parts[[#This Row],[ha2018]]-t_Parts[[#This Row],[hp2018]])*t_Parts[[NetPPH]:[NetPPH]]</f>
        <v>4356000</v>
      </c>
      <c r="FR7" s="68">
        <f>(t_Parts[[#This Row],[ha2019]]-t_Parts[[#This Row],[hp2019]])*t_Parts[[NetPPH]:[NetPPH]]</f>
        <v>4356000</v>
      </c>
    </row>
    <row r="8" spans="1:174" x14ac:dyDescent="0.25">
      <c r="A8" s="16" t="s">
        <v>170</v>
      </c>
      <c r="B8" s="16">
        <v>21013</v>
      </c>
      <c r="C8">
        <v>1</v>
      </c>
      <c r="D8" s="20">
        <v>2400</v>
      </c>
      <c r="E8" s="25">
        <v>1</v>
      </c>
      <c r="F8" s="26">
        <v>1</v>
      </c>
      <c r="G8" t="s">
        <v>16</v>
      </c>
      <c r="H8" t="s">
        <v>94</v>
      </c>
      <c r="I8" s="20">
        <v>225006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115</v>
      </c>
      <c r="V8" t="str">
        <f>VLOOKUP(t_Parts[[#This Row],[Press]],t_Presses[],Press!B$1,FALSE)</f>
        <v>Plainfield</v>
      </c>
      <c r="W8" t="str">
        <f>VLOOKUP(t_Parts[[#This Row],[Press]],t_Presses[],Press!E$1,FALSE)</f>
        <v>0-299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1</v>
      </c>
      <c r="AC8" s="20">
        <f>(t_Parts[[#This Row],[UnitsPerCycle]]*t_Parts[[#This Row],[CyclesPerHr]])*t_Parts[[#This Row],[UseOEE]]</f>
        <v>1320</v>
      </c>
      <c r="AD8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16544.558823529413</v>
      </c>
      <c r="AE8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17206.341176470589</v>
      </c>
      <c r="AF8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22500.6</v>
      </c>
      <c r="AG8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16544.558823529413</v>
      </c>
      <c r="AH8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17206.341176470589</v>
      </c>
      <c r="AI8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22500.6</v>
      </c>
      <c r="AJ8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16544.558823529413</v>
      </c>
      <c r="AK8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17206.341176470589</v>
      </c>
      <c r="AL8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22500.6</v>
      </c>
      <c r="AM8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16544.558823529413</v>
      </c>
      <c r="AN8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17206.341176470589</v>
      </c>
      <c r="AO8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22500.6</v>
      </c>
      <c r="AP8" s="20">
        <f>SUM(t_Parts[[#This Row],[pv2015.01]:[pv2015.12]])</f>
        <v>225006</v>
      </c>
      <c r="AQ8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8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8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8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8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8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8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8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8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8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8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8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IF(AND(AD$2&gt;=VALUE(t_Parts[[SOP]:[SOP]]),AD$2&lt;=VALUE(t_Parts[[EOP]:[EOP]])), t_Parts[[SetupHrsPerMo]:[SetupHrsPerMo]]+(t_Parts[[#This Row],[pv2015.01]]/t_Parts[[NetPPH]:[NetPPH]]),0)</f>
        <v>13.53375668449198</v>
      </c>
      <c r="CK8" s="20">
        <f>IF(AND(AE$2&gt;=VALUE(t_Parts[[SOP]:[SOP]]),AE$2&lt;=VALUE(t_Parts[[EOP]:[EOP]])), t_Parts[[SetupHrsPerMo]:[SetupHrsPerMo]]+(t_Parts[[#This Row],[pv2015.02]]/t_Parts[[NetPPH]:[NetPPH]]),0)</f>
        <v>14.035106951871658</v>
      </c>
      <c r="CL8" s="20">
        <f>IF(AND(AF$2&gt;=VALUE(t_Parts[[SOP]:[SOP]]),AF$2&lt;=VALUE(t_Parts[[EOP]:[EOP]])), t_Parts[[SetupHrsPerMo]:[SetupHrsPerMo]]+(t_Parts[[#This Row],[pv2015.03]]/t_Parts[[NetPPH]:[NetPPH]]),0)</f>
        <v>18.045909090909088</v>
      </c>
      <c r="CM8" s="20">
        <f>IF(AND(AG$2&gt;=VALUE(t_Parts[[SOP]:[SOP]]),AG$2&lt;=VALUE(t_Parts[[EOP]:[EOP]])), t_Parts[[SetupHrsPerMo]:[SetupHrsPerMo]]+(t_Parts[[#This Row],[pv2015.04]]/t_Parts[[NetPPH]:[NetPPH]]),0)</f>
        <v>13.53375668449198</v>
      </c>
      <c r="CN8" s="20">
        <f>IF(AND(AH$2&gt;=VALUE(t_Parts[[SOP]:[SOP]]),AH$2&lt;=VALUE(t_Parts[[EOP]:[EOP]])), t_Parts[[SetupHrsPerMo]:[SetupHrsPerMo]]+(t_Parts[[#This Row],[pv2015.05]]/t_Parts[[NetPPH]:[NetPPH]]),0)</f>
        <v>14.035106951871658</v>
      </c>
      <c r="CO8" s="20">
        <f>IF(AND(AI$2&gt;=VALUE(t_Parts[[SOP]:[SOP]]),AI$2&lt;=VALUE(t_Parts[[EOP]:[EOP]])), t_Parts[[SetupHrsPerMo]:[SetupHrsPerMo]]+(t_Parts[[#This Row],[pv2015.06]]/t_Parts[[NetPPH]:[NetPPH]]),0)</f>
        <v>18.045909090909088</v>
      </c>
      <c r="CP8" s="20">
        <f>IF(AND(AJ$2&gt;=VALUE(t_Parts[[SOP]:[SOP]]),AJ$2&lt;=VALUE(t_Parts[[EOP]:[EOP]])), t_Parts[[SetupHrsPerMo]:[SetupHrsPerMo]]+(t_Parts[[#This Row],[pv2015.07]]/t_Parts[[NetPPH]:[NetPPH]]),0)</f>
        <v>13.53375668449198</v>
      </c>
      <c r="CQ8" s="20">
        <f>IF(AND(AK$2&gt;=VALUE(t_Parts[[SOP]:[SOP]]),AK$2&lt;=VALUE(t_Parts[[EOP]:[EOP]])), t_Parts[[SetupHrsPerMo]:[SetupHrsPerMo]]+(t_Parts[[#This Row],[pv2015.08]]/t_Parts[[NetPPH]:[NetPPH]]),0)</f>
        <v>14.035106951871658</v>
      </c>
      <c r="CR8" s="20">
        <f>IF(AND(AL$2&gt;=VALUE(t_Parts[[SOP]:[SOP]]),AL$2&lt;=VALUE(t_Parts[[EOP]:[EOP]])), t_Parts[[SetupHrsPerMo]:[SetupHrsPerMo]]+(t_Parts[[#This Row],[pv2015.09]]/t_Parts[[NetPPH]:[NetPPH]]),0)</f>
        <v>18.045909090909088</v>
      </c>
      <c r="CS8" s="20">
        <f>IF(AND(AM$2&gt;=VALUE(t_Parts[[SOP]:[SOP]]),AM$2&lt;=VALUE(t_Parts[[EOP]:[EOP]])), t_Parts[[SetupHrsPerMo]:[SetupHrsPerMo]]+(t_Parts[[#This Row],[pv2015.10]]/t_Parts[[NetPPH]:[NetPPH]]),0)</f>
        <v>13.53375668449198</v>
      </c>
      <c r="CT8" s="20">
        <f>IF(AND(AN$2&gt;=VALUE(t_Parts[[SOP]:[SOP]]),AN$2&lt;=VALUE(t_Parts[[EOP]:[EOP]])), t_Parts[[SetupHrsPerMo]:[SetupHrsPerMo]]+(t_Parts[[#This Row],[pv2015.11]]/t_Parts[[NetPPH]:[NetPPH]]),0)</f>
        <v>14.035106951871658</v>
      </c>
      <c r="CU8" s="20">
        <f>IF(AND(AO$2&gt;=VALUE(t_Parts[[SOP]:[SOP]]),AO$2&lt;=VALUE(t_Parts[[EOP]:[EOP]])), t_Parts[[SetupHrsPerMo]:[SetupHrsPerMo]]+(t_Parts[[#This Row],[pv2015.12]]/t_Parts[[NetPPH]:[NetPPH]]),0)</f>
        <v>18.045909090909088</v>
      </c>
      <c r="CV8" s="20">
        <f>SUM(t_Parts[[#This Row],[hp2015.01]:[hp2015.12]])</f>
        <v>182.45909090909086</v>
      </c>
      <c r="CW8" s="20">
        <f>IF(AND(AQ$2&gt;=VALUE(t_Parts[[SOP]:[SOP]]),AQ$2&lt;=VALUE(t_Parts[[EOP]:[EOP]])), t_Parts[[SetupHrsPerMo]:[SetupHrsPerMo]]+(t_Parts[[#This Row],[pv2016.01]]/t_Parts[[NetPPH]:[NetPPH]]),0)</f>
        <v>0</v>
      </c>
      <c r="CX8" s="20">
        <f>IF(AND(AR$2&gt;=VALUE(t_Parts[[SOP]:[SOP]]),AR$2&lt;=VALUE(t_Parts[[EOP]:[EOP]])), t_Parts[[SetupHrsPerMo]:[SetupHrsPerMo]]+(t_Parts[[#This Row],[pv2016.02]]/t_Parts[[NetPPH]:[NetPPH]]),0)</f>
        <v>0</v>
      </c>
      <c r="CY8" s="20">
        <f>IF(AND(AS$2&gt;=VALUE(t_Parts[[SOP]:[SOP]]),AS$2&lt;=VALUE(t_Parts[[EOP]:[EOP]])), t_Parts[[SetupHrsPerMo]:[SetupHrsPerMo]]+(t_Parts[[#This Row],[pv2016.03]]/t_Parts[[NetPPH]:[NetPPH]]),0)</f>
        <v>0</v>
      </c>
      <c r="CZ8" s="20">
        <f>IF(AND(AT$2&gt;=VALUE(t_Parts[[SOP]:[SOP]]),AT$2&lt;=VALUE(t_Parts[[EOP]:[EOP]])), t_Parts[[SetupHrsPerMo]:[SetupHrsPerMo]]+(t_Parts[[#This Row],[pv2016.04]]/t_Parts[[NetPPH]:[NetPPH]]),0)</f>
        <v>0</v>
      </c>
      <c r="DA8" s="20">
        <f>IF(AND(AU$2&gt;=VALUE(t_Parts[[SOP]:[SOP]]),AU$2&lt;=VALUE(t_Parts[[EOP]:[EOP]])), t_Parts[[SetupHrsPerMo]:[SetupHrsPerMo]]+(t_Parts[[#This Row],[pv2016.05]]/t_Parts[[NetPPH]:[NetPPH]]),0)</f>
        <v>0</v>
      </c>
      <c r="DB8" s="20">
        <f>IF(AND(AV$2&gt;=VALUE(t_Parts[[SOP]:[SOP]]),AV$2&lt;=VALUE(t_Parts[[EOP]:[EOP]])), t_Parts[[SetupHrsPerMo]:[SetupHrsPerMo]]+(t_Parts[[#This Row],[pv2016.06]]/t_Parts[[NetPPH]:[NetPPH]]),0)</f>
        <v>0</v>
      </c>
      <c r="DC8" s="20">
        <f>IF(AND(AW$2&gt;=VALUE(t_Parts[[SOP]:[SOP]]),AW$2&lt;=VALUE(t_Parts[[EOP]:[EOP]])), t_Parts[[SetupHrsPerMo]:[SetupHrsPerMo]]+(t_Parts[[#This Row],[pv2016.07]]/t_Parts[[NetPPH]:[NetPPH]]),0)</f>
        <v>0</v>
      </c>
      <c r="DD8" s="20">
        <f>IF(AND(AX$2&gt;=VALUE(t_Parts[[SOP]:[SOP]]),AX$2&lt;=VALUE(t_Parts[[EOP]:[EOP]])), t_Parts[[SetupHrsPerMo]:[SetupHrsPerMo]]+(t_Parts[[#This Row],[pv2016.08]]/t_Parts[[NetPPH]:[NetPPH]]),0)</f>
        <v>0</v>
      </c>
      <c r="DE8" s="20">
        <f>IF(AND(AY$2&gt;=VALUE(t_Parts[[SOP]:[SOP]]),AY$2&lt;=VALUE(t_Parts[[EOP]:[EOP]])), t_Parts[[SetupHrsPerMo]:[SetupHrsPerMo]]+(t_Parts[[#This Row],[pv2016.09]]/t_Parts[[NetPPH]:[NetPPH]]),0)</f>
        <v>0</v>
      </c>
      <c r="DF8" s="20">
        <f>IF(AND(AZ$2&gt;=VALUE(t_Parts[[SOP]:[SOP]]),AZ$2&lt;=VALUE(t_Parts[[EOP]:[EOP]])), t_Parts[[SetupHrsPerMo]:[SetupHrsPerMo]]+(t_Parts[[#This Row],[pv2016.10]]/t_Parts[[NetPPH]:[NetPPH]]),0)</f>
        <v>0</v>
      </c>
      <c r="DG8" s="20">
        <f>IF(AND(BA$2&gt;=VALUE(t_Parts[[SOP]:[SOP]]),BA$2&lt;=VALUE(t_Parts[[EOP]:[EOP]])), t_Parts[[SetupHrsPerMo]:[SetupHrsPerMo]]+(t_Parts[[#This Row],[pv2016.11]]/t_Parts[[NetPPH]:[NetPPH]]),0)</f>
        <v>0</v>
      </c>
      <c r="DH8" s="20">
        <f>IF(AND(BB$2&gt;=VALUE(t_Parts[[SOP]:[SOP]]),BB$2&lt;=VALUE(t_Parts[[EOP]:[EOP]])),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IF(AND(BD$2&gt;=VALUE(t_Parts[[SOP]:[SOP]]),BD$2&lt;=VALUE(t_Parts[[EOP]:[EOP]])), 12*t_Parts[[SetupHrsPerMo]:[SetupHrsPerMo]]+(t_Parts[[#This Row],[pv2017]]/t_Parts[[NetPPH]:[NetPPH]]),0)</f>
        <v>0</v>
      </c>
      <c r="DK8" s="20">
        <f>IF(AND(BE$2&gt;=VALUE(t_Parts[[SOP]:[SOP]]),BE$2&lt;=VALUE(t_Parts[[EOP]:[EOP]])), 12*t_Parts[[SetupHrsPerMo]:[SetupHrsPerMo]]+(t_Parts[[#This Row],[pv2018]]/t_Parts[[NetPPH]:[NetPPH]]),0)</f>
        <v>0</v>
      </c>
      <c r="DL8" s="20">
        <f>IF(AND(BF$2&gt;=VALUE(t_Parts[[SOP]:[SOP]]),BF$2&lt;=VALUE(t_Parts[[EOP]:[EOP]])),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5.4135026737967919E-2</v>
      </c>
      <c r="DN8" s="15">
        <f>t_Parts[[#This Row],[hp2015.02]]/t_Parts[[#This Row],[ha2015.02]]</f>
        <v>5.3981180584121762E-2</v>
      </c>
      <c r="DO8" s="15">
        <f>t_Parts[[#This Row],[hp2015.03]]/t_Parts[[#This Row],[ha2015.03]]</f>
        <v>5.307620320855614E-2</v>
      </c>
      <c r="DP8" s="15">
        <f>t_Parts[[#This Row],[hp2015.04]]/t_Parts[[#This Row],[ha2015.04]]</f>
        <v>5.4135026737967919E-2</v>
      </c>
      <c r="DQ8" s="15">
        <f>t_Parts[[#This Row],[hp2015.05]]/t_Parts[[#This Row],[ha2015.05]]</f>
        <v>5.3981180584121762E-2</v>
      </c>
      <c r="DR8" s="15">
        <f>t_Parts[[#This Row],[hp2015.06]]/t_Parts[[#This Row],[ha2015.06]]</f>
        <v>5.307620320855614E-2</v>
      </c>
      <c r="DS8" s="15">
        <f>t_Parts[[#This Row],[hp2015.07]]/t_Parts[[#This Row],[ha2015.07]]</f>
        <v>5.4135026737967919E-2</v>
      </c>
      <c r="DT8" s="15">
        <f>t_Parts[[#This Row],[hp2015.08]]/t_Parts[[#This Row],[ha2015.08]]</f>
        <v>5.3981180584121762E-2</v>
      </c>
      <c r="DU8" s="15">
        <f>t_Parts[[#This Row],[hp2015.09]]/t_Parts[[#This Row],[ha2015.09]]</f>
        <v>5.307620320855614E-2</v>
      </c>
      <c r="DV8" s="15">
        <f>t_Parts[[#This Row],[hp2015.10]]/t_Parts[[#This Row],[ha2015.10]]</f>
        <v>5.4135026737967919E-2</v>
      </c>
      <c r="DW8" s="15">
        <f>t_Parts[[#This Row],[hp2015.11]]/t_Parts[[#This Row],[ha2015.11]]</f>
        <v>5.3981180584121762E-2</v>
      </c>
      <c r="DX8" s="15">
        <f>t_Parts[[#This Row],[hp2015.12]]/t_Parts[[#This Row],[ha2015.12]]</f>
        <v>5.307620320855614E-2</v>
      </c>
      <c r="DY8" s="15">
        <f>t_Parts[[#This Row],[hp2015.FY]]/t_Parts[[#This Row],[ha2015.FY]]</f>
        <v>5.3664438502673779E-2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312135.4411764706</v>
      </c>
      <c r="EQ8" s="68">
        <f>(t_Parts[[#This Row],[ha2015.02]]-t_Parts[[#This Row],[hp2015.02]])*t_Parts[[NetPPH]:[NetPPH]]</f>
        <v>324673.65882352943</v>
      </c>
      <c r="ER8" s="68">
        <f>(t_Parts[[#This Row],[ha2015.03]]-t_Parts[[#This Row],[hp2015.03]])*t_Parts[[NetPPH]:[NetPPH]]</f>
        <v>424979.39999999997</v>
      </c>
      <c r="ES8" s="68">
        <f>(t_Parts[[#This Row],[ha2015.04]]-t_Parts[[#This Row],[hp2015.04]])*t_Parts[[NetPPH]:[NetPPH]]</f>
        <v>312135.4411764706</v>
      </c>
      <c r="ET8" s="68">
        <f>(t_Parts[[#This Row],[ha2015.05]]-t_Parts[[#This Row],[hp2015.05]])*t_Parts[[NetPPH]:[NetPPH]]</f>
        <v>324673.65882352943</v>
      </c>
      <c r="EU8" s="68">
        <f>(t_Parts[[#This Row],[ha2015.06]]-t_Parts[[#This Row],[hp2015.06]])*t_Parts[[NetPPH]:[NetPPH]]</f>
        <v>424979.39999999997</v>
      </c>
      <c r="EV8" s="68">
        <f>(t_Parts[[#This Row],[ha2015.07]]-t_Parts[[#This Row],[hp2015.07]])*t_Parts[[NetPPH]:[NetPPH]]</f>
        <v>312135.4411764706</v>
      </c>
      <c r="EW8" s="68">
        <f>(t_Parts[[#This Row],[ha2015.08]]-t_Parts[[#This Row],[hp2015.08]])*t_Parts[[NetPPH]:[NetPPH]]</f>
        <v>324673.65882352943</v>
      </c>
      <c r="EX8" s="68">
        <f>(t_Parts[[#This Row],[ha2015.09]]-t_Parts[[#This Row],[hp2015.09]])*t_Parts[[NetPPH]:[NetPPH]]</f>
        <v>424979.39999999997</v>
      </c>
      <c r="EY8" s="68">
        <f>(t_Parts[[#This Row],[ha2015.10]]-t_Parts[[#This Row],[hp2015.10]])*t_Parts[[NetPPH]:[NetPPH]]</f>
        <v>312135.4411764706</v>
      </c>
      <c r="EZ8" s="68">
        <f>(t_Parts[[#This Row],[ha2015.11]]-t_Parts[[#This Row],[hp2015.11]])*t_Parts[[NetPPH]:[NetPPH]]</f>
        <v>324673.65882352943</v>
      </c>
      <c r="FA8" s="68">
        <f>(t_Parts[[#This Row],[ha2015.12]]-t_Parts[[#This Row],[hp2015.12]])*t_Parts[[NetPPH]:[NetPPH]]</f>
        <v>424979.39999999997</v>
      </c>
      <c r="FB8" s="68">
        <f>(t_Parts[[#This Row],[ha2015.FY]]-t_Parts[[#This Row],[hp2015.FY]])*t_Parts[[NetPPH]:[NetPPH]]</f>
        <v>4247154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168</v>
      </c>
      <c r="B9" s="16">
        <v>21014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126719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116</v>
      </c>
      <c r="V9" t="str">
        <f>VLOOKUP(t_Parts[[#This Row],[Press]],t_Presses[],Press!B$1,FALSE)</f>
        <v>Plainfield</v>
      </c>
      <c r="W9" t="str">
        <f>VLOOKUP(t_Parts[[#This Row],[Press]],t_Presses[],Press!E$1,FALSE)</f>
        <v>300-599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9317.573529411764</v>
      </c>
      <c r="AE9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9690.2764705882346</v>
      </c>
      <c r="AF9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12671.9</v>
      </c>
      <c r="AG9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9317.573529411764</v>
      </c>
      <c r="AH9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9690.2764705882346</v>
      </c>
      <c r="AI9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12671.9</v>
      </c>
      <c r="AJ9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9317.573529411764</v>
      </c>
      <c r="AK9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9690.2764705882346</v>
      </c>
      <c r="AL9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12671.9</v>
      </c>
      <c r="AM9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9317.573529411764</v>
      </c>
      <c r="AN9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9690.2764705882346</v>
      </c>
      <c r="AO9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12671.9</v>
      </c>
      <c r="AP9" s="20">
        <f>SUM(t_Parts[[#This Row],[pv2015.01]:[pv2015.12]])</f>
        <v>126718.99999999997</v>
      </c>
      <c r="AQ9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9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9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9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9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9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9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9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9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9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9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9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IF(AND(AD$2&gt;=VALUE(t_Parts[[SOP]:[SOP]]),AD$2&lt;=VALUE(t_Parts[[EOP]:[EOP]])), t_Parts[[SetupHrsPerMo]:[SetupHrsPerMo]]+(t_Parts[[#This Row],[pv2015.01]]/t_Parts[[NetPPH]:[NetPPH]]),0)</f>
        <v>8.0587678253119428</v>
      </c>
      <c r="CK9" s="20">
        <f>IF(AND(AE$2&gt;=VALUE(t_Parts[[SOP]:[SOP]]),AE$2&lt;=VALUE(t_Parts[[EOP]:[EOP]])), t_Parts[[SetupHrsPerMo]:[SetupHrsPerMo]]+(t_Parts[[#This Row],[pv2015.02]]/t_Parts[[NetPPH]:[NetPPH]]),0)</f>
        <v>8.3411185383244195</v>
      </c>
      <c r="CL9" s="20">
        <f>IF(AND(AF$2&gt;=VALUE(t_Parts[[SOP]:[SOP]]),AF$2&lt;=VALUE(t_Parts[[EOP]:[EOP]])), t_Parts[[SetupHrsPerMo]:[SetupHrsPerMo]]+(t_Parts[[#This Row],[pv2015.03]]/t_Parts[[NetPPH]:[NetPPH]]),0)</f>
        <v>10.599924242424242</v>
      </c>
      <c r="CM9" s="20">
        <f>IF(AND(AG$2&gt;=VALUE(t_Parts[[SOP]:[SOP]]),AG$2&lt;=VALUE(t_Parts[[EOP]:[EOP]])), t_Parts[[SetupHrsPerMo]:[SetupHrsPerMo]]+(t_Parts[[#This Row],[pv2015.04]]/t_Parts[[NetPPH]:[NetPPH]]),0)</f>
        <v>8.0587678253119428</v>
      </c>
      <c r="CN9" s="20">
        <f>IF(AND(AH$2&gt;=VALUE(t_Parts[[SOP]:[SOP]]),AH$2&lt;=VALUE(t_Parts[[EOP]:[EOP]])), t_Parts[[SetupHrsPerMo]:[SetupHrsPerMo]]+(t_Parts[[#This Row],[pv2015.05]]/t_Parts[[NetPPH]:[NetPPH]]),0)</f>
        <v>8.3411185383244195</v>
      </c>
      <c r="CO9" s="20">
        <f>IF(AND(AI$2&gt;=VALUE(t_Parts[[SOP]:[SOP]]),AI$2&lt;=VALUE(t_Parts[[EOP]:[EOP]])), t_Parts[[SetupHrsPerMo]:[SetupHrsPerMo]]+(t_Parts[[#This Row],[pv2015.06]]/t_Parts[[NetPPH]:[NetPPH]]),0)</f>
        <v>10.599924242424242</v>
      </c>
      <c r="CP9" s="20">
        <f>IF(AND(AJ$2&gt;=VALUE(t_Parts[[SOP]:[SOP]]),AJ$2&lt;=VALUE(t_Parts[[EOP]:[EOP]])), t_Parts[[SetupHrsPerMo]:[SetupHrsPerMo]]+(t_Parts[[#This Row],[pv2015.07]]/t_Parts[[NetPPH]:[NetPPH]]),0)</f>
        <v>8.0587678253119428</v>
      </c>
      <c r="CQ9" s="20">
        <f>IF(AND(AK$2&gt;=VALUE(t_Parts[[SOP]:[SOP]]),AK$2&lt;=VALUE(t_Parts[[EOP]:[EOP]])), t_Parts[[SetupHrsPerMo]:[SetupHrsPerMo]]+(t_Parts[[#This Row],[pv2015.08]]/t_Parts[[NetPPH]:[NetPPH]]),0)</f>
        <v>8.3411185383244195</v>
      </c>
      <c r="CR9" s="20">
        <f>IF(AND(AL$2&gt;=VALUE(t_Parts[[SOP]:[SOP]]),AL$2&lt;=VALUE(t_Parts[[EOP]:[EOP]])), t_Parts[[SetupHrsPerMo]:[SetupHrsPerMo]]+(t_Parts[[#This Row],[pv2015.09]]/t_Parts[[NetPPH]:[NetPPH]]),0)</f>
        <v>10.599924242424242</v>
      </c>
      <c r="CS9" s="20">
        <f>IF(AND(AM$2&gt;=VALUE(t_Parts[[SOP]:[SOP]]),AM$2&lt;=VALUE(t_Parts[[EOP]:[EOP]])), t_Parts[[SetupHrsPerMo]:[SetupHrsPerMo]]+(t_Parts[[#This Row],[pv2015.10]]/t_Parts[[NetPPH]:[NetPPH]]),0)</f>
        <v>8.0587678253119428</v>
      </c>
      <c r="CT9" s="20">
        <f>IF(AND(AN$2&gt;=VALUE(t_Parts[[SOP]:[SOP]]),AN$2&lt;=VALUE(t_Parts[[EOP]:[EOP]])), t_Parts[[SetupHrsPerMo]:[SetupHrsPerMo]]+(t_Parts[[#This Row],[pv2015.11]]/t_Parts[[NetPPH]:[NetPPH]]),0)</f>
        <v>8.3411185383244195</v>
      </c>
      <c r="CU9" s="20">
        <f>IF(AND(AO$2&gt;=VALUE(t_Parts[[SOP]:[SOP]]),AO$2&lt;=VALUE(t_Parts[[EOP]:[EOP]])), t_Parts[[SetupHrsPerMo]:[SetupHrsPerMo]]+(t_Parts[[#This Row],[pv2015.12]]/t_Parts[[NetPPH]:[NetPPH]]),0)</f>
        <v>10.599924242424242</v>
      </c>
      <c r="CV9" s="20">
        <f>SUM(t_Parts[[#This Row],[hp2015.01]:[hp2015.12]])</f>
        <v>107.99924242424242</v>
      </c>
      <c r="CW9" s="20">
        <f>IF(AND(AQ$2&gt;=VALUE(t_Parts[[SOP]:[SOP]]),AQ$2&lt;=VALUE(t_Parts[[EOP]:[EOP]])), t_Parts[[SetupHrsPerMo]:[SetupHrsPerMo]]+(t_Parts[[#This Row],[pv2016.01]]/t_Parts[[NetPPH]:[NetPPH]]),0)</f>
        <v>0</v>
      </c>
      <c r="CX9" s="20">
        <f>IF(AND(AR$2&gt;=VALUE(t_Parts[[SOP]:[SOP]]),AR$2&lt;=VALUE(t_Parts[[EOP]:[EOP]])), t_Parts[[SetupHrsPerMo]:[SetupHrsPerMo]]+(t_Parts[[#This Row],[pv2016.02]]/t_Parts[[NetPPH]:[NetPPH]]),0)</f>
        <v>0</v>
      </c>
      <c r="CY9" s="20">
        <f>IF(AND(AS$2&gt;=VALUE(t_Parts[[SOP]:[SOP]]),AS$2&lt;=VALUE(t_Parts[[EOP]:[EOP]])), t_Parts[[SetupHrsPerMo]:[SetupHrsPerMo]]+(t_Parts[[#This Row],[pv2016.03]]/t_Parts[[NetPPH]:[NetPPH]]),0)</f>
        <v>0</v>
      </c>
      <c r="CZ9" s="20">
        <f>IF(AND(AT$2&gt;=VALUE(t_Parts[[SOP]:[SOP]]),AT$2&lt;=VALUE(t_Parts[[EOP]:[EOP]])), t_Parts[[SetupHrsPerMo]:[SetupHrsPerMo]]+(t_Parts[[#This Row],[pv2016.04]]/t_Parts[[NetPPH]:[NetPPH]]),0)</f>
        <v>0</v>
      </c>
      <c r="DA9" s="20">
        <f>IF(AND(AU$2&gt;=VALUE(t_Parts[[SOP]:[SOP]]),AU$2&lt;=VALUE(t_Parts[[EOP]:[EOP]])), t_Parts[[SetupHrsPerMo]:[SetupHrsPerMo]]+(t_Parts[[#This Row],[pv2016.05]]/t_Parts[[NetPPH]:[NetPPH]]),0)</f>
        <v>0</v>
      </c>
      <c r="DB9" s="20">
        <f>IF(AND(AV$2&gt;=VALUE(t_Parts[[SOP]:[SOP]]),AV$2&lt;=VALUE(t_Parts[[EOP]:[EOP]])), t_Parts[[SetupHrsPerMo]:[SetupHrsPerMo]]+(t_Parts[[#This Row],[pv2016.06]]/t_Parts[[NetPPH]:[NetPPH]]),0)</f>
        <v>0</v>
      </c>
      <c r="DC9" s="20">
        <f>IF(AND(AW$2&gt;=VALUE(t_Parts[[SOP]:[SOP]]),AW$2&lt;=VALUE(t_Parts[[EOP]:[EOP]])), t_Parts[[SetupHrsPerMo]:[SetupHrsPerMo]]+(t_Parts[[#This Row],[pv2016.07]]/t_Parts[[NetPPH]:[NetPPH]]),0)</f>
        <v>0</v>
      </c>
      <c r="DD9" s="20">
        <f>IF(AND(AX$2&gt;=VALUE(t_Parts[[SOP]:[SOP]]),AX$2&lt;=VALUE(t_Parts[[EOP]:[EOP]])), t_Parts[[SetupHrsPerMo]:[SetupHrsPerMo]]+(t_Parts[[#This Row],[pv2016.08]]/t_Parts[[NetPPH]:[NetPPH]]),0)</f>
        <v>0</v>
      </c>
      <c r="DE9" s="20">
        <f>IF(AND(AY$2&gt;=VALUE(t_Parts[[SOP]:[SOP]]),AY$2&lt;=VALUE(t_Parts[[EOP]:[EOP]])), t_Parts[[SetupHrsPerMo]:[SetupHrsPerMo]]+(t_Parts[[#This Row],[pv2016.09]]/t_Parts[[NetPPH]:[NetPPH]]),0)</f>
        <v>0</v>
      </c>
      <c r="DF9" s="20">
        <f>IF(AND(AZ$2&gt;=VALUE(t_Parts[[SOP]:[SOP]]),AZ$2&lt;=VALUE(t_Parts[[EOP]:[EOP]])), t_Parts[[SetupHrsPerMo]:[SetupHrsPerMo]]+(t_Parts[[#This Row],[pv2016.10]]/t_Parts[[NetPPH]:[NetPPH]]),0)</f>
        <v>0</v>
      </c>
      <c r="DG9" s="20">
        <f>IF(AND(BA$2&gt;=VALUE(t_Parts[[SOP]:[SOP]]),BA$2&lt;=VALUE(t_Parts[[EOP]:[EOP]])), t_Parts[[SetupHrsPerMo]:[SetupHrsPerMo]]+(t_Parts[[#This Row],[pv2016.11]]/t_Parts[[NetPPH]:[NetPPH]]),0)</f>
        <v>0</v>
      </c>
      <c r="DH9" s="20">
        <f>IF(AND(BB$2&gt;=VALUE(t_Parts[[SOP]:[SOP]]),BB$2&lt;=VALUE(t_Parts[[EOP]:[EOP]])),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IF(AND(BD$2&gt;=VALUE(t_Parts[[SOP]:[SOP]]),BD$2&lt;=VALUE(t_Parts[[EOP]:[EOP]])), 12*t_Parts[[SetupHrsPerMo]:[SetupHrsPerMo]]+(t_Parts[[#This Row],[pv2017]]/t_Parts[[NetPPH]:[NetPPH]]),0)</f>
        <v>0</v>
      </c>
      <c r="DK9" s="20">
        <f>IF(AND(BE$2&gt;=VALUE(t_Parts[[SOP]:[SOP]]),BE$2&lt;=VALUE(t_Parts[[EOP]:[EOP]])), 12*t_Parts[[SetupHrsPerMo]:[SetupHrsPerMo]]+(t_Parts[[#This Row],[pv2018]]/t_Parts[[NetPPH]:[NetPPH]]),0)</f>
        <v>0</v>
      </c>
      <c r="DL9" s="20">
        <f>IF(AND(BF$2&gt;=VALUE(t_Parts[[SOP]:[SOP]]),BF$2&lt;=VALUE(t_Parts[[EOP]:[EOP]])),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3.2235071301247774E-2</v>
      </c>
      <c r="DN9" s="15">
        <f>t_Parts[[#This Row],[hp2015.02]]/t_Parts[[#This Row],[ha2015.02]]</f>
        <v>3.2081225147401617E-2</v>
      </c>
      <c r="DO9" s="15">
        <f>t_Parts[[#This Row],[hp2015.03]]/t_Parts[[#This Row],[ha2015.03]]</f>
        <v>3.1176247771836006E-2</v>
      </c>
      <c r="DP9" s="15">
        <f>t_Parts[[#This Row],[hp2015.04]]/t_Parts[[#This Row],[ha2015.04]]</f>
        <v>3.2235071301247774E-2</v>
      </c>
      <c r="DQ9" s="15">
        <f>t_Parts[[#This Row],[hp2015.05]]/t_Parts[[#This Row],[ha2015.05]]</f>
        <v>3.2081225147401617E-2</v>
      </c>
      <c r="DR9" s="15">
        <f>t_Parts[[#This Row],[hp2015.06]]/t_Parts[[#This Row],[ha2015.06]]</f>
        <v>3.1176247771836006E-2</v>
      </c>
      <c r="DS9" s="15">
        <f>t_Parts[[#This Row],[hp2015.07]]/t_Parts[[#This Row],[ha2015.07]]</f>
        <v>3.2235071301247774E-2</v>
      </c>
      <c r="DT9" s="15">
        <f>t_Parts[[#This Row],[hp2015.08]]/t_Parts[[#This Row],[ha2015.08]]</f>
        <v>3.2081225147401617E-2</v>
      </c>
      <c r="DU9" s="15">
        <f>t_Parts[[#This Row],[hp2015.09]]/t_Parts[[#This Row],[ha2015.09]]</f>
        <v>3.1176247771836006E-2</v>
      </c>
      <c r="DV9" s="15">
        <f>t_Parts[[#This Row],[hp2015.10]]/t_Parts[[#This Row],[ha2015.10]]</f>
        <v>3.2235071301247774E-2</v>
      </c>
      <c r="DW9" s="15">
        <f>t_Parts[[#This Row],[hp2015.11]]/t_Parts[[#This Row],[ha2015.11]]</f>
        <v>3.2081225147401617E-2</v>
      </c>
      <c r="DX9" s="15">
        <f>t_Parts[[#This Row],[hp2015.12]]/t_Parts[[#This Row],[ha2015.12]]</f>
        <v>3.1176247771836006E-2</v>
      </c>
      <c r="DY9" s="15">
        <f>t_Parts[[#This Row],[hp2015.FY]]/t_Parts[[#This Row],[ha2015.FY]]</f>
        <v>3.1764483065953655E-2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319362.42647058825</v>
      </c>
      <c r="EQ9" s="68">
        <f>(t_Parts[[#This Row],[ha2015.02]]-t_Parts[[#This Row],[hp2015.02]])*t_Parts[[NetPPH]:[NetPPH]]</f>
        <v>332189.72352941177</v>
      </c>
      <c r="ER9" s="68">
        <f>(t_Parts[[#This Row],[ha2015.03]]-t_Parts[[#This Row],[hp2015.03]])*t_Parts[[NetPPH]:[NetPPH]]</f>
        <v>434808.1</v>
      </c>
      <c r="ES9" s="68">
        <f>(t_Parts[[#This Row],[ha2015.04]]-t_Parts[[#This Row],[hp2015.04]])*t_Parts[[NetPPH]:[NetPPH]]</f>
        <v>319362.42647058825</v>
      </c>
      <c r="ET9" s="68">
        <f>(t_Parts[[#This Row],[ha2015.05]]-t_Parts[[#This Row],[hp2015.05]])*t_Parts[[NetPPH]:[NetPPH]]</f>
        <v>332189.72352941177</v>
      </c>
      <c r="EU9" s="68">
        <f>(t_Parts[[#This Row],[ha2015.06]]-t_Parts[[#This Row],[hp2015.06]])*t_Parts[[NetPPH]:[NetPPH]]</f>
        <v>434808.1</v>
      </c>
      <c r="EV9" s="68">
        <f>(t_Parts[[#This Row],[ha2015.07]]-t_Parts[[#This Row],[hp2015.07]])*t_Parts[[NetPPH]:[NetPPH]]</f>
        <v>319362.42647058825</v>
      </c>
      <c r="EW9" s="68">
        <f>(t_Parts[[#This Row],[ha2015.08]]-t_Parts[[#This Row],[hp2015.08]])*t_Parts[[NetPPH]:[NetPPH]]</f>
        <v>332189.72352941177</v>
      </c>
      <c r="EX9" s="68">
        <f>(t_Parts[[#This Row],[ha2015.09]]-t_Parts[[#This Row],[hp2015.09]])*t_Parts[[NetPPH]:[NetPPH]]</f>
        <v>434808.1</v>
      </c>
      <c r="EY9" s="68">
        <f>(t_Parts[[#This Row],[ha2015.10]]-t_Parts[[#This Row],[hp2015.10]])*t_Parts[[NetPPH]:[NetPPH]]</f>
        <v>319362.42647058825</v>
      </c>
      <c r="EZ9" s="68">
        <f>(t_Parts[[#This Row],[ha2015.11]]-t_Parts[[#This Row],[hp2015.11]])*t_Parts[[NetPPH]:[NetPPH]]</f>
        <v>332189.72352941177</v>
      </c>
      <c r="FA9" s="68">
        <f>(t_Parts[[#This Row],[ha2015.12]]-t_Parts[[#This Row],[hp2015.12]])*t_Parts[[NetPPH]:[NetPPH]]</f>
        <v>434808.1</v>
      </c>
      <c r="FB9" s="68">
        <f>(t_Parts[[#This Row],[ha2015.FY]]-t_Parts[[#This Row],[hp2015.FY]])*t_Parts[[NetPPH]:[NetPPH]]</f>
        <v>4345441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172</v>
      </c>
      <c r="B10" s="16">
        <v>21014</v>
      </c>
      <c r="C10">
        <v>1</v>
      </c>
      <c r="D10" s="20">
        <v>2400</v>
      </c>
      <c r="E10" s="25">
        <v>1</v>
      </c>
      <c r="F10" s="26">
        <v>2</v>
      </c>
      <c r="G10" t="s">
        <v>16</v>
      </c>
      <c r="H10" t="s">
        <v>94</v>
      </c>
      <c r="I10" s="20">
        <v>54221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V10" t="str">
        <f>VLOOKUP(t_Parts[[#This Row],[Press]],t_Presses[],Press!B$1,FALSE)</f>
        <v>Plainfield</v>
      </c>
      <c r="W10" t="str">
        <f>VLOOKUP(t_Parts[[#This Row],[Press]],t_Presses[],Press!E$1,FALSE)</f>
        <v>300-599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2</v>
      </c>
      <c r="AC10" s="20">
        <f>(t_Parts[[#This Row],[UnitsPerCycle]]*t_Parts[[#This Row],[CyclesPerHr]])*t_Parts[[#This Row],[UseOEE]]</f>
        <v>1320</v>
      </c>
      <c r="AD10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3986.8382352941176</v>
      </c>
      <c r="AE10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4146.3117647058825</v>
      </c>
      <c r="AF10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5422.0999999999995</v>
      </c>
      <c r="AG10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3986.8382352941176</v>
      </c>
      <c r="AH10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4146.3117647058825</v>
      </c>
      <c r="AI10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5422.0999999999995</v>
      </c>
      <c r="AJ10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3986.8382352941176</v>
      </c>
      <c r="AK10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4146.3117647058825</v>
      </c>
      <c r="AL10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5422.0999999999995</v>
      </c>
      <c r="AM10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3986.8382352941176</v>
      </c>
      <c r="AN10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4146.3117647058825</v>
      </c>
      <c r="AO10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5422.0999999999995</v>
      </c>
      <c r="AP10" s="20">
        <f>SUM(t_Parts[[#This Row],[pv2015.01]:[pv2015.12]])</f>
        <v>54221</v>
      </c>
      <c r="AQ10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0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0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0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0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0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0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0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0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0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0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0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IF(AND(AD$2&gt;=VALUE(t_Parts[[SOP]:[SOP]]),AD$2&lt;=VALUE(t_Parts[[EOP]:[EOP]])), t_Parts[[SetupHrsPerMo]:[SetupHrsPerMo]]+(t_Parts[[#This Row],[pv2015.01]]/t_Parts[[NetPPH]:[NetPPH]]),0)</f>
        <v>5.0203319964349378</v>
      </c>
      <c r="CK10" s="20">
        <f>IF(AND(AE$2&gt;=VALUE(t_Parts[[SOP]:[SOP]]),AE$2&lt;=VALUE(t_Parts[[EOP]:[EOP]])), t_Parts[[SetupHrsPerMo]:[SetupHrsPerMo]]+(t_Parts[[#This Row],[pv2015.02]]/t_Parts[[NetPPH]:[NetPPH]]),0)</f>
        <v>5.1411452762923346</v>
      </c>
      <c r="CL10" s="20">
        <f>IF(AND(AF$2&gt;=VALUE(t_Parts[[SOP]:[SOP]]),AF$2&lt;=VALUE(t_Parts[[EOP]:[EOP]])), t_Parts[[SetupHrsPerMo]:[SetupHrsPerMo]]+(t_Parts[[#This Row],[pv2015.03]]/t_Parts[[NetPPH]:[NetPPH]]),0)</f>
        <v>6.1076515151515149</v>
      </c>
      <c r="CM10" s="20">
        <f>IF(AND(AG$2&gt;=VALUE(t_Parts[[SOP]:[SOP]]),AG$2&lt;=VALUE(t_Parts[[EOP]:[EOP]])), t_Parts[[SetupHrsPerMo]:[SetupHrsPerMo]]+(t_Parts[[#This Row],[pv2015.04]]/t_Parts[[NetPPH]:[NetPPH]]),0)</f>
        <v>5.0203319964349378</v>
      </c>
      <c r="CN10" s="20">
        <f>IF(AND(AH$2&gt;=VALUE(t_Parts[[SOP]:[SOP]]),AH$2&lt;=VALUE(t_Parts[[EOP]:[EOP]])), t_Parts[[SetupHrsPerMo]:[SetupHrsPerMo]]+(t_Parts[[#This Row],[pv2015.05]]/t_Parts[[NetPPH]:[NetPPH]]),0)</f>
        <v>5.1411452762923346</v>
      </c>
      <c r="CO10" s="20">
        <f>IF(AND(AI$2&gt;=VALUE(t_Parts[[SOP]:[SOP]]),AI$2&lt;=VALUE(t_Parts[[EOP]:[EOP]])), t_Parts[[SetupHrsPerMo]:[SetupHrsPerMo]]+(t_Parts[[#This Row],[pv2015.06]]/t_Parts[[NetPPH]:[NetPPH]]),0)</f>
        <v>6.1076515151515149</v>
      </c>
      <c r="CP10" s="20">
        <f>IF(AND(AJ$2&gt;=VALUE(t_Parts[[SOP]:[SOP]]),AJ$2&lt;=VALUE(t_Parts[[EOP]:[EOP]])), t_Parts[[SetupHrsPerMo]:[SetupHrsPerMo]]+(t_Parts[[#This Row],[pv2015.07]]/t_Parts[[NetPPH]:[NetPPH]]),0)</f>
        <v>5.0203319964349378</v>
      </c>
      <c r="CQ10" s="20">
        <f>IF(AND(AK$2&gt;=VALUE(t_Parts[[SOP]:[SOP]]),AK$2&lt;=VALUE(t_Parts[[EOP]:[EOP]])), t_Parts[[SetupHrsPerMo]:[SetupHrsPerMo]]+(t_Parts[[#This Row],[pv2015.08]]/t_Parts[[NetPPH]:[NetPPH]]),0)</f>
        <v>5.1411452762923346</v>
      </c>
      <c r="CR10" s="20">
        <f>IF(AND(AL$2&gt;=VALUE(t_Parts[[SOP]:[SOP]]),AL$2&lt;=VALUE(t_Parts[[EOP]:[EOP]])), t_Parts[[SetupHrsPerMo]:[SetupHrsPerMo]]+(t_Parts[[#This Row],[pv2015.09]]/t_Parts[[NetPPH]:[NetPPH]]),0)</f>
        <v>6.1076515151515149</v>
      </c>
      <c r="CS10" s="20">
        <f>IF(AND(AM$2&gt;=VALUE(t_Parts[[SOP]:[SOP]]),AM$2&lt;=VALUE(t_Parts[[EOP]:[EOP]])), t_Parts[[SetupHrsPerMo]:[SetupHrsPerMo]]+(t_Parts[[#This Row],[pv2015.10]]/t_Parts[[NetPPH]:[NetPPH]]),0)</f>
        <v>5.0203319964349378</v>
      </c>
      <c r="CT10" s="20">
        <f>IF(AND(AN$2&gt;=VALUE(t_Parts[[SOP]:[SOP]]),AN$2&lt;=VALUE(t_Parts[[EOP]:[EOP]])), t_Parts[[SetupHrsPerMo]:[SetupHrsPerMo]]+(t_Parts[[#This Row],[pv2015.11]]/t_Parts[[NetPPH]:[NetPPH]]),0)</f>
        <v>5.1411452762923346</v>
      </c>
      <c r="CU10" s="20">
        <f>IF(AND(AO$2&gt;=VALUE(t_Parts[[SOP]:[SOP]]),AO$2&lt;=VALUE(t_Parts[[EOP]:[EOP]])), t_Parts[[SetupHrsPerMo]:[SetupHrsPerMo]]+(t_Parts[[#This Row],[pv2015.12]]/t_Parts[[NetPPH]:[NetPPH]]),0)</f>
        <v>6.1076515151515149</v>
      </c>
      <c r="CV10" s="20">
        <f>SUM(t_Parts[[#This Row],[hp2015.01]:[hp2015.12]])</f>
        <v>65.076515151515153</v>
      </c>
      <c r="CW10" s="20">
        <f>IF(AND(AQ$2&gt;=VALUE(t_Parts[[SOP]:[SOP]]),AQ$2&lt;=VALUE(t_Parts[[EOP]:[EOP]])), t_Parts[[SetupHrsPerMo]:[SetupHrsPerMo]]+(t_Parts[[#This Row],[pv2016.01]]/t_Parts[[NetPPH]:[NetPPH]]),0)</f>
        <v>0</v>
      </c>
      <c r="CX10" s="20">
        <f>IF(AND(AR$2&gt;=VALUE(t_Parts[[SOP]:[SOP]]),AR$2&lt;=VALUE(t_Parts[[EOP]:[EOP]])), t_Parts[[SetupHrsPerMo]:[SetupHrsPerMo]]+(t_Parts[[#This Row],[pv2016.02]]/t_Parts[[NetPPH]:[NetPPH]]),0)</f>
        <v>0</v>
      </c>
      <c r="CY10" s="20">
        <f>IF(AND(AS$2&gt;=VALUE(t_Parts[[SOP]:[SOP]]),AS$2&lt;=VALUE(t_Parts[[EOP]:[EOP]])), t_Parts[[SetupHrsPerMo]:[SetupHrsPerMo]]+(t_Parts[[#This Row],[pv2016.03]]/t_Parts[[NetPPH]:[NetPPH]]),0)</f>
        <v>0</v>
      </c>
      <c r="CZ10" s="20">
        <f>IF(AND(AT$2&gt;=VALUE(t_Parts[[SOP]:[SOP]]),AT$2&lt;=VALUE(t_Parts[[EOP]:[EOP]])), t_Parts[[SetupHrsPerMo]:[SetupHrsPerMo]]+(t_Parts[[#This Row],[pv2016.04]]/t_Parts[[NetPPH]:[NetPPH]]),0)</f>
        <v>0</v>
      </c>
      <c r="DA10" s="20">
        <f>IF(AND(AU$2&gt;=VALUE(t_Parts[[SOP]:[SOP]]),AU$2&lt;=VALUE(t_Parts[[EOP]:[EOP]])), t_Parts[[SetupHrsPerMo]:[SetupHrsPerMo]]+(t_Parts[[#This Row],[pv2016.05]]/t_Parts[[NetPPH]:[NetPPH]]),0)</f>
        <v>0</v>
      </c>
      <c r="DB10" s="20">
        <f>IF(AND(AV$2&gt;=VALUE(t_Parts[[SOP]:[SOP]]),AV$2&lt;=VALUE(t_Parts[[EOP]:[EOP]])), t_Parts[[SetupHrsPerMo]:[SetupHrsPerMo]]+(t_Parts[[#This Row],[pv2016.06]]/t_Parts[[NetPPH]:[NetPPH]]),0)</f>
        <v>0</v>
      </c>
      <c r="DC10" s="20">
        <f>IF(AND(AW$2&gt;=VALUE(t_Parts[[SOP]:[SOP]]),AW$2&lt;=VALUE(t_Parts[[EOP]:[EOP]])), t_Parts[[SetupHrsPerMo]:[SetupHrsPerMo]]+(t_Parts[[#This Row],[pv2016.07]]/t_Parts[[NetPPH]:[NetPPH]]),0)</f>
        <v>0</v>
      </c>
      <c r="DD10" s="20">
        <f>IF(AND(AX$2&gt;=VALUE(t_Parts[[SOP]:[SOP]]),AX$2&lt;=VALUE(t_Parts[[EOP]:[EOP]])), t_Parts[[SetupHrsPerMo]:[SetupHrsPerMo]]+(t_Parts[[#This Row],[pv2016.08]]/t_Parts[[NetPPH]:[NetPPH]]),0)</f>
        <v>0</v>
      </c>
      <c r="DE10" s="20">
        <f>IF(AND(AY$2&gt;=VALUE(t_Parts[[SOP]:[SOP]]),AY$2&lt;=VALUE(t_Parts[[EOP]:[EOP]])), t_Parts[[SetupHrsPerMo]:[SetupHrsPerMo]]+(t_Parts[[#This Row],[pv2016.09]]/t_Parts[[NetPPH]:[NetPPH]]),0)</f>
        <v>0</v>
      </c>
      <c r="DF10" s="20">
        <f>IF(AND(AZ$2&gt;=VALUE(t_Parts[[SOP]:[SOP]]),AZ$2&lt;=VALUE(t_Parts[[EOP]:[EOP]])), t_Parts[[SetupHrsPerMo]:[SetupHrsPerMo]]+(t_Parts[[#This Row],[pv2016.10]]/t_Parts[[NetPPH]:[NetPPH]]),0)</f>
        <v>0</v>
      </c>
      <c r="DG10" s="20">
        <f>IF(AND(BA$2&gt;=VALUE(t_Parts[[SOP]:[SOP]]),BA$2&lt;=VALUE(t_Parts[[EOP]:[EOP]])), t_Parts[[SetupHrsPerMo]:[SetupHrsPerMo]]+(t_Parts[[#This Row],[pv2016.11]]/t_Parts[[NetPPH]:[NetPPH]]),0)</f>
        <v>0</v>
      </c>
      <c r="DH10" s="20">
        <f>IF(AND(BB$2&gt;=VALUE(t_Parts[[SOP]:[SOP]]),BB$2&lt;=VALUE(t_Parts[[EOP]:[EOP]])),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IF(AND(BD$2&gt;=VALUE(t_Parts[[SOP]:[SOP]]),BD$2&lt;=VALUE(t_Parts[[EOP]:[EOP]])), 12*t_Parts[[SetupHrsPerMo]:[SetupHrsPerMo]]+(t_Parts[[#This Row],[pv2017]]/t_Parts[[NetPPH]:[NetPPH]]),0)</f>
        <v>0</v>
      </c>
      <c r="DK10" s="20">
        <f>IF(AND(BE$2&gt;=VALUE(t_Parts[[SOP]:[SOP]]),BE$2&lt;=VALUE(t_Parts[[EOP]:[EOP]])), 12*t_Parts[[SetupHrsPerMo]:[SetupHrsPerMo]]+(t_Parts[[#This Row],[pv2018]]/t_Parts[[NetPPH]:[NetPPH]]),0)</f>
        <v>0</v>
      </c>
      <c r="DL10" s="20">
        <f>IF(AND(BF$2&gt;=VALUE(t_Parts[[SOP]:[SOP]]),BF$2&lt;=VALUE(t_Parts[[EOP]:[EOP]])),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2.008132798573975E-2</v>
      </c>
      <c r="DN10" s="15">
        <f>t_Parts[[#This Row],[hp2015.02]]/t_Parts[[#This Row],[ha2015.02]]</f>
        <v>1.9773635678047442E-2</v>
      </c>
      <c r="DO10" s="15">
        <f>t_Parts[[#This Row],[hp2015.03]]/t_Parts[[#This Row],[ha2015.03]]</f>
        <v>1.796368092691622E-2</v>
      </c>
      <c r="DP10" s="15">
        <f>t_Parts[[#This Row],[hp2015.04]]/t_Parts[[#This Row],[ha2015.04]]</f>
        <v>2.008132798573975E-2</v>
      </c>
      <c r="DQ10" s="15">
        <f>t_Parts[[#This Row],[hp2015.05]]/t_Parts[[#This Row],[ha2015.05]]</f>
        <v>1.9773635678047442E-2</v>
      </c>
      <c r="DR10" s="15">
        <f>t_Parts[[#This Row],[hp2015.06]]/t_Parts[[#This Row],[ha2015.06]]</f>
        <v>1.796368092691622E-2</v>
      </c>
      <c r="DS10" s="15">
        <f>t_Parts[[#This Row],[hp2015.07]]/t_Parts[[#This Row],[ha2015.07]]</f>
        <v>2.008132798573975E-2</v>
      </c>
      <c r="DT10" s="15">
        <f>t_Parts[[#This Row],[hp2015.08]]/t_Parts[[#This Row],[ha2015.08]]</f>
        <v>1.9773635678047442E-2</v>
      </c>
      <c r="DU10" s="15">
        <f>t_Parts[[#This Row],[hp2015.09]]/t_Parts[[#This Row],[ha2015.09]]</f>
        <v>1.796368092691622E-2</v>
      </c>
      <c r="DV10" s="15">
        <f>t_Parts[[#This Row],[hp2015.10]]/t_Parts[[#This Row],[ha2015.10]]</f>
        <v>2.008132798573975E-2</v>
      </c>
      <c r="DW10" s="15">
        <f>t_Parts[[#This Row],[hp2015.11]]/t_Parts[[#This Row],[ha2015.11]]</f>
        <v>1.9773635678047442E-2</v>
      </c>
      <c r="DX10" s="15">
        <f>t_Parts[[#This Row],[hp2015.12]]/t_Parts[[#This Row],[ha2015.12]]</f>
        <v>1.796368092691622E-2</v>
      </c>
      <c r="DY10" s="15">
        <f>t_Parts[[#This Row],[hp2015.FY]]/t_Parts[[#This Row],[ha2015.FY]]</f>
        <v>1.9140151515151516E-2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323373.16176470584</v>
      </c>
      <c r="EQ10" s="68">
        <f>(t_Parts[[#This Row],[ha2015.02]]-t_Parts[[#This Row],[hp2015.02]])*t_Parts[[NetPPH]:[NetPPH]]</f>
        <v>336413.68823529413</v>
      </c>
      <c r="ER10" s="68">
        <f>(t_Parts[[#This Row],[ha2015.03]]-t_Parts[[#This Row],[hp2015.03]])*t_Parts[[NetPPH]:[NetPPH]]</f>
        <v>440737.89999999997</v>
      </c>
      <c r="ES10" s="68">
        <f>(t_Parts[[#This Row],[ha2015.04]]-t_Parts[[#This Row],[hp2015.04]])*t_Parts[[NetPPH]:[NetPPH]]</f>
        <v>323373.16176470584</v>
      </c>
      <c r="ET10" s="68">
        <f>(t_Parts[[#This Row],[ha2015.05]]-t_Parts[[#This Row],[hp2015.05]])*t_Parts[[NetPPH]:[NetPPH]]</f>
        <v>336413.68823529413</v>
      </c>
      <c r="EU10" s="68">
        <f>(t_Parts[[#This Row],[ha2015.06]]-t_Parts[[#This Row],[hp2015.06]])*t_Parts[[NetPPH]:[NetPPH]]</f>
        <v>440737.89999999997</v>
      </c>
      <c r="EV10" s="68">
        <f>(t_Parts[[#This Row],[ha2015.07]]-t_Parts[[#This Row],[hp2015.07]])*t_Parts[[NetPPH]:[NetPPH]]</f>
        <v>323373.16176470584</v>
      </c>
      <c r="EW10" s="68">
        <f>(t_Parts[[#This Row],[ha2015.08]]-t_Parts[[#This Row],[hp2015.08]])*t_Parts[[NetPPH]:[NetPPH]]</f>
        <v>336413.68823529413</v>
      </c>
      <c r="EX10" s="68">
        <f>(t_Parts[[#This Row],[ha2015.09]]-t_Parts[[#This Row],[hp2015.09]])*t_Parts[[NetPPH]:[NetPPH]]</f>
        <v>440737.89999999997</v>
      </c>
      <c r="EY10" s="68">
        <f>(t_Parts[[#This Row],[ha2015.10]]-t_Parts[[#This Row],[hp2015.10]])*t_Parts[[NetPPH]:[NetPPH]]</f>
        <v>323373.16176470584</v>
      </c>
      <c r="EZ10" s="68">
        <f>(t_Parts[[#This Row],[ha2015.11]]-t_Parts[[#This Row],[hp2015.11]])*t_Parts[[NetPPH]:[NetPPH]]</f>
        <v>336413.68823529413</v>
      </c>
      <c r="FA10" s="68">
        <f>(t_Parts[[#This Row],[ha2015.12]]-t_Parts[[#This Row],[hp2015.12]])*t_Parts[[NetPPH]:[NetPPH]]</f>
        <v>440737.89999999997</v>
      </c>
      <c r="FB10" s="68">
        <f>(t_Parts[[#This Row],[ha2015.FY]]-t_Parts[[#This Row],[hp2015.FY]])*t_Parts[[NetPPH]:[NetPPH]]</f>
        <v>4402099</v>
      </c>
      <c r="FC10" s="68">
        <f>(t_Parts[[#This Row],[ha2016.01]]-t_Parts[[#This Row],[hp2016.01]])*t_Parts[[NetPPH]:[NetPPH]]</f>
        <v>330000</v>
      </c>
      <c r="FD10" s="68">
        <f>(t_Parts[[#This Row],[ha2016.02]]-t_Parts[[#This Row],[hp2016.02]])*t_Parts[[NetPPH]:[NetPPH]]</f>
        <v>316800</v>
      </c>
      <c r="FE10" s="68">
        <f>(t_Parts[[#This Row],[ha2016.03]]-t_Parts[[#This Row],[hp2016.03]])*t_Parts[[NetPPH]:[NetPPH]]</f>
        <v>448800</v>
      </c>
      <c r="FF10" s="68">
        <f>(t_Parts[[#This Row],[ha2016.04]]-t_Parts[[#This Row],[hp2016.04]])*t_Parts[[NetPPH]:[NetPPH]]</f>
        <v>330000</v>
      </c>
      <c r="FG10" s="68">
        <f>(t_Parts[[#This Row],[ha2016.05]]-t_Parts[[#This Row],[hp2016.05]])*t_Parts[[NetPPH]:[NetPPH]]</f>
        <v>343200</v>
      </c>
      <c r="FH10" s="68">
        <f>(t_Parts[[#This Row],[ha2016.06]]-t_Parts[[#This Row],[hp2016.06]])*t_Parts[[NetPPH]:[NetPPH]]</f>
        <v>448800</v>
      </c>
      <c r="FI10" s="68">
        <f>(t_Parts[[#This Row],[ha2016.07]]-t_Parts[[#This Row],[hp2016.07]])*t_Parts[[NetPPH]:[NetPPH]]</f>
        <v>330000</v>
      </c>
      <c r="FJ10" s="68">
        <f>(t_Parts[[#This Row],[ha2016.08]]-t_Parts[[#This Row],[hp2016.08]])*t_Parts[[NetPPH]:[NetPPH]]</f>
        <v>343200</v>
      </c>
      <c r="FK10" s="68">
        <f>(t_Parts[[#This Row],[ha2016.09]]-t_Parts[[#This Row],[hp2016.09]])*t_Parts[[NetPPH]:[NetPPH]]</f>
        <v>448800</v>
      </c>
      <c r="FL10" s="68">
        <f>(t_Parts[[#This Row],[ha2016.10]]-t_Parts[[#This Row],[hp2016.10]])*t_Parts[[NetPPH]:[NetPPH]]</f>
        <v>330000</v>
      </c>
      <c r="FM10" s="68">
        <f>(t_Parts[[#This Row],[ha2016.11]]-t_Parts[[#This Row],[hp2016.11]])*t_Parts[[NetPPH]:[NetPPH]]</f>
        <v>290400</v>
      </c>
      <c r="FN10" s="68">
        <f>(t_Parts[[#This Row],[ha2016.12]]-t_Parts[[#This Row],[hp2016.12]])*t_Parts[[NetPPH]:[NetPPH]]</f>
        <v>396000</v>
      </c>
      <c r="FO10" s="68">
        <f>(t_Parts[[#This Row],[ha2016.FY]]-t_Parts[[#This Row],[hp2016.FY]])*t_Parts[[NetPPH]:[NetPPH]]</f>
        <v>4356000</v>
      </c>
      <c r="FP10" s="68">
        <f>(t_Parts[[#This Row],[ha2017]]-t_Parts[[#This Row],[hp2017]])*t_Parts[[NetPPH]:[NetPPH]]</f>
        <v>4356000</v>
      </c>
      <c r="FQ10" s="68">
        <f>(t_Parts[[#This Row],[ha2018]]-t_Parts[[#This Row],[hp2018]])*t_Parts[[NetPPH]:[NetPPH]]</f>
        <v>4356000</v>
      </c>
      <c r="FR10" s="68">
        <f>(t_Parts[[#This Row],[ha2019]]-t_Parts[[#This Row],[hp2019]])*t_Parts[[NetPPH]:[NetPPH]]</f>
        <v>4356000</v>
      </c>
    </row>
    <row r="11" spans="1:174" x14ac:dyDescent="0.25">
      <c r="A11" s="16" t="s">
        <v>169</v>
      </c>
      <c r="B11" s="16">
        <v>21013</v>
      </c>
      <c r="C11">
        <v>1</v>
      </c>
      <c r="D11" s="20">
        <v>3600</v>
      </c>
      <c r="E11" s="25">
        <v>1</v>
      </c>
      <c r="F11" s="26">
        <v>2</v>
      </c>
      <c r="G11" t="s">
        <v>16</v>
      </c>
      <c r="H11" t="s">
        <v>94</v>
      </c>
      <c r="I11" s="20">
        <v>18000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115</v>
      </c>
      <c r="V11" t="str">
        <f>VLOOKUP(t_Parts[[#This Row],[Press]],t_Presses[],Press!B$1,FALSE)</f>
        <v>Plainfield</v>
      </c>
      <c r="W11" t="str">
        <f>VLOOKUP(t_Parts[[#This Row],[Press]],t_Presses[],Press!E$1,FALSE)</f>
        <v>0-299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2</v>
      </c>
      <c r="AC11" s="20">
        <f>(t_Parts[[#This Row],[UnitsPerCycle]]*t_Parts[[#This Row],[CyclesPerHr]])*t_Parts[[#This Row],[UseOEE]]</f>
        <v>1980.0000000000002</v>
      </c>
      <c r="AD11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1323.5294117647059</v>
      </c>
      <c r="AE11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1376.4705882352941</v>
      </c>
      <c r="AF11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1800</v>
      </c>
      <c r="AG11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1323.5294117647059</v>
      </c>
      <c r="AH11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1376.4705882352941</v>
      </c>
      <c r="AI11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1800</v>
      </c>
      <c r="AJ11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1323.5294117647059</v>
      </c>
      <c r="AK11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1376.4705882352941</v>
      </c>
      <c r="AL11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1800</v>
      </c>
      <c r="AM11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1323.5294117647059</v>
      </c>
      <c r="AN11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1376.4705882352941</v>
      </c>
      <c r="AO11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1800</v>
      </c>
      <c r="AP11" s="20">
        <f>SUM(t_Parts[[#This Row],[pv2015.01]:[pv2015.12]])</f>
        <v>18000</v>
      </c>
      <c r="AQ11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1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1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1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1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1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1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1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1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1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1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1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IF(AND(AD$2&gt;=VALUE(t_Parts[[SOP]:[SOP]]),AD$2&lt;=VALUE(t_Parts[[EOP]:[EOP]])), t_Parts[[SetupHrsPerMo]:[SetupHrsPerMo]]+(t_Parts[[#This Row],[pv2015.01]]/t_Parts[[NetPPH]:[NetPPH]]),0)</f>
        <v>2.6684491978609626</v>
      </c>
      <c r="CK11" s="20">
        <f>IF(AND(AE$2&gt;=VALUE(t_Parts[[SOP]:[SOP]]),AE$2&lt;=VALUE(t_Parts[[EOP]:[EOP]])), t_Parts[[SetupHrsPerMo]:[SetupHrsPerMo]]+(t_Parts[[#This Row],[pv2015.02]]/t_Parts[[NetPPH]:[NetPPH]]),0)</f>
        <v>2.6951871657754012</v>
      </c>
      <c r="CL11" s="20">
        <f>IF(AND(AF$2&gt;=VALUE(t_Parts[[SOP]:[SOP]]),AF$2&lt;=VALUE(t_Parts[[EOP]:[EOP]])), t_Parts[[SetupHrsPerMo]:[SetupHrsPerMo]]+(t_Parts[[#This Row],[pv2015.03]]/t_Parts[[NetPPH]:[NetPPH]]),0)</f>
        <v>2.9090909090909092</v>
      </c>
      <c r="CM11" s="20">
        <f>IF(AND(AG$2&gt;=VALUE(t_Parts[[SOP]:[SOP]]),AG$2&lt;=VALUE(t_Parts[[EOP]:[EOP]])), t_Parts[[SetupHrsPerMo]:[SetupHrsPerMo]]+(t_Parts[[#This Row],[pv2015.04]]/t_Parts[[NetPPH]:[NetPPH]]),0)</f>
        <v>2.6684491978609626</v>
      </c>
      <c r="CN11" s="20">
        <f>IF(AND(AH$2&gt;=VALUE(t_Parts[[SOP]:[SOP]]),AH$2&lt;=VALUE(t_Parts[[EOP]:[EOP]])), t_Parts[[SetupHrsPerMo]:[SetupHrsPerMo]]+(t_Parts[[#This Row],[pv2015.05]]/t_Parts[[NetPPH]:[NetPPH]]),0)</f>
        <v>2.6951871657754012</v>
      </c>
      <c r="CO11" s="20">
        <f>IF(AND(AI$2&gt;=VALUE(t_Parts[[SOP]:[SOP]]),AI$2&lt;=VALUE(t_Parts[[EOP]:[EOP]])), t_Parts[[SetupHrsPerMo]:[SetupHrsPerMo]]+(t_Parts[[#This Row],[pv2015.06]]/t_Parts[[NetPPH]:[NetPPH]]),0)</f>
        <v>2.9090909090909092</v>
      </c>
      <c r="CP11" s="20">
        <f>IF(AND(AJ$2&gt;=VALUE(t_Parts[[SOP]:[SOP]]),AJ$2&lt;=VALUE(t_Parts[[EOP]:[EOP]])), t_Parts[[SetupHrsPerMo]:[SetupHrsPerMo]]+(t_Parts[[#This Row],[pv2015.07]]/t_Parts[[NetPPH]:[NetPPH]]),0)</f>
        <v>2.6684491978609626</v>
      </c>
      <c r="CQ11" s="20">
        <f>IF(AND(AK$2&gt;=VALUE(t_Parts[[SOP]:[SOP]]),AK$2&lt;=VALUE(t_Parts[[EOP]:[EOP]])), t_Parts[[SetupHrsPerMo]:[SetupHrsPerMo]]+(t_Parts[[#This Row],[pv2015.08]]/t_Parts[[NetPPH]:[NetPPH]]),0)</f>
        <v>2.6951871657754012</v>
      </c>
      <c r="CR11" s="20">
        <f>IF(AND(AL$2&gt;=VALUE(t_Parts[[SOP]:[SOP]]),AL$2&lt;=VALUE(t_Parts[[EOP]:[EOP]])), t_Parts[[SetupHrsPerMo]:[SetupHrsPerMo]]+(t_Parts[[#This Row],[pv2015.09]]/t_Parts[[NetPPH]:[NetPPH]]),0)</f>
        <v>2.9090909090909092</v>
      </c>
      <c r="CS11" s="20">
        <f>IF(AND(AM$2&gt;=VALUE(t_Parts[[SOP]:[SOP]]),AM$2&lt;=VALUE(t_Parts[[EOP]:[EOP]])), t_Parts[[SetupHrsPerMo]:[SetupHrsPerMo]]+(t_Parts[[#This Row],[pv2015.10]]/t_Parts[[NetPPH]:[NetPPH]]),0)</f>
        <v>2.6684491978609626</v>
      </c>
      <c r="CT11" s="20">
        <f>IF(AND(AN$2&gt;=VALUE(t_Parts[[SOP]:[SOP]]),AN$2&lt;=VALUE(t_Parts[[EOP]:[EOP]])), t_Parts[[SetupHrsPerMo]:[SetupHrsPerMo]]+(t_Parts[[#This Row],[pv2015.11]]/t_Parts[[NetPPH]:[NetPPH]]),0)</f>
        <v>2.6951871657754012</v>
      </c>
      <c r="CU11" s="20">
        <f>IF(AND(AO$2&gt;=VALUE(t_Parts[[SOP]:[SOP]]),AO$2&lt;=VALUE(t_Parts[[EOP]:[EOP]])), t_Parts[[SetupHrsPerMo]:[SetupHrsPerMo]]+(t_Parts[[#This Row],[pv2015.12]]/t_Parts[[NetPPH]:[NetPPH]]),0)</f>
        <v>2.9090909090909092</v>
      </c>
      <c r="CV11" s="20">
        <f>SUM(t_Parts[[#This Row],[hp2015.01]:[hp2015.12]])</f>
        <v>33.090909090909093</v>
      </c>
      <c r="CW11" s="20">
        <f>IF(AND(AQ$2&gt;=VALUE(t_Parts[[SOP]:[SOP]]),AQ$2&lt;=VALUE(t_Parts[[EOP]:[EOP]])), t_Parts[[SetupHrsPerMo]:[SetupHrsPerMo]]+(t_Parts[[#This Row],[pv2016.01]]/t_Parts[[NetPPH]:[NetPPH]]),0)</f>
        <v>0</v>
      </c>
      <c r="CX11" s="20">
        <f>IF(AND(AR$2&gt;=VALUE(t_Parts[[SOP]:[SOP]]),AR$2&lt;=VALUE(t_Parts[[EOP]:[EOP]])), t_Parts[[SetupHrsPerMo]:[SetupHrsPerMo]]+(t_Parts[[#This Row],[pv2016.02]]/t_Parts[[NetPPH]:[NetPPH]]),0)</f>
        <v>0</v>
      </c>
      <c r="CY11" s="20">
        <f>IF(AND(AS$2&gt;=VALUE(t_Parts[[SOP]:[SOP]]),AS$2&lt;=VALUE(t_Parts[[EOP]:[EOP]])), t_Parts[[SetupHrsPerMo]:[SetupHrsPerMo]]+(t_Parts[[#This Row],[pv2016.03]]/t_Parts[[NetPPH]:[NetPPH]]),0)</f>
        <v>0</v>
      </c>
      <c r="CZ11" s="20">
        <f>IF(AND(AT$2&gt;=VALUE(t_Parts[[SOP]:[SOP]]),AT$2&lt;=VALUE(t_Parts[[EOP]:[EOP]])), t_Parts[[SetupHrsPerMo]:[SetupHrsPerMo]]+(t_Parts[[#This Row],[pv2016.04]]/t_Parts[[NetPPH]:[NetPPH]]),0)</f>
        <v>0</v>
      </c>
      <c r="DA11" s="20">
        <f>IF(AND(AU$2&gt;=VALUE(t_Parts[[SOP]:[SOP]]),AU$2&lt;=VALUE(t_Parts[[EOP]:[EOP]])), t_Parts[[SetupHrsPerMo]:[SetupHrsPerMo]]+(t_Parts[[#This Row],[pv2016.05]]/t_Parts[[NetPPH]:[NetPPH]]),0)</f>
        <v>0</v>
      </c>
      <c r="DB11" s="20">
        <f>IF(AND(AV$2&gt;=VALUE(t_Parts[[SOP]:[SOP]]),AV$2&lt;=VALUE(t_Parts[[EOP]:[EOP]])), t_Parts[[SetupHrsPerMo]:[SetupHrsPerMo]]+(t_Parts[[#This Row],[pv2016.06]]/t_Parts[[NetPPH]:[NetPPH]]),0)</f>
        <v>0</v>
      </c>
      <c r="DC11" s="20">
        <f>IF(AND(AW$2&gt;=VALUE(t_Parts[[SOP]:[SOP]]),AW$2&lt;=VALUE(t_Parts[[EOP]:[EOP]])), t_Parts[[SetupHrsPerMo]:[SetupHrsPerMo]]+(t_Parts[[#This Row],[pv2016.07]]/t_Parts[[NetPPH]:[NetPPH]]),0)</f>
        <v>0</v>
      </c>
      <c r="DD11" s="20">
        <f>IF(AND(AX$2&gt;=VALUE(t_Parts[[SOP]:[SOP]]),AX$2&lt;=VALUE(t_Parts[[EOP]:[EOP]])), t_Parts[[SetupHrsPerMo]:[SetupHrsPerMo]]+(t_Parts[[#This Row],[pv2016.08]]/t_Parts[[NetPPH]:[NetPPH]]),0)</f>
        <v>0</v>
      </c>
      <c r="DE11" s="20">
        <f>IF(AND(AY$2&gt;=VALUE(t_Parts[[SOP]:[SOP]]),AY$2&lt;=VALUE(t_Parts[[EOP]:[EOP]])), t_Parts[[SetupHrsPerMo]:[SetupHrsPerMo]]+(t_Parts[[#This Row],[pv2016.09]]/t_Parts[[NetPPH]:[NetPPH]]),0)</f>
        <v>0</v>
      </c>
      <c r="DF11" s="20">
        <f>IF(AND(AZ$2&gt;=VALUE(t_Parts[[SOP]:[SOP]]),AZ$2&lt;=VALUE(t_Parts[[EOP]:[EOP]])), t_Parts[[SetupHrsPerMo]:[SetupHrsPerMo]]+(t_Parts[[#This Row],[pv2016.10]]/t_Parts[[NetPPH]:[NetPPH]]),0)</f>
        <v>0</v>
      </c>
      <c r="DG11" s="20">
        <f>IF(AND(BA$2&gt;=VALUE(t_Parts[[SOP]:[SOP]]),BA$2&lt;=VALUE(t_Parts[[EOP]:[EOP]])), t_Parts[[SetupHrsPerMo]:[SetupHrsPerMo]]+(t_Parts[[#This Row],[pv2016.11]]/t_Parts[[NetPPH]:[NetPPH]]),0)</f>
        <v>0</v>
      </c>
      <c r="DH11" s="20">
        <f>IF(AND(BB$2&gt;=VALUE(t_Parts[[SOP]:[SOP]]),BB$2&lt;=VALUE(t_Parts[[EOP]:[EOP]])),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IF(AND(BD$2&gt;=VALUE(t_Parts[[SOP]:[SOP]]),BD$2&lt;=VALUE(t_Parts[[EOP]:[EOP]])), 12*t_Parts[[SetupHrsPerMo]:[SetupHrsPerMo]]+(t_Parts[[#This Row],[pv2017]]/t_Parts[[NetPPH]:[NetPPH]]),0)</f>
        <v>0</v>
      </c>
      <c r="DK11" s="20">
        <f>IF(AND(BE$2&gt;=VALUE(t_Parts[[SOP]:[SOP]]),BE$2&lt;=VALUE(t_Parts[[EOP]:[EOP]])), 12*t_Parts[[SetupHrsPerMo]:[SetupHrsPerMo]]+(t_Parts[[#This Row],[pv2018]]/t_Parts[[NetPPH]:[NetPPH]]),0)</f>
        <v>0</v>
      </c>
      <c r="DL11" s="20">
        <f>IF(AND(BF$2&gt;=VALUE(t_Parts[[SOP]:[SOP]]),BF$2&lt;=VALUE(t_Parts[[EOP]:[EOP]])),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1.0673796791443851E-2</v>
      </c>
      <c r="DN11" s="15">
        <f>t_Parts[[#This Row],[hp2015.02]]/t_Parts[[#This Row],[ha2015.02]]</f>
        <v>1.0366104483751543E-2</v>
      </c>
      <c r="DO11" s="15">
        <f>t_Parts[[#This Row],[hp2015.03]]/t_Parts[[#This Row],[ha2015.03]]</f>
        <v>8.5561497326203211E-3</v>
      </c>
      <c r="DP11" s="15">
        <f>t_Parts[[#This Row],[hp2015.04]]/t_Parts[[#This Row],[ha2015.04]]</f>
        <v>1.0673796791443851E-2</v>
      </c>
      <c r="DQ11" s="15">
        <f>t_Parts[[#This Row],[hp2015.05]]/t_Parts[[#This Row],[ha2015.05]]</f>
        <v>1.0366104483751543E-2</v>
      </c>
      <c r="DR11" s="15">
        <f>t_Parts[[#This Row],[hp2015.06]]/t_Parts[[#This Row],[ha2015.06]]</f>
        <v>8.5561497326203211E-3</v>
      </c>
      <c r="DS11" s="15">
        <f>t_Parts[[#This Row],[hp2015.07]]/t_Parts[[#This Row],[ha2015.07]]</f>
        <v>1.0673796791443851E-2</v>
      </c>
      <c r="DT11" s="15">
        <f>t_Parts[[#This Row],[hp2015.08]]/t_Parts[[#This Row],[ha2015.08]]</f>
        <v>1.0366104483751543E-2</v>
      </c>
      <c r="DU11" s="15">
        <f>t_Parts[[#This Row],[hp2015.09]]/t_Parts[[#This Row],[ha2015.09]]</f>
        <v>8.5561497326203211E-3</v>
      </c>
      <c r="DV11" s="15">
        <f>t_Parts[[#This Row],[hp2015.10]]/t_Parts[[#This Row],[ha2015.10]]</f>
        <v>1.0673796791443851E-2</v>
      </c>
      <c r="DW11" s="15">
        <f>t_Parts[[#This Row],[hp2015.11]]/t_Parts[[#This Row],[ha2015.11]]</f>
        <v>1.0366104483751543E-2</v>
      </c>
      <c r="DX11" s="15">
        <f>t_Parts[[#This Row],[hp2015.12]]/t_Parts[[#This Row],[ha2015.12]]</f>
        <v>8.5561497326203211E-3</v>
      </c>
      <c r="DY11" s="15">
        <f>t_Parts[[#This Row],[hp2015.FY]]/t_Parts[[#This Row],[ha2015.FY]]</f>
        <v>9.7326203208556155E-3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489716.47058823536</v>
      </c>
      <c r="EQ11" s="68">
        <f>(t_Parts[[#This Row],[ha2015.02]]-t_Parts[[#This Row],[hp2015.02]])*t_Parts[[NetPPH]:[NetPPH]]</f>
        <v>509463.52941176476</v>
      </c>
      <c r="ER11" s="68">
        <f>(t_Parts[[#This Row],[ha2015.03]]-t_Parts[[#This Row],[hp2015.03]])*t_Parts[[NetPPH]:[NetPPH]]</f>
        <v>667440</v>
      </c>
      <c r="ES11" s="68">
        <f>(t_Parts[[#This Row],[ha2015.04]]-t_Parts[[#This Row],[hp2015.04]])*t_Parts[[NetPPH]:[NetPPH]]</f>
        <v>489716.47058823536</v>
      </c>
      <c r="ET11" s="68">
        <f>(t_Parts[[#This Row],[ha2015.05]]-t_Parts[[#This Row],[hp2015.05]])*t_Parts[[NetPPH]:[NetPPH]]</f>
        <v>509463.52941176476</v>
      </c>
      <c r="EU11" s="68">
        <f>(t_Parts[[#This Row],[ha2015.06]]-t_Parts[[#This Row],[hp2015.06]])*t_Parts[[NetPPH]:[NetPPH]]</f>
        <v>667440</v>
      </c>
      <c r="EV11" s="68">
        <f>(t_Parts[[#This Row],[ha2015.07]]-t_Parts[[#This Row],[hp2015.07]])*t_Parts[[NetPPH]:[NetPPH]]</f>
        <v>489716.47058823536</v>
      </c>
      <c r="EW11" s="68">
        <f>(t_Parts[[#This Row],[ha2015.08]]-t_Parts[[#This Row],[hp2015.08]])*t_Parts[[NetPPH]:[NetPPH]]</f>
        <v>509463.52941176476</v>
      </c>
      <c r="EX11" s="68">
        <f>(t_Parts[[#This Row],[ha2015.09]]-t_Parts[[#This Row],[hp2015.09]])*t_Parts[[NetPPH]:[NetPPH]]</f>
        <v>667440</v>
      </c>
      <c r="EY11" s="68">
        <f>(t_Parts[[#This Row],[ha2015.10]]-t_Parts[[#This Row],[hp2015.10]])*t_Parts[[NetPPH]:[NetPPH]]</f>
        <v>489716.47058823536</v>
      </c>
      <c r="EZ11" s="68">
        <f>(t_Parts[[#This Row],[ha2015.11]]-t_Parts[[#This Row],[hp2015.11]])*t_Parts[[NetPPH]:[NetPPH]]</f>
        <v>509463.52941176476</v>
      </c>
      <c r="FA11" s="68">
        <f>(t_Parts[[#This Row],[ha2015.12]]-t_Parts[[#This Row],[hp2015.12]])*t_Parts[[NetPPH]:[NetPPH]]</f>
        <v>667440</v>
      </c>
      <c r="FB11" s="68">
        <f>(t_Parts[[#This Row],[ha2015.FY]]-t_Parts[[#This Row],[hp2015.FY]])*t_Parts[[NetPPH]:[NetPPH]]</f>
        <v>6666480.0000000009</v>
      </c>
      <c r="FC11" s="68">
        <f>(t_Parts[[#This Row],[ha2016.01]]-t_Parts[[#This Row],[hp2016.01]])*t_Parts[[NetPPH]:[NetPPH]]</f>
        <v>495000.00000000006</v>
      </c>
      <c r="FD11" s="68">
        <f>(t_Parts[[#This Row],[ha2016.02]]-t_Parts[[#This Row],[hp2016.02]])*t_Parts[[NetPPH]:[NetPPH]]</f>
        <v>475200.00000000006</v>
      </c>
      <c r="FE11" s="68">
        <f>(t_Parts[[#This Row],[ha2016.03]]-t_Parts[[#This Row],[hp2016.03]])*t_Parts[[NetPPH]:[NetPPH]]</f>
        <v>673200.00000000012</v>
      </c>
      <c r="FF11" s="68">
        <f>(t_Parts[[#This Row],[ha2016.04]]-t_Parts[[#This Row],[hp2016.04]])*t_Parts[[NetPPH]:[NetPPH]]</f>
        <v>495000.00000000006</v>
      </c>
      <c r="FG11" s="68">
        <f>(t_Parts[[#This Row],[ha2016.05]]-t_Parts[[#This Row],[hp2016.05]])*t_Parts[[NetPPH]:[NetPPH]]</f>
        <v>514800.00000000006</v>
      </c>
      <c r="FH11" s="68">
        <f>(t_Parts[[#This Row],[ha2016.06]]-t_Parts[[#This Row],[hp2016.06]])*t_Parts[[NetPPH]:[NetPPH]]</f>
        <v>673200.00000000012</v>
      </c>
      <c r="FI11" s="68">
        <f>(t_Parts[[#This Row],[ha2016.07]]-t_Parts[[#This Row],[hp2016.07]])*t_Parts[[NetPPH]:[NetPPH]]</f>
        <v>495000.00000000006</v>
      </c>
      <c r="FJ11" s="68">
        <f>(t_Parts[[#This Row],[ha2016.08]]-t_Parts[[#This Row],[hp2016.08]])*t_Parts[[NetPPH]:[NetPPH]]</f>
        <v>514800.00000000006</v>
      </c>
      <c r="FK11" s="68">
        <f>(t_Parts[[#This Row],[ha2016.09]]-t_Parts[[#This Row],[hp2016.09]])*t_Parts[[NetPPH]:[NetPPH]]</f>
        <v>673200.00000000012</v>
      </c>
      <c r="FL11" s="68">
        <f>(t_Parts[[#This Row],[ha2016.10]]-t_Parts[[#This Row],[hp2016.10]])*t_Parts[[NetPPH]:[NetPPH]]</f>
        <v>495000.00000000006</v>
      </c>
      <c r="FM11" s="68">
        <f>(t_Parts[[#This Row],[ha2016.11]]-t_Parts[[#This Row],[hp2016.11]])*t_Parts[[NetPPH]:[NetPPH]]</f>
        <v>435600.00000000006</v>
      </c>
      <c r="FN11" s="68">
        <f>(t_Parts[[#This Row],[ha2016.12]]-t_Parts[[#This Row],[hp2016.12]])*t_Parts[[NetPPH]:[NetPPH]]</f>
        <v>594000.00000000012</v>
      </c>
      <c r="FO11" s="68">
        <f>(t_Parts[[#This Row],[ha2016.FY]]-t_Parts[[#This Row],[hp2016.FY]])*t_Parts[[NetPPH]:[NetPPH]]</f>
        <v>6534000.0000000009</v>
      </c>
      <c r="FP11" s="68">
        <f>(t_Parts[[#This Row],[ha2017]]-t_Parts[[#This Row],[hp2017]])*t_Parts[[NetPPH]:[NetPPH]]</f>
        <v>6534000.0000000009</v>
      </c>
      <c r="FQ11" s="68">
        <f>(t_Parts[[#This Row],[ha2018]]-t_Parts[[#This Row],[hp2018]])*t_Parts[[NetPPH]:[NetPPH]]</f>
        <v>6534000.0000000009</v>
      </c>
      <c r="FR11" s="68">
        <f>(t_Parts[[#This Row],[ha2019]]-t_Parts[[#This Row],[hp2019]])*t_Parts[[NetPPH]:[NetPPH]]</f>
        <v>6534000.0000000009</v>
      </c>
    </row>
    <row r="12" spans="1:174" x14ac:dyDescent="0.25">
      <c r="A12" s="16" t="s">
        <v>171</v>
      </c>
      <c r="B12" s="16">
        <v>21013</v>
      </c>
      <c r="C12">
        <v>1</v>
      </c>
      <c r="D12" s="20">
        <v>4200</v>
      </c>
      <c r="E12" s="25">
        <v>1</v>
      </c>
      <c r="F12" s="26">
        <v>4</v>
      </c>
      <c r="G12" t="s">
        <v>16</v>
      </c>
      <c r="H12" t="s">
        <v>94</v>
      </c>
      <c r="I12" s="20">
        <v>249166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U12" t="s">
        <v>117</v>
      </c>
      <c r="V12" t="str">
        <f>VLOOKUP(t_Parts[[#This Row],[Press]],t_Presses[],Press!B$1,FALSE)</f>
        <v>Plainfield</v>
      </c>
      <c r="W12" t="str">
        <f>VLOOKUP(t_Parts[[#This Row],[Press]],t_Presses[],Press!E$1,FALSE)</f>
        <v>0-299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4</v>
      </c>
      <c r="AC12" s="20">
        <f>(t_Parts[[#This Row],[UnitsPerCycle]]*t_Parts[[#This Row],[CyclesPerHr]])*t_Parts[[#This Row],[UseOEE]]</f>
        <v>2310</v>
      </c>
      <c r="AD12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18321.029411764706</v>
      </c>
      <c r="AE12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19053.870588235295</v>
      </c>
      <c r="AF12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24916.600000000002</v>
      </c>
      <c r="AG12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18321.029411764706</v>
      </c>
      <c r="AH12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19053.870588235295</v>
      </c>
      <c r="AI12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24916.600000000002</v>
      </c>
      <c r="AJ12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18321.029411764706</v>
      </c>
      <c r="AK12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19053.870588235295</v>
      </c>
      <c r="AL12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24916.600000000002</v>
      </c>
      <c r="AM12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18321.029411764706</v>
      </c>
      <c r="AN12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19053.870588235295</v>
      </c>
      <c r="AO12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24916.600000000002</v>
      </c>
      <c r="AP12" s="20">
        <f>SUM(t_Parts[[#This Row],[pv2015.01]:[pv2015.12]])</f>
        <v>249166</v>
      </c>
      <c r="AQ12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2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2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2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2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2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2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2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2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2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2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2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IF(AND(AD$2&gt;=VALUE(t_Parts[[SOP]:[SOP]]),AD$2&lt;=VALUE(t_Parts[[EOP]:[EOP]])), t_Parts[[SetupHrsPerMo]:[SetupHrsPerMo]]+(t_Parts[[#This Row],[pv2015.01]]/t_Parts[[NetPPH]:[NetPPH]]),0)</f>
        <v>11.931181563534505</v>
      </c>
      <c r="CK12" s="20">
        <f>IF(AND(AE$2&gt;=VALUE(t_Parts[[SOP]:[SOP]]),AE$2&lt;=VALUE(t_Parts[[EOP]:[EOP]])), t_Parts[[SetupHrsPerMo]:[SetupHrsPerMo]]+(t_Parts[[#This Row],[pv2015.02]]/t_Parts[[NetPPH]:[NetPPH]]),0)</f>
        <v>12.248428826075886</v>
      </c>
      <c r="CL12" s="20">
        <f>IF(AND(AF$2&gt;=VALUE(t_Parts[[SOP]:[SOP]]),AF$2&lt;=VALUE(t_Parts[[EOP]:[EOP]])), t_Parts[[SetupHrsPerMo]:[SetupHrsPerMo]]+(t_Parts[[#This Row],[pv2015.03]]/t_Parts[[NetPPH]:[NetPPH]]),0)</f>
        <v>14.786406926406928</v>
      </c>
      <c r="CM12" s="20">
        <f>IF(AND(AG$2&gt;=VALUE(t_Parts[[SOP]:[SOP]]),AG$2&lt;=VALUE(t_Parts[[EOP]:[EOP]])), t_Parts[[SetupHrsPerMo]:[SetupHrsPerMo]]+(t_Parts[[#This Row],[pv2015.04]]/t_Parts[[NetPPH]:[NetPPH]]),0)</f>
        <v>11.931181563534505</v>
      </c>
      <c r="CN12" s="20">
        <f>IF(AND(AH$2&gt;=VALUE(t_Parts[[SOP]:[SOP]]),AH$2&lt;=VALUE(t_Parts[[EOP]:[EOP]])), t_Parts[[SetupHrsPerMo]:[SetupHrsPerMo]]+(t_Parts[[#This Row],[pv2015.05]]/t_Parts[[NetPPH]:[NetPPH]]),0)</f>
        <v>12.248428826075886</v>
      </c>
      <c r="CO12" s="20">
        <f>IF(AND(AI$2&gt;=VALUE(t_Parts[[SOP]:[SOP]]),AI$2&lt;=VALUE(t_Parts[[EOP]:[EOP]])), t_Parts[[SetupHrsPerMo]:[SetupHrsPerMo]]+(t_Parts[[#This Row],[pv2015.06]]/t_Parts[[NetPPH]:[NetPPH]]),0)</f>
        <v>14.786406926406928</v>
      </c>
      <c r="CP12" s="20">
        <f>IF(AND(AJ$2&gt;=VALUE(t_Parts[[SOP]:[SOP]]),AJ$2&lt;=VALUE(t_Parts[[EOP]:[EOP]])), t_Parts[[SetupHrsPerMo]:[SetupHrsPerMo]]+(t_Parts[[#This Row],[pv2015.07]]/t_Parts[[NetPPH]:[NetPPH]]),0)</f>
        <v>11.931181563534505</v>
      </c>
      <c r="CQ12" s="20">
        <f>IF(AND(AK$2&gt;=VALUE(t_Parts[[SOP]:[SOP]]),AK$2&lt;=VALUE(t_Parts[[EOP]:[EOP]])), t_Parts[[SetupHrsPerMo]:[SetupHrsPerMo]]+(t_Parts[[#This Row],[pv2015.08]]/t_Parts[[NetPPH]:[NetPPH]]),0)</f>
        <v>12.248428826075886</v>
      </c>
      <c r="CR12" s="20">
        <f>IF(AND(AL$2&gt;=VALUE(t_Parts[[SOP]:[SOP]]),AL$2&lt;=VALUE(t_Parts[[EOP]:[EOP]])), t_Parts[[SetupHrsPerMo]:[SetupHrsPerMo]]+(t_Parts[[#This Row],[pv2015.09]]/t_Parts[[NetPPH]:[NetPPH]]),0)</f>
        <v>14.786406926406928</v>
      </c>
      <c r="CS12" s="20">
        <f>IF(AND(AM$2&gt;=VALUE(t_Parts[[SOP]:[SOP]]),AM$2&lt;=VALUE(t_Parts[[EOP]:[EOP]])), t_Parts[[SetupHrsPerMo]:[SetupHrsPerMo]]+(t_Parts[[#This Row],[pv2015.10]]/t_Parts[[NetPPH]:[NetPPH]]),0)</f>
        <v>11.931181563534505</v>
      </c>
      <c r="CT12" s="20">
        <f>IF(AND(AN$2&gt;=VALUE(t_Parts[[SOP]:[SOP]]),AN$2&lt;=VALUE(t_Parts[[EOP]:[EOP]])), t_Parts[[SetupHrsPerMo]:[SetupHrsPerMo]]+(t_Parts[[#This Row],[pv2015.11]]/t_Parts[[NetPPH]:[NetPPH]]),0)</f>
        <v>12.248428826075886</v>
      </c>
      <c r="CU12" s="20">
        <f>IF(AND(AO$2&gt;=VALUE(t_Parts[[SOP]:[SOP]]),AO$2&lt;=VALUE(t_Parts[[EOP]:[EOP]])), t_Parts[[SetupHrsPerMo]:[SetupHrsPerMo]]+(t_Parts[[#This Row],[pv2015.12]]/t_Parts[[NetPPH]:[NetPPH]]),0)</f>
        <v>14.786406926406928</v>
      </c>
      <c r="CV12" s="20">
        <f>SUM(t_Parts[[#This Row],[hp2015.01]:[hp2015.12]])</f>
        <v>155.86406926406929</v>
      </c>
      <c r="CW12" s="20">
        <f>IF(AND(AQ$2&gt;=VALUE(t_Parts[[SOP]:[SOP]]),AQ$2&lt;=VALUE(t_Parts[[EOP]:[EOP]])), t_Parts[[SetupHrsPerMo]:[SetupHrsPerMo]]+(t_Parts[[#This Row],[pv2016.01]]/t_Parts[[NetPPH]:[NetPPH]]),0)</f>
        <v>0</v>
      </c>
      <c r="CX12" s="20">
        <f>IF(AND(AR$2&gt;=VALUE(t_Parts[[SOP]:[SOP]]),AR$2&lt;=VALUE(t_Parts[[EOP]:[EOP]])), t_Parts[[SetupHrsPerMo]:[SetupHrsPerMo]]+(t_Parts[[#This Row],[pv2016.02]]/t_Parts[[NetPPH]:[NetPPH]]),0)</f>
        <v>0</v>
      </c>
      <c r="CY12" s="20">
        <f>IF(AND(AS$2&gt;=VALUE(t_Parts[[SOP]:[SOP]]),AS$2&lt;=VALUE(t_Parts[[EOP]:[EOP]])), t_Parts[[SetupHrsPerMo]:[SetupHrsPerMo]]+(t_Parts[[#This Row],[pv2016.03]]/t_Parts[[NetPPH]:[NetPPH]]),0)</f>
        <v>0</v>
      </c>
      <c r="CZ12" s="20">
        <f>IF(AND(AT$2&gt;=VALUE(t_Parts[[SOP]:[SOP]]),AT$2&lt;=VALUE(t_Parts[[EOP]:[EOP]])), t_Parts[[SetupHrsPerMo]:[SetupHrsPerMo]]+(t_Parts[[#This Row],[pv2016.04]]/t_Parts[[NetPPH]:[NetPPH]]),0)</f>
        <v>0</v>
      </c>
      <c r="DA12" s="20">
        <f>IF(AND(AU$2&gt;=VALUE(t_Parts[[SOP]:[SOP]]),AU$2&lt;=VALUE(t_Parts[[EOP]:[EOP]])), t_Parts[[SetupHrsPerMo]:[SetupHrsPerMo]]+(t_Parts[[#This Row],[pv2016.05]]/t_Parts[[NetPPH]:[NetPPH]]),0)</f>
        <v>0</v>
      </c>
      <c r="DB12" s="20">
        <f>IF(AND(AV$2&gt;=VALUE(t_Parts[[SOP]:[SOP]]),AV$2&lt;=VALUE(t_Parts[[EOP]:[EOP]])), t_Parts[[SetupHrsPerMo]:[SetupHrsPerMo]]+(t_Parts[[#This Row],[pv2016.06]]/t_Parts[[NetPPH]:[NetPPH]]),0)</f>
        <v>0</v>
      </c>
      <c r="DC12" s="20">
        <f>IF(AND(AW$2&gt;=VALUE(t_Parts[[SOP]:[SOP]]),AW$2&lt;=VALUE(t_Parts[[EOP]:[EOP]])), t_Parts[[SetupHrsPerMo]:[SetupHrsPerMo]]+(t_Parts[[#This Row],[pv2016.07]]/t_Parts[[NetPPH]:[NetPPH]]),0)</f>
        <v>0</v>
      </c>
      <c r="DD12" s="20">
        <f>IF(AND(AX$2&gt;=VALUE(t_Parts[[SOP]:[SOP]]),AX$2&lt;=VALUE(t_Parts[[EOP]:[EOP]])), t_Parts[[SetupHrsPerMo]:[SetupHrsPerMo]]+(t_Parts[[#This Row],[pv2016.08]]/t_Parts[[NetPPH]:[NetPPH]]),0)</f>
        <v>0</v>
      </c>
      <c r="DE12" s="20">
        <f>IF(AND(AY$2&gt;=VALUE(t_Parts[[SOP]:[SOP]]),AY$2&lt;=VALUE(t_Parts[[EOP]:[EOP]])), t_Parts[[SetupHrsPerMo]:[SetupHrsPerMo]]+(t_Parts[[#This Row],[pv2016.09]]/t_Parts[[NetPPH]:[NetPPH]]),0)</f>
        <v>0</v>
      </c>
      <c r="DF12" s="20">
        <f>IF(AND(AZ$2&gt;=VALUE(t_Parts[[SOP]:[SOP]]),AZ$2&lt;=VALUE(t_Parts[[EOP]:[EOP]])), t_Parts[[SetupHrsPerMo]:[SetupHrsPerMo]]+(t_Parts[[#This Row],[pv2016.10]]/t_Parts[[NetPPH]:[NetPPH]]),0)</f>
        <v>0</v>
      </c>
      <c r="DG12" s="20">
        <f>IF(AND(BA$2&gt;=VALUE(t_Parts[[SOP]:[SOP]]),BA$2&lt;=VALUE(t_Parts[[EOP]:[EOP]])), t_Parts[[SetupHrsPerMo]:[SetupHrsPerMo]]+(t_Parts[[#This Row],[pv2016.11]]/t_Parts[[NetPPH]:[NetPPH]]),0)</f>
        <v>0</v>
      </c>
      <c r="DH12" s="20">
        <f>IF(AND(BB$2&gt;=VALUE(t_Parts[[SOP]:[SOP]]),BB$2&lt;=VALUE(t_Parts[[EOP]:[EOP]])),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IF(AND(BD$2&gt;=VALUE(t_Parts[[SOP]:[SOP]]),BD$2&lt;=VALUE(t_Parts[[EOP]:[EOP]])), 12*t_Parts[[SetupHrsPerMo]:[SetupHrsPerMo]]+(t_Parts[[#This Row],[pv2017]]/t_Parts[[NetPPH]:[NetPPH]]),0)</f>
        <v>0</v>
      </c>
      <c r="DK12" s="20">
        <f>IF(AND(BE$2&gt;=VALUE(t_Parts[[SOP]:[SOP]]),BE$2&lt;=VALUE(t_Parts[[EOP]:[EOP]])), 12*t_Parts[[SetupHrsPerMo]:[SetupHrsPerMo]]+(t_Parts[[#This Row],[pv2018]]/t_Parts[[NetPPH]:[NetPPH]]),0)</f>
        <v>0</v>
      </c>
      <c r="DL12" s="20">
        <f>IF(AND(BF$2&gt;=VALUE(t_Parts[[SOP]:[SOP]]),BF$2&lt;=VALUE(t_Parts[[EOP]:[EOP]])),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4.7724726254138018E-2</v>
      </c>
      <c r="DN12" s="15">
        <f>t_Parts[[#This Row],[hp2015.02]]/t_Parts[[#This Row],[ha2015.02]]</f>
        <v>4.7109341638753403E-2</v>
      </c>
      <c r="DO12" s="15">
        <f>t_Parts[[#This Row],[hp2015.03]]/t_Parts[[#This Row],[ha2015.03]]</f>
        <v>4.3489432136490966E-2</v>
      </c>
      <c r="DP12" s="15">
        <f>t_Parts[[#This Row],[hp2015.04]]/t_Parts[[#This Row],[ha2015.04]]</f>
        <v>4.7724726254138018E-2</v>
      </c>
      <c r="DQ12" s="15">
        <f>t_Parts[[#This Row],[hp2015.05]]/t_Parts[[#This Row],[ha2015.05]]</f>
        <v>4.7109341638753403E-2</v>
      </c>
      <c r="DR12" s="15">
        <f>t_Parts[[#This Row],[hp2015.06]]/t_Parts[[#This Row],[ha2015.06]]</f>
        <v>4.3489432136490966E-2</v>
      </c>
      <c r="DS12" s="15">
        <f>t_Parts[[#This Row],[hp2015.07]]/t_Parts[[#This Row],[ha2015.07]]</f>
        <v>4.7724726254138018E-2</v>
      </c>
      <c r="DT12" s="15">
        <f>t_Parts[[#This Row],[hp2015.08]]/t_Parts[[#This Row],[ha2015.08]]</f>
        <v>4.7109341638753403E-2</v>
      </c>
      <c r="DU12" s="15">
        <f>t_Parts[[#This Row],[hp2015.09]]/t_Parts[[#This Row],[ha2015.09]]</f>
        <v>4.3489432136490966E-2</v>
      </c>
      <c r="DV12" s="15">
        <f>t_Parts[[#This Row],[hp2015.10]]/t_Parts[[#This Row],[ha2015.10]]</f>
        <v>4.7724726254138018E-2</v>
      </c>
      <c r="DW12" s="15">
        <f>t_Parts[[#This Row],[hp2015.11]]/t_Parts[[#This Row],[ha2015.11]]</f>
        <v>4.7109341638753403E-2</v>
      </c>
      <c r="DX12" s="15">
        <f>t_Parts[[#This Row],[hp2015.12]]/t_Parts[[#This Row],[ha2015.12]]</f>
        <v>4.3489432136490966E-2</v>
      </c>
      <c r="DY12" s="15">
        <f>t_Parts[[#This Row],[hp2015.FY]]/t_Parts[[#This Row],[ha2015.FY]]</f>
        <v>4.5842373312961558E-2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549938.9705882353</v>
      </c>
      <c r="EQ12" s="68">
        <f>(t_Parts[[#This Row],[ha2015.02]]-t_Parts[[#This Row],[hp2015.02]])*t_Parts[[NetPPH]:[NetPPH]]</f>
        <v>572306.12941176468</v>
      </c>
      <c r="ER12" s="68">
        <f>(t_Parts[[#This Row],[ha2015.03]]-t_Parts[[#This Row],[hp2015.03]])*t_Parts[[NetPPH]:[NetPPH]]</f>
        <v>751243.4</v>
      </c>
      <c r="ES12" s="68">
        <f>(t_Parts[[#This Row],[ha2015.04]]-t_Parts[[#This Row],[hp2015.04]])*t_Parts[[NetPPH]:[NetPPH]]</f>
        <v>549938.9705882353</v>
      </c>
      <c r="ET12" s="68">
        <f>(t_Parts[[#This Row],[ha2015.05]]-t_Parts[[#This Row],[hp2015.05]])*t_Parts[[NetPPH]:[NetPPH]]</f>
        <v>572306.12941176468</v>
      </c>
      <c r="EU12" s="68">
        <f>(t_Parts[[#This Row],[ha2015.06]]-t_Parts[[#This Row],[hp2015.06]])*t_Parts[[NetPPH]:[NetPPH]]</f>
        <v>751243.4</v>
      </c>
      <c r="EV12" s="68">
        <f>(t_Parts[[#This Row],[ha2015.07]]-t_Parts[[#This Row],[hp2015.07]])*t_Parts[[NetPPH]:[NetPPH]]</f>
        <v>549938.9705882353</v>
      </c>
      <c r="EW12" s="68">
        <f>(t_Parts[[#This Row],[ha2015.08]]-t_Parts[[#This Row],[hp2015.08]])*t_Parts[[NetPPH]:[NetPPH]]</f>
        <v>572306.12941176468</v>
      </c>
      <c r="EX12" s="68">
        <f>(t_Parts[[#This Row],[ha2015.09]]-t_Parts[[#This Row],[hp2015.09]])*t_Parts[[NetPPH]:[NetPPH]]</f>
        <v>751243.4</v>
      </c>
      <c r="EY12" s="68">
        <f>(t_Parts[[#This Row],[ha2015.10]]-t_Parts[[#This Row],[hp2015.10]])*t_Parts[[NetPPH]:[NetPPH]]</f>
        <v>549938.9705882353</v>
      </c>
      <c r="EZ12" s="68">
        <f>(t_Parts[[#This Row],[ha2015.11]]-t_Parts[[#This Row],[hp2015.11]])*t_Parts[[NetPPH]:[NetPPH]]</f>
        <v>572306.12941176468</v>
      </c>
      <c r="FA12" s="68">
        <f>(t_Parts[[#This Row],[ha2015.12]]-t_Parts[[#This Row],[hp2015.12]])*t_Parts[[NetPPH]:[NetPPH]]</f>
        <v>751243.4</v>
      </c>
      <c r="FB12" s="68">
        <f>(t_Parts[[#This Row],[ha2015.FY]]-t_Parts[[#This Row],[hp2015.FY]])*t_Parts[[NetPPH]:[NetPPH]]</f>
        <v>7493954</v>
      </c>
      <c r="FC12" s="68">
        <f>(t_Parts[[#This Row],[ha2016.01]]-t_Parts[[#This Row],[hp2016.01]])*t_Parts[[NetPPH]:[NetPPH]]</f>
        <v>577500</v>
      </c>
      <c r="FD12" s="68">
        <f>(t_Parts[[#This Row],[ha2016.02]]-t_Parts[[#This Row],[hp2016.02]])*t_Parts[[NetPPH]:[NetPPH]]</f>
        <v>554400</v>
      </c>
      <c r="FE12" s="68">
        <f>(t_Parts[[#This Row],[ha2016.03]]-t_Parts[[#This Row],[hp2016.03]])*t_Parts[[NetPPH]:[NetPPH]]</f>
        <v>785400</v>
      </c>
      <c r="FF12" s="68">
        <f>(t_Parts[[#This Row],[ha2016.04]]-t_Parts[[#This Row],[hp2016.04]])*t_Parts[[NetPPH]:[NetPPH]]</f>
        <v>577500</v>
      </c>
      <c r="FG12" s="68">
        <f>(t_Parts[[#This Row],[ha2016.05]]-t_Parts[[#This Row],[hp2016.05]])*t_Parts[[NetPPH]:[NetPPH]]</f>
        <v>600600</v>
      </c>
      <c r="FH12" s="68">
        <f>(t_Parts[[#This Row],[ha2016.06]]-t_Parts[[#This Row],[hp2016.06]])*t_Parts[[NetPPH]:[NetPPH]]</f>
        <v>785400</v>
      </c>
      <c r="FI12" s="68">
        <f>(t_Parts[[#This Row],[ha2016.07]]-t_Parts[[#This Row],[hp2016.07]])*t_Parts[[NetPPH]:[NetPPH]]</f>
        <v>577500</v>
      </c>
      <c r="FJ12" s="68">
        <f>(t_Parts[[#This Row],[ha2016.08]]-t_Parts[[#This Row],[hp2016.08]])*t_Parts[[NetPPH]:[NetPPH]]</f>
        <v>600600</v>
      </c>
      <c r="FK12" s="68">
        <f>(t_Parts[[#This Row],[ha2016.09]]-t_Parts[[#This Row],[hp2016.09]])*t_Parts[[NetPPH]:[NetPPH]]</f>
        <v>785400</v>
      </c>
      <c r="FL12" s="68">
        <f>(t_Parts[[#This Row],[ha2016.10]]-t_Parts[[#This Row],[hp2016.10]])*t_Parts[[NetPPH]:[NetPPH]]</f>
        <v>577500</v>
      </c>
      <c r="FM12" s="68">
        <f>(t_Parts[[#This Row],[ha2016.11]]-t_Parts[[#This Row],[hp2016.11]])*t_Parts[[NetPPH]:[NetPPH]]</f>
        <v>508200</v>
      </c>
      <c r="FN12" s="68">
        <f>(t_Parts[[#This Row],[ha2016.12]]-t_Parts[[#This Row],[hp2016.12]])*t_Parts[[NetPPH]:[NetPPH]]</f>
        <v>693000</v>
      </c>
      <c r="FO12" s="68">
        <f>(t_Parts[[#This Row],[ha2016.FY]]-t_Parts[[#This Row],[hp2016.FY]])*t_Parts[[NetPPH]:[NetPPH]]</f>
        <v>7623000</v>
      </c>
      <c r="FP12" s="68">
        <f>(t_Parts[[#This Row],[ha2017]]-t_Parts[[#This Row],[hp2017]])*t_Parts[[NetPPH]:[NetPPH]]</f>
        <v>7623000</v>
      </c>
      <c r="FQ12" s="68">
        <f>(t_Parts[[#This Row],[ha2018]]-t_Parts[[#This Row],[hp2018]])*t_Parts[[NetPPH]:[NetPPH]]</f>
        <v>7623000</v>
      </c>
      <c r="FR12" s="68">
        <f>(t_Parts[[#This Row],[ha2019]]-t_Parts[[#This Row],[hp2019]])*t_Parts[[NetPPH]:[NetPPH]]</f>
        <v>7623000</v>
      </c>
    </row>
    <row r="13" spans="1:174" x14ac:dyDescent="0.25">
      <c r="A13" s="16" t="s">
        <v>173</v>
      </c>
      <c r="B13" s="16">
        <v>21013</v>
      </c>
      <c r="C13">
        <v>1</v>
      </c>
      <c r="D13" s="20">
        <v>2700</v>
      </c>
      <c r="E13" s="25">
        <v>1</v>
      </c>
      <c r="F13" s="26">
        <v>4</v>
      </c>
      <c r="G13" t="s">
        <v>16</v>
      </c>
      <c r="H13" t="s">
        <v>94</v>
      </c>
      <c r="I13" s="20">
        <v>107997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115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4</v>
      </c>
      <c r="AC13" s="20">
        <f>(t_Parts[[#This Row],[UnitsPerCycle]]*t_Parts[[#This Row],[CyclesPerHr]])*t_Parts[[#This Row],[UseOEE]]</f>
        <v>1485.0000000000002</v>
      </c>
      <c r="AD13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7940.9558823529405</v>
      </c>
      <c r="AE13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8258.5941176470587</v>
      </c>
      <c r="AF13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10799.699999999999</v>
      </c>
      <c r="AG13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7940.9558823529405</v>
      </c>
      <c r="AH13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8258.5941176470587</v>
      </c>
      <c r="AI13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10799.699999999999</v>
      </c>
      <c r="AJ13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7940.9558823529405</v>
      </c>
      <c r="AK13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8258.5941176470587</v>
      </c>
      <c r="AL13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10799.699999999999</v>
      </c>
      <c r="AM13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7940.9558823529405</v>
      </c>
      <c r="AN13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8258.5941176470587</v>
      </c>
      <c r="AO13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10799.699999999999</v>
      </c>
      <c r="AP13" s="20">
        <f>SUM(t_Parts[[#This Row],[pv2015.01]:[pv2015.12]])</f>
        <v>107996.99999999999</v>
      </c>
      <c r="AQ13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3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3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3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3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3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3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3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3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3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3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3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IF(AND(AD$2&gt;=VALUE(t_Parts[[SOP]:[SOP]]),AD$2&lt;=VALUE(t_Parts[[EOP]:[EOP]])), t_Parts[[SetupHrsPerMo]:[SetupHrsPerMo]]+(t_Parts[[#This Row],[pv2015.01]]/t_Parts[[NetPPH]:[NetPPH]]),0)</f>
        <v>9.3474450386215082</v>
      </c>
      <c r="CK13" s="20">
        <f>IF(AND(AE$2&gt;=VALUE(t_Parts[[SOP]:[SOP]]),AE$2&lt;=VALUE(t_Parts[[EOP]:[EOP]])), t_Parts[[SetupHrsPerMo]:[SetupHrsPerMo]]+(t_Parts[[#This Row],[pv2015.02]]/t_Parts[[NetPPH]:[NetPPH]]),0)</f>
        <v>9.5613428401663683</v>
      </c>
      <c r="CL13" s="20">
        <f>IF(AND(AF$2&gt;=VALUE(t_Parts[[SOP]:[SOP]]),AF$2&lt;=VALUE(t_Parts[[EOP]:[EOP]])), t_Parts[[SetupHrsPerMo]:[SetupHrsPerMo]]+(t_Parts[[#This Row],[pv2015.03]]/t_Parts[[NetPPH]:[NetPPH]]),0)</f>
        <v>11.27252525252525</v>
      </c>
      <c r="CM13" s="20">
        <f>IF(AND(AG$2&gt;=VALUE(t_Parts[[SOP]:[SOP]]),AG$2&lt;=VALUE(t_Parts[[EOP]:[EOP]])), t_Parts[[SetupHrsPerMo]:[SetupHrsPerMo]]+(t_Parts[[#This Row],[pv2015.04]]/t_Parts[[NetPPH]:[NetPPH]]),0)</f>
        <v>9.3474450386215082</v>
      </c>
      <c r="CN13" s="20">
        <f>IF(AND(AH$2&gt;=VALUE(t_Parts[[SOP]:[SOP]]),AH$2&lt;=VALUE(t_Parts[[EOP]:[EOP]])), t_Parts[[SetupHrsPerMo]:[SetupHrsPerMo]]+(t_Parts[[#This Row],[pv2015.05]]/t_Parts[[NetPPH]:[NetPPH]]),0)</f>
        <v>9.5613428401663683</v>
      </c>
      <c r="CO13" s="20">
        <f>IF(AND(AI$2&gt;=VALUE(t_Parts[[SOP]:[SOP]]),AI$2&lt;=VALUE(t_Parts[[EOP]:[EOP]])), t_Parts[[SetupHrsPerMo]:[SetupHrsPerMo]]+(t_Parts[[#This Row],[pv2015.06]]/t_Parts[[NetPPH]:[NetPPH]]),0)</f>
        <v>11.27252525252525</v>
      </c>
      <c r="CP13" s="20">
        <f>IF(AND(AJ$2&gt;=VALUE(t_Parts[[SOP]:[SOP]]),AJ$2&lt;=VALUE(t_Parts[[EOP]:[EOP]])), t_Parts[[SetupHrsPerMo]:[SetupHrsPerMo]]+(t_Parts[[#This Row],[pv2015.07]]/t_Parts[[NetPPH]:[NetPPH]]),0)</f>
        <v>9.3474450386215082</v>
      </c>
      <c r="CQ13" s="20">
        <f>IF(AND(AK$2&gt;=VALUE(t_Parts[[SOP]:[SOP]]),AK$2&lt;=VALUE(t_Parts[[EOP]:[EOP]])), t_Parts[[SetupHrsPerMo]:[SetupHrsPerMo]]+(t_Parts[[#This Row],[pv2015.08]]/t_Parts[[NetPPH]:[NetPPH]]),0)</f>
        <v>9.5613428401663683</v>
      </c>
      <c r="CR13" s="20">
        <f>IF(AND(AL$2&gt;=VALUE(t_Parts[[SOP]:[SOP]]),AL$2&lt;=VALUE(t_Parts[[EOP]:[EOP]])), t_Parts[[SetupHrsPerMo]:[SetupHrsPerMo]]+(t_Parts[[#This Row],[pv2015.09]]/t_Parts[[NetPPH]:[NetPPH]]),0)</f>
        <v>11.27252525252525</v>
      </c>
      <c r="CS13" s="20">
        <f>IF(AND(AM$2&gt;=VALUE(t_Parts[[SOP]:[SOP]]),AM$2&lt;=VALUE(t_Parts[[EOP]:[EOP]])), t_Parts[[SetupHrsPerMo]:[SetupHrsPerMo]]+(t_Parts[[#This Row],[pv2015.10]]/t_Parts[[NetPPH]:[NetPPH]]),0)</f>
        <v>9.3474450386215082</v>
      </c>
      <c r="CT13" s="20">
        <f>IF(AND(AN$2&gt;=VALUE(t_Parts[[SOP]:[SOP]]),AN$2&lt;=VALUE(t_Parts[[EOP]:[EOP]])), t_Parts[[SetupHrsPerMo]:[SetupHrsPerMo]]+(t_Parts[[#This Row],[pv2015.11]]/t_Parts[[NetPPH]:[NetPPH]]),0)</f>
        <v>9.5613428401663683</v>
      </c>
      <c r="CU13" s="20">
        <f>IF(AND(AO$2&gt;=VALUE(t_Parts[[SOP]:[SOP]]),AO$2&lt;=VALUE(t_Parts[[EOP]:[EOP]])), t_Parts[[SetupHrsPerMo]:[SetupHrsPerMo]]+(t_Parts[[#This Row],[pv2015.12]]/t_Parts[[NetPPH]:[NetPPH]]),0)</f>
        <v>11.27252525252525</v>
      </c>
      <c r="CV13" s="20">
        <f>SUM(t_Parts[[#This Row],[hp2015.01]:[hp2015.12]])</f>
        <v>120.72525252525249</v>
      </c>
      <c r="CW13" s="20">
        <f>IF(AND(AQ$2&gt;=VALUE(t_Parts[[SOP]:[SOP]]),AQ$2&lt;=VALUE(t_Parts[[EOP]:[EOP]])), t_Parts[[SetupHrsPerMo]:[SetupHrsPerMo]]+(t_Parts[[#This Row],[pv2016.01]]/t_Parts[[NetPPH]:[NetPPH]]),0)</f>
        <v>0</v>
      </c>
      <c r="CX13" s="20">
        <f>IF(AND(AR$2&gt;=VALUE(t_Parts[[SOP]:[SOP]]),AR$2&lt;=VALUE(t_Parts[[EOP]:[EOP]])), t_Parts[[SetupHrsPerMo]:[SetupHrsPerMo]]+(t_Parts[[#This Row],[pv2016.02]]/t_Parts[[NetPPH]:[NetPPH]]),0)</f>
        <v>0</v>
      </c>
      <c r="CY13" s="20">
        <f>IF(AND(AS$2&gt;=VALUE(t_Parts[[SOP]:[SOP]]),AS$2&lt;=VALUE(t_Parts[[EOP]:[EOP]])), t_Parts[[SetupHrsPerMo]:[SetupHrsPerMo]]+(t_Parts[[#This Row],[pv2016.03]]/t_Parts[[NetPPH]:[NetPPH]]),0)</f>
        <v>0</v>
      </c>
      <c r="CZ13" s="20">
        <f>IF(AND(AT$2&gt;=VALUE(t_Parts[[SOP]:[SOP]]),AT$2&lt;=VALUE(t_Parts[[EOP]:[EOP]])), t_Parts[[SetupHrsPerMo]:[SetupHrsPerMo]]+(t_Parts[[#This Row],[pv2016.04]]/t_Parts[[NetPPH]:[NetPPH]]),0)</f>
        <v>0</v>
      </c>
      <c r="DA13" s="20">
        <f>IF(AND(AU$2&gt;=VALUE(t_Parts[[SOP]:[SOP]]),AU$2&lt;=VALUE(t_Parts[[EOP]:[EOP]])), t_Parts[[SetupHrsPerMo]:[SetupHrsPerMo]]+(t_Parts[[#This Row],[pv2016.05]]/t_Parts[[NetPPH]:[NetPPH]]),0)</f>
        <v>0</v>
      </c>
      <c r="DB13" s="20">
        <f>IF(AND(AV$2&gt;=VALUE(t_Parts[[SOP]:[SOP]]),AV$2&lt;=VALUE(t_Parts[[EOP]:[EOP]])), t_Parts[[SetupHrsPerMo]:[SetupHrsPerMo]]+(t_Parts[[#This Row],[pv2016.06]]/t_Parts[[NetPPH]:[NetPPH]]),0)</f>
        <v>0</v>
      </c>
      <c r="DC13" s="20">
        <f>IF(AND(AW$2&gt;=VALUE(t_Parts[[SOP]:[SOP]]),AW$2&lt;=VALUE(t_Parts[[EOP]:[EOP]])), t_Parts[[SetupHrsPerMo]:[SetupHrsPerMo]]+(t_Parts[[#This Row],[pv2016.07]]/t_Parts[[NetPPH]:[NetPPH]]),0)</f>
        <v>0</v>
      </c>
      <c r="DD13" s="20">
        <f>IF(AND(AX$2&gt;=VALUE(t_Parts[[SOP]:[SOP]]),AX$2&lt;=VALUE(t_Parts[[EOP]:[EOP]])), t_Parts[[SetupHrsPerMo]:[SetupHrsPerMo]]+(t_Parts[[#This Row],[pv2016.08]]/t_Parts[[NetPPH]:[NetPPH]]),0)</f>
        <v>0</v>
      </c>
      <c r="DE13" s="20">
        <f>IF(AND(AY$2&gt;=VALUE(t_Parts[[SOP]:[SOP]]),AY$2&lt;=VALUE(t_Parts[[EOP]:[EOP]])), t_Parts[[SetupHrsPerMo]:[SetupHrsPerMo]]+(t_Parts[[#This Row],[pv2016.09]]/t_Parts[[NetPPH]:[NetPPH]]),0)</f>
        <v>0</v>
      </c>
      <c r="DF13" s="20">
        <f>IF(AND(AZ$2&gt;=VALUE(t_Parts[[SOP]:[SOP]]),AZ$2&lt;=VALUE(t_Parts[[EOP]:[EOP]])), t_Parts[[SetupHrsPerMo]:[SetupHrsPerMo]]+(t_Parts[[#This Row],[pv2016.10]]/t_Parts[[NetPPH]:[NetPPH]]),0)</f>
        <v>0</v>
      </c>
      <c r="DG13" s="20">
        <f>IF(AND(BA$2&gt;=VALUE(t_Parts[[SOP]:[SOP]]),BA$2&lt;=VALUE(t_Parts[[EOP]:[EOP]])), t_Parts[[SetupHrsPerMo]:[SetupHrsPerMo]]+(t_Parts[[#This Row],[pv2016.11]]/t_Parts[[NetPPH]:[NetPPH]]),0)</f>
        <v>0</v>
      </c>
      <c r="DH13" s="20">
        <f>IF(AND(BB$2&gt;=VALUE(t_Parts[[SOP]:[SOP]]),BB$2&lt;=VALUE(t_Parts[[EOP]:[EOP]])),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IF(AND(BD$2&gt;=VALUE(t_Parts[[SOP]:[SOP]]),BD$2&lt;=VALUE(t_Parts[[EOP]:[EOP]])), 12*t_Parts[[SetupHrsPerMo]:[SetupHrsPerMo]]+(t_Parts[[#This Row],[pv2017]]/t_Parts[[NetPPH]:[NetPPH]]),0)</f>
        <v>0</v>
      </c>
      <c r="DK13" s="20">
        <f>IF(AND(BE$2&gt;=VALUE(t_Parts[[SOP]:[SOP]]),BE$2&lt;=VALUE(t_Parts[[EOP]:[EOP]])), 12*t_Parts[[SetupHrsPerMo]:[SetupHrsPerMo]]+(t_Parts[[#This Row],[pv2018]]/t_Parts[[NetPPH]:[NetPPH]]),0)</f>
        <v>0</v>
      </c>
      <c r="DL13" s="20">
        <f>IF(AND(BF$2&gt;=VALUE(t_Parts[[SOP]:[SOP]]),BF$2&lt;=VALUE(t_Parts[[EOP]:[EOP]])),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3.7389780154486033E-2</v>
      </c>
      <c r="DN13" s="15">
        <f>t_Parts[[#This Row],[hp2015.02]]/t_Parts[[#This Row],[ha2015.02]]</f>
        <v>3.6774395539101418E-2</v>
      </c>
      <c r="DO13" s="15">
        <f>t_Parts[[#This Row],[hp2015.03]]/t_Parts[[#This Row],[ha2015.03]]</f>
        <v>3.3154486036838973E-2</v>
      </c>
      <c r="DP13" s="15">
        <f>t_Parts[[#This Row],[hp2015.04]]/t_Parts[[#This Row],[ha2015.04]]</f>
        <v>3.7389780154486033E-2</v>
      </c>
      <c r="DQ13" s="15">
        <f>t_Parts[[#This Row],[hp2015.05]]/t_Parts[[#This Row],[ha2015.05]]</f>
        <v>3.6774395539101418E-2</v>
      </c>
      <c r="DR13" s="15">
        <f>t_Parts[[#This Row],[hp2015.06]]/t_Parts[[#This Row],[ha2015.06]]</f>
        <v>3.3154486036838973E-2</v>
      </c>
      <c r="DS13" s="15">
        <f>t_Parts[[#This Row],[hp2015.07]]/t_Parts[[#This Row],[ha2015.07]]</f>
        <v>3.7389780154486033E-2</v>
      </c>
      <c r="DT13" s="15">
        <f>t_Parts[[#This Row],[hp2015.08]]/t_Parts[[#This Row],[ha2015.08]]</f>
        <v>3.6774395539101418E-2</v>
      </c>
      <c r="DU13" s="15">
        <f>t_Parts[[#This Row],[hp2015.09]]/t_Parts[[#This Row],[ha2015.09]]</f>
        <v>3.3154486036838973E-2</v>
      </c>
      <c r="DV13" s="15">
        <f>t_Parts[[#This Row],[hp2015.10]]/t_Parts[[#This Row],[ha2015.10]]</f>
        <v>3.7389780154486033E-2</v>
      </c>
      <c r="DW13" s="15">
        <f>t_Parts[[#This Row],[hp2015.11]]/t_Parts[[#This Row],[ha2015.11]]</f>
        <v>3.6774395539101418E-2</v>
      </c>
      <c r="DX13" s="15">
        <f>t_Parts[[#This Row],[hp2015.12]]/t_Parts[[#This Row],[ha2015.12]]</f>
        <v>3.3154486036838973E-2</v>
      </c>
      <c r="DY13" s="15">
        <f>t_Parts[[#This Row],[hp2015.FY]]/t_Parts[[#This Row],[ha2015.FY]]</f>
        <v>3.5507427213309552E-2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357369.04411764711</v>
      </c>
      <c r="EQ13" s="68">
        <f>(t_Parts[[#This Row],[ha2015.02]]-t_Parts[[#This Row],[hp2015.02]])*t_Parts[[NetPPH]:[NetPPH]]</f>
        <v>371901.40588235302</v>
      </c>
      <c r="ER13" s="68">
        <f>(t_Parts[[#This Row],[ha2015.03]]-t_Parts[[#This Row],[hp2015.03]])*t_Parts[[NetPPH]:[NetPPH]]</f>
        <v>488160.30000000005</v>
      </c>
      <c r="ES13" s="68">
        <f>(t_Parts[[#This Row],[ha2015.04]]-t_Parts[[#This Row],[hp2015.04]])*t_Parts[[NetPPH]:[NetPPH]]</f>
        <v>357369.04411764711</v>
      </c>
      <c r="ET13" s="68">
        <f>(t_Parts[[#This Row],[ha2015.05]]-t_Parts[[#This Row],[hp2015.05]])*t_Parts[[NetPPH]:[NetPPH]]</f>
        <v>371901.40588235302</v>
      </c>
      <c r="EU13" s="68">
        <f>(t_Parts[[#This Row],[ha2015.06]]-t_Parts[[#This Row],[hp2015.06]])*t_Parts[[NetPPH]:[NetPPH]]</f>
        <v>488160.30000000005</v>
      </c>
      <c r="EV13" s="68">
        <f>(t_Parts[[#This Row],[ha2015.07]]-t_Parts[[#This Row],[hp2015.07]])*t_Parts[[NetPPH]:[NetPPH]]</f>
        <v>357369.04411764711</v>
      </c>
      <c r="EW13" s="68">
        <f>(t_Parts[[#This Row],[ha2015.08]]-t_Parts[[#This Row],[hp2015.08]])*t_Parts[[NetPPH]:[NetPPH]]</f>
        <v>371901.40588235302</v>
      </c>
      <c r="EX13" s="68">
        <f>(t_Parts[[#This Row],[ha2015.09]]-t_Parts[[#This Row],[hp2015.09]])*t_Parts[[NetPPH]:[NetPPH]]</f>
        <v>488160.30000000005</v>
      </c>
      <c r="EY13" s="68">
        <f>(t_Parts[[#This Row],[ha2015.10]]-t_Parts[[#This Row],[hp2015.10]])*t_Parts[[NetPPH]:[NetPPH]]</f>
        <v>357369.04411764711</v>
      </c>
      <c r="EZ13" s="68">
        <f>(t_Parts[[#This Row],[ha2015.11]]-t_Parts[[#This Row],[hp2015.11]])*t_Parts[[NetPPH]:[NetPPH]]</f>
        <v>371901.40588235302</v>
      </c>
      <c r="FA13" s="68">
        <f>(t_Parts[[#This Row],[ha2015.12]]-t_Parts[[#This Row],[hp2015.12]])*t_Parts[[NetPPH]:[NetPPH]]</f>
        <v>488160.30000000005</v>
      </c>
      <c r="FB13" s="68">
        <f>(t_Parts[[#This Row],[ha2015.FY]]-t_Parts[[#This Row],[hp2015.FY]])*t_Parts[[NetPPH]:[NetPPH]]</f>
        <v>4869723.0000000009</v>
      </c>
      <c r="FC13" s="68">
        <f>(t_Parts[[#This Row],[ha2016.01]]-t_Parts[[#This Row],[hp2016.01]])*t_Parts[[NetPPH]:[NetPPH]]</f>
        <v>371250.00000000006</v>
      </c>
      <c r="FD13" s="68">
        <f>(t_Parts[[#This Row],[ha2016.02]]-t_Parts[[#This Row],[hp2016.02]])*t_Parts[[NetPPH]:[NetPPH]]</f>
        <v>356400.00000000006</v>
      </c>
      <c r="FE13" s="68">
        <f>(t_Parts[[#This Row],[ha2016.03]]-t_Parts[[#This Row],[hp2016.03]])*t_Parts[[NetPPH]:[NetPPH]]</f>
        <v>504900.00000000006</v>
      </c>
      <c r="FF13" s="68">
        <f>(t_Parts[[#This Row],[ha2016.04]]-t_Parts[[#This Row],[hp2016.04]])*t_Parts[[NetPPH]:[NetPPH]]</f>
        <v>371250.00000000006</v>
      </c>
      <c r="FG13" s="68">
        <f>(t_Parts[[#This Row],[ha2016.05]]-t_Parts[[#This Row],[hp2016.05]])*t_Parts[[NetPPH]:[NetPPH]]</f>
        <v>386100.00000000006</v>
      </c>
      <c r="FH13" s="68">
        <f>(t_Parts[[#This Row],[ha2016.06]]-t_Parts[[#This Row],[hp2016.06]])*t_Parts[[NetPPH]:[NetPPH]]</f>
        <v>504900.00000000006</v>
      </c>
      <c r="FI13" s="68">
        <f>(t_Parts[[#This Row],[ha2016.07]]-t_Parts[[#This Row],[hp2016.07]])*t_Parts[[NetPPH]:[NetPPH]]</f>
        <v>371250.00000000006</v>
      </c>
      <c r="FJ13" s="68">
        <f>(t_Parts[[#This Row],[ha2016.08]]-t_Parts[[#This Row],[hp2016.08]])*t_Parts[[NetPPH]:[NetPPH]]</f>
        <v>386100.00000000006</v>
      </c>
      <c r="FK13" s="68">
        <f>(t_Parts[[#This Row],[ha2016.09]]-t_Parts[[#This Row],[hp2016.09]])*t_Parts[[NetPPH]:[NetPPH]]</f>
        <v>504900.00000000006</v>
      </c>
      <c r="FL13" s="68">
        <f>(t_Parts[[#This Row],[ha2016.10]]-t_Parts[[#This Row],[hp2016.10]])*t_Parts[[NetPPH]:[NetPPH]]</f>
        <v>371250.00000000006</v>
      </c>
      <c r="FM13" s="68">
        <f>(t_Parts[[#This Row],[ha2016.11]]-t_Parts[[#This Row],[hp2016.11]])*t_Parts[[NetPPH]:[NetPPH]]</f>
        <v>326700.00000000006</v>
      </c>
      <c r="FN13" s="68">
        <f>(t_Parts[[#This Row],[ha2016.12]]-t_Parts[[#This Row],[hp2016.12]])*t_Parts[[NetPPH]:[NetPPH]]</f>
        <v>445500.00000000006</v>
      </c>
      <c r="FO13" s="68">
        <f>(t_Parts[[#This Row],[ha2016.FY]]-t_Parts[[#This Row],[hp2016.FY]])*t_Parts[[NetPPH]:[NetPPH]]</f>
        <v>4900500.0000000009</v>
      </c>
      <c r="FP13" s="68">
        <f>(t_Parts[[#This Row],[ha2017]]-t_Parts[[#This Row],[hp2017]])*t_Parts[[NetPPH]:[NetPPH]]</f>
        <v>4900500.0000000009</v>
      </c>
      <c r="FQ13" s="68">
        <f>(t_Parts[[#This Row],[ha2018]]-t_Parts[[#This Row],[hp2018]])*t_Parts[[NetPPH]:[NetPPH]]</f>
        <v>4900500.0000000009</v>
      </c>
      <c r="FR13" s="68">
        <f>(t_Parts[[#This Row],[ha2019]]-t_Parts[[#This Row],[hp2019]])*t_Parts[[NetPPH]:[NetPPH]]</f>
        <v>4900500.0000000009</v>
      </c>
    </row>
    <row r="14" spans="1:174" x14ac:dyDescent="0.25">
      <c r="A14" s="16" t="s">
        <v>174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16</v>
      </c>
      <c r="H14" t="s">
        <v>94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117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4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4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4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4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4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4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4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4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4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4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4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IF(AND(AD$2&gt;=VALUE(t_Parts[[SOP]:[SOP]]),AD$2&lt;=VALUE(t_Parts[[EOP]:[EOP]])), t_Parts[[SetupHrsPerMo]:[SetupHrsPerMo]]+(t_Parts[[#This Row],[pv2015.01]]/t_Parts[[NetPPH]:[NetPPH]]),0)</f>
        <v>2.7022523024361256</v>
      </c>
      <c r="CK14" s="20">
        <f>IF(AND(AE$2&gt;=VALUE(t_Parts[[SOP]:[SOP]]),AE$2&lt;=VALUE(t_Parts[[EOP]:[EOP]])), t_Parts[[SetupHrsPerMo]:[SetupHrsPerMo]]+(t_Parts[[#This Row],[pv2015.02]]/t_Parts[[NetPPH]:[NetPPH]]),0)</f>
        <v>2.7703423945335706</v>
      </c>
      <c r="CL14" s="20">
        <f>IF(AND(AF$2&gt;=VALUE(t_Parts[[SOP]:[SOP]]),AF$2&lt;=VALUE(t_Parts[[EOP]:[EOP]])), t_Parts[[SetupHrsPerMo]:[SetupHrsPerMo]]+(t_Parts[[#This Row],[pv2015.03]]/t_Parts[[NetPPH]:[NetPPH]]),0)</f>
        <v>3.3150631313131309</v>
      </c>
      <c r="CM14" s="20">
        <f>IF(AND(AG$2&gt;=VALUE(t_Parts[[SOP]:[SOP]]),AG$2&lt;=VALUE(t_Parts[[EOP]:[EOP]])), t_Parts[[SetupHrsPerMo]:[SetupHrsPerMo]]+(t_Parts[[#This Row],[pv2015.04]]/t_Parts[[NetPPH]:[NetPPH]]),0)</f>
        <v>2.7022523024361256</v>
      </c>
      <c r="CN14" s="20">
        <f>IF(AND(AH$2&gt;=VALUE(t_Parts[[SOP]:[SOP]]),AH$2&lt;=VALUE(t_Parts[[EOP]:[EOP]])), t_Parts[[SetupHrsPerMo]:[SetupHrsPerMo]]+(t_Parts[[#This Row],[pv2015.05]]/t_Parts[[NetPPH]:[NetPPH]]),0)</f>
        <v>2.7703423945335706</v>
      </c>
      <c r="CO14" s="20">
        <f>IF(AND(AI$2&gt;=VALUE(t_Parts[[SOP]:[SOP]]),AI$2&lt;=VALUE(t_Parts[[EOP]:[EOP]])), t_Parts[[SetupHrsPerMo]:[SetupHrsPerMo]]+(t_Parts[[#This Row],[pv2015.06]]/t_Parts[[NetPPH]:[NetPPH]]),0)</f>
        <v>3.3150631313131309</v>
      </c>
      <c r="CP14" s="20">
        <f>IF(AND(AJ$2&gt;=VALUE(t_Parts[[SOP]:[SOP]]),AJ$2&lt;=VALUE(t_Parts[[EOP]:[EOP]])), t_Parts[[SetupHrsPerMo]:[SetupHrsPerMo]]+(t_Parts[[#This Row],[pv2015.07]]/t_Parts[[NetPPH]:[NetPPH]]),0)</f>
        <v>2.7022523024361256</v>
      </c>
      <c r="CQ14" s="20">
        <f>IF(AND(AK$2&gt;=VALUE(t_Parts[[SOP]:[SOP]]),AK$2&lt;=VALUE(t_Parts[[EOP]:[EOP]])), t_Parts[[SetupHrsPerMo]:[SetupHrsPerMo]]+(t_Parts[[#This Row],[pv2015.08]]/t_Parts[[NetPPH]:[NetPPH]]),0)</f>
        <v>2.7703423945335706</v>
      </c>
      <c r="CR14" s="20">
        <f>IF(AND(AL$2&gt;=VALUE(t_Parts[[SOP]:[SOP]]),AL$2&lt;=VALUE(t_Parts[[EOP]:[EOP]])), t_Parts[[SetupHrsPerMo]:[SetupHrsPerMo]]+(t_Parts[[#This Row],[pv2015.09]]/t_Parts[[NetPPH]:[NetPPH]]),0)</f>
        <v>3.3150631313131309</v>
      </c>
      <c r="CS14" s="20">
        <f>IF(AND(AM$2&gt;=VALUE(t_Parts[[SOP]:[SOP]]),AM$2&lt;=VALUE(t_Parts[[EOP]:[EOP]])), t_Parts[[SetupHrsPerMo]:[SetupHrsPerMo]]+(t_Parts[[#This Row],[pv2015.10]]/t_Parts[[NetPPH]:[NetPPH]]),0)</f>
        <v>2.7022523024361256</v>
      </c>
      <c r="CT14" s="20">
        <f>IF(AND(AN$2&gt;=VALUE(t_Parts[[SOP]:[SOP]]),AN$2&lt;=VALUE(t_Parts[[EOP]:[EOP]])), t_Parts[[SetupHrsPerMo]:[SetupHrsPerMo]]+(t_Parts[[#This Row],[pv2015.11]]/t_Parts[[NetPPH]:[NetPPH]]),0)</f>
        <v>2.7703423945335706</v>
      </c>
      <c r="CU14" s="20">
        <f>IF(AND(AO$2&gt;=VALUE(t_Parts[[SOP]:[SOP]]),AO$2&lt;=VALUE(t_Parts[[EOP]:[EOP]])),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IF(AND(AQ$2&gt;=VALUE(t_Parts[[SOP]:[SOP]]),AQ$2&lt;=VALUE(t_Parts[[EOP]:[EOP]])), t_Parts[[SetupHrsPerMo]:[SetupHrsPerMo]]+(t_Parts[[#This Row],[pv2016.01]]/t_Parts[[NetPPH]:[NetPPH]]),0)</f>
        <v>0</v>
      </c>
      <c r="CX14" s="20">
        <f>IF(AND(AR$2&gt;=VALUE(t_Parts[[SOP]:[SOP]]),AR$2&lt;=VALUE(t_Parts[[EOP]:[EOP]])), t_Parts[[SetupHrsPerMo]:[SetupHrsPerMo]]+(t_Parts[[#This Row],[pv2016.02]]/t_Parts[[NetPPH]:[NetPPH]]),0)</f>
        <v>0</v>
      </c>
      <c r="CY14" s="20">
        <f>IF(AND(AS$2&gt;=VALUE(t_Parts[[SOP]:[SOP]]),AS$2&lt;=VALUE(t_Parts[[EOP]:[EOP]])), t_Parts[[SetupHrsPerMo]:[SetupHrsPerMo]]+(t_Parts[[#This Row],[pv2016.03]]/t_Parts[[NetPPH]:[NetPPH]]),0)</f>
        <v>0</v>
      </c>
      <c r="CZ14" s="20">
        <f>IF(AND(AT$2&gt;=VALUE(t_Parts[[SOP]:[SOP]]),AT$2&lt;=VALUE(t_Parts[[EOP]:[EOP]])), t_Parts[[SetupHrsPerMo]:[SetupHrsPerMo]]+(t_Parts[[#This Row],[pv2016.04]]/t_Parts[[NetPPH]:[NetPPH]]),0)</f>
        <v>0</v>
      </c>
      <c r="DA14" s="20">
        <f>IF(AND(AU$2&gt;=VALUE(t_Parts[[SOP]:[SOP]]),AU$2&lt;=VALUE(t_Parts[[EOP]:[EOP]])), t_Parts[[SetupHrsPerMo]:[SetupHrsPerMo]]+(t_Parts[[#This Row],[pv2016.05]]/t_Parts[[NetPPH]:[NetPPH]]),0)</f>
        <v>0</v>
      </c>
      <c r="DB14" s="20">
        <f>IF(AND(AV$2&gt;=VALUE(t_Parts[[SOP]:[SOP]]),AV$2&lt;=VALUE(t_Parts[[EOP]:[EOP]])), t_Parts[[SetupHrsPerMo]:[SetupHrsPerMo]]+(t_Parts[[#This Row],[pv2016.06]]/t_Parts[[NetPPH]:[NetPPH]]),0)</f>
        <v>0</v>
      </c>
      <c r="DC14" s="20">
        <f>IF(AND(AW$2&gt;=VALUE(t_Parts[[SOP]:[SOP]]),AW$2&lt;=VALUE(t_Parts[[EOP]:[EOP]])), t_Parts[[SetupHrsPerMo]:[SetupHrsPerMo]]+(t_Parts[[#This Row],[pv2016.07]]/t_Parts[[NetPPH]:[NetPPH]]),0)</f>
        <v>0</v>
      </c>
      <c r="DD14" s="20">
        <f>IF(AND(AX$2&gt;=VALUE(t_Parts[[SOP]:[SOP]]),AX$2&lt;=VALUE(t_Parts[[EOP]:[EOP]])), t_Parts[[SetupHrsPerMo]:[SetupHrsPerMo]]+(t_Parts[[#This Row],[pv2016.08]]/t_Parts[[NetPPH]:[NetPPH]]),0)</f>
        <v>0</v>
      </c>
      <c r="DE14" s="20">
        <f>IF(AND(AY$2&gt;=VALUE(t_Parts[[SOP]:[SOP]]),AY$2&lt;=VALUE(t_Parts[[EOP]:[EOP]])), t_Parts[[SetupHrsPerMo]:[SetupHrsPerMo]]+(t_Parts[[#This Row],[pv2016.09]]/t_Parts[[NetPPH]:[NetPPH]]),0)</f>
        <v>0</v>
      </c>
      <c r="DF14" s="20">
        <f>IF(AND(AZ$2&gt;=VALUE(t_Parts[[SOP]:[SOP]]),AZ$2&lt;=VALUE(t_Parts[[EOP]:[EOP]])), t_Parts[[SetupHrsPerMo]:[SetupHrsPerMo]]+(t_Parts[[#This Row],[pv2016.10]]/t_Parts[[NetPPH]:[NetPPH]]),0)</f>
        <v>0</v>
      </c>
      <c r="DG14" s="20">
        <f>IF(AND(BA$2&gt;=VALUE(t_Parts[[SOP]:[SOP]]),BA$2&lt;=VALUE(t_Parts[[EOP]:[EOP]])), t_Parts[[SetupHrsPerMo]:[SetupHrsPerMo]]+(t_Parts[[#This Row],[pv2016.11]]/t_Parts[[NetPPH]:[NetPPH]]),0)</f>
        <v>0</v>
      </c>
      <c r="DH14" s="20">
        <f>IF(AND(BB$2&gt;=VALUE(t_Parts[[SOP]:[SOP]]),BB$2&lt;=VALUE(t_Parts[[EOP]:[EOP]])),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IF(AND(BD$2&gt;=VALUE(t_Parts[[SOP]:[SOP]]),BD$2&lt;=VALUE(t_Parts[[EOP]:[EOP]])), 12*t_Parts[[SetupHrsPerMo]:[SetupHrsPerMo]]+(t_Parts[[#This Row],[pv2017]]/t_Parts[[NetPPH]:[NetPPH]]),0)</f>
        <v>0</v>
      </c>
      <c r="DK14" s="20">
        <f>IF(AND(BE$2&gt;=VALUE(t_Parts[[SOP]:[SOP]]),BE$2&lt;=VALUE(t_Parts[[EOP]:[EOP]])), 12*t_Parts[[SetupHrsPerMo]:[SetupHrsPerMo]]+(t_Parts[[#This Row],[pv2018]]/t_Parts[[NetPPH]:[NetPPH]]),0)</f>
        <v>0</v>
      </c>
      <c r="DL14" s="20">
        <f>IF(AND(BF$2&gt;=VALUE(t_Parts[[SOP]:[SOP]]),BF$2&lt;=VALUE(t_Parts[[EOP]:[EOP]])),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179</v>
      </c>
      <c r="B15" s="16" t="s">
        <v>128</v>
      </c>
      <c r="C15">
        <v>1</v>
      </c>
      <c r="D15" s="20">
        <v>60</v>
      </c>
      <c r="E15" s="25">
        <v>1</v>
      </c>
      <c r="F15" s="26">
        <v>0</v>
      </c>
      <c r="G15" t="s">
        <v>16</v>
      </c>
      <c r="H15" t="s">
        <v>94</v>
      </c>
      <c r="I15" s="20">
        <v>100000</v>
      </c>
      <c r="J15" s="20"/>
      <c r="K15" s="20"/>
      <c r="L15" s="20"/>
      <c r="M15" s="43"/>
      <c r="N15" s="45"/>
      <c r="O15" s="45"/>
      <c r="P15" s="46"/>
      <c r="Q15" s="45"/>
      <c r="R15" s="47"/>
      <c r="S15" s="48"/>
      <c r="T15" s="49"/>
      <c r="U15" s="15"/>
      <c r="V15" s="18" t="str">
        <f>VLOOKUP(t_Parts[[#This Row],[Press]],t_Presses[],Press!B$1,FALSE)</f>
        <v>Bond</v>
      </c>
      <c r="W15" s="18" t="str">
        <f>VLOOKUP(t_Parts[[#This Row],[Press]],t_Presses[],Press!E$1,FALSE)</f>
        <v>0-299</v>
      </c>
      <c r="X15" s="15">
        <f>VLOOKUP(t_Parts[[#This Row],[Plant]],t_Plants[],Plants!C$1,FALSE)</f>
        <v>0.76</v>
      </c>
      <c r="Y15" s="15">
        <f>VLOOKUP(t_Parts[[#This Row],[Press]],t_Presses[],Press!F$1,FALSE)</f>
        <v>0</v>
      </c>
      <c r="Z15" s="56">
        <v>1</v>
      </c>
      <c r="AA15" s="15">
        <f>IF(ISBLANK(t_Parts[[#This Row],[PartOEE]])=FALSE,t_Parts[[#This Row],[PartOEE]], IF(t_Parts[[#This Row],[PressOEE]]&gt;0, t_Parts[[#This Row],[PressOEE]], t_Parts[[#This Row],[PlantOEE]] ))</f>
        <v>1</v>
      </c>
      <c r="AB15" s="25">
        <f>t_Parts[[#This Row],[SetupsPerMo]]*t_Parts[[#This Row],[SetupHrs]]</f>
        <v>0</v>
      </c>
      <c r="AC15" s="20">
        <f>(t_Parts[[#This Row],[UnitsPerCycle]]*t_Parts[[#This Row],[CyclesPerHr]])*t_Parts[[#This Row],[UseOEE]]</f>
        <v>60</v>
      </c>
      <c r="AD1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7558.1395348837214</v>
      </c>
      <c r="AE1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7558.1395348837214</v>
      </c>
      <c r="AF1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9883.7209302325591</v>
      </c>
      <c r="AG1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7558.1395348837214</v>
      </c>
      <c r="AH1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7558.1395348837214</v>
      </c>
      <c r="AI1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9883.7209302325591</v>
      </c>
      <c r="AJ1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7558.1395348837214</v>
      </c>
      <c r="AK1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7558.1395348837214</v>
      </c>
      <c r="AL1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9883.7209302325591</v>
      </c>
      <c r="AM1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7558.1395348837214</v>
      </c>
      <c r="AN1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7558.1395348837214</v>
      </c>
      <c r="AO1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9883.7209302325591</v>
      </c>
      <c r="AP15" s="20">
        <f>SUM(t_Parts[[#This Row],[pv2015.01]:[pv2015.12]])</f>
        <v>100000.00000000003</v>
      </c>
      <c r="AQ1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 s="44">
        <f>VLOOKUP(t_Parts[[Plant]:[Plant]],t_Plants[],Plants!CM$1,FALSE)</f>
        <v>208</v>
      </c>
      <c r="BH15" s="14">
        <f>VLOOKUP(t_Parts[[Plant]:[Plant]],t_Plants[],Plants!CN$1,FALSE)</f>
        <v>208</v>
      </c>
      <c r="BI15" s="14">
        <f>VLOOKUP(t_Parts[[Plant]:[Plant]],t_Plants[],Plants!CO$1,FALSE)</f>
        <v>272</v>
      </c>
      <c r="BJ15" s="14">
        <f>VLOOKUP(t_Parts[[Plant]:[Plant]],t_Plants[],Plants!CP$1,FALSE)</f>
        <v>208</v>
      </c>
      <c r="BK15" s="14">
        <f>VLOOKUP(t_Parts[[Plant]:[Plant]],t_Plants[],Plants!CQ$1,FALSE)</f>
        <v>208</v>
      </c>
      <c r="BL15" s="14">
        <f>VLOOKUP(t_Parts[[Plant]:[Plant]],t_Plants[],Plants!CR$1,FALSE)</f>
        <v>272</v>
      </c>
      <c r="BM15" s="14">
        <f>VLOOKUP(t_Parts[[Plant]:[Plant]],t_Plants[],Plants!CS$1,FALSE)</f>
        <v>208</v>
      </c>
      <c r="BN15" s="14">
        <f>VLOOKUP(t_Parts[[Plant]:[Plant]],t_Plants[],Plants!CT$1,FALSE)</f>
        <v>208</v>
      </c>
      <c r="BO15" s="14">
        <f>VLOOKUP(t_Parts[[Plant]:[Plant]],t_Plants[],Plants!CU$1,FALSE)</f>
        <v>272</v>
      </c>
      <c r="BP15" s="14">
        <f>VLOOKUP(t_Parts[[Plant]:[Plant]],t_Plants[],Plants!CV$1,FALSE)</f>
        <v>208</v>
      </c>
      <c r="BQ15" s="14">
        <f>VLOOKUP(t_Parts[[Plant]:[Plant]],t_Plants[],Plants!CW$1,FALSE)</f>
        <v>208</v>
      </c>
      <c r="BR15" s="14">
        <f>VLOOKUP(t_Parts[[Plant]:[Plant]],t_Plants[],Plants!CX$1,FALSE)</f>
        <v>272</v>
      </c>
      <c r="BS15" s="44">
        <f>SUM(t_Parts[[#This Row],[ha2015.01]:[ha2015.12]])</f>
        <v>2752</v>
      </c>
      <c r="BT15">
        <f>VLOOKUP(t_Parts[[Plant]:[Plant]],t_Plants[],Plants!CZ$1,FALSE)</f>
        <v>208</v>
      </c>
      <c r="BU15">
        <f>VLOOKUP(t_Parts[[Plant]:[Plant]],t_Plants[],Plants!DA$1,FALSE)</f>
        <v>208</v>
      </c>
      <c r="BV15">
        <f>VLOOKUP(t_Parts[[Plant]:[Plant]],t_Plants[],Plants!DB$1,FALSE)</f>
        <v>272</v>
      </c>
      <c r="BW15">
        <f>VLOOKUP(t_Parts[[Plant]:[Plant]],t_Plants[],Plants!DC$1,FALSE)</f>
        <v>208</v>
      </c>
      <c r="BX15">
        <f>VLOOKUP(t_Parts[[Plant]:[Plant]],t_Plants[],Plants!DD$1,FALSE)</f>
        <v>208</v>
      </c>
      <c r="BY15">
        <f>VLOOKUP(t_Parts[[Plant]:[Plant]],t_Plants[],Plants!DE$1,FALSE)</f>
        <v>272</v>
      </c>
      <c r="BZ15">
        <f>VLOOKUP(t_Parts[[Plant]:[Plant]],t_Plants[],Plants!DF$1,FALSE)</f>
        <v>208</v>
      </c>
      <c r="CA15">
        <f>VLOOKUP(t_Parts[[Plant]:[Plant]],t_Plants[],Plants!DG$1,FALSE)</f>
        <v>208</v>
      </c>
      <c r="CB15">
        <f>VLOOKUP(t_Parts[[Plant]:[Plant]],t_Plants[],Plants!DH$1,FALSE)</f>
        <v>272</v>
      </c>
      <c r="CC15">
        <f>VLOOKUP(t_Parts[[Plant]:[Plant]],t_Plants[],Plants!DI$1,FALSE)</f>
        <v>208</v>
      </c>
      <c r="CD15">
        <f>VLOOKUP(t_Parts[[Plant]:[Plant]],t_Plants[],Plants!DJ$1,FALSE)</f>
        <v>208</v>
      </c>
      <c r="CE15">
        <f>VLOOKUP(t_Parts[[Plant]:[Plant]],t_Plants[],Plants!DK$1,FALSE)</f>
        <v>272</v>
      </c>
      <c r="CF15">
        <f>VLOOKUP(t_Parts[[Plant]:[Plant]],t_Plants[],Plants!DL$1,FALSE)</f>
        <v>2752</v>
      </c>
      <c r="CG15">
        <f>VLOOKUP(t_Parts[[Plant]:[Plant]],t_Plants[],Plants!DM$1,FALSE)</f>
        <v>2752</v>
      </c>
      <c r="CH15">
        <f>VLOOKUP(t_Parts[[Plant]:[Plant]],t_Plants[],Plants!DN$1,FALSE)</f>
        <v>2752</v>
      </c>
      <c r="CI15">
        <f>VLOOKUP(t_Parts[[Plant]:[Plant]],t_Plants[],Plants!DO$1,FALSE)</f>
        <v>2752</v>
      </c>
      <c r="CJ15" s="43">
        <f>IF(AND(AD$2&gt;=VALUE(t_Parts[[SOP]:[SOP]]),AD$2&lt;=VALUE(t_Parts[[EOP]:[EOP]])), t_Parts[[SetupHrsPerMo]:[SetupHrsPerMo]]+(t_Parts[[#This Row],[pv2015.01]]/t_Parts[[NetPPH]:[NetPPH]]),0)</f>
        <v>125.96899224806202</v>
      </c>
      <c r="CK15" s="43">
        <f>IF(AND(AE$2&gt;=VALUE(t_Parts[[SOP]:[SOP]]),AE$2&lt;=VALUE(t_Parts[[EOP]:[EOP]])), t_Parts[[SetupHrsPerMo]:[SetupHrsPerMo]]+(t_Parts[[#This Row],[pv2015.02]]/t_Parts[[NetPPH]:[NetPPH]]),0)</f>
        <v>125.96899224806202</v>
      </c>
      <c r="CL15" s="43">
        <f>IF(AND(AF$2&gt;=VALUE(t_Parts[[SOP]:[SOP]]),AF$2&lt;=VALUE(t_Parts[[EOP]:[EOP]])), t_Parts[[SetupHrsPerMo]:[SetupHrsPerMo]]+(t_Parts[[#This Row],[pv2015.03]]/t_Parts[[NetPPH]:[NetPPH]]),0)</f>
        <v>164.72868217054264</v>
      </c>
      <c r="CM15" s="43">
        <f>IF(AND(AG$2&gt;=VALUE(t_Parts[[SOP]:[SOP]]),AG$2&lt;=VALUE(t_Parts[[EOP]:[EOP]])), t_Parts[[SetupHrsPerMo]:[SetupHrsPerMo]]+(t_Parts[[#This Row],[pv2015.04]]/t_Parts[[NetPPH]:[NetPPH]]),0)</f>
        <v>125.96899224806202</v>
      </c>
      <c r="CN15" s="43">
        <f>IF(AND(AH$2&gt;=VALUE(t_Parts[[SOP]:[SOP]]),AH$2&lt;=VALUE(t_Parts[[EOP]:[EOP]])), t_Parts[[SetupHrsPerMo]:[SetupHrsPerMo]]+(t_Parts[[#This Row],[pv2015.05]]/t_Parts[[NetPPH]:[NetPPH]]),0)</f>
        <v>125.96899224806202</v>
      </c>
      <c r="CO15" s="43">
        <f>IF(AND(AI$2&gt;=VALUE(t_Parts[[SOP]:[SOP]]),AI$2&lt;=VALUE(t_Parts[[EOP]:[EOP]])), t_Parts[[SetupHrsPerMo]:[SetupHrsPerMo]]+(t_Parts[[#This Row],[pv2015.06]]/t_Parts[[NetPPH]:[NetPPH]]),0)</f>
        <v>164.72868217054264</v>
      </c>
      <c r="CP15" s="43">
        <f>IF(AND(AJ$2&gt;=VALUE(t_Parts[[SOP]:[SOP]]),AJ$2&lt;=VALUE(t_Parts[[EOP]:[EOP]])), t_Parts[[SetupHrsPerMo]:[SetupHrsPerMo]]+(t_Parts[[#This Row],[pv2015.07]]/t_Parts[[NetPPH]:[NetPPH]]),0)</f>
        <v>125.96899224806202</v>
      </c>
      <c r="CQ15" s="43">
        <f>IF(AND(AK$2&gt;=VALUE(t_Parts[[SOP]:[SOP]]),AK$2&lt;=VALUE(t_Parts[[EOP]:[EOP]])), t_Parts[[SetupHrsPerMo]:[SetupHrsPerMo]]+(t_Parts[[#This Row],[pv2015.08]]/t_Parts[[NetPPH]:[NetPPH]]),0)</f>
        <v>125.96899224806202</v>
      </c>
      <c r="CR15" s="43">
        <f>IF(AND(AL$2&gt;=VALUE(t_Parts[[SOP]:[SOP]]),AL$2&lt;=VALUE(t_Parts[[EOP]:[EOP]])), t_Parts[[SetupHrsPerMo]:[SetupHrsPerMo]]+(t_Parts[[#This Row],[pv2015.09]]/t_Parts[[NetPPH]:[NetPPH]]),0)</f>
        <v>164.72868217054264</v>
      </c>
      <c r="CS15" s="43">
        <f>IF(AND(AM$2&gt;=VALUE(t_Parts[[SOP]:[SOP]]),AM$2&lt;=VALUE(t_Parts[[EOP]:[EOP]])), t_Parts[[SetupHrsPerMo]:[SetupHrsPerMo]]+(t_Parts[[#This Row],[pv2015.10]]/t_Parts[[NetPPH]:[NetPPH]]),0)</f>
        <v>125.96899224806202</v>
      </c>
      <c r="CT15" s="43">
        <f>IF(AND(AN$2&gt;=VALUE(t_Parts[[SOP]:[SOP]]),AN$2&lt;=VALUE(t_Parts[[EOP]:[EOP]])), t_Parts[[SetupHrsPerMo]:[SetupHrsPerMo]]+(t_Parts[[#This Row],[pv2015.11]]/t_Parts[[NetPPH]:[NetPPH]]),0)</f>
        <v>125.96899224806202</v>
      </c>
      <c r="CU15" s="43">
        <f>IF(AND(AO$2&gt;=VALUE(t_Parts[[SOP]:[SOP]]),AO$2&lt;=VALUE(t_Parts[[EOP]:[EOP]])), t_Parts[[SetupHrsPerMo]:[SetupHrsPerMo]]+(t_Parts[[#This Row],[pv2015.12]]/t_Parts[[NetPPH]:[NetPPH]]),0)</f>
        <v>164.72868217054264</v>
      </c>
      <c r="CV15" s="20">
        <f>SUM(t_Parts[[#This Row],[hp2015.01]:[hp2015.12]])</f>
        <v>1666.666666666667</v>
      </c>
      <c r="CW15" s="20">
        <f>IF(AND(AQ$2&gt;=VALUE(t_Parts[[SOP]:[SOP]]),AQ$2&lt;=VALUE(t_Parts[[EOP]:[EOP]])), t_Parts[[SetupHrsPerMo]:[SetupHrsPerMo]]+(t_Parts[[#This Row],[pv2016.01]]/t_Parts[[NetPPH]:[NetPPH]]),0)</f>
        <v>0</v>
      </c>
      <c r="CX15" s="20">
        <f>IF(AND(AR$2&gt;=VALUE(t_Parts[[SOP]:[SOP]]),AR$2&lt;=VALUE(t_Parts[[EOP]:[EOP]])), t_Parts[[SetupHrsPerMo]:[SetupHrsPerMo]]+(t_Parts[[#This Row],[pv2016.02]]/t_Parts[[NetPPH]:[NetPPH]]),0)</f>
        <v>0</v>
      </c>
      <c r="CY15" s="20">
        <f>IF(AND(AS$2&gt;=VALUE(t_Parts[[SOP]:[SOP]]),AS$2&lt;=VALUE(t_Parts[[EOP]:[EOP]])), t_Parts[[SetupHrsPerMo]:[SetupHrsPerMo]]+(t_Parts[[#This Row],[pv2016.03]]/t_Parts[[NetPPH]:[NetPPH]]),0)</f>
        <v>0</v>
      </c>
      <c r="CZ15" s="20">
        <f>IF(AND(AT$2&gt;=VALUE(t_Parts[[SOP]:[SOP]]),AT$2&lt;=VALUE(t_Parts[[EOP]:[EOP]])), t_Parts[[SetupHrsPerMo]:[SetupHrsPerMo]]+(t_Parts[[#This Row],[pv2016.04]]/t_Parts[[NetPPH]:[NetPPH]]),0)</f>
        <v>0</v>
      </c>
      <c r="DA15" s="20">
        <f>IF(AND(AU$2&gt;=VALUE(t_Parts[[SOP]:[SOP]]),AU$2&lt;=VALUE(t_Parts[[EOP]:[EOP]])), t_Parts[[SetupHrsPerMo]:[SetupHrsPerMo]]+(t_Parts[[#This Row],[pv2016.05]]/t_Parts[[NetPPH]:[NetPPH]]),0)</f>
        <v>0</v>
      </c>
      <c r="DB15" s="20">
        <f>IF(AND(AV$2&gt;=VALUE(t_Parts[[SOP]:[SOP]]),AV$2&lt;=VALUE(t_Parts[[EOP]:[EOP]])), t_Parts[[SetupHrsPerMo]:[SetupHrsPerMo]]+(t_Parts[[#This Row],[pv2016.06]]/t_Parts[[NetPPH]:[NetPPH]]),0)</f>
        <v>0</v>
      </c>
      <c r="DC15" s="20">
        <f>IF(AND(AW$2&gt;=VALUE(t_Parts[[SOP]:[SOP]]),AW$2&lt;=VALUE(t_Parts[[EOP]:[EOP]])), t_Parts[[SetupHrsPerMo]:[SetupHrsPerMo]]+(t_Parts[[#This Row],[pv2016.07]]/t_Parts[[NetPPH]:[NetPPH]]),0)</f>
        <v>0</v>
      </c>
      <c r="DD15" s="20">
        <f>IF(AND(AX$2&gt;=VALUE(t_Parts[[SOP]:[SOP]]),AX$2&lt;=VALUE(t_Parts[[EOP]:[EOP]])), t_Parts[[SetupHrsPerMo]:[SetupHrsPerMo]]+(t_Parts[[#This Row],[pv2016.08]]/t_Parts[[NetPPH]:[NetPPH]]),0)</f>
        <v>0</v>
      </c>
      <c r="DE15" s="20">
        <f>IF(AND(AY$2&gt;=VALUE(t_Parts[[SOP]:[SOP]]),AY$2&lt;=VALUE(t_Parts[[EOP]:[EOP]])), t_Parts[[SetupHrsPerMo]:[SetupHrsPerMo]]+(t_Parts[[#This Row],[pv2016.09]]/t_Parts[[NetPPH]:[NetPPH]]),0)</f>
        <v>0</v>
      </c>
      <c r="DF15" s="20">
        <f>IF(AND(AZ$2&gt;=VALUE(t_Parts[[SOP]:[SOP]]),AZ$2&lt;=VALUE(t_Parts[[EOP]:[EOP]])), t_Parts[[SetupHrsPerMo]:[SetupHrsPerMo]]+(t_Parts[[#This Row],[pv2016.10]]/t_Parts[[NetPPH]:[NetPPH]]),0)</f>
        <v>0</v>
      </c>
      <c r="DG15" s="20">
        <f>IF(AND(BA$2&gt;=VALUE(t_Parts[[SOP]:[SOP]]),BA$2&lt;=VALUE(t_Parts[[EOP]:[EOP]])), t_Parts[[SetupHrsPerMo]:[SetupHrsPerMo]]+(t_Parts[[#This Row],[pv2016.11]]/t_Parts[[NetPPH]:[NetPPH]]),0)</f>
        <v>0</v>
      </c>
      <c r="DH15" s="20">
        <f>IF(AND(BB$2&gt;=VALUE(t_Parts[[SOP]:[SOP]]),BB$2&lt;=VALUE(t_Parts[[EOP]:[EOP]])),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IF(AND(BD$2&gt;=VALUE(t_Parts[[SOP]:[SOP]]),BD$2&lt;=VALUE(t_Parts[[EOP]:[EOP]])), 12*t_Parts[[SetupHrsPerMo]:[SetupHrsPerMo]]+(t_Parts[[#This Row],[pv2017]]/t_Parts[[NetPPH]:[NetPPH]]),0)</f>
        <v>0</v>
      </c>
      <c r="DK15" s="20">
        <f>IF(AND(BE$2&gt;=VALUE(t_Parts[[SOP]:[SOP]]),BE$2&lt;=VALUE(t_Parts[[EOP]:[EOP]])), 12*t_Parts[[SetupHrsPerMo]:[SetupHrsPerMo]]+(t_Parts[[#This Row],[pv2018]]/t_Parts[[NetPPH]:[NetPPH]]),0)</f>
        <v>0</v>
      </c>
      <c r="DL15" s="20">
        <f>IF(AND(BF$2&gt;=VALUE(t_Parts[[SOP]:[SOP]]),BF$2&lt;=VALUE(t_Parts[[EOP]:[EOP]])), 12*t_Parts[[SetupHrsPerMo]:[SetupHrsPerMo]]+(t_Parts[[#This Row],[pv2019]]/t_Parts[[NetPPH]:[NetPPH]]),0)</f>
        <v>0</v>
      </c>
      <c r="DM15" s="57">
        <f>t_Parts[[#This Row],[hp2015.01]]/t_Parts[[#This Row],[ha2015.01]]</f>
        <v>0.60562015503875977</v>
      </c>
      <c r="DN15" s="57">
        <f>t_Parts[[#This Row],[hp2015.02]]/t_Parts[[#This Row],[ha2015.02]]</f>
        <v>0.60562015503875977</v>
      </c>
      <c r="DO15" s="57">
        <f>t_Parts[[#This Row],[hp2015.03]]/t_Parts[[#This Row],[ha2015.03]]</f>
        <v>0.60562015503875966</v>
      </c>
      <c r="DP15" s="57">
        <f>t_Parts[[#This Row],[hp2015.04]]/t_Parts[[#This Row],[ha2015.04]]</f>
        <v>0.60562015503875977</v>
      </c>
      <c r="DQ15" s="57">
        <f>t_Parts[[#This Row],[hp2015.05]]/t_Parts[[#This Row],[ha2015.05]]</f>
        <v>0.60562015503875977</v>
      </c>
      <c r="DR15" s="57">
        <f>t_Parts[[#This Row],[hp2015.06]]/t_Parts[[#This Row],[ha2015.06]]</f>
        <v>0.60562015503875966</v>
      </c>
      <c r="DS15" s="57">
        <f>t_Parts[[#This Row],[hp2015.07]]/t_Parts[[#This Row],[ha2015.07]]</f>
        <v>0.60562015503875977</v>
      </c>
      <c r="DT15" s="57">
        <f>t_Parts[[#This Row],[hp2015.08]]/t_Parts[[#This Row],[ha2015.08]]</f>
        <v>0.60562015503875977</v>
      </c>
      <c r="DU15" s="57">
        <f>t_Parts[[#This Row],[hp2015.09]]/t_Parts[[#This Row],[ha2015.09]]</f>
        <v>0.60562015503875966</v>
      </c>
      <c r="DV15" s="57">
        <f>t_Parts[[#This Row],[hp2015.10]]/t_Parts[[#This Row],[ha2015.10]]</f>
        <v>0.60562015503875977</v>
      </c>
      <c r="DW15" s="57">
        <f>t_Parts[[#This Row],[hp2015.11]]/t_Parts[[#This Row],[ha2015.11]]</f>
        <v>0.60562015503875977</v>
      </c>
      <c r="DX15" s="57">
        <f>t_Parts[[#This Row],[hp2015.12]]/t_Parts[[#This Row],[ha2015.12]]</f>
        <v>0.60562015503875966</v>
      </c>
      <c r="DY15" s="57">
        <f>t_Parts[[#This Row],[hp2015.FY]]/t_Parts[[#This Row],[ha2015.FY]]</f>
        <v>0.60562015503875977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4921.8604651162786</v>
      </c>
      <c r="EQ15" s="68">
        <f>(t_Parts[[#This Row],[ha2015.02]]-t_Parts[[#This Row],[hp2015.02]])*t_Parts[[NetPPH]:[NetPPH]]</f>
        <v>4921.8604651162786</v>
      </c>
      <c r="ER15" s="68">
        <f>(t_Parts[[#This Row],[ha2015.03]]-t_Parts[[#This Row],[hp2015.03]])*t_Parts[[NetPPH]:[NetPPH]]</f>
        <v>6436.2790697674418</v>
      </c>
      <c r="ES15" s="68">
        <f>(t_Parts[[#This Row],[ha2015.04]]-t_Parts[[#This Row],[hp2015.04]])*t_Parts[[NetPPH]:[NetPPH]]</f>
        <v>4921.8604651162786</v>
      </c>
      <c r="ET15" s="68">
        <f>(t_Parts[[#This Row],[ha2015.05]]-t_Parts[[#This Row],[hp2015.05]])*t_Parts[[NetPPH]:[NetPPH]]</f>
        <v>4921.8604651162786</v>
      </c>
      <c r="EU15" s="68">
        <f>(t_Parts[[#This Row],[ha2015.06]]-t_Parts[[#This Row],[hp2015.06]])*t_Parts[[NetPPH]:[NetPPH]]</f>
        <v>6436.2790697674418</v>
      </c>
      <c r="EV15" s="68">
        <f>(t_Parts[[#This Row],[ha2015.07]]-t_Parts[[#This Row],[hp2015.07]])*t_Parts[[NetPPH]:[NetPPH]]</f>
        <v>4921.8604651162786</v>
      </c>
      <c r="EW15" s="68">
        <f>(t_Parts[[#This Row],[ha2015.08]]-t_Parts[[#This Row],[hp2015.08]])*t_Parts[[NetPPH]:[NetPPH]]</f>
        <v>4921.8604651162786</v>
      </c>
      <c r="EX15" s="68">
        <f>(t_Parts[[#This Row],[ha2015.09]]-t_Parts[[#This Row],[hp2015.09]])*t_Parts[[NetPPH]:[NetPPH]]</f>
        <v>6436.2790697674418</v>
      </c>
      <c r="EY15" s="68">
        <f>(t_Parts[[#This Row],[ha2015.10]]-t_Parts[[#This Row],[hp2015.10]])*t_Parts[[NetPPH]:[NetPPH]]</f>
        <v>4921.8604651162786</v>
      </c>
      <c r="EZ15" s="68">
        <f>(t_Parts[[#This Row],[ha2015.11]]-t_Parts[[#This Row],[hp2015.11]])*t_Parts[[NetPPH]:[NetPPH]]</f>
        <v>4921.8604651162786</v>
      </c>
      <c r="FA15" s="68">
        <f>(t_Parts[[#This Row],[ha2015.12]]-t_Parts[[#This Row],[hp2015.12]])*t_Parts[[NetPPH]:[NetPPH]]</f>
        <v>6436.2790697674418</v>
      </c>
      <c r="FB15" s="68">
        <f>(t_Parts[[#This Row],[ha2015.FY]]-t_Parts[[#This Row],[hp2015.FY]])*t_Parts[[NetPPH]:[NetPPH]]</f>
        <v>65119.999999999985</v>
      </c>
      <c r="FC15" s="68">
        <f>(t_Parts[[#This Row],[ha2016.01]]-t_Parts[[#This Row],[hp2016.01]])*t_Parts[[NetPPH]:[NetPPH]]</f>
        <v>12480</v>
      </c>
      <c r="FD15" s="68">
        <f>(t_Parts[[#This Row],[ha2016.02]]-t_Parts[[#This Row],[hp2016.02]])*t_Parts[[NetPPH]:[NetPPH]]</f>
        <v>12480</v>
      </c>
      <c r="FE15" s="68">
        <f>(t_Parts[[#This Row],[ha2016.03]]-t_Parts[[#This Row],[hp2016.03]])*t_Parts[[NetPPH]:[NetPPH]]</f>
        <v>16320</v>
      </c>
      <c r="FF15" s="68">
        <f>(t_Parts[[#This Row],[ha2016.04]]-t_Parts[[#This Row],[hp2016.04]])*t_Parts[[NetPPH]:[NetPPH]]</f>
        <v>12480</v>
      </c>
      <c r="FG15" s="68">
        <f>(t_Parts[[#This Row],[ha2016.05]]-t_Parts[[#This Row],[hp2016.05]])*t_Parts[[NetPPH]:[NetPPH]]</f>
        <v>12480</v>
      </c>
      <c r="FH15" s="68">
        <f>(t_Parts[[#This Row],[ha2016.06]]-t_Parts[[#This Row],[hp2016.06]])*t_Parts[[NetPPH]:[NetPPH]]</f>
        <v>16320</v>
      </c>
      <c r="FI15" s="68">
        <f>(t_Parts[[#This Row],[ha2016.07]]-t_Parts[[#This Row],[hp2016.07]])*t_Parts[[NetPPH]:[NetPPH]]</f>
        <v>12480</v>
      </c>
      <c r="FJ15" s="68">
        <f>(t_Parts[[#This Row],[ha2016.08]]-t_Parts[[#This Row],[hp2016.08]])*t_Parts[[NetPPH]:[NetPPH]]</f>
        <v>12480</v>
      </c>
      <c r="FK15" s="68">
        <f>(t_Parts[[#This Row],[ha2016.09]]-t_Parts[[#This Row],[hp2016.09]])*t_Parts[[NetPPH]:[NetPPH]]</f>
        <v>16320</v>
      </c>
      <c r="FL15" s="68">
        <f>(t_Parts[[#This Row],[ha2016.10]]-t_Parts[[#This Row],[hp2016.10]])*t_Parts[[NetPPH]:[NetPPH]]</f>
        <v>12480</v>
      </c>
      <c r="FM15" s="68">
        <f>(t_Parts[[#This Row],[ha2016.11]]-t_Parts[[#This Row],[hp2016.11]])*t_Parts[[NetPPH]:[NetPPH]]</f>
        <v>12480</v>
      </c>
      <c r="FN15" s="68">
        <f>(t_Parts[[#This Row],[ha2016.12]]-t_Parts[[#This Row],[hp2016.12]])*t_Parts[[NetPPH]:[NetPPH]]</f>
        <v>16320</v>
      </c>
      <c r="FO15" s="68">
        <f>(t_Parts[[#This Row],[ha2016.FY]]-t_Parts[[#This Row],[hp2016.FY]])*t_Parts[[NetPPH]:[NetPPH]]</f>
        <v>165120</v>
      </c>
      <c r="FP15" s="68">
        <f>(t_Parts[[#This Row],[ha2017]]-t_Parts[[#This Row],[hp2017]])*t_Parts[[NetPPH]:[NetPPH]]</f>
        <v>165120</v>
      </c>
      <c r="FQ15" s="68">
        <f>(t_Parts[[#This Row],[ha2018]]-t_Parts[[#This Row],[hp2018]])*t_Parts[[NetPPH]:[NetPPH]]</f>
        <v>165120</v>
      </c>
      <c r="FR15" s="68">
        <f>(t_Parts[[#This Row],[ha2019]]-t_Parts[[#This Row],[hp2019]])*t_Parts[[NetPPH]:[NetPPH]]</f>
        <v>165120</v>
      </c>
    </row>
    <row r="16" spans="1:174" x14ac:dyDescent="0.25">
      <c r="B16" s="16"/>
      <c r="K16" s="20"/>
      <c r="L16" s="25"/>
      <c r="M16" s="20"/>
      <c r="N16" s="26"/>
      <c r="O16" s="16"/>
      <c r="P16" s="27"/>
      <c r="S16" s="20"/>
      <c r="T16" s="25"/>
      <c r="AB16" s="15"/>
      <c r="AC16" s="20"/>
      <c r="AE16" s="20"/>
      <c r="AH16" s="20"/>
      <c r="AI16" s="20"/>
      <c r="AL16" s="15"/>
      <c r="AM16" s="15"/>
      <c r="AO16" s="15"/>
      <c r="AP16" s="20"/>
      <c r="AQ16" s="20"/>
      <c r="AR16" s="26"/>
      <c r="AS16" s="25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</row>
    <row r="17" spans="1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1:174" x14ac:dyDescent="0.25">
      <c r="B18" s="16" t="s">
        <v>457</v>
      </c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1:174" x14ac:dyDescent="0.25">
      <c r="A19" s="16">
        <v>3</v>
      </c>
      <c r="B19" s="16" t="s">
        <v>453</v>
      </c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1:174" x14ac:dyDescent="0.25">
      <c r="B20" s="16" t="s">
        <v>454</v>
      </c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1:174" x14ac:dyDescent="0.25">
      <c r="B21" s="16" t="s">
        <v>455</v>
      </c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1:174" x14ac:dyDescent="0.25">
      <c r="B22" s="16" t="s">
        <v>456</v>
      </c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1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1:174" x14ac:dyDescent="0.25">
      <c r="B24" s="16" t="s">
        <v>461</v>
      </c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1:174" x14ac:dyDescent="0.25">
      <c r="B25" s="16" t="s">
        <v>462</v>
      </c>
    </row>
    <row r="26" spans="1:174" x14ac:dyDescent="0.25">
      <c r="B26" s="16" t="s">
        <v>458</v>
      </c>
    </row>
    <row r="27" spans="1:174" x14ac:dyDescent="0.25">
      <c r="B27" s="16" t="s">
        <v>459</v>
      </c>
    </row>
    <row r="28" spans="1:174" x14ac:dyDescent="0.25">
      <c r="B28" s="16" t="s">
        <v>460</v>
      </c>
    </row>
  </sheetData>
  <dataValidations count="2">
    <dataValidation type="list" showInputMessage="1" showErrorMessage="1" sqref="B5:B15">
      <formula1>list_Presses</formula1>
    </dataValidation>
    <dataValidation type="list" allowBlank="1" showInputMessage="1" showErrorMessage="1" sqref="G5:H15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Drop Down 11">
              <controlPr defaultSize="0" autoLine="0" autoPict="0">
                <anchor moveWithCells="1">
                  <from>
                    <xdr:col>0</xdr:col>
                    <xdr:colOff>47625</xdr:colOff>
                    <xdr:row>16</xdr:row>
                    <xdr:rowOff>9525</xdr:rowOff>
                  </from>
                  <to>
                    <xdr:col>0</xdr:col>
                    <xdr:colOff>981075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4"/>
  <sheetViews>
    <sheetView workbookViewId="0">
      <selection activeCell="A9" sqref="A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464</v>
      </c>
    </row>
    <row r="2" spans="1:1" x14ac:dyDescent="0.25">
      <c r="A2" s="16" t="s">
        <v>472</v>
      </c>
    </row>
    <row r="3" spans="1:1" x14ac:dyDescent="0.25">
      <c r="A3" t="s">
        <v>471</v>
      </c>
    </row>
    <row r="4" spans="1:1" x14ac:dyDescent="0.25">
      <c r="A4" s="16" t="s">
        <v>31</v>
      </c>
    </row>
    <row r="5" spans="1:1" x14ac:dyDescent="0.25">
      <c r="A5" s="16" t="s">
        <v>473</v>
      </c>
    </row>
    <row r="6" spans="1:1" x14ac:dyDescent="0.25">
      <c r="A6" s="16" t="s">
        <v>187</v>
      </c>
    </row>
    <row r="7" spans="1:1" x14ac:dyDescent="0.25">
      <c r="A7" s="16" t="s">
        <v>474</v>
      </c>
    </row>
    <row r="8" spans="1:1" x14ac:dyDescent="0.25">
      <c r="A8" s="16" t="s">
        <v>475</v>
      </c>
    </row>
    <row r="9" spans="1:1" x14ac:dyDescent="0.25">
      <c r="A9" s="16" t="s">
        <v>465</v>
      </c>
    </row>
    <row r="10" spans="1:1" x14ac:dyDescent="0.25">
      <c r="A10" t="s">
        <v>467</v>
      </c>
    </row>
    <row r="11" spans="1:1" x14ac:dyDescent="0.25">
      <c r="A11" s="16" t="s">
        <v>466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26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2015-03-19T16:13:21Z</dcterms:modified>
</cp:coreProperties>
</file>