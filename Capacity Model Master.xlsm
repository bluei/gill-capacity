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1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functionGroups builtInGroupCount="17"/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Parts!$N:$V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t_TonnageViews[Tonnage View Options]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Parts!$C:$V,Parts!$Y:$FS</definedName>
    <definedName name="vr_PaAnnSummary">Parts!$G:$M,Parts!$W:$W,Parts!$DZ:$DZ,Parts!$EM:$EP,Parts!$FC:$FC,Parts!$FP:$FS</definedName>
    <definedName name="vr_PaAnnVol">Parts!$AQ:$AQ,Parts!$BD:$BG,Parts!$W:$W</definedName>
    <definedName name="vr_PaDie">Parts!$N:$U,Parts!$W:$W</definedName>
    <definedName name="vr_PaHitsAnn">Parts!$FP:$FS,Parts!$FC:$FC,Parts!$W:$W</definedName>
    <definedName name="vr_PaHitsYr1">Parts!$EQ:$FC,Parts!$W:$W</definedName>
    <definedName name="vr_PaHitsYr2">Parts!$FD:$FP,Parts!$W:$W</definedName>
    <definedName name="vr_PaHrsAvail">Parts!$BH:$CJ,Parts!$W:$W</definedName>
    <definedName name="vr_PaHrsPlanned">Parts!$CK:$DM,Parts!$W:$W</definedName>
    <definedName name="vr_PaMfg">Parts!$C:$F,Parts!$W:$AD,Parts!$W:$W</definedName>
    <definedName name="vr_PaUtilAnn">Parts!$EM:$EP,Parts!$DZ:$DZ,Parts!$W:$W</definedName>
    <definedName name="vr_PaUtilYr1">Parts!$DN:$DZ,Parts!$W:$W</definedName>
    <definedName name="vr_PaUtilYr2">Parts!$EA:$EM,Parts!$W:$W</definedName>
    <definedName name="vr_PaVolYr1">Parts!$AE:$AQ,Parts!$W:$W</definedName>
    <definedName name="vr_PaVolYr2">Parts!$AR:$BD,Parts!$W:$W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  <definedName name="vr_TrAll">Tonnage!$D:$CL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AC17" i="6" l="1"/>
  <c r="AE17" i="6"/>
  <c r="AF17" i="6"/>
  <c r="AG17" i="6"/>
  <c r="AH17" i="6"/>
  <c r="AI17" i="6"/>
  <c r="AJ17" i="6"/>
  <c r="AK17" i="6"/>
  <c r="AL17" i="6"/>
  <c r="AM17" i="6"/>
  <c r="AN17" i="6"/>
  <c r="AO17" i="6"/>
  <c r="AP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E17" i="6"/>
  <c r="BF17" i="6"/>
  <c r="BG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K17" i="6"/>
  <c r="DL17" i="6"/>
  <c r="DM17" i="6"/>
  <c r="EP17" i="6" s="1"/>
  <c r="BD17" i="6" l="1"/>
  <c r="AQ17" i="6"/>
  <c r="CW17" i="6"/>
  <c r="DJ17" i="6"/>
  <c r="A1" i="2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L7" i="6"/>
  <c r="DM7" i="6"/>
  <c r="DL8" i="6"/>
  <c r="DM8" i="6"/>
  <c r="DL9" i="6"/>
  <c r="DM9" i="6"/>
  <c r="DL11" i="6"/>
  <c r="DM11" i="6"/>
  <c r="DL12" i="6"/>
  <c r="DM12" i="6"/>
  <c r="DL13" i="6"/>
  <c r="DM13" i="6"/>
  <c r="DL15" i="6"/>
  <c r="DM15" i="6"/>
  <c r="DL10" i="6"/>
  <c r="DM10" i="6"/>
  <c r="DL14" i="6"/>
  <c r="DM14" i="6"/>
  <c r="DL16" i="6"/>
  <c r="BK13" i="3" s="1"/>
  <c r="EQ6" i="2" s="1"/>
  <c r="DM16" i="6"/>
  <c r="BL13" i="3" s="1"/>
  <c r="ER6" i="2" s="1"/>
  <c r="DK7" i="6"/>
  <c r="DK8" i="6"/>
  <c r="DK9" i="6"/>
  <c r="DK11" i="6"/>
  <c r="DK12" i="6"/>
  <c r="DK13" i="6"/>
  <c r="DK15" i="6"/>
  <c r="DK10" i="6"/>
  <c r="DK14" i="6"/>
  <c r="DK16" i="6"/>
  <c r="BJ13" i="3" s="1"/>
  <c r="EP6" i="2" s="1"/>
  <c r="CX7" i="6"/>
  <c r="CY7" i="6"/>
  <c r="CZ7" i="6"/>
  <c r="DA7" i="6"/>
  <c r="DB7" i="6"/>
  <c r="DC7" i="6"/>
  <c r="DD7" i="6"/>
  <c r="DE7" i="6"/>
  <c r="DF7" i="6"/>
  <c r="DG7" i="6"/>
  <c r="DH7" i="6"/>
  <c r="DI7" i="6"/>
  <c r="CX8" i="6"/>
  <c r="CY8" i="6"/>
  <c r="CZ8" i="6"/>
  <c r="DA8" i="6"/>
  <c r="DB8" i="6"/>
  <c r="DC8" i="6"/>
  <c r="DD8" i="6"/>
  <c r="DE8" i="6"/>
  <c r="DF8" i="6"/>
  <c r="DG8" i="6"/>
  <c r="DH8" i="6"/>
  <c r="DI8" i="6"/>
  <c r="CX9" i="6"/>
  <c r="CY9" i="6"/>
  <c r="CZ9" i="6"/>
  <c r="DA9" i="6"/>
  <c r="DB9" i="6"/>
  <c r="DC9" i="6"/>
  <c r="DD9" i="6"/>
  <c r="DE9" i="6"/>
  <c r="DF9" i="6"/>
  <c r="DG9" i="6"/>
  <c r="DH9" i="6"/>
  <c r="DI9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CX16" i="6"/>
  <c r="AW13" i="3" s="1"/>
  <c r="EC6" i="2" s="1"/>
  <c r="CY16" i="6"/>
  <c r="AX13" i="3" s="1"/>
  <c r="ED6" i="2" s="1"/>
  <c r="CZ16" i="6"/>
  <c r="AY13" i="3" s="1"/>
  <c r="EE6" i="2" s="1"/>
  <c r="DA16" i="6"/>
  <c r="AZ13" i="3" s="1"/>
  <c r="EF6" i="2" s="1"/>
  <c r="DB16" i="6"/>
  <c r="BA13" i="3" s="1"/>
  <c r="EG6" i="2" s="1"/>
  <c r="DC16" i="6"/>
  <c r="BB13" i="3" s="1"/>
  <c r="EH6" i="2" s="1"/>
  <c r="DD16" i="6"/>
  <c r="BC13" i="3" s="1"/>
  <c r="EI6" i="2" s="1"/>
  <c r="DE16" i="6"/>
  <c r="BD13" i="3" s="1"/>
  <c r="EJ6" i="2" s="1"/>
  <c r="DF16" i="6"/>
  <c r="BE13" i="3" s="1"/>
  <c r="EK6" i="2" s="1"/>
  <c r="DG16" i="6"/>
  <c r="BF13" i="3" s="1"/>
  <c r="EL6" i="2" s="1"/>
  <c r="DH16" i="6"/>
  <c r="BG13" i="3" s="1"/>
  <c r="EM6" i="2" s="1"/>
  <c r="DI16" i="6"/>
  <c r="BH13" i="3" s="1"/>
  <c r="EN6" i="2" s="1"/>
  <c r="BE7" i="6"/>
  <c r="BF7" i="6"/>
  <c r="BG7" i="6"/>
  <c r="BE8" i="6"/>
  <c r="BF8" i="6"/>
  <c r="BG8" i="6"/>
  <c r="BE9" i="6"/>
  <c r="BF9" i="6"/>
  <c r="BG9" i="6"/>
  <c r="BE11" i="6"/>
  <c r="BF11" i="6"/>
  <c r="BG11" i="6"/>
  <c r="BE12" i="6"/>
  <c r="BF12" i="6"/>
  <c r="BG12" i="6"/>
  <c r="BE13" i="6"/>
  <c r="BF13" i="6"/>
  <c r="BG13" i="6"/>
  <c r="BE15" i="6"/>
  <c r="BF15" i="6"/>
  <c r="BG15" i="6"/>
  <c r="BE10" i="6"/>
  <c r="BF10" i="6"/>
  <c r="BG10" i="6"/>
  <c r="BE14" i="6"/>
  <c r="BF14" i="6"/>
  <c r="BG14" i="6"/>
  <c r="BE16" i="6"/>
  <c r="BF16" i="6"/>
  <c r="BG16" i="6"/>
  <c r="BF6" i="6"/>
  <c r="BG6" i="6"/>
  <c r="BE6" i="6"/>
  <c r="AR7" i="6"/>
  <c r="AS7" i="6"/>
  <c r="AT7" i="6"/>
  <c r="AU7" i="6"/>
  <c r="AV7" i="6"/>
  <c r="AW7" i="6"/>
  <c r="AX7" i="6"/>
  <c r="AY7" i="6"/>
  <c r="AZ7" i="6"/>
  <c r="BA7" i="6"/>
  <c r="BB7" i="6"/>
  <c r="BC7" i="6"/>
  <c r="AR8" i="6"/>
  <c r="AS8" i="6"/>
  <c r="AT8" i="6"/>
  <c r="AU8" i="6"/>
  <c r="AV8" i="6"/>
  <c r="AW8" i="6"/>
  <c r="AX8" i="6"/>
  <c r="AY8" i="6"/>
  <c r="AZ8" i="6"/>
  <c r="BA8" i="6"/>
  <c r="BB8" i="6"/>
  <c r="BC8" i="6"/>
  <c r="AR9" i="6"/>
  <c r="AS9" i="6"/>
  <c r="AT9" i="6"/>
  <c r="AU9" i="6"/>
  <c r="AV9" i="6"/>
  <c r="AW9" i="6"/>
  <c r="AX9" i="6"/>
  <c r="AY9" i="6"/>
  <c r="AZ9" i="6"/>
  <c r="BA9" i="6"/>
  <c r="BB9" i="6"/>
  <c r="BC9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J16" i="6"/>
  <c r="BI13" i="3" s="1"/>
  <c r="EO6" i="2" s="1"/>
  <c r="DJ14" i="6"/>
  <c r="DJ10" i="6"/>
  <c r="DJ15" i="6"/>
  <c r="DJ13" i="6"/>
  <c r="DJ12" i="6"/>
  <c r="DJ11" i="6"/>
  <c r="DJ9" i="6"/>
  <c r="DJ8" i="6"/>
  <c r="DJ7" i="6"/>
  <c r="BD16" i="6"/>
  <c r="BD14" i="6"/>
  <c r="BD10" i="6"/>
  <c r="BD15" i="6"/>
  <c r="BD13" i="6"/>
  <c r="BD12" i="6"/>
  <c r="BD11" i="6"/>
  <c r="BD9" i="6"/>
  <c r="BD8" i="6"/>
  <c r="BD7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C1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B6" i="6"/>
  <c r="AC14" i="6"/>
  <c r="AC10" i="6"/>
  <c r="AC15" i="6"/>
  <c r="AC9" i="6"/>
  <c r="CF18" i="3" l="1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B16" i="6"/>
  <c r="AD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C5" i="9" l="1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BW8" i="9" s="1"/>
  <c r="AB7" i="9"/>
  <c r="T7" i="9"/>
  <c r="Z7" i="9"/>
  <c r="CF7" i="9" s="1"/>
  <c r="Y7" i="9"/>
  <c r="AA7" i="9"/>
  <c r="CG7" i="9" s="1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AU6" i="9"/>
  <c r="AY6" i="9"/>
  <c r="AT6" i="9"/>
  <c r="BF6" i="9"/>
  <c r="AW7" i="9"/>
  <c r="BA7" i="9"/>
  <c r="BE7" i="9"/>
  <c r="BI7" i="9"/>
  <c r="AU8" i="9"/>
  <c r="BB8" i="9"/>
  <c r="BF8" i="9"/>
  <c r="BH8" i="9"/>
  <c r="CH6" i="9"/>
  <c r="BY8" i="9"/>
  <c r="BX7" i="9"/>
  <c r="CA7" i="9"/>
  <c r="CF8" i="9"/>
  <c r="CB8" i="9"/>
  <c r="CC6" i="9"/>
  <c r="CE7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EB9" i="2"/>
  <c r="EB8" i="2"/>
  <c r="J1" i="3"/>
  <c r="K1" i="3"/>
  <c r="L1" i="3"/>
  <c r="M1" i="3"/>
  <c r="N1" i="3"/>
  <c r="O1" i="3"/>
  <c r="P1" i="3"/>
  <c r="Q1" i="3"/>
  <c r="R1" i="3"/>
  <c r="S1" i="3"/>
  <c r="AC6" i="6"/>
  <c r="AC7" i="6"/>
  <c r="AC8" i="6"/>
  <c r="AC11" i="6"/>
  <c r="AC12" i="6"/>
  <c r="AC13" i="6"/>
  <c r="BZ7" i="9" l="1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D6" i="6" l="1"/>
  <c r="B1" i="3"/>
  <c r="D1" i="3"/>
  <c r="E1" i="3"/>
  <c r="F1" i="3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X16" i="6" l="1"/>
  <c r="X17" i="6"/>
  <c r="W16" i="6"/>
  <c r="CJ16" i="6" s="1"/>
  <c r="FS16" i="6" s="1"/>
  <c r="W17" i="6"/>
  <c r="Z16" i="6"/>
  <c r="Z17" i="6"/>
  <c r="X12" i="6"/>
  <c r="X6" i="6"/>
  <c r="DK6" i="6"/>
  <c r="BJ10" i="3" s="1"/>
  <c r="BG5" i="9" s="1"/>
  <c r="CJ5" i="9" s="1"/>
  <c r="DL6" i="6"/>
  <c r="BK10" i="3" s="1"/>
  <c r="BH5" i="9" s="1"/>
  <c r="CK5" i="9" s="1"/>
  <c r="DM6" i="6"/>
  <c r="BL10" i="3" s="1"/>
  <c r="BI5" i="9" s="1"/>
  <c r="CL5" i="9" s="1"/>
  <c r="CI16" i="6"/>
  <c r="CG16" i="6"/>
  <c r="BU16" i="6"/>
  <c r="CC16" i="6"/>
  <c r="BV16" i="6"/>
  <c r="BZ16" i="6"/>
  <c r="BW16" i="6"/>
  <c r="CA16" i="6"/>
  <c r="CE16" i="6"/>
  <c r="CB16" i="6"/>
  <c r="CF16" i="6"/>
  <c r="Y1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H1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Q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M16" i="6"/>
  <c r="L26" i="3"/>
  <c r="BR26" i="3" s="1"/>
  <c r="L23" i="3"/>
  <c r="BR23" i="3" s="1"/>
  <c r="L24" i="3"/>
  <c r="BR24" i="3" s="1"/>
  <c r="L21" i="3"/>
  <c r="BR21" i="3" s="1"/>
  <c r="BI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P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L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S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O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K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R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N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J16" i="6"/>
  <c r="I13" i="3"/>
  <c r="I29" i="3"/>
  <c r="BO29" i="3" s="1"/>
  <c r="I26" i="3"/>
  <c r="BO26" i="3" s="1"/>
  <c r="I23" i="3"/>
  <c r="BO23" i="3" s="1"/>
  <c r="I24" i="3"/>
  <c r="BO24" i="3" s="1"/>
  <c r="Z11" i="6"/>
  <c r="Z14" i="6"/>
  <c r="Z10" i="6"/>
  <c r="Z15" i="6"/>
  <c r="Z9" i="6"/>
  <c r="X9" i="6"/>
  <c r="X14" i="6"/>
  <c r="X10" i="6"/>
  <c r="X15" i="6"/>
  <c r="W7" i="6"/>
  <c r="CJ7" i="6" s="1"/>
  <c r="W10" i="6"/>
  <c r="CJ10" i="6" s="1"/>
  <c r="W9" i="6"/>
  <c r="CJ9" i="6" s="1"/>
  <c r="W14" i="6"/>
  <c r="CJ14" i="6" s="1"/>
  <c r="W15" i="6"/>
  <c r="CJ15" i="6" s="1"/>
  <c r="W12" i="6"/>
  <c r="CJ12" i="6" s="1"/>
  <c r="W6" i="6"/>
  <c r="CJ6" i="6" s="1"/>
  <c r="FS6" i="6" s="1"/>
  <c r="Z8" i="6"/>
  <c r="W11" i="6"/>
  <c r="CJ11" i="6" s="1"/>
  <c r="Z13" i="6"/>
  <c r="Z7" i="6"/>
  <c r="W8" i="6"/>
  <c r="CJ8" i="6" s="1"/>
  <c r="Z12" i="6"/>
  <c r="Z6" i="6"/>
  <c r="W13" i="6"/>
  <c r="CJ13" i="6" s="1"/>
  <c r="X11" i="6"/>
  <c r="X8" i="6"/>
  <c r="X13" i="6"/>
  <c r="X7" i="6"/>
  <c r="BV8" i="2"/>
  <c r="BV7" i="2"/>
  <c r="BV5" i="2"/>
  <c r="BV6" i="2"/>
  <c r="AI16" i="6" s="1"/>
  <c r="CO16" i="6" s="1"/>
  <c r="AN13" i="3" s="1"/>
  <c r="DT6" i="2" s="1"/>
  <c r="EW6" i="2" s="1"/>
  <c r="BV9" i="2"/>
  <c r="BM5" i="3"/>
  <c r="BX16" i="6" l="1"/>
  <c r="FG16" i="6" s="1"/>
  <c r="CD16" i="6"/>
  <c r="BY16" i="6"/>
  <c r="CH16" i="6"/>
  <c r="Y17" i="6"/>
  <c r="AB17" i="6" s="1"/>
  <c r="AD17" i="6" s="1"/>
  <c r="BK17" i="6"/>
  <c r="BO17" i="6"/>
  <c r="BS17" i="6"/>
  <c r="BW17" i="6"/>
  <c r="CA17" i="6"/>
  <c r="CE17" i="6"/>
  <c r="CI17" i="6"/>
  <c r="BH17" i="6"/>
  <c r="BL17" i="6"/>
  <c r="BP17" i="6"/>
  <c r="BX17" i="6"/>
  <c r="CB17" i="6"/>
  <c r="CF17" i="6"/>
  <c r="CJ17" i="6"/>
  <c r="BI17" i="6"/>
  <c r="BM17" i="6"/>
  <c r="BQ17" i="6"/>
  <c r="BU17" i="6"/>
  <c r="BY17" i="6"/>
  <c r="CC17" i="6"/>
  <c r="CG17" i="6"/>
  <c r="BJ17" i="6"/>
  <c r="BN17" i="6"/>
  <c r="BR17" i="6"/>
  <c r="BV17" i="6"/>
  <c r="BZ17" i="6"/>
  <c r="CD17" i="6"/>
  <c r="CH17" i="6"/>
  <c r="CN10" i="3"/>
  <c r="EQ7" i="2"/>
  <c r="FT7" i="2" s="1"/>
  <c r="CM10" i="3"/>
  <c r="EP7" i="2"/>
  <c r="FS7" i="2" s="1"/>
  <c r="CO10" i="3"/>
  <c r="ER7" i="2"/>
  <c r="FU7" i="2" s="1"/>
  <c r="S5" i="3"/>
  <c r="ED16" i="6"/>
  <c r="EJ16" i="6"/>
  <c r="FM16" i="6"/>
  <c r="EE16" i="6"/>
  <c r="FH16" i="6"/>
  <c r="EN16" i="6"/>
  <c r="FQ16" i="6"/>
  <c r="EU16" i="6"/>
  <c r="EK16" i="6"/>
  <c r="FN16" i="6"/>
  <c r="EF16" i="6"/>
  <c r="FI16" i="6"/>
  <c r="EA16" i="6"/>
  <c r="FD16" i="6"/>
  <c r="EL16" i="6"/>
  <c r="FO16" i="6"/>
  <c r="EG16" i="6"/>
  <c r="FJ16" i="6"/>
  <c r="EB16" i="6"/>
  <c r="FE16" i="6"/>
  <c r="EM16" i="6"/>
  <c r="FP16" i="6"/>
  <c r="EH16" i="6"/>
  <c r="FK16" i="6"/>
  <c r="EC16" i="6"/>
  <c r="FF16" i="6"/>
  <c r="EI16" i="6"/>
  <c r="FL16" i="6"/>
  <c r="EO16" i="6"/>
  <c r="FR16" i="6"/>
  <c r="CG7" i="6"/>
  <c r="CH7" i="6"/>
  <c r="CI7" i="6"/>
  <c r="CG11" i="6"/>
  <c r="CH11" i="6"/>
  <c r="CI11" i="6"/>
  <c r="CH8" i="6"/>
  <c r="CI8" i="6"/>
  <c r="CG8" i="6"/>
  <c r="CG14" i="6"/>
  <c r="CH14" i="6"/>
  <c r="CI14" i="6"/>
  <c r="CH13" i="6"/>
  <c r="CI13" i="6"/>
  <c r="CG13" i="6"/>
  <c r="CI9" i="6"/>
  <c r="CG9" i="6"/>
  <c r="CH9" i="6"/>
  <c r="CI15" i="6"/>
  <c r="CG15" i="6"/>
  <c r="CH15" i="6"/>
  <c r="CG12" i="6"/>
  <c r="CH12" i="6"/>
  <c r="CI12" i="6"/>
  <c r="CG10" i="6"/>
  <c r="CH10" i="6"/>
  <c r="CI10" i="6"/>
  <c r="CG6" i="6"/>
  <c r="CH6" i="6"/>
  <c r="CI6" i="6"/>
  <c r="BU15" i="6"/>
  <c r="BY15" i="6"/>
  <c r="CC15" i="6"/>
  <c r="BV15" i="6"/>
  <c r="BZ15" i="6"/>
  <c r="CD15" i="6"/>
  <c r="BW15" i="6"/>
  <c r="CA15" i="6"/>
  <c r="CE15" i="6"/>
  <c r="BX15" i="6"/>
  <c r="CB15" i="6"/>
  <c r="CF15" i="6"/>
  <c r="BU7" i="6"/>
  <c r="BY7" i="6"/>
  <c r="CC7" i="6"/>
  <c r="BV7" i="6"/>
  <c r="BZ7" i="6"/>
  <c r="CD7" i="6"/>
  <c r="BW7" i="6"/>
  <c r="CA7" i="6"/>
  <c r="CE7" i="6"/>
  <c r="BX7" i="6"/>
  <c r="CB7" i="6"/>
  <c r="CF7" i="6"/>
  <c r="BU8" i="6"/>
  <c r="BY8" i="6"/>
  <c r="CC8" i="6"/>
  <c r="BV8" i="6"/>
  <c r="BZ8" i="6"/>
  <c r="CD8" i="6"/>
  <c r="BW8" i="6"/>
  <c r="CA8" i="6"/>
  <c r="CE8" i="6"/>
  <c r="BX8" i="6"/>
  <c r="CB8" i="6"/>
  <c r="CF8" i="6"/>
  <c r="BU14" i="6"/>
  <c r="BY14" i="6"/>
  <c r="CC14" i="6"/>
  <c r="BV14" i="6"/>
  <c r="BZ14" i="6"/>
  <c r="CD14" i="6"/>
  <c r="BW14" i="6"/>
  <c r="CA14" i="6"/>
  <c r="CE14" i="6"/>
  <c r="BX14" i="6"/>
  <c r="CB14" i="6"/>
  <c r="CF14" i="6"/>
  <c r="BU9" i="6"/>
  <c r="BY9" i="6"/>
  <c r="CC9" i="6"/>
  <c r="BV9" i="6"/>
  <c r="BZ9" i="6"/>
  <c r="CD9" i="6"/>
  <c r="BW9" i="6"/>
  <c r="CA9" i="6"/>
  <c r="CE9" i="6"/>
  <c r="BX9" i="6"/>
  <c r="CB9" i="6"/>
  <c r="CF9" i="6"/>
  <c r="BU13" i="6"/>
  <c r="BY13" i="6"/>
  <c r="CC13" i="6"/>
  <c r="BV13" i="6"/>
  <c r="BZ13" i="6"/>
  <c r="CD13" i="6"/>
  <c r="BW13" i="6"/>
  <c r="CA13" i="6"/>
  <c r="CE13" i="6"/>
  <c r="BX13" i="6"/>
  <c r="CB13" i="6"/>
  <c r="CF13" i="6"/>
  <c r="BU12" i="6"/>
  <c r="BY12" i="6"/>
  <c r="CC12" i="6"/>
  <c r="BV12" i="6"/>
  <c r="BZ12" i="6"/>
  <c r="CD12" i="6"/>
  <c r="BW12" i="6"/>
  <c r="CA12" i="6"/>
  <c r="CE12" i="6"/>
  <c r="BX12" i="6"/>
  <c r="CB12" i="6"/>
  <c r="CF12" i="6"/>
  <c r="BU10" i="6"/>
  <c r="BY10" i="6"/>
  <c r="CC10" i="6"/>
  <c r="BV10" i="6"/>
  <c r="BZ10" i="6"/>
  <c r="CD10" i="6"/>
  <c r="BW10" i="6"/>
  <c r="CA10" i="6"/>
  <c r="CE10" i="6"/>
  <c r="BX10" i="6"/>
  <c r="CB10" i="6"/>
  <c r="CF10" i="6"/>
  <c r="BU11" i="6"/>
  <c r="BY11" i="6"/>
  <c r="CC11" i="6"/>
  <c r="BV11" i="6"/>
  <c r="BZ11" i="6"/>
  <c r="CD11" i="6"/>
  <c r="BW11" i="6"/>
  <c r="CA11" i="6"/>
  <c r="CE11" i="6"/>
  <c r="BX11" i="6"/>
  <c r="CB11" i="6"/>
  <c r="CF11" i="6"/>
  <c r="BY6" i="6"/>
  <c r="CC6" i="6"/>
  <c r="BZ6" i="6"/>
  <c r="CD6" i="6"/>
  <c r="CA6" i="6"/>
  <c r="CE6" i="6"/>
  <c r="CB6" i="6"/>
  <c r="CF6" i="6"/>
  <c r="BU6" i="6"/>
  <c r="BV6" i="6"/>
  <c r="BW6" i="6"/>
  <c r="BX6" i="6"/>
  <c r="AU6" i="6"/>
  <c r="DA6" i="6" s="1"/>
  <c r="AZ10" i="3" s="1"/>
  <c r="AW5" i="9" s="1"/>
  <c r="BZ5" i="9" s="1"/>
  <c r="BC6" i="6"/>
  <c r="DI6" i="6" s="1"/>
  <c r="BH10" i="3" s="1"/>
  <c r="BE5" i="9" s="1"/>
  <c r="CH5" i="9" s="1"/>
  <c r="AV6" i="6"/>
  <c r="DB6" i="6" s="1"/>
  <c r="AZ6" i="6"/>
  <c r="DF6" i="6" s="1"/>
  <c r="BE10" i="3" s="1"/>
  <c r="BB5" i="9" s="1"/>
  <c r="CE5" i="9" s="1"/>
  <c r="AW6" i="6"/>
  <c r="DC6" i="6" s="1"/>
  <c r="BA6" i="6"/>
  <c r="DG6" i="6" s="1"/>
  <c r="AX6" i="6"/>
  <c r="DD6" i="6" s="1"/>
  <c r="BB6" i="6"/>
  <c r="DH6" i="6" s="1"/>
  <c r="BG10" i="3" s="1"/>
  <c r="BD5" i="9" s="1"/>
  <c r="CG5" i="9" s="1"/>
  <c r="AY6" i="6"/>
  <c r="DE6" i="6" s="1"/>
  <c r="AS6" i="6"/>
  <c r="CY6" i="6" s="1"/>
  <c r="AT6" i="6"/>
  <c r="CZ6" i="6" s="1"/>
  <c r="AR6" i="6"/>
  <c r="CX6" i="6" s="1"/>
  <c r="AE8" i="6"/>
  <c r="AI8" i="6"/>
  <c r="AM8" i="6"/>
  <c r="AF8" i="6"/>
  <c r="AJ8" i="6"/>
  <c r="AN8" i="6"/>
  <c r="AG8" i="6"/>
  <c r="AK8" i="6"/>
  <c r="AO8" i="6"/>
  <c r="AH8" i="6"/>
  <c r="AL8" i="6"/>
  <c r="AP8" i="6"/>
  <c r="AE12" i="6"/>
  <c r="AI12" i="6"/>
  <c r="AM12" i="6"/>
  <c r="AF12" i="6"/>
  <c r="AJ12" i="6"/>
  <c r="AN12" i="6"/>
  <c r="AG12" i="6"/>
  <c r="AK12" i="6"/>
  <c r="AO12" i="6"/>
  <c r="AH12" i="6"/>
  <c r="AL12" i="6"/>
  <c r="AP12" i="6"/>
  <c r="AE10" i="6"/>
  <c r="AI10" i="6"/>
  <c r="AM10" i="6"/>
  <c r="AF10" i="6"/>
  <c r="AJ10" i="6"/>
  <c r="AN10" i="6"/>
  <c r="AG10" i="6"/>
  <c r="AK10" i="6"/>
  <c r="AO10" i="6"/>
  <c r="AH10" i="6"/>
  <c r="AL10" i="6"/>
  <c r="AP10" i="6"/>
  <c r="AE11" i="6"/>
  <c r="AI11" i="6"/>
  <c r="AM11" i="6"/>
  <c r="AF11" i="6"/>
  <c r="AJ11" i="6"/>
  <c r="AN11" i="6"/>
  <c r="AG11" i="6"/>
  <c r="AK11" i="6"/>
  <c r="AO11" i="6"/>
  <c r="AH11" i="6"/>
  <c r="AL11" i="6"/>
  <c r="AP11" i="6"/>
  <c r="AE15" i="6"/>
  <c r="AI15" i="6"/>
  <c r="AM15" i="6"/>
  <c r="AF15" i="6"/>
  <c r="AJ15" i="6"/>
  <c r="AN15" i="6"/>
  <c r="AG15" i="6"/>
  <c r="AK15" i="6"/>
  <c r="AO15" i="6"/>
  <c r="AH15" i="6"/>
  <c r="AL15" i="6"/>
  <c r="AP15" i="6"/>
  <c r="AE7" i="6"/>
  <c r="AI7" i="6"/>
  <c r="AM7" i="6"/>
  <c r="AF7" i="6"/>
  <c r="AJ7" i="6"/>
  <c r="AN7" i="6"/>
  <c r="AG7" i="6"/>
  <c r="AK7" i="6"/>
  <c r="AO7" i="6"/>
  <c r="AH7" i="6"/>
  <c r="AL7" i="6"/>
  <c r="AP7" i="6"/>
  <c r="AM16" i="6"/>
  <c r="CS16" i="6" s="1"/>
  <c r="AR13" i="3" s="1"/>
  <c r="DX6" i="2" s="1"/>
  <c r="FA6" i="2" s="1"/>
  <c r="AH16" i="6"/>
  <c r="CN16" i="6" s="1"/>
  <c r="AM13" i="3" s="1"/>
  <c r="DS6" i="2" s="1"/>
  <c r="EV6" i="2" s="1"/>
  <c r="AN16" i="6"/>
  <c r="CT16" i="6" s="1"/>
  <c r="AS13" i="3" s="1"/>
  <c r="DY6" i="2" s="1"/>
  <c r="FB6" i="2" s="1"/>
  <c r="AE16" i="6"/>
  <c r="CK16" i="6" s="1"/>
  <c r="EP16" i="6" s="1"/>
  <c r="AK16" i="6"/>
  <c r="CQ16" i="6" s="1"/>
  <c r="AP13" i="3" s="1"/>
  <c r="DV6" i="2" s="1"/>
  <c r="EY6" i="2" s="1"/>
  <c r="AJ16" i="6"/>
  <c r="CP16" i="6" s="1"/>
  <c r="AO13" i="3" s="1"/>
  <c r="DU6" i="2" s="1"/>
  <c r="EX6" i="2" s="1"/>
  <c r="AE14" i="6"/>
  <c r="AI14" i="6"/>
  <c r="AM14" i="6"/>
  <c r="AF14" i="6"/>
  <c r="AJ14" i="6"/>
  <c r="AN14" i="6"/>
  <c r="AG14" i="6"/>
  <c r="AK14" i="6"/>
  <c r="AO14" i="6"/>
  <c r="AH14" i="6"/>
  <c r="AL14" i="6"/>
  <c r="AP14" i="6"/>
  <c r="AE13" i="6"/>
  <c r="AI13" i="6"/>
  <c r="AM13" i="6"/>
  <c r="AF13" i="6"/>
  <c r="AJ13" i="6"/>
  <c r="AN13" i="6"/>
  <c r="AG13" i="6"/>
  <c r="AK13" i="6"/>
  <c r="AO13" i="6"/>
  <c r="AH13" i="6"/>
  <c r="AL13" i="6"/>
  <c r="AP13" i="6"/>
  <c r="AE9" i="6"/>
  <c r="AI9" i="6"/>
  <c r="AM9" i="6"/>
  <c r="AF9" i="6"/>
  <c r="AJ9" i="6"/>
  <c r="AN9" i="6"/>
  <c r="AG9" i="6"/>
  <c r="AK9" i="6"/>
  <c r="AO9" i="6"/>
  <c r="AH9" i="6"/>
  <c r="AL9" i="6"/>
  <c r="AP9" i="6"/>
  <c r="AP16" i="6"/>
  <c r="CV16" i="6" s="1"/>
  <c r="AO16" i="6"/>
  <c r="CU16" i="6" s="1"/>
  <c r="AT13" i="3" s="1"/>
  <c r="DZ6" i="2" s="1"/>
  <c r="FC6" i="2" s="1"/>
  <c r="AF16" i="6"/>
  <c r="CL16" i="6" s="1"/>
  <c r="AK13" i="3" s="1"/>
  <c r="DQ6" i="2" s="1"/>
  <c r="ET6" i="2" s="1"/>
  <c r="AL16" i="6"/>
  <c r="CR16" i="6" s="1"/>
  <c r="AQ13" i="3" s="1"/>
  <c r="DW6" i="2" s="1"/>
  <c r="EZ6" i="2" s="1"/>
  <c r="AG16" i="6"/>
  <c r="CM16" i="6" s="1"/>
  <c r="AL13" i="3" s="1"/>
  <c r="DR6" i="2" s="1"/>
  <c r="EU6" i="2" s="1"/>
  <c r="AF6" i="6"/>
  <c r="CL6" i="6" s="1"/>
  <c r="AG6" i="6"/>
  <c r="AK6" i="6"/>
  <c r="AO6" i="6"/>
  <c r="AL6" i="6"/>
  <c r="CR6" i="6" s="1"/>
  <c r="AP6" i="6"/>
  <c r="CV6" i="6" s="1"/>
  <c r="AH6" i="6"/>
  <c r="AI6" i="6"/>
  <c r="CO6" i="6" s="1"/>
  <c r="AM6" i="6"/>
  <c r="CS6" i="6" s="1"/>
  <c r="AJ6" i="6"/>
  <c r="CP6" i="6" s="1"/>
  <c r="AN6" i="6"/>
  <c r="CT6" i="6" s="1"/>
  <c r="AE6" i="6"/>
  <c r="Y8" i="6"/>
  <c r="AB8" i="6" s="1"/>
  <c r="AD8" i="6" s="1"/>
  <c r="CU8" i="6" s="1"/>
  <c r="BH7" i="6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T16" i="6"/>
  <c r="BM45" i="3"/>
  <c r="S45" i="3"/>
  <c r="BY45" i="3" s="1"/>
  <c r="DQ16" i="6"/>
  <c r="DU16" i="6"/>
  <c r="DY1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R1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DW1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Q7" i="6"/>
  <c r="BO7" i="6"/>
  <c r="BI7" i="6"/>
  <c r="BN7" i="6"/>
  <c r="BK7" i="6"/>
  <c r="Y7" i="6"/>
  <c r="AB7" i="6" s="1"/>
  <c r="AD7" i="6" s="1"/>
  <c r="FS7" i="6" s="1"/>
  <c r="BS7" i="6"/>
  <c r="BJ7" i="6"/>
  <c r="BP7" i="6"/>
  <c r="BL7" i="6"/>
  <c r="Y9" i="6"/>
  <c r="AB9" i="6" s="1"/>
  <c r="AD9" i="6" s="1"/>
  <c r="FS9" i="6" s="1"/>
  <c r="BP9" i="6"/>
  <c r="BL9" i="6"/>
  <c r="BH9" i="6"/>
  <c r="BO9" i="6"/>
  <c r="BS9" i="6"/>
  <c r="BR9" i="6"/>
  <c r="BQ9" i="6"/>
  <c r="BM9" i="6"/>
  <c r="BI9" i="6"/>
  <c r="BK9" i="6"/>
  <c r="BN9" i="6"/>
  <c r="BJ9" i="6"/>
  <c r="Y10" i="6"/>
  <c r="AB10" i="6" s="1"/>
  <c r="AD10" i="6" s="1"/>
  <c r="FS10" i="6" s="1"/>
  <c r="BQ10" i="6"/>
  <c r="BS10" i="6"/>
  <c r="BO10" i="6"/>
  <c r="BR10" i="6"/>
  <c r="BM10" i="6"/>
  <c r="BK10" i="6"/>
  <c r="BN10" i="6"/>
  <c r="BI10" i="6"/>
  <c r="BH10" i="6"/>
  <c r="BJ10" i="6"/>
  <c r="BP10" i="6"/>
  <c r="BL10" i="6"/>
  <c r="Y15" i="6"/>
  <c r="AB15" i="6" s="1"/>
  <c r="AD15" i="6" s="1"/>
  <c r="FS15" i="6" s="1"/>
  <c r="BM15" i="6"/>
  <c r="BI15" i="6"/>
  <c r="BP15" i="6"/>
  <c r="BS15" i="6"/>
  <c r="BR15" i="6"/>
  <c r="BN15" i="6"/>
  <c r="BK15" i="6"/>
  <c r="BJ15" i="6"/>
  <c r="BQ15" i="6"/>
  <c r="BL15" i="6"/>
  <c r="BH15" i="6"/>
  <c r="BO15" i="6"/>
  <c r="BR7" i="6"/>
  <c r="BM7" i="6"/>
  <c r="Y14" i="6"/>
  <c r="AB14" i="6" s="1"/>
  <c r="AD14" i="6" s="1"/>
  <c r="FS14" i="6" s="1"/>
  <c r="BI14" i="6"/>
  <c r="BH14" i="6"/>
  <c r="BL14" i="6"/>
  <c r="BQ14" i="6"/>
  <c r="BM14" i="6"/>
  <c r="BP14" i="6"/>
  <c r="BR14" i="6"/>
  <c r="BN14" i="6"/>
  <c r="BS14" i="6"/>
  <c r="BO14" i="6"/>
  <c r="BK14" i="6"/>
  <c r="BJ14" i="6"/>
  <c r="BH8" i="6"/>
  <c r="BL8" i="6"/>
  <c r="BP8" i="6"/>
  <c r="BI8" i="6"/>
  <c r="BM8" i="6"/>
  <c r="BQ8" i="6"/>
  <c r="BJ8" i="6"/>
  <c r="BN8" i="6"/>
  <c r="BR8" i="6"/>
  <c r="BK8" i="6"/>
  <c r="BO8" i="6"/>
  <c r="BS8" i="6"/>
  <c r="Y13" i="6"/>
  <c r="AB13" i="6" s="1"/>
  <c r="AD13" i="6" s="1"/>
  <c r="FS13" i="6" s="1"/>
  <c r="BH13" i="6"/>
  <c r="BL13" i="6"/>
  <c r="BP13" i="6"/>
  <c r="BI13" i="6"/>
  <c r="BM13" i="6"/>
  <c r="BQ13" i="6"/>
  <c r="BJ13" i="6"/>
  <c r="BN13" i="6"/>
  <c r="BR13" i="6"/>
  <c r="BK13" i="6"/>
  <c r="BO13" i="6"/>
  <c r="BS13" i="6"/>
  <c r="Y6" i="6"/>
  <c r="BJ6" i="6"/>
  <c r="BN6" i="6"/>
  <c r="BR6" i="6"/>
  <c r="BK6" i="6"/>
  <c r="BO6" i="6"/>
  <c r="BS6" i="6"/>
  <c r="BL6" i="6"/>
  <c r="EU6" i="6" s="1"/>
  <c r="BP6" i="6"/>
  <c r="BI6" i="6"/>
  <c r="BM6" i="6"/>
  <c r="BQ6" i="6"/>
  <c r="EZ6" i="6" s="1"/>
  <c r="BH6" i="6"/>
  <c r="CQ6" i="6"/>
  <c r="CU6" i="6"/>
  <c r="Y12" i="6"/>
  <c r="AB12" i="6" s="1"/>
  <c r="AD12" i="6" s="1"/>
  <c r="FS12" i="6" s="1"/>
  <c r="BH12" i="6"/>
  <c r="BL12" i="6"/>
  <c r="BP12" i="6"/>
  <c r="BI12" i="6"/>
  <c r="BM12" i="6"/>
  <c r="BQ12" i="6"/>
  <c r="BJ12" i="6"/>
  <c r="BN12" i="6"/>
  <c r="BR12" i="6"/>
  <c r="BK12" i="6"/>
  <c r="BO12" i="6"/>
  <c r="BS12" i="6"/>
  <c r="Y11" i="6"/>
  <c r="AB11" i="6" s="1"/>
  <c r="AD11" i="6" s="1"/>
  <c r="FS11" i="6" s="1"/>
  <c r="BH11" i="6"/>
  <c r="BL11" i="6"/>
  <c r="BP11" i="6"/>
  <c r="BI11" i="6"/>
  <c r="BM11" i="6"/>
  <c r="BQ11" i="6"/>
  <c r="BJ11" i="6"/>
  <c r="BN11" i="6"/>
  <c r="BR11" i="6"/>
  <c r="BK11" i="6"/>
  <c r="BO11" i="6"/>
  <c r="BS11" i="6"/>
  <c r="CN6" i="6"/>
  <c r="EJ17" i="6" l="1"/>
  <c r="FM17" i="6"/>
  <c r="EW17" i="6"/>
  <c r="DT17" i="6"/>
  <c r="EE17" i="6"/>
  <c r="FH17" i="6"/>
  <c r="DO17" i="6"/>
  <c r="ER17" i="6"/>
  <c r="ED17" i="6"/>
  <c r="FG17" i="6"/>
  <c r="EO17" i="6"/>
  <c r="FR17" i="6"/>
  <c r="DY17" i="6"/>
  <c r="FB17" i="6"/>
  <c r="EF17" i="6"/>
  <c r="FI17" i="6"/>
  <c r="DP17" i="6"/>
  <c r="ES17" i="6"/>
  <c r="FD17" i="6"/>
  <c r="EA17" i="6"/>
  <c r="FS17" i="6"/>
  <c r="DV17" i="6"/>
  <c r="EY17" i="6"/>
  <c r="EK17" i="6"/>
  <c r="FN17" i="6"/>
  <c r="DU17" i="6"/>
  <c r="EX17" i="6"/>
  <c r="EB17" i="6"/>
  <c r="FE17" i="6"/>
  <c r="FP17" i="6"/>
  <c r="EM17" i="6"/>
  <c r="DW17" i="6"/>
  <c r="EZ17" i="6"/>
  <c r="EL17" i="6"/>
  <c r="FO17" i="6"/>
  <c r="EU17" i="6"/>
  <c r="DR17" i="6"/>
  <c r="EG17" i="6"/>
  <c r="FJ17" i="6"/>
  <c r="DQ17" i="6"/>
  <c r="ET17" i="6"/>
  <c r="FQ17" i="6"/>
  <c r="EN17" i="6"/>
  <c r="DX17" i="6"/>
  <c r="FA17" i="6"/>
  <c r="EI17" i="6"/>
  <c r="FL17" i="6"/>
  <c r="DS17" i="6"/>
  <c r="EV17" i="6"/>
  <c r="EH17" i="6"/>
  <c r="FK17" i="6"/>
  <c r="BT17" i="6"/>
  <c r="DN17" i="6"/>
  <c r="EQ17" i="6"/>
  <c r="FF17" i="6"/>
  <c r="EC17" i="6"/>
  <c r="FA8" i="6"/>
  <c r="BO13" i="3"/>
  <c r="ER6" i="6"/>
  <c r="DT16" i="6"/>
  <c r="EX6" i="6"/>
  <c r="DV16" i="6"/>
  <c r="BS13" i="3"/>
  <c r="BR13" i="3"/>
  <c r="BP13" i="3"/>
  <c r="DS16" i="6"/>
  <c r="BU6" i="9"/>
  <c r="BU8" i="9"/>
  <c r="BU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B6" i="6"/>
  <c r="AX10" i="3"/>
  <c r="AU5" i="9" s="1"/>
  <c r="BX5" i="9" s="1"/>
  <c r="EJ6" i="6"/>
  <c r="BF10" i="3"/>
  <c r="BC5" i="9" s="1"/>
  <c r="CF5" i="9" s="1"/>
  <c r="EH6" i="6"/>
  <c r="BD10" i="3"/>
  <c r="BA5" i="9" s="1"/>
  <c r="CD5" i="9" s="1"/>
  <c r="EF6" i="6"/>
  <c r="BB10" i="3"/>
  <c r="AY5" i="9" s="1"/>
  <c r="CB5" i="9" s="1"/>
  <c r="EC6" i="6"/>
  <c r="AY10" i="3"/>
  <c r="AV5" i="9" s="1"/>
  <c r="BY5" i="9" s="1"/>
  <c r="EG6" i="6"/>
  <c r="BC10" i="3"/>
  <c r="AZ5" i="9" s="1"/>
  <c r="CC5" i="9" s="1"/>
  <c r="EE6" i="6"/>
  <c r="BA10" i="3"/>
  <c r="AX5" i="9" s="1"/>
  <c r="CA5" i="9" s="1"/>
  <c r="EA6" i="6"/>
  <c r="AW10" i="3"/>
  <c r="AT5" i="9" s="1"/>
  <c r="BW5" i="9" s="1"/>
  <c r="FB16" i="6"/>
  <c r="EL6" i="6"/>
  <c r="EV6" i="6"/>
  <c r="EY6" i="6"/>
  <c r="FB6" i="6"/>
  <c r="EL11" i="6"/>
  <c r="FO11" i="6"/>
  <c r="EG11" i="6"/>
  <c r="FJ11" i="6"/>
  <c r="EB11" i="6"/>
  <c r="FE11" i="6"/>
  <c r="EL10" i="6"/>
  <c r="FO10" i="6"/>
  <c r="EG10" i="6"/>
  <c r="FJ10" i="6"/>
  <c r="EB10" i="6"/>
  <c r="FE10" i="6"/>
  <c r="EL12" i="6"/>
  <c r="FO12" i="6"/>
  <c r="EG12" i="6"/>
  <c r="FJ12" i="6"/>
  <c r="EB12" i="6"/>
  <c r="FE12" i="6"/>
  <c r="EL13" i="6"/>
  <c r="FO13" i="6"/>
  <c r="EG13" i="6"/>
  <c r="FJ13" i="6"/>
  <c r="EB13" i="6"/>
  <c r="FE13" i="6"/>
  <c r="EL9" i="6"/>
  <c r="FO9" i="6"/>
  <c r="EG9" i="6"/>
  <c r="FJ9" i="6"/>
  <c r="EB9" i="6"/>
  <c r="FE9" i="6"/>
  <c r="EL14" i="6"/>
  <c r="FO14" i="6"/>
  <c r="EG14" i="6"/>
  <c r="FJ14" i="6"/>
  <c r="EB14" i="6"/>
  <c r="FE14" i="6"/>
  <c r="EL8" i="6"/>
  <c r="FO8" i="6"/>
  <c r="EG8" i="6"/>
  <c r="FJ8" i="6"/>
  <c r="EB8" i="6"/>
  <c r="FE8" i="6"/>
  <c r="EL7" i="6"/>
  <c r="FO7" i="6"/>
  <c r="EG7" i="6"/>
  <c r="FJ7" i="6"/>
  <c r="EB7" i="6"/>
  <c r="FE7" i="6"/>
  <c r="EL15" i="6"/>
  <c r="FO15" i="6"/>
  <c r="EG15" i="6"/>
  <c r="FJ15" i="6"/>
  <c r="EB15" i="6"/>
  <c r="FE15" i="6"/>
  <c r="EN10" i="6"/>
  <c r="FQ10" i="6"/>
  <c r="EM12" i="6"/>
  <c r="FP12" i="6"/>
  <c r="EN9" i="6"/>
  <c r="FQ9" i="6"/>
  <c r="EO13" i="6"/>
  <c r="FR13" i="6"/>
  <c r="EM14" i="6"/>
  <c r="FP14" i="6"/>
  <c r="EO11" i="6"/>
  <c r="FR11" i="6"/>
  <c r="EN7" i="6"/>
  <c r="FQ7" i="6"/>
  <c r="FA16" i="6"/>
  <c r="EY16" i="6"/>
  <c r="EH11" i="6"/>
  <c r="FK11" i="6"/>
  <c r="EC11" i="6"/>
  <c r="FF11" i="6"/>
  <c r="EI11" i="6"/>
  <c r="FL11" i="6"/>
  <c r="EH10" i="6"/>
  <c r="FK10" i="6"/>
  <c r="EC10" i="6"/>
  <c r="FF10" i="6"/>
  <c r="EI10" i="6"/>
  <c r="FL10" i="6"/>
  <c r="EH12" i="6"/>
  <c r="FK12" i="6"/>
  <c r="EC12" i="6"/>
  <c r="FF12" i="6"/>
  <c r="EI12" i="6"/>
  <c r="FL12" i="6"/>
  <c r="EH13" i="6"/>
  <c r="FK13" i="6"/>
  <c r="EC13" i="6"/>
  <c r="FF13" i="6"/>
  <c r="EI13" i="6"/>
  <c r="FL13" i="6"/>
  <c r="EH9" i="6"/>
  <c r="FK9" i="6"/>
  <c r="EC9" i="6"/>
  <c r="FF9" i="6"/>
  <c r="EI9" i="6"/>
  <c r="FL9" i="6"/>
  <c r="EH14" i="6"/>
  <c r="FK14" i="6"/>
  <c r="EC14" i="6"/>
  <c r="FF14" i="6"/>
  <c r="EI14" i="6"/>
  <c r="FL14" i="6"/>
  <c r="EH8" i="6"/>
  <c r="FK8" i="6"/>
  <c r="EC8" i="6"/>
  <c r="FF8" i="6"/>
  <c r="EI8" i="6"/>
  <c r="FL8" i="6"/>
  <c r="EH7" i="6"/>
  <c r="FK7" i="6"/>
  <c r="EC7" i="6"/>
  <c r="FF7" i="6"/>
  <c r="EI7" i="6"/>
  <c r="FL7" i="6"/>
  <c r="EH15" i="6"/>
  <c r="FK15" i="6"/>
  <c r="EC15" i="6"/>
  <c r="FF15" i="6"/>
  <c r="EI15" i="6"/>
  <c r="FL15" i="6"/>
  <c r="EM10" i="6"/>
  <c r="FP10" i="6"/>
  <c r="EN15" i="6"/>
  <c r="FQ15" i="6"/>
  <c r="EM9" i="6"/>
  <c r="FP9" i="6"/>
  <c r="EN13" i="6"/>
  <c r="FQ13" i="6"/>
  <c r="EM8" i="6"/>
  <c r="FP8" i="6"/>
  <c r="EN11" i="6"/>
  <c r="FQ11" i="6"/>
  <c r="EM7" i="6"/>
  <c r="FP7" i="6"/>
  <c r="EV16" i="6"/>
  <c r="ED11" i="6"/>
  <c r="FG11" i="6"/>
  <c r="EJ11" i="6"/>
  <c r="FM11" i="6"/>
  <c r="EE11" i="6"/>
  <c r="FH11" i="6"/>
  <c r="ED10" i="6"/>
  <c r="FG10" i="6"/>
  <c r="EJ10" i="6"/>
  <c r="FM10" i="6"/>
  <c r="EE10" i="6"/>
  <c r="FH10" i="6"/>
  <c r="ED12" i="6"/>
  <c r="FG12" i="6"/>
  <c r="EJ12" i="6"/>
  <c r="FM12" i="6"/>
  <c r="EE12" i="6"/>
  <c r="FH12" i="6"/>
  <c r="ED13" i="6"/>
  <c r="FG13" i="6"/>
  <c r="EJ13" i="6"/>
  <c r="FM13" i="6"/>
  <c r="EE13" i="6"/>
  <c r="FH13" i="6"/>
  <c r="ED9" i="6"/>
  <c r="FG9" i="6"/>
  <c r="EJ9" i="6"/>
  <c r="FM9" i="6"/>
  <c r="EE9" i="6"/>
  <c r="FH9" i="6"/>
  <c r="ED14" i="6"/>
  <c r="FG14" i="6"/>
  <c r="EJ14" i="6"/>
  <c r="FM14" i="6"/>
  <c r="EE14" i="6"/>
  <c r="FH14" i="6"/>
  <c r="ED8" i="6"/>
  <c r="FG8" i="6"/>
  <c r="EJ8" i="6"/>
  <c r="FM8" i="6"/>
  <c r="EE8" i="6"/>
  <c r="FH8" i="6"/>
  <c r="ED7" i="6"/>
  <c r="FG7" i="6"/>
  <c r="EJ7" i="6"/>
  <c r="FM7" i="6"/>
  <c r="EE7" i="6"/>
  <c r="FH7" i="6"/>
  <c r="ED15" i="6"/>
  <c r="FG15" i="6"/>
  <c r="EJ15" i="6"/>
  <c r="FM15" i="6"/>
  <c r="EE15" i="6"/>
  <c r="FH15" i="6"/>
  <c r="EO12" i="6"/>
  <c r="FR12" i="6"/>
  <c r="EM15" i="6"/>
  <c r="FP15" i="6"/>
  <c r="EO9" i="6"/>
  <c r="FR9" i="6"/>
  <c r="EO14" i="6"/>
  <c r="FR14" i="6"/>
  <c r="EO8" i="6"/>
  <c r="FR8" i="6"/>
  <c r="EM11" i="6"/>
  <c r="FP11" i="6"/>
  <c r="EZ16" i="6"/>
  <c r="FS8" i="6"/>
  <c r="EW16" i="6"/>
  <c r="EK11" i="6"/>
  <c r="FN11" i="6"/>
  <c r="EF11" i="6"/>
  <c r="FI11" i="6"/>
  <c r="EA11" i="6"/>
  <c r="FD11" i="6"/>
  <c r="EK10" i="6"/>
  <c r="FN10" i="6"/>
  <c r="EF10" i="6"/>
  <c r="FI10" i="6"/>
  <c r="EA10" i="6"/>
  <c r="FD10" i="6"/>
  <c r="EK12" i="6"/>
  <c r="FN12" i="6"/>
  <c r="EF12" i="6"/>
  <c r="FI12" i="6"/>
  <c r="EA12" i="6"/>
  <c r="FD12" i="6"/>
  <c r="EK13" i="6"/>
  <c r="FN13" i="6"/>
  <c r="EF13" i="6"/>
  <c r="FI13" i="6"/>
  <c r="EA13" i="6"/>
  <c r="FD13" i="6"/>
  <c r="EK9" i="6"/>
  <c r="FN9" i="6"/>
  <c r="EF9" i="6"/>
  <c r="FI9" i="6"/>
  <c r="EA9" i="6"/>
  <c r="FD9" i="6"/>
  <c r="EK14" i="6"/>
  <c r="FN14" i="6"/>
  <c r="EF14" i="6"/>
  <c r="FI14" i="6"/>
  <c r="EA14" i="6"/>
  <c r="FD14" i="6"/>
  <c r="EK8" i="6"/>
  <c r="FN8" i="6"/>
  <c r="EF8" i="6"/>
  <c r="FI8" i="6"/>
  <c r="EA8" i="6"/>
  <c r="FD8" i="6"/>
  <c r="EK7" i="6"/>
  <c r="FN7" i="6"/>
  <c r="EF7" i="6"/>
  <c r="FI7" i="6"/>
  <c r="EA7" i="6"/>
  <c r="FD7" i="6"/>
  <c r="EK15" i="6"/>
  <c r="FN15" i="6"/>
  <c r="EF15" i="6"/>
  <c r="FI15" i="6"/>
  <c r="EA15" i="6"/>
  <c r="FD15" i="6"/>
  <c r="EO10" i="6"/>
  <c r="FR10" i="6"/>
  <c r="EN12" i="6"/>
  <c r="FQ12" i="6"/>
  <c r="EO15" i="6"/>
  <c r="FR15" i="6"/>
  <c r="EM13" i="6"/>
  <c r="FP13" i="6"/>
  <c r="EN14" i="6"/>
  <c r="FQ14" i="6"/>
  <c r="EN8" i="6"/>
  <c r="FQ8" i="6"/>
  <c r="EO7" i="6"/>
  <c r="FR7" i="6"/>
  <c r="ET16" i="6"/>
  <c r="EX16" i="6"/>
  <c r="ER16" i="6"/>
  <c r="ES16" i="6"/>
  <c r="FE6" i="6"/>
  <c r="FN6" i="6"/>
  <c r="FL6" i="6"/>
  <c r="FJ6" i="6"/>
  <c r="FH6" i="6"/>
  <c r="FG6" i="6"/>
  <c r="FO6" i="6"/>
  <c r="FM6" i="6"/>
  <c r="EO6" i="6"/>
  <c r="FR6" i="6"/>
  <c r="FF6" i="6"/>
  <c r="FK6" i="6"/>
  <c r="FI6" i="6"/>
  <c r="EN6" i="6"/>
  <c r="FQ6" i="6"/>
  <c r="ET6" i="6"/>
  <c r="FA6" i="6"/>
  <c r="FD6" i="6"/>
  <c r="EW6" i="6"/>
  <c r="EQ16" i="6"/>
  <c r="EK6" i="6"/>
  <c r="EI6" i="6"/>
  <c r="ED6" i="6"/>
  <c r="AU13" i="3"/>
  <c r="CR9" i="6"/>
  <c r="EX9" i="6" s="1"/>
  <c r="DJ6" i="6"/>
  <c r="CW16" i="6"/>
  <c r="DZ16" i="6" s="1"/>
  <c r="BD6" i="6"/>
  <c r="CT9" i="6"/>
  <c r="EZ9" i="6" s="1"/>
  <c r="CU9" i="6"/>
  <c r="FA9" i="6" s="1"/>
  <c r="AJ13" i="3"/>
  <c r="DN16" i="6"/>
  <c r="AQ16" i="6"/>
  <c r="AQ9" i="6"/>
  <c r="AQ13" i="6"/>
  <c r="AQ14" i="6"/>
  <c r="AQ7" i="6"/>
  <c r="AQ15" i="6"/>
  <c r="AQ11" i="6"/>
  <c r="AQ10" i="6"/>
  <c r="AQ12" i="6"/>
  <c r="AQ8" i="6"/>
  <c r="AQ6" i="6"/>
  <c r="CP8" i="6"/>
  <c r="DS8" i="6" s="1"/>
  <c r="BN13" i="3"/>
  <c r="BW13" i="3"/>
  <c r="DO16" i="6"/>
  <c r="DX16" i="6"/>
  <c r="DP16" i="6"/>
  <c r="CV10" i="6"/>
  <c r="FB10" i="6" s="1"/>
  <c r="BM13" i="3"/>
  <c r="CK6" i="6"/>
  <c r="EP6" i="6" s="1"/>
  <c r="CK8" i="6"/>
  <c r="EP8" i="6" s="1"/>
  <c r="CK10" i="6"/>
  <c r="EP10" i="6" s="1"/>
  <c r="CQ8" i="6"/>
  <c r="DT8" i="6" s="1"/>
  <c r="BY7" i="3"/>
  <c r="P5" i="9"/>
  <c r="BY18" i="3"/>
  <c r="P7" i="9"/>
  <c r="BV7" i="9" s="1"/>
  <c r="BY5" i="3"/>
  <c r="P6" i="9"/>
  <c r="BV6" i="9" s="1"/>
  <c r="BY6" i="3"/>
  <c r="P8" i="9"/>
  <c r="BV8" i="9" s="1"/>
  <c r="BT7" i="6"/>
  <c r="CV7" i="6"/>
  <c r="CL7" i="6"/>
  <c r="DO7" i="6" s="1"/>
  <c r="CP7" i="6"/>
  <c r="DS7" i="6" s="1"/>
  <c r="CO7" i="6"/>
  <c r="DR7" i="6" s="1"/>
  <c r="CN7" i="6"/>
  <c r="DQ7" i="6" s="1"/>
  <c r="CS7" i="6"/>
  <c r="DV7" i="6" s="1"/>
  <c r="CM7" i="6"/>
  <c r="DP7" i="6" s="1"/>
  <c r="CQ7" i="6"/>
  <c r="DT7" i="6" s="1"/>
  <c r="CT7" i="6"/>
  <c r="DW7" i="6" s="1"/>
  <c r="CK7" i="6"/>
  <c r="EP7" i="6" s="1"/>
  <c r="CK9" i="6"/>
  <c r="EP9" i="6" s="1"/>
  <c r="CK15" i="6"/>
  <c r="EP15" i="6" s="1"/>
  <c r="CV15" i="6"/>
  <c r="FB15" i="6" s="1"/>
  <c r="CL15" i="6"/>
  <c r="DO15" i="6" s="1"/>
  <c r="CS10" i="6"/>
  <c r="DV10" i="6" s="1"/>
  <c r="CN9" i="6"/>
  <c r="DQ9" i="6" s="1"/>
  <c r="CL9" i="6"/>
  <c r="DO9" i="6" s="1"/>
  <c r="CO15" i="6"/>
  <c r="DR15" i="6" s="1"/>
  <c r="CM15" i="6"/>
  <c r="ES15" i="6" s="1"/>
  <c r="CU15" i="6"/>
  <c r="DX15" i="6" s="1"/>
  <c r="CP9" i="6"/>
  <c r="DS9" i="6" s="1"/>
  <c r="CN15" i="6"/>
  <c r="DQ15" i="6" s="1"/>
  <c r="CQ15" i="6"/>
  <c r="DT15" i="6" s="1"/>
  <c r="CS15" i="6"/>
  <c r="DV15" i="6" s="1"/>
  <c r="CN10" i="6"/>
  <c r="DQ10" i="6" s="1"/>
  <c r="CL10" i="6"/>
  <c r="DO10" i="6" s="1"/>
  <c r="CT10" i="6"/>
  <c r="DW10" i="6" s="1"/>
  <c r="CS9" i="6"/>
  <c r="DV9" i="6" s="1"/>
  <c r="CO9" i="6"/>
  <c r="DR9" i="6" s="1"/>
  <c r="CQ9" i="6"/>
  <c r="DT9" i="6" s="1"/>
  <c r="CT15" i="6"/>
  <c r="DW15" i="6" s="1"/>
  <c r="CR15" i="6"/>
  <c r="DU15" i="6" s="1"/>
  <c r="CR10" i="6"/>
  <c r="DU10" i="6" s="1"/>
  <c r="CM10" i="6"/>
  <c r="DP10" i="6" s="1"/>
  <c r="CO10" i="6"/>
  <c r="DR10" i="6" s="1"/>
  <c r="CV9" i="6"/>
  <c r="FB9" i="6" s="1"/>
  <c r="CM9" i="6"/>
  <c r="DP9" i="6" s="1"/>
  <c r="DX8" i="6"/>
  <c r="CM8" i="6"/>
  <c r="DP8" i="6" s="1"/>
  <c r="CS8" i="6"/>
  <c r="DV8" i="6" s="1"/>
  <c r="BT15" i="6"/>
  <c r="CR7" i="6"/>
  <c r="DU7" i="6" s="1"/>
  <c r="CU10" i="6"/>
  <c r="DX10" i="6" s="1"/>
  <c r="CP15" i="6"/>
  <c r="DS15" i="6" s="1"/>
  <c r="CR8" i="6"/>
  <c r="DU8" i="6" s="1"/>
  <c r="CR14" i="6"/>
  <c r="DU14" i="6" s="1"/>
  <c r="CO14" i="6"/>
  <c r="DR14" i="6" s="1"/>
  <c r="CP10" i="6"/>
  <c r="DS10" i="6" s="1"/>
  <c r="CP14" i="6"/>
  <c r="DS14" i="6" s="1"/>
  <c r="CM14" i="6"/>
  <c r="DP14" i="6" s="1"/>
  <c r="CN14" i="6"/>
  <c r="DQ14" i="6" s="1"/>
  <c r="BT10" i="6"/>
  <c r="CQ10" i="6"/>
  <c r="DT10" i="6" s="1"/>
  <c r="CL14" i="6"/>
  <c r="DO14" i="6" s="1"/>
  <c r="CT14" i="6"/>
  <c r="DW14" i="6" s="1"/>
  <c r="CV14" i="6"/>
  <c r="FB14" i="6" s="1"/>
  <c r="CK14" i="6"/>
  <c r="EP14" i="6" s="1"/>
  <c r="CT8" i="6"/>
  <c r="DW8" i="6" s="1"/>
  <c r="CQ14" i="6"/>
  <c r="DT14" i="6" s="1"/>
  <c r="CS14" i="6"/>
  <c r="DV14" i="6" s="1"/>
  <c r="BT14" i="6"/>
  <c r="CU14" i="6"/>
  <c r="DX14" i="6" s="1"/>
  <c r="BT9" i="6"/>
  <c r="DO6" i="6"/>
  <c r="DQ6" i="6"/>
  <c r="DR6" i="6"/>
  <c r="DW6" i="6"/>
  <c r="DV6" i="6"/>
  <c r="CL8" i="6"/>
  <c r="DO8" i="6" s="1"/>
  <c r="CV8" i="6"/>
  <c r="FB8" i="6" s="1"/>
  <c r="CO8" i="6"/>
  <c r="DR8" i="6" s="1"/>
  <c r="CN8" i="6"/>
  <c r="DQ8" i="6" s="1"/>
  <c r="CM12" i="6"/>
  <c r="DP12" i="6" s="1"/>
  <c r="CL12" i="6"/>
  <c r="DO12" i="6" s="1"/>
  <c r="CK12" i="6"/>
  <c r="EP12" i="6" s="1"/>
  <c r="CU13" i="6"/>
  <c r="DX13" i="6" s="1"/>
  <c r="CT13" i="6"/>
  <c r="DW13" i="6" s="1"/>
  <c r="CK13" i="6"/>
  <c r="EP13" i="6" s="1"/>
  <c r="CM11" i="6"/>
  <c r="DP11" i="6" s="1"/>
  <c r="CL11" i="6"/>
  <c r="DO11" i="6" s="1"/>
  <c r="CV11" i="6"/>
  <c r="FB11" i="6" s="1"/>
  <c r="CU12" i="6"/>
  <c r="DX12" i="6" s="1"/>
  <c r="CQ12" i="6"/>
  <c r="DT12" i="6" s="1"/>
  <c r="CV12" i="6"/>
  <c r="FB12" i="6" s="1"/>
  <c r="CP13" i="6"/>
  <c r="DS13" i="6" s="1"/>
  <c r="CL13" i="6"/>
  <c r="ER13" i="6" s="1"/>
  <c r="CN13" i="6"/>
  <c r="DQ13" i="6" s="1"/>
  <c r="CU7" i="6"/>
  <c r="FA7" i="6" s="1"/>
  <c r="CU11" i="6"/>
  <c r="DX11" i="6" s="1"/>
  <c r="CS11" i="6"/>
  <c r="DV11" i="6" s="1"/>
  <c r="CR11" i="6"/>
  <c r="DU11" i="6" s="1"/>
  <c r="CT12" i="6"/>
  <c r="DW12" i="6" s="1"/>
  <c r="CS12" i="6"/>
  <c r="DV12" i="6" s="1"/>
  <c r="CR12" i="6"/>
  <c r="DU12" i="6" s="1"/>
  <c r="CV13" i="6"/>
  <c r="FB13" i="6" s="1"/>
  <c r="CR13" i="6"/>
  <c r="DU13" i="6" s="1"/>
  <c r="CS13" i="6"/>
  <c r="DV13" i="6" s="1"/>
  <c r="CT11" i="6"/>
  <c r="DW11" i="6" s="1"/>
  <c r="CO11" i="6"/>
  <c r="DR11" i="6" s="1"/>
  <c r="CN11" i="6"/>
  <c r="DQ11" i="6" s="1"/>
  <c r="CP12" i="6"/>
  <c r="DS12" i="6" s="1"/>
  <c r="CO12" i="6"/>
  <c r="DR12" i="6" s="1"/>
  <c r="CN12" i="6"/>
  <c r="DQ12" i="6" s="1"/>
  <c r="CM13" i="6"/>
  <c r="DP13" i="6" s="1"/>
  <c r="CQ13" i="6"/>
  <c r="DT13" i="6" s="1"/>
  <c r="CO13" i="6"/>
  <c r="DR13" i="6" s="1"/>
  <c r="CQ11" i="6"/>
  <c r="DT11" i="6" s="1"/>
  <c r="CP11" i="6"/>
  <c r="DS11" i="6" s="1"/>
  <c r="CK11" i="6"/>
  <c r="EP11" i="6" s="1"/>
  <c r="DX6" i="6"/>
  <c r="CM6" i="6"/>
  <c r="ES6" i="6" s="1"/>
  <c r="DU6" i="6"/>
  <c r="DY6" i="6"/>
  <c r="DS6" i="6"/>
  <c r="DT6" i="6"/>
  <c r="BT6" i="6"/>
  <c r="BT13" i="6"/>
  <c r="BT12" i="6"/>
  <c r="BT11" i="6"/>
  <c r="BT8" i="6"/>
  <c r="FC17" i="6" l="1"/>
  <c r="DZ17" i="6"/>
  <c r="DN15" i="6"/>
  <c r="DX9" i="6"/>
  <c r="DN8" i="6"/>
  <c r="DU9" i="6"/>
  <c r="DW9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M6" i="6"/>
  <c r="BI10" i="3"/>
  <c r="BF5" i="9" s="1"/>
  <c r="CI5" i="9" s="1"/>
  <c r="FB7" i="6"/>
  <c r="EZ7" i="6"/>
  <c r="EV14" i="6"/>
  <c r="EW13" i="6"/>
  <c r="ER11" i="6"/>
  <c r="EZ8" i="6"/>
  <c r="EW9" i="6"/>
  <c r="EV15" i="6"/>
  <c r="EY14" i="6"/>
  <c r="EU12" i="6"/>
  <c r="FC16" i="6"/>
  <c r="EV9" i="6"/>
  <c r="EY10" i="6"/>
  <c r="EV7" i="6"/>
  <c r="EY8" i="6"/>
  <c r="EZ13" i="6"/>
  <c r="EX12" i="6"/>
  <c r="ES7" i="6"/>
  <c r="EZ14" i="6"/>
  <c r="ES13" i="6"/>
  <c r="ER9" i="6"/>
  <c r="ES14" i="6"/>
  <c r="ET7" i="6"/>
  <c r="ET9" i="6"/>
  <c r="EW11" i="6"/>
  <c r="FA13" i="6"/>
  <c r="EX7" i="6"/>
  <c r="FA15" i="6"/>
  <c r="EU8" i="6"/>
  <c r="EZ12" i="6"/>
  <c r="ER7" i="6"/>
  <c r="ES9" i="6"/>
  <c r="ER15" i="6"/>
  <c r="EU14" i="6"/>
  <c r="ES8" i="6"/>
  <c r="ET13" i="6"/>
  <c r="EU11" i="6"/>
  <c r="EW14" i="6"/>
  <c r="EW12" i="6"/>
  <c r="FA10" i="6"/>
  <c r="EW8" i="6"/>
  <c r="ER12" i="6"/>
  <c r="EY7" i="6"/>
  <c r="EZ10" i="6"/>
  <c r="EX15" i="6"/>
  <c r="EV8" i="6"/>
  <c r="EV12" i="6"/>
  <c r="ET12" i="6"/>
  <c r="EU7" i="6"/>
  <c r="ET10" i="6"/>
  <c r="EZ15" i="6"/>
  <c r="ET8" i="6"/>
  <c r="FA11" i="6"/>
  <c r="EX10" i="6"/>
  <c r="EW15" i="6"/>
  <c r="FA14" i="6"/>
  <c r="EX8" i="6"/>
  <c r="EY12" i="6"/>
  <c r="EZ11" i="6"/>
  <c r="ER10" i="6"/>
  <c r="ER8" i="6"/>
  <c r="EY11" i="6"/>
  <c r="EW7" i="6"/>
  <c r="EU10" i="6"/>
  <c r="EY13" i="6"/>
  <c r="EU9" i="6"/>
  <c r="EV10" i="6"/>
  <c r="ER14" i="6"/>
  <c r="FA12" i="6"/>
  <c r="EX14" i="6"/>
  <c r="EV11" i="6"/>
  <c r="ES10" i="6"/>
  <c r="EV13" i="6"/>
  <c r="EW10" i="6"/>
  <c r="EU15" i="6"/>
  <c r="ET14" i="6"/>
  <c r="EU13" i="6"/>
  <c r="ES12" i="6"/>
  <c r="ET11" i="6"/>
  <c r="EY15" i="6"/>
  <c r="EX11" i="6"/>
  <c r="EY9" i="6"/>
  <c r="ET15" i="6"/>
  <c r="EX13" i="6"/>
  <c r="ES11" i="6"/>
  <c r="FP6" i="6"/>
  <c r="EQ6" i="6"/>
  <c r="EQ8" i="6"/>
  <c r="EQ11" i="6"/>
  <c r="EQ12" i="6"/>
  <c r="EQ7" i="6"/>
  <c r="EQ15" i="6"/>
  <c r="EQ14" i="6"/>
  <c r="EQ9" i="6"/>
  <c r="EQ10" i="6"/>
  <c r="EQ13" i="6"/>
  <c r="DY8" i="6"/>
  <c r="DY14" i="6"/>
  <c r="DY15" i="6"/>
  <c r="DY7" i="6"/>
  <c r="DY11" i="6"/>
  <c r="DY9" i="6"/>
  <c r="DY12" i="6"/>
  <c r="EA6" i="2"/>
  <c r="FD6" i="2" s="1"/>
  <c r="BX13" i="3"/>
  <c r="DY13" i="6"/>
  <c r="DY10" i="6"/>
  <c r="CW8" i="6"/>
  <c r="DZ8" i="6" s="1"/>
  <c r="DN12" i="6"/>
  <c r="CW12" i="6"/>
  <c r="DZ12" i="6" s="1"/>
  <c r="CW15" i="6"/>
  <c r="DZ15" i="6" s="1"/>
  <c r="CW11" i="6"/>
  <c r="FC11" i="6" s="1"/>
  <c r="DN13" i="6"/>
  <c r="CW13" i="6"/>
  <c r="FC13" i="6" s="1"/>
  <c r="DN14" i="6"/>
  <c r="CW14" i="6"/>
  <c r="DZ14" i="6" s="1"/>
  <c r="DN9" i="6"/>
  <c r="CW9" i="6"/>
  <c r="DZ9" i="6" s="1"/>
  <c r="DN7" i="6"/>
  <c r="CW7" i="6"/>
  <c r="FC7" i="6" s="1"/>
  <c r="DN10" i="6"/>
  <c r="CW10" i="6"/>
  <c r="DZ10" i="6" s="1"/>
  <c r="DN6" i="6"/>
  <c r="CW6" i="6"/>
  <c r="DZ6" i="6" s="1"/>
  <c r="AV13" i="3"/>
  <c r="DP6" i="2"/>
  <c r="ES6" i="2" s="1"/>
  <c r="AK10" i="3"/>
  <c r="BN10" i="3" s="1"/>
  <c r="DP15" i="6"/>
  <c r="DO13" i="6"/>
  <c r="DP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X7" i="6"/>
  <c r="AT11" i="3"/>
  <c r="BW11" i="3" s="1"/>
  <c r="AU10" i="3"/>
  <c r="AN11" i="3"/>
  <c r="BQ11" i="3" s="1"/>
  <c r="AP10" i="3"/>
  <c r="AJ10" i="3"/>
  <c r="AJ11" i="3"/>
  <c r="DN11" i="6"/>
  <c r="DZ11" i="6" l="1"/>
  <c r="CL10" i="3"/>
  <c r="EO7" i="2"/>
  <c r="FR7" i="2" s="1"/>
  <c r="DZ13" i="6"/>
  <c r="DZ7" i="6"/>
  <c r="FC10" i="6"/>
  <c r="FC14" i="6"/>
  <c r="FC9" i="6"/>
  <c r="FC12" i="6"/>
  <c r="FC15" i="6"/>
  <c r="FC8" i="6"/>
  <c r="FC6" i="6"/>
  <c r="BY13" i="3"/>
  <c r="EB6" i="2"/>
  <c r="FE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U5" i="9" l="1"/>
  <c r="FD7" i="2"/>
  <c r="EU7" i="2"/>
  <c r="EW7" i="2"/>
  <c r="EZ7" i="2"/>
  <c r="EX7" i="2"/>
  <c r="EY7" i="2"/>
  <c r="FB7" i="2"/>
  <c r="FA7" i="2"/>
  <c r="ET7" i="2"/>
  <c r="EV7" i="2"/>
  <c r="FC7" i="2"/>
  <c r="ES7" i="2"/>
  <c r="AS5" i="9"/>
  <c r="BY10" i="3"/>
  <c r="EB7" i="2"/>
  <c r="FE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S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E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<sst xmlns="http://schemas.openxmlformats.org/spreadsheetml/2006/main" count="846" uniqueCount="480">
  <si>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</si>
  <si>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</si>
  <si>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</si>
  <si>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</si>
  <si>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</si>
  <si>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</si>
  <si>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</si>
  <si>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</si>
  <si>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</si>
  <si>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</si>
  <si>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</si>
  <si>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</si>
  <si>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</si>
  <si>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</si>
  <si>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</si>
  <si>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</si>
  <si>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</si>
  <si>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</si>
  <si>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</si>
  <si>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</si>
  <si>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</si>
  <si>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</si>
  <si>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</si>
  <si>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</si>
  <si>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</si>
  <si>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</si>
  <si>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</si>
  <si>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</si>
  <si>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</si>
  <si>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</si>
  <si>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</si>
  <si>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</si>
  <si>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</si>
  <si>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</si>
  <si>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</si>
  <si>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</si>
  <si>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</si>
  <si>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</si>
  <si>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</si>
  <si>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</si>
  <si>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</si>
  <si>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</si>
  <si>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</si>
  <si>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</si>
  <si>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</si>
  <si>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</si>
  <si>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</si>
  <si>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</si>
  <si>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</si>
  <si>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</si>
  <si>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</si>
  <si>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</si>
  <si>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</si>
  <si>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</si>
  <si>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</si>
  <si>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</si>
  <si>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</si>
  <si>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</si>
  <si>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</si>
  <si>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</si>
  <si>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</si>
  <si>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</si>
  <si>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</si>
  <si>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</si>
  <si>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</si>
  <si>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</si>
  <si>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</si>
  <si>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</si>
  <si>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</si>
  <si>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</si>
  <si>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</si>
  <si>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</si>
  <si>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</si>
  <si>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</si>
  <si>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</si>
  <si>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</si>
  <si>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</si>
  <si>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</si>
  <si>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</si>
  <si>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</si>
  <si>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</si>
  <si>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</si>
  <si>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</si>
  <si>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</si>
  <si>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</si>
  <si>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</si>
  <si>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</si>
  <si>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</si>
  <si>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</si>
  <si>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</si>
  <si>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</si>
  <si>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</si>
  <si>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</si>
  <si>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</si>
  <si>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</si>
  <si>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</si>
  <si>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</si>
  <si>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</si>
  <si>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</si>
  <si>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</si>
  <si>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</si>
  <si>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</si>
  <si>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</si>
  <si>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</si>
  <si>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</si>
  <si>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</si>
  <si>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</si>
  <si>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</si>
  <si>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</si>
  <si>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</si>
  <si>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</si>
  <si>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</si>
  <si>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</si>
  <si>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</si>
  <si>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</si>
  <si>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</si>
  <si>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</si>
  <si>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</si>
  <si>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</si>
  <si>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</si>
  <si>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</si>
  <si>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</si>
  <si>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</si>
  <si>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</si>
  <si>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</si>
  <si>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</si>
  <si>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</si>
  <si>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</si>
  <si>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</si>
  <si>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</si>
  <si>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</si>
  <si>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</si>
  <si>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</si>
  <si>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</si>
  <si>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</si>
  <si>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</si>
  <si>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</si>
  <si>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</si>
  <si>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</si>
  <si>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</si>
  <si>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</si>
  <si>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</si>
  <si>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</si>
  <si>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</si>
  <si>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</si>
  <si>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</si>
  <si>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</si>
  <si>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</si>
  <si>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</si>
  <si>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</si>
  <si>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</si>
  <si>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</si>
  <si>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</si>
  <si>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</si>
  <si>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</si>
  <si>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</si>
  <si>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</si>
  <si>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</si>
  <si>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</si>
  <si>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</si>
  <si>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</si>
  <si>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</si>
  <si>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</si>
  <si>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</si>
  <si>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</si>
  <si>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</si>
  <si>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</si>
  <si>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</si>
  <si>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</si>
  <si>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</si>
  <si>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</si>
  <si>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</si>
  <si>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</si>
  <si>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</si>
  <si>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</si>
  <si>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</si>
  <si>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</si>
  <si>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</si>
  <si>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</si>
  <si>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</si>
  <si>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</si>
  <si>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</si>
  <si>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</si>
  <si>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</si>
  <si>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</si>
  <si>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</si>
  <si>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</si>
  <si>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</si>
  <si>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</si>
  <si>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</si>
  <si>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</si>
  <si>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</si>
  <si>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</si>
  <si>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</si>
  <si>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</si>
  <si>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</si>
  <si>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</si>
  <si>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</si>
  <si>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</si>
  <si>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</si>
  <si>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</si>
  <si>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</si>
  <si>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</si>
  <si>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</si>
  <si>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</si>
  <si>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</si>
  <si>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</si>
  <si>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</si>
  <si>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</si>
  <si>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</si>
  <si>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</si>
  <si>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</si>
  <si>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</si>
  <si>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</si>
  <si>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</si>
  <si>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</si>
  <si>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</si>
  <si>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</si>
  <si>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</si>
  <si>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</si>
  <si>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</si>
  <si>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</si>
  <si>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</si>
  <si>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</si>
  <si>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</si>
  <si>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</si>
  <si>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</si>
  <si>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</si>
  <si>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</si>
  <si>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</si>
  <si>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</si>
  <si>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</si>
  <si>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</si>
  <si>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</si>
  <si>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</si>
  <si>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</si>
  <si>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</si>
  <si>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</si>
  <si>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</si>
  <si>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</si>
  <si>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</si>
  <si>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</si>
  <si>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</si>
  <si>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</si>
  <si>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</si>
  <si>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</si>
  <si>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</si>
  <si>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</si>
  <si>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</si>
  <si>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</si>
  <si>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</si>
  <si>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</si>
  <si>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</si>
  <si>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</si>
  <si>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</si>
  <si>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</si>
  <si>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</si>
  <si>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</si>
  <si>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</si>
  <si>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</si>
  <si>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</si>
  <si>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</si>
  <si>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</si>
  <si>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</si>
  <si>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</si>
  <si>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</si>
  <si>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</si>
  <si>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</si>
  <si>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</si>
  <si>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</si>
  <si>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</si>
  <si>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</si>
  <si>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</si>
  <si>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</si>
  <si>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</si>
  <si>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</si>
  <si>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</si>
  <si>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</si>
  <si>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</si>
  <si>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</si>
  <si>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</si>
  <si>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</si>
  <si>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</si>
  <si>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</si>
  <si>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</si>
  <si>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</si>
  <si>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</si>
  <si>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</si>
  <si>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</si>
  <si>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</si>
  <si>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</si>
  <si>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</si>
  <si>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</si>
  <si>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</si>
  <si>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</si>
  <si>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</si>
  <si>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</si>
  <si>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</si>
  <si>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</si>
  <si>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</si>
  <si>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</si>
  <si>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</si>
  <si>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</si>
  <si>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</si>
  <si>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</si>
  <si>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</si>
  <si>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</si>
  <si>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</si>
  <si>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</si>
  <si>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</si>
  <si>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</si>
  <si>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</si>
  <si>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</si>
  <si>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</si>
  <si>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</si>
  <si>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</si>
  <si>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</si>
  <si>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</si>
  <si>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</si>
  <si>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</si>
  <si>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</si>
  <si>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</si>
  <si>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</si>
  <si>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</si>
  <si>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</si>
  <si>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</si>
  <si>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</si>
  <si>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</si>
  <si>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</si>
  <si>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</si>
  <si>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</si>
  <si>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</si>
  <si>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</si>
  <si>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</si>
  <si>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</si>
  <si>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</si>
  <si>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</si>
  <si>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</si>
  <si>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</si>
  <si>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</si>
  <si>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</si>
  <si>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</si>
  <si>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</si>
  <si>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</si>
  <si>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</si>
  <si>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</si>
  <si>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</si>
  <si>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</si>
  <si>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</si>
  <si>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</si>
  <si>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</si>
  <si>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</si>
  <si>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</si>
  <si>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</si>
  <si>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</si>
  <si>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</si>
  <si>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</si>
  <si>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</si>
  <si>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</si>
  <si>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</si>
  <si>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</si>
  <si>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</si>
  <si>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</si>
  <si>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</si>
  <si>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</si>
  <si>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</si>
  <si>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</si>
  <si>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</si>
  <si>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</si>
  <si>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</si>
  <si>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</si>
  <si>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</si>
  <si>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</si>
  <si>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</si>
  <si>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</si>
  <si>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</si>
  <si>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</si>
  <si>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</si>
  <si>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</si>
  <si>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</si>
  <si>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</si>
  <si>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</si>
  <si>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</si>
  <si>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</si>
  <si>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</si>
  <si>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</si>
  <si>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</si>
  <si>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</si>
  <si>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</si>
  <si>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</si>
  <si>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</si>
  <si>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</si>
  <si>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</si>
  <si>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</si>
  <si>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</si>
  <si>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</si>
  <si>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</si>
  <si>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</si>
  <si>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</si>
  <si>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</si>
  <si>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</si>
  <si>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</si>
  <si>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</si>
  <si>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</si>
  <si>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</si>
  <si>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</si>
  <si>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</si>
  <si>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</si>
  <si>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</si>
  <si>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</si>
  <si>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</si>
  <si>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</si>
  <si>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</si>
  <si>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</si>
  <si>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</si>
  <si>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</si>
  <si>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</si>
  <si>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</si>
  <si>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</si>
  <si>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</si>
  <si>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</si>
  <si>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</si>
  <si>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</si>
  <si>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</si>
  <si>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</si>
  <si>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</si>
  <si>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</si>
  <si>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</si>
  <si>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</si>
  <si>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</si>
  <si>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</si>
  <si>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</si>
  <si>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</si>
  <si>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</si>
  <si>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</si>
  <si>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</si>
  <si>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</si>
  <si>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</si>
  <si>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</si>
  <si>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</si>
  <si>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</si>
  <si>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</si>
  <si>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</si>
  <si>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</si>
  <si>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</si>
  <si>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</si>
  <si>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</si>
  <si>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</si>
  <si>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</si>
  <si>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</si>
  <si>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</si>
  <si>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</si>
  <si>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</si>
  <si>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</si>
  <si>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</si>
  <si>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</si>
  <si>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</si>
  <si>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</si>
  <si>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</si>
  <si>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</si>
  <si>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</si>
  <si>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</si>
  <si>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</si>
  <si>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</si>
  <si>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</si>
  <si>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</si>
  <si>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</si>
  <si>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</si>
  <si>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</si>
  <si>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</si>
  <si>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</si>
  <si>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</si>
  <si>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</si>
  <si>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</si>
  <si>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</si>
  <si>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</si>
  <si>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</si>
  <si>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</si>
  <si>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</si>
  <si>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Bond Sample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</si>
</sst>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96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2" fontId="0" fillId="0" borderId="0" xfId="6" applyNumberFormat="1" applyFont="1" applyFill="1"/>
    <xf numFmtId="164" fontId="0" fillId="0" borderId="0" xfId="0" applyNumberFormat="1" applyFill="1"/>
    <xf numFmtId="38" fontId="0" fillId="0" borderId="0" xfId="6" applyNumberFormat="1" applyFont="1" applyFill="1"/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1"/>
      <tableStyleElement type="headerRow" dxfId="460"/>
      <tableStyleElement type="totalRow" dxfId="459"/>
      <tableStyleElement type="firstColumn" dxfId="458"/>
      <tableStyleElement type="lastColumn" dxfId="457"/>
      <tableStyleElement type="firstRowStripe" dxfId="456"/>
      <tableStyleElement type="firstColumnStripe" dxfId="455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3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  <c:pt idx="12">
                  <c:v>0.60562015503875977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3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  <c:pt idx="12">
                  <c:v>0.30200821768101177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585664"/>
        <c:axId val="253591552"/>
      </c:barChart>
      <c:catAx>
        <c:axId val="253585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53591552"/>
        <c:crosses val="autoZero"/>
        <c:auto val="1"/>
        <c:lblAlgn val="ctr"/>
        <c:lblOffset val="100"/>
        <c:noMultiLvlLbl val="0"/>
      </c:catAx>
      <c:valAx>
        <c:axId val="25359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25358566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1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5" dropStyle="combo" dx="16" fmlaRange="r_TonnageViews" noThreeD="1" sel="3" val="0"/>
</file>

<file path=xl/ctrlProps/ctrlProp5.xml><?xml version="1.0" encoding="utf-8"?>
<formControlPr xmlns="http://schemas.microsoft.com/office/spreadsheetml/2009/9/main" objectType="Drop" dropLines="15" dropStyle="combo" dx="16" fmlaRange="r_PartViews" noThreeD="1" sel="12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1</xdr:col>
          <xdr:colOff>542925</xdr:colOff>
          <xdr:row>1</xdr:row>
          <xdr:rowOff>466725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5:FU9">
    <sortCondition ref="A4:A9"/>
  </sortState>
  <tableColumns count="177">
    <tableColumn id="1" name="Plant"/>
    <tableColumn id="2" name="OperHrsPerDay" dataDxfId="454"/>
    <tableColumn id="4" name="OEE%" dataDxfId="453"/>
    <tableColumn id="5" name="d2015.01" dataDxfId="452"/>
    <tableColumn id="6" name="d2015.02" dataDxfId="451"/>
    <tableColumn id="7" name="d2015.03" dataDxfId="450"/>
    <tableColumn id="17" name="d2015.04" dataDxfId="449"/>
    <tableColumn id="18" name="d2015.05" dataDxfId="448"/>
    <tableColumn id="19" name="d2015.06" dataDxfId="447"/>
    <tableColumn id="20" name="d2015.07" dataDxfId="446"/>
    <tableColumn id="21" name="d2015.08" dataDxfId="445"/>
    <tableColumn id="22" name="d2015.09" dataDxfId="444"/>
    <tableColumn id="23" name="d2015.10" dataDxfId="443"/>
    <tableColumn id="24" name="d2015.11" dataDxfId="442"/>
    <tableColumn id="25" name="d2015.12" dataDxfId="441"/>
    <tableColumn id="26" name="d2015.FY" dataDxfId="440">
      <calculatedColumnFormula>SUM(t_Plants[[#This Row],[d2015.01]:[d2015.12]])</calculatedColumnFormula>
    </tableColumn>
    <tableColumn id="13" name="d2016.01" dataDxfId="439"/>
    <tableColumn id="46" name="d2016.02" dataDxfId="438"/>
    <tableColumn id="84" name="d2016.03" dataDxfId="437"/>
    <tableColumn id="85" name="d2016.04" dataDxfId="436"/>
    <tableColumn id="86" name="d2016.05" dataDxfId="435"/>
    <tableColumn id="87" name="d2016.06" dataDxfId="434"/>
    <tableColumn id="88" name="d2016.07" dataDxfId="433"/>
    <tableColumn id="89" name="d2016.08" dataDxfId="432"/>
    <tableColumn id="90" name="d2016.09" dataDxfId="431"/>
    <tableColumn id="91" name="d2016.10" dataDxfId="430"/>
    <tableColumn id="92" name="d2016.11" dataDxfId="429"/>
    <tableColumn id="93" name="d2016.12" dataDxfId="428"/>
    <tableColumn id="94" name="d2016.FY" dataDxfId="427">
      <calculatedColumnFormula>SUM(t_Plants[[#This Row],[d2016.01]:[d2016.12]])</calculatedColumnFormula>
    </tableColumn>
    <tableColumn id="95" name="d2017" dataDxfId="426">
      <calculatedColumnFormula>t_Plants[[#This Row],[d2016.FY]]</calculatedColumnFormula>
    </tableColumn>
    <tableColumn id="96" name="d2018" dataDxfId="425">
      <calculatedColumnFormula>t_Plants[[#This Row],[d2016.FY]]</calculatedColumnFormula>
    </tableColumn>
    <tableColumn id="97" name="d2019" dataDxfId="424">
      <calculatedColumnFormula>t_Plants[[#This Row],[d2016.FY]]</calculatedColumnFormula>
    </tableColumn>
    <tableColumn id="8" name="o2015.01" dataDxfId="423"/>
    <tableColumn id="9" name="o2015.02" dataDxfId="422"/>
    <tableColumn id="10" name="o2015.03" dataDxfId="421"/>
    <tableColumn id="27" name="o2015.04" dataDxfId="420"/>
    <tableColumn id="28" name="o2015.05" dataDxfId="419"/>
    <tableColumn id="29" name="o2015.06" dataDxfId="418"/>
    <tableColumn id="30" name="o2015.07" dataDxfId="417"/>
    <tableColumn id="31" name="o2015.08" dataDxfId="416"/>
    <tableColumn id="32" name="o2015.09" dataDxfId="415"/>
    <tableColumn id="33" name="o2015.10" dataDxfId="414"/>
    <tableColumn id="34" name="o2015.11" dataDxfId="413"/>
    <tableColumn id="35" name="o2015.12" dataDxfId="412"/>
    <tableColumn id="36" name="o2015.FY" dataDxfId="411">
      <calculatedColumnFormula>SUM(t_Plants[[#This Row],[o2015.01]:[o2015.12]])</calculatedColumnFormula>
    </tableColumn>
    <tableColumn id="98" name="o2016.01" dataDxfId="410"/>
    <tableColumn id="99" name="o2016.02" dataDxfId="409"/>
    <tableColumn id="100" name="o2016.03" dataDxfId="408"/>
    <tableColumn id="101" name="o2016.04" dataDxfId="407"/>
    <tableColumn id="102" name="o2016.05" dataDxfId="406"/>
    <tableColumn id="103" name="o2016.06" dataDxfId="405"/>
    <tableColumn id="104" name="o2016.07" dataDxfId="404"/>
    <tableColumn id="105" name="o2016.08" dataDxfId="403"/>
    <tableColumn id="106" name="o2016.09" dataDxfId="402"/>
    <tableColumn id="107" name="o2016.10" dataDxfId="401"/>
    <tableColumn id="108" name="o2016.11" dataDxfId="400"/>
    <tableColumn id="109" name="o2016.12" dataDxfId="399"/>
    <tableColumn id="110" name="o2016.FY" dataDxfId="398">
      <calculatedColumnFormula>SUM(t_Plants[[#This Row],[o2016.01]:[o2016.12]])</calculatedColumnFormula>
    </tableColumn>
    <tableColumn id="113" name="o2017" dataDxfId="397">
      <calculatedColumnFormula>t_Plants[[#This Row],[o2016.FY]]</calculatedColumnFormula>
    </tableColumn>
    <tableColumn id="114" name="o2018" dataDxfId="396">
      <calculatedColumnFormula>t_Plants[[#This Row],[o2016.FY]]</calculatedColumnFormula>
    </tableColumn>
    <tableColumn id="112" name="o2019" dataDxfId="395">
      <calculatedColumnFormula>t_Plants[[#This Row],[o2016.FY]]</calculatedColumnFormula>
    </tableColumn>
    <tableColumn id="3" name="a2015.01" dataDxfId="394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3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2">
      <calculatedColumnFormula>SUM(t_Plants[[#This Row],[a2016.01]:[a2016.12]])</calculatedColumnFormula>
    </tableColumn>
    <tableColumn id="128" name="a2017" dataDxfId="391">
      <calculatedColumnFormula>t_Plants[[#This Row],[a2016.FY]]</calculatedColumnFormula>
    </tableColumn>
    <tableColumn id="130" name="a2018" dataDxfId="390">
      <calculatedColumnFormula>t_Plants[[#This Row],[a2016.FY]]</calculatedColumnFormula>
    </tableColumn>
    <tableColumn id="129" name="a2019" dataDxfId="389">
      <calculatedColumnFormula>t_Plants[[#This Row],[a2016.FY]]</calculatedColumnFormula>
    </tableColumn>
    <tableColumn id="11" name="h2015.01" dataDxfId="388">
      <calculatedColumnFormula>t_Plants[[#This Row],[a2015.01]]*t_Plants[[OperHrsPerDay]:[OperHrsPerDay]]</calculatedColumnFormula>
    </tableColumn>
    <tableColumn id="12" name="h2015.02" dataDxfId="387">
      <calculatedColumnFormula>t_Plants[[#This Row],[a2015.02]]*t_Plants[[OperHrsPerDay]:[OperHrsPerDay]]</calculatedColumnFormula>
    </tableColumn>
    <tableColumn id="47" name="h2015.03" dataDxfId="386">
      <calculatedColumnFormula>t_Plants[[#This Row],[a2015.03]]*t_Plants[[OperHrsPerDay]:[OperHrsPerDay]]</calculatedColumnFormula>
    </tableColumn>
    <tableColumn id="48" name="h2015.04" dataDxfId="385">
      <calculatedColumnFormula>t_Plants[[#This Row],[a2015.04]]*t_Plants[[OperHrsPerDay]:[OperHrsPerDay]]</calculatedColumnFormula>
    </tableColumn>
    <tableColumn id="49" name="h2015.05" dataDxfId="384">
      <calculatedColumnFormula>t_Plants[[#This Row],[a2015.05]]*t_Plants[[OperHrsPerDay]:[OperHrsPerDay]]</calculatedColumnFormula>
    </tableColumn>
    <tableColumn id="50" name="h2015.06" dataDxfId="383">
      <calculatedColumnFormula>t_Plants[[#This Row],[a2015.06]]*t_Plants[[OperHrsPerDay]:[OperHrsPerDay]]</calculatedColumnFormula>
    </tableColumn>
    <tableColumn id="51" name="h2015.07" dataDxfId="382">
      <calculatedColumnFormula>t_Plants[[#This Row],[a2015.07]]*t_Plants[[OperHrsPerDay]:[OperHrsPerDay]]</calculatedColumnFormula>
    </tableColumn>
    <tableColumn id="52" name="h2015.08" dataDxfId="381">
      <calculatedColumnFormula>t_Plants[[#This Row],[a2015.08]]*t_Plants[[OperHrsPerDay]:[OperHrsPerDay]]</calculatedColumnFormula>
    </tableColumn>
    <tableColumn id="53" name="h2015.09" dataDxfId="380">
      <calculatedColumnFormula>t_Plants[[#This Row],[a2015.09]]*t_Plants[[OperHrsPerDay]:[OperHrsPerDay]]</calculatedColumnFormula>
    </tableColumn>
    <tableColumn id="54" name="h2015.10" dataDxfId="379">
      <calculatedColumnFormula>t_Plants[[#This Row],[a2015.10]]*t_Plants[[OperHrsPerDay]:[OperHrsPerDay]]</calculatedColumnFormula>
    </tableColumn>
    <tableColumn id="55" name="h2015.11" dataDxfId="378">
      <calculatedColumnFormula>t_Plants[[#This Row],[a2015.11]]*t_Plants[[OperHrsPerDay]:[OperHrsPerDay]]</calculatedColumnFormula>
    </tableColumn>
    <tableColumn id="56" name="h2015.12" dataDxfId="377">
      <calculatedColumnFormula>t_Plants[[#This Row],[a2015.12]]*t_Plants[[OperHrsPerDay]:[OperHrsPerDay]]</calculatedColumnFormula>
    </tableColumn>
    <tableColumn id="57" name="h2015.FY" dataDxfId="376">
      <calculatedColumnFormula>SUM(t_Plants[[#This Row],[h2015.01]:[h2015.12]])</calculatedColumnFormula>
    </tableColumn>
    <tableColumn id="162" name="h2016.01" dataDxfId="375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74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3">
      <calculatedColumnFormula>SUMIF(r_Press_Plants,t_Plants[[Plant]:[Plant]],t_Presses[hp2016.01])</calculatedColumnFormula>
    </tableColumn>
    <tableColumn id="131" name="p2016.02" dataDxfId="372">
      <calculatedColumnFormula>SUMIF(r_Press_Plants,t_Plants[[Plant]:[Plant]],t_Presses[hp2016.02])</calculatedColumnFormula>
    </tableColumn>
    <tableColumn id="132" name="p2016.03" dataDxfId="371">
      <calculatedColumnFormula>SUMIF(r_Press_Plants,t_Plants[[Plant]:[Plant]],t_Presses[hp2016.03])</calculatedColumnFormula>
    </tableColumn>
    <tableColumn id="133" name="p2016.04" dataDxfId="370">
      <calculatedColumnFormula>SUMIF(r_Press_Plants,t_Plants[[Plant]:[Plant]],t_Presses[hp2016.04])</calculatedColumnFormula>
    </tableColumn>
    <tableColumn id="134" name="p2016.05" dataDxfId="369">
      <calculatedColumnFormula>SUMIF(r_Press_Plants,t_Plants[[Plant]:[Plant]],t_Presses[hp2016.05])</calculatedColumnFormula>
    </tableColumn>
    <tableColumn id="135" name="p2016.06" dataDxfId="368">
      <calculatedColumnFormula>SUMIF(r_Press_Plants,t_Plants[[Plant]:[Plant]],t_Presses[hp2016.06])</calculatedColumnFormula>
    </tableColumn>
    <tableColumn id="136" name="p2016.07" dataDxfId="367">
      <calculatedColumnFormula>SUMIF(r_Press_Plants,t_Plants[[Plant]:[Plant]],t_Presses[hp2016.07])</calculatedColumnFormula>
    </tableColumn>
    <tableColumn id="137" name="p2016.08" dataDxfId="366">
      <calculatedColumnFormula>SUMIF(r_Press_Plants,t_Plants[[Plant]:[Plant]],t_Presses[hp2016.08])</calculatedColumnFormula>
    </tableColumn>
    <tableColumn id="138" name="p2016.09" dataDxfId="365">
      <calculatedColumnFormula>SUMIF(r_Press_Plants,t_Plants[[Plant]:[Plant]],t_Presses[hp2016.09])</calculatedColumnFormula>
    </tableColumn>
    <tableColumn id="139" name="p2016.10" dataDxfId="364">
      <calculatedColumnFormula>SUMIF(r_Press_Plants,t_Plants[[Plant]:[Plant]],t_Presses[hp2016.10])</calculatedColumnFormula>
    </tableColumn>
    <tableColumn id="140" name="p2016.11" dataDxfId="363">
      <calculatedColumnFormula>SUMIF(r_Press_Plants,t_Plants[[Plant]:[Plant]],t_Presses[hp2016.11])</calculatedColumnFormula>
    </tableColumn>
    <tableColumn id="141" name="p2016.12" dataDxfId="362">
      <calculatedColumnFormula>SUMIF(r_Press_Plants,t_Plants[[Plant]:[Plant]],t_Presses[hp2016.12])</calculatedColumnFormula>
    </tableColumn>
    <tableColumn id="142" name="p2016.FY" dataDxfId="361">
      <calculatedColumnFormula>SUMIF(r_Press_Plants,t_Plants[[Plant]:[Plant]],t_Presses[hp2016.FY])</calculatedColumnFormula>
    </tableColumn>
    <tableColumn id="143" name="p2017" dataDxfId="360">
      <calculatedColumnFormula>SUMIF(r_Press_Plants,t_Plants[[Plant]:[Plant]],t_Presses[hp2017])</calculatedColumnFormula>
    </tableColumn>
    <tableColumn id="144" name="p2018" dataDxfId="359">
      <calculatedColumnFormula>SUMIF(r_Press_Plants,t_Plants[[Plant]:[Plant]],t_Presses[hp2018])</calculatedColumnFormula>
    </tableColumn>
    <tableColumn id="145" name="p2019" dataDxfId="358">
      <calculatedColumnFormula>SUMIF(r_Press_Plants,t_Plants[[Plant]:[Plant]],t_Presses[hp2019])</calculatedColumnFormula>
    </tableColumn>
    <tableColumn id="58" name="2015.01" dataDxfId="357">
      <calculatedColumnFormula>t_Plants[[#This Row],[p2015.01]]/t_Plants[[#This Row],[h2015.01]]</calculatedColumnFormula>
    </tableColumn>
    <tableColumn id="59" name="2015.02" dataDxfId="356" dataCellStyle="Percent">
      <calculatedColumnFormula>t_Plants[[#This Row],[p2015.02]]/t_Plants[[#This Row],[h2015.02]]</calculatedColumnFormula>
    </tableColumn>
    <tableColumn id="60" name="2015.03" dataDxfId="355" dataCellStyle="Percent">
      <calculatedColumnFormula>t_Plants[[#This Row],[p2015.03]]/t_Plants[[#This Row],[h2015.03]]</calculatedColumnFormula>
    </tableColumn>
    <tableColumn id="61" name="2015.04" dataDxfId="354" dataCellStyle="Percent">
      <calculatedColumnFormula>t_Plants[[#This Row],[p2015.04]]/t_Plants[[#This Row],[h2015.04]]</calculatedColumnFormula>
    </tableColumn>
    <tableColumn id="62" name="2015.05" dataDxfId="353" dataCellStyle="Percent">
      <calculatedColumnFormula>t_Plants[[#This Row],[p2015.05]]/t_Plants[[#This Row],[h2015.05]]</calculatedColumnFormula>
    </tableColumn>
    <tableColumn id="63" name="2015.06" dataDxfId="352" dataCellStyle="Percent">
      <calculatedColumnFormula>t_Plants[[#This Row],[p2015.06]]/t_Plants[[#This Row],[h2015.06]]</calculatedColumnFormula>
    </tableColumn>
    <tableColumn id="64" name="2015.07" dataDxfId="351" dataCellStyle="Percent">
      <calculatedColumnFormula>t_Plants[[#This Row],[p2015.07]]/t_Plants[[#This Row],[h2015.07]]</calculatedColumnFormula>
    </tableColumn>
    <tableColumn id="65" name="2015.08" dataDxfId="350" dataCellStyle="Percent">
      <calculatedColumnFormula>t_Plants[[#This Row],[p2015.08]]/t_Plants[[#This Row],[h2015.08]]</calculatedColumnFormula>
    </tableColumn>
    <tableColumn id="66" name="2015.09" dataDxfId="349" dataCellStyle="Percent">
      <calculatedColumnFormula>t_Plants[[#This Row],[p2015.09]]/t_Plants[[#This Row],[h2015.09]]</calculatedColumnFormula>
    </tableColumn>
    <tableColumn id="67" name="2015.10" dataDxfId="348" dataCellStyle="Percent">
      <calculatedColumnFormula>t_Plants[[#This Row],[p2015.10]]/t_Plants[[#This Row],[h2015.10]]</calculatedColumnFormula>
    </tableColumn>
    <tableColumn id="68" name="2015.11" dataDxfId="347" dataCellStyle="Percent">
      <calculatedColumnFormula>t_Plants[[#This Row],[p2015.11]]/t_Plants[[#This Row],[h2015.11]]</calculatedColumnFormula>
    </tableColumn>
    <tableColumn id="69" name="2015.12" dataDxfId="346" dataCellStyle="Percent">
      <calculatedColumnFormula>t_Plants[[#This Row],[p2015.12]]/t_Plants[[#This Row],[h2015.12]]</calculatedColumnFormula>
    </tableColumn>
    <tableColumn id="70" name="2015" dataDxfId="345" dataCellStyle="Percent">
      <calculatedColumnFormula>t_Plants[[#This Row],[p2015.FY]]/t_Plants[[#This Row],[h2015.FY]]</calculatedColumnFormula>
    </tableColumn>
    <tableColumn id="146" name="2016.01" dataDxfId="344" dataCellStyle="Percent">
      <calculatedColumnFormula>t_Plants[[#This Row],[p2016.01]]/t_Plants[[#This Row],[h2016.01]]</calculatedColumnFormula>
    </tableColumn>
    <tableColumn id="147" name="2016.02" dataDxfId="343" dataCellStyle="Percent">
      <calculatedColumnFormula>t_Plants[[#This Row],[p2016.02]]/t_Plants[[#This Row],[h2016.02]]</calculatedColumnFormula>
    </tableColumn>
    <tableColumn id="148" name="2016.03" dataDxfId="342" dataCellStyle="Percent">
      <calculatedColumnFormula>t_Plants[[#This Row],[p2016.03]]/t_Plants[[#This Row],[h2016.03]]</calculatedColumnFormula>
    </tableColumn>
    <tableColumn id="149" name="2016.04" dataDxfId="341" dataCellStyle="Percent">
      <calculatedColumnFormula>t_Plants[[#This Row],[p2016.04]]/t_Plants[[#This Row],[h2016.04]]</calculatedColumnFormula>
    </tableColumn>
    <tableColumn id="150" name="2016.05" dataDxfId="340" dataCellStyle="Percent">
      <calculatedColumnFormula>t_Plants[[#This Row],[p2016.05]]/t_Plants[[#This Row],[h2016.05]]</calculatedColumnFormula>
    </tableColumn>
    <tableColumn id="151" name="2016.06" dataDxfId="339" dataCellStyle="Percent">
      <calculatedColumnFormula>t_Plants[[#This Row],[p2016.06]]/t_Plants[[#This Row],[h2016.06]]</calculatedColumnFormula>
    </tableColumn>
    <tableColumn id="152" name="2016.07" dataDxfId="338" dataCellStyle="Percent">
      <calculatedColumnFormula>t_Plants[[#This Row],[p2016.07]]/t_Plants[[#This Row],[h2016.07]]</calculatedColumnFormula>
    </tableColumn>
    <tableColumn id="153" name="2016.08" dataDxfId="337" dataCellStyle="Percent">
      <calculatedColumnFormula>t_Plants[[#This Row],[p2016.08]]/t_Plants[[#This Row],[h2016.08]]</calculatedColumnFormula>
    </tableColumn>
    <tableColumn id="154" name="2016.09" dataDxfId="336" dataCellStyle="Percent">
      <calculatedColumnFormula>t_Plants[[#This Row],[p2016.09]]/t_Plants[[#This Row],[h2016.09]]</calculatedColumnFormula>
    </tableColumn>
    <tableColumn id="155" name="2016.10" dataDxfId="335" dataCellStyle="Percent">
      <calculatedColumnFormula>t_Plants[[#This Row],[p2016.10]]/t_Plants[[#This Row],[h2016.10]]</calculatedColumnFormula>
    </tableColumn>
    <tableColumn id="156" name="2016.11" dataDxfId="334" dataCellStyle="Percent">
      <calculatedColumnFormula>t_Plants[[#This Row],[p2016.11]]/t_Plants[[#This Row],[h2016.11]]</calculatedColumnFormula>
    </tableColumn>
    <tableColumn id="157" name="2016.12" dataDxfId="333" dataCellStyle="Percent">
      <calculatedColumnFormula>t_Plants[[#This Row],[p2016.12]]/t_Plants[[#This Row],[h2016.12]]</calculatedColumnFormula>
    </tableColumn>
    <tableColumn id="158" name="2016" dataDxfId="332" dataCellStyle="Percent">
      <calculatedColumnFormula>t_Plants[[#This Row],[p2016.FY]]/t_Plants[[#This Row],[h2016.FY]]</calculatedColumnFormula>
    </tableColumn>
    <tableColumn id="159" name="2017" dataDxfId="331" dataCellStyle="Percent">
      <calculatedColumnFormula>t_Plants[[#This Row],[p2017]]/t_Plants[[#This Row],[h2017]]</calculatedColumnFormula>
    </tableColumn>
    <tableColumn id="160" name="2018" dataDxfId="330" dataCellStyle="Percent">
      <calculatedColumnFormula>t_Plants[[#This Row],[p2018]]/t_Plants[[#This Row],[h2018]]</calculatedColumnFormula>
    </tableColumn>
    <tableColumn id="161" name="2019" dataDxfId="329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L9" totalsRowShown="0" dataDxfId="328" headerRowCellStyle="Neutral" dataCellStyle="Percent">
  <autoFilter ref="A4:CL9"/>
  <tableColumns count="90">
    <tableColumn id="1" name="Group"/>
    <tableColumn id="2" name="Tonnage Range" dataDxfId="327"/>
    <tableColumn id="90" name="Press Count" dataDxfId="326">
      <calculatedColumnFormula>COUNTIF(r_Press_Tonnage,Table4[[Tonnage Range]:[Tonnage Range]])</calculatedColumnFormula>
    </tableColumn>
    <tableColumn id="3" name="ha2015.01" dataDxfId="325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24"/>
    <tableColumn id="42" name="ha2016.01" dataDxfId="323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22" dataCellStyle="Comma">
      <calculatedColumnFormula>SUMIF(r_Press_Tonnage,Table4[[Tonnage Range]:[Tonnage Range]],t_Presses[hp2015.01])</calculatedColumnFormula>
    </tableColumn>
    <tableColumn id="17" name="hp2015.02" dataDxfId="321" dataCellStyle="Comma">
      <calculatedColumnFormula>SUMIF(r_Press_Tonnage,Table4[[Tonnage Range]:[Tonnage Range]],t_Presses[hp2015.02])</calculatedColumnFormula>
    </tableColumn>
    <tableColumn id="18" name="hp2015.03" dataDxfId="320" dataCellStyle="Comma">
      <calculatedColumnFormula>SUMIF(r_Press_Tonnage,Table4[[Tonnage Range]:[Tonnage Range]],t_Presses[hp2015.03])</calculatedColumnFormula>
    </tableColumn>
    <tableColumn id="19" name="hp2015.04" dataDxfId="319" dataCellStyle="Comma">
      <calculatedColumnFormula>SUMIF(r_Press_Tonnage,Table4[[Tonnage Range]:[Tonnage Range]],t_Presses[hp2015.04])</calculatedColumnFormula>
    </tableColumn>
    <tableColumn id="20" name="hp2015.05" dataDxfId="318" dataCellStyle="Comma">
      <calculatedColumnFormula>SUMIF(r_Press_Tonnage,Table4[[Tonnage Range]:[Tonnage Range]],t_Presses[hp2015.05])</calculatedColumnFormula>
    </tableColumn>
    <tableColumn id="21" name="hp2015.06" dataDxfId="317" dataCellStyle="Comma">
      <calculatedColumnFormula>SUMIF(r_Press_Tonnage,Table4[[Tonnage Range]:[Tonnage Range]],t_Presses[hp2015.06])</calculatedColumnFormula>
    </tableColumn>
    <tableColumn id="22" name="hp2015.07" dataDxfId="316" dataCellStyle="Comma">
      <calculatedColumnFormula>SUMIF(r_Press_Tonnage,Table4[[Tonnage Range]:[Tonnage Range]],t_Presses[hp2015.07])</calculatedColumnFormula>
    </tableColumn>
    <tableColumn id="23" name="hp2015.08" dataDxfId="315" dataCellStyle="Comma">
      <calculatedColumnFormula>SUMIF(r_Press_Tonnage,Table4[[Tonnage Range]:[Tonnage Range]],t_Presses[hp2015.08])</calculatedColumnFormula>
    </tableColumn>
    <tableColumn id="24" name="hp2015.09" dataDxfId="314" dataCellStyle="Comma">
      <calculatedColumnFormula>SUMIF(r_Press_Tonnage,Table4[[Tonnage Range]:[Tonnage Range]],t_Presses[hp2015.09])</calculatedColumnFormula>
    </tableColumn>
    <tableColumn id="25" name="hp2015.10" dataDxfId="313" dataCellStyle="Comma">
      <calculatedColumnFormula>SUMIF(r_Press_Tonnage,Table4[[Tonnage Range]:[Tonnage Range]],t_Presses[hp2015.10])</calculatedColumnFormula>
    </tableColumn>
    <tableColumn id="26" name="hp2015.11" dataDxfId="312" dataCellStyle="Comma">
      <calculatedColumnFormula>SUMIF(r_Press_Tonnage,Table4[[Tonnage Range]:[Tonnage Range]],t_Presses[hp2015.11])</calculatedColumnFormula>
    </tableColumn>
    <tableColumn id="27" name="hp2015.12" dataDxfId="311" dataCellStyle="Comma">
      <calculatedColumnFormula>SUMIF(r_Press_Tonnage,Table4[[Tonnage Range]:[Tonnage Range]],t_Presses[hp2015.12])</calculatedColumnFormula>
    </tableColumn>
    <tableColumn id="28" name="hp2015.FY" dataDxfId="310" dataCellStyle="Comma">
      <calculatedColumnFormula>SUM(Table4[[#This Row],[hp2015.01]:[hp2015.12]])</calculatedColumnFormula>
    </tableColumn>
    <tableColumn id="58" name="hp2016.01" dataDxfId="309" dataCellStyle="Comma">
      <calculatedColumnFormula>SUMIF(r_Press_Tonnage,Table4[[Tonnage Range]:[Tonnage Range]],t_Presses[hp2016.01])</calculatedColumnFormula>
    </tableColumn>
    <tableColumn id="59" name="hp2016.02" dataDxfId="308" dataCellStyle="Comma">
      <calculatedColumnFormula>SUMIF(r_Press_Tonnage,Table4[[Tonnage Range]:[Tonnage Range]],t_Presses[hp2016.02])</calculatedColumnFormula>
    </tableColumn>
    <tableColumn id="60" name="hp2016.03" dataDxfId="307" dataCellStyle="Comma">
      <calculatedColumnFormula>SUMIF(r_Press_Tonnage,Table4[[Tonnage Range]:[Tonnage Range]],t_Presses[hp2016.03])</calculatedColumnFormula>
    </tableColumn>
    <tableColumn id="61" name="hp2016.04" dataDxfId="306" dataCellStyle="Comma">
      <calculatedColumnFormula>SUMIF(r_Press_Tonnage,Table4[[Tonnage Range]:[Tonnage Range]],t_Presses[hp2016.04])</calculatedColumnFormula>
    </tableColumn>
    <tableColumn id="62" name="hp2016.05" dataDxfId="305" dataCellStyle="Comma">
      <calculatedColumnFormula>SUMIF(r_Press_Tonnage,Table4[[Tonnage Range]:[Tonnage Range]],t_Presses[hp2016.05])</calculatedColumnFormula>
    </tableColumn>
    <tableColumn id="63" name="hp2016.06" dataDxfId="304" dataCellStyle="Comma">
      <calculatedColumnFormula>SUMIF(r_Press_Tonnage,Table4[[Tonnage Range]:[Tonnage Range]],t_Presses[hp2016.06])</calculatedColumnFormula>
    </tableColumn>
    <tableColumn id="64" name="hp2016.07" dataDxfId="303" dataCellStyle="Comma">
      <calculatedColumnFormula>SUMIF(r_Press_Tonnage,Table4[[Tonnage Range]:[Tonnage Range]],t_Presses[hp2016.07])</calculatedColumnFormula>
    </tableColumn>
    <tableColumn id="65" name="hp2016.08" dataDxfId="302" dataCellStyle="Comma">
      <calculatedColumnFormula>SUMIF(r_Press_Tonnage,Table4[[Tonnage Range]:[Tonnage Range]],t_Presses[hp2016.08])</calculatedColumnFormula>
    </tableColumn>
    <tableColumn id="66" name="hp2016.09" dataDxfId="301" dataCellStyle="Comma">
      <calculatedColumnFormula>SUMIF(r_Press_Tonnage,Table4[[Tonnage Range]:[Tonnage Range]],t_Presses[hp2016.09])</calculatedColumnFormula>
    </tableColumn>
    <tableColumn id="67" name="hp2016.10" dataDxfId="300" dataCellStyle="Comma">
      <calculatedColumnFormula>SUMIF(r_Press_Tonnage,Table4[[Tonnage Range]:[Tonnage Range]],t_Presses[hp2016.10])</calculatedColumnFormula>
    </tableColumn>
    <tableColumn id="68" name="hp2016.11" dataDxfId="299" dataCellStyle="Comma">
      <calculatedColumnFormula>SUMIF(r_Press_Tonnage,Table4[[Tonnage Range]:[Tonnage Range]],t_Presses[hp2016.11])</calculatedColumnFormula>
    </tableColumn>
    <tableColumn id="69" name="hp2016.12" dataDxfId="298" dataCellStyle="Comma">
      <calculatedColumnFormula>SUMIF(r_Press_Tonnage,Table4[[Tonnage Range]:[Tonnage Range]],t_Presses[hp2016.12])</calculatedColumnFormula>
    </tableColumn>
    <tableColumn id="70" name="hp2016.FY" dataDxfId="297" dataCellStyle="Comma">
      <calculatedColumnFormula>SUMIF(r_Press_Tonnage,Table4[[Tonnage Range]:[Tonnage Range]],t_Presses[hp2016.FY])</calculatedColumnFormula>
    </tableColumn>
    <tableColumn id="71" name="hp2017" dataDxfId="296" dataCellStyle="Comma">
      <calculatedColumnFormula>SUMIF(r_Press_Tonnage,Table4[[Tonnage Range]:[Tonnage Range]],t_Presses[hp2017])</calculatedColumnFormula>
    </tableColumn>
    <tableColumn id="72" name="hp2018" dataDxfId="295" dataCellStyle="Comma">
      <calculatedColumnFormula>SUMIF(r_Press_Tonnage,Table4[[Tonnage Range]:[Tonnage Range]],t_Presses[hp2018])</calculatedColumnFormula>
    </tableColumn>
    <tableColumn id="73" name="hp2019" dataDxfId="294" dataCellStyle="Comma">
      <calculatedColumnFormula>SUMIF(r_Press_Tonnage,Table4[[Tonnage Range]:[Tonnage Range]],t_Presses[hp2019])</calculatedColumnFormula>
    </tableColumn>
    <tableColumn id="29" name="2015.01" dataDxfId="293" dataCellStyle="Percent">
      <calculatedColumnFormula>IF(Table4[[#This Row],[ha2015.01]]&gt;0,Table4[[#This Row],[hp2015.01]]/Table4[[#This Row],[ha2015.01]],0)</calculatedColumnFormula>
    </tableColumn>
    <tableColumn id="30" name="2015.02" dataDxfId="292" dataCellStyle="Percent">
      <calculatedColumnFormula>IF(Table4[[#This Row],[ha2015.02]]&gt;0,Table4[[#This Row],[hp2015.02]]/Table4[[#This Row],[ha2015.02]],0)</calculatedColumnFormula>
    </tableColumn>
    <tableColumn id="31" name="2015.03" dataDxfId="291" dataCellStyle="Percent">
      <calculatedColumnFormula>IF(Table4[[#This Row],[ha2015.03]]&gt;0,Table4[[#This Row],[hp2015.03]]/Table4[[#This Row],[ha2015.03]],0)</calculatedColumnFormula>
    </tableColumn>
    <tableColumn id="32" name="2015.04" dataDxfId="290" dataCellStyle="Percent">
      <calculatedColumnFormula>IF(Table4[[#This Row],[ha2015.04]]&gt;0,Table4[[#This Row],[hp2015.04]]/Table4[[#This Row],[ha2015.04]],0)</calculatedColumnFormula>
    </tableColumn>
    <tableColumn id="33" name="2015.05" dataDxfId="289" dataCellStyle="Percent">
      <calculatedColumnFormula>IF(Table4[[#This Row],[ha2015.05]]&gt;0,Table4[[#This Row],[hp2015.05]]/Table4[[#This Row],[ha2015.05]],0)</calculatedColumnFormula>
    </tableColumn>
    <tableColumn id="34" name="2015.06" dataDxfId="288" dataCellStyle="Percent">
      <calculatedColumnFormula>IF(Table4[[#This Row],[ha2015.06]]&gt;0,Table4[[#This Row],[hp2015.06]]/Table4[[#This Row],[ha2015.06]],0)</calculatedColumnFormula>
    </tableColumn>
    <tableColumn id="35" name="2015.07" dataDxfId="287" dataCellStyle="Percent">
      <calculatedColumnFormula>IF(Table4[[#This Row],[ha2015.07]]&gt;0,Table4[[#This Row],[hp2015.07]]/Table4[[#This Row],[ha2015.07]],0)</calculatedColumnFormula>
    </tableColumn>
    <tableColumn id="36" name="2015.08" dataDxfId="286" dataCellStyle="Percent">
      <calculatedColumnFormula>IF(Table4[[#This Row],[ha2015.08]]&gt;0,Table4[[#This Row],[hp2015.08]]/Table4[[#This Row],[ha2015.08]],0)</calculatedColumnFormula>
    </tableColumn>
    <tableColumn id="37" name="2015.09" dataDxfId="285" dataCellStyle="Percent">
      <calculatedColumnFormula>IF(Table4[[#This Row],[ha2015.09]]&gt;0,Table4[[#This Row],[hp2015.09]]/Table4[[#This Row],[ha2015.09]],0)</calculatedColumnFormula>
    </tableColumn>
    <tableColumn id="38" name="2015.10" dataDxfId="284" dataCellStyle="Percent">
      <calculatedColumnFormula>IF(Table4[[#This Row],[ha2015.10]]&gt;0,Table4[[#This Row],[hp2015.10]]/Table4[[#This Row],[ha2015.10]],0)</calculatedColumnFormula>
    </tableColumn>
    <tableColumn id="39" name="2015.11" dataDxfId="283" dataCellStyle="Percent">
      <calculatedColumnFormula>IF(Table4[[#This Row],[ha2015.11]]&gt;0,Table4[[#This Row],[hp2015.11]]/Table4[[#This Row],[ha2015.11]],0)</calculatedColumnFormula>
    </tableColumn>
    <tableColumn id="40" name="2015.12" dataDxfId="282" dataCellStyle="Percent">
      <calculatedColumnFormula>IF(Table4[[#This Row],[ha2015.12]]&gt;0,Table4[[#This Row],[hp2015.12]]/Table4[[#This Row],[ha2015.12]],0)</calculatedColumnFormula>
    </tableColumn>
    <tableColumn id="41" name="2015.FY" dataDxfId="281" dataCellStyle="Percent">
      <calculatedColumnFormula>IF(Table4[[#This Row],[ha2015.FY]]&gt;0,Table4[[#This Row],[hp2015.FY]]/Table4[[#This Row],[ha2015.FY]],0)</calculatedColumnFormula>
    </tableColumn>
    <tableColumn id="74" name="2016.01" dataDxfId="280" dataCellStyle="Percent">
      <calculatedColumnFormula>IF(Table4[[#This Row],[ha2016.01]]&gt;0,Table4[[#This Row],[hp2016.01]]/Table4[[#This Row],[ha2016.01]],0)</calculatedColumnFormula>
    </tableColumn>
    <tableColumn id="75" name="2016.02" dataDxfId="279" dataCellStyle="Percent">
      <calculatedColumnFormula>IF(Table4[[#This Row],[ha2016.02]]&gt;0,Table4[[#This Row],[hp2016.02]]/Table4[[#This Row],[ha2016.02]],0)</calculatedColumnFormula>
    </tableColumn>
    <tableColumn id="76" name="2016.03" dataDxfId="278" dataCellStyle="Percent">
      <calculatedColumnFormula>IF(Table4[[#This Row],[ha2016.03]]&gt;0,Table4[[#This Row],[hp2016.03]]/Table4[[#This Row],[ha2016.03]],0)</calculatedColumnFormula>
    </tableColumn>
    <tableColumn id="77" name="2016.04" dataDxfId="277" dataCellStyle="Percent">
      <calculatedColumnFormula>IF(Table4[[#This Row],[ha2016.04]]&gt;0,Table4[[#This Row],[hp2016.04]]/Table4[[#This Row],[ha2016.04]],0)</calculatedColumnFormula>
    </tableColumn>
    <tableColumn id="78" name="2016.05" dataDxfId="276" dataCellStyle="Percent">
      <calculatedColumnFormula>IF(Table4[[#This Row],[ha2016.05]]&gt;0,Table4[[#This Row],[hp2016.05]]/Table4[[#This Row],[ha2016.05]],0)</calculatedColumnFormula>
    </tableColumn>
    <tableColumn id="79" name="2016.06" dataDxfId="275" dataCellStyle="Percent">
      <calculatedColumnFormula>IF(Table4[[#This Row],[ha2016.06]]&gt;0,Table4[[#This Row],[hp2016.06]]/Table4[[#This Row],[ha2016.06]],0)</calculatedColumnFormula>
    </tableColumn>
    <tableColumn id="80" name="2016.07" dataDxfId="274" dataCellStyle="Percent">
      <calculatedColumnFormula>IF(Table4[[#This Row],[ha2016.07]]&gt;0,Table4[[#This Row],[hp2016.07]]/Table4[[#This Row],[ha2016.07]],0)</calculatedColumnFormula>
    </tableColumn>
    <tableColumn id="81" name="2016.08" dataDxfId="273" dataCellStyle="Percent">
      <calculatedColumnFormula>IF(Table4[[#This Row],[ha2016.08]]&gt;0,Table4[[#This Row],[hp2016.08]]/Table4[[#This Row],[ha2016.08]],0)</calculatedColumnFormula>
    </tableColumn>
    <tableColumn id="82" name="2016.09" dataDxfId="272" dataCellStyle="Percent">
      <calculatedColumnFormula>IF(Table4[[#This Row],[ha2016.09]]&gt;0,Table4[[#This Row],[hp2016.09]]/Table4[[#This Row],[ha2016.09]],0)</calculatedColumnFormula>
    </tableColumn>
    <tableColumn id="83" name="2016.10" dataDxfId="271" dataCellStyle="Percent">
      <calculatedColumnFormula>IF(Table4[[#This Row],[ha2016.10]]&gt;0,Table4[[#This Row],[hp2016.10]]/Table4[[#This Row],[ha2016.10]],0)</calculatedColumnFormula>
    </tableColumn>
    <tableColumn id="84" name="2016.11" dataDxfId="270" dataCellStyle="Percent">
      <calculatedColumnFormula>IF(Table4[[#This Row],[ha2016.11]]&gt;0,Table4[[#This Row],[hp2016.11]]/Table4[[#This Row],[ha2016.11]],0)</calculatedColumnFormula>
    </tableColumn>
    <tableColumn id="85" name="2016.12" dataDxfId="269" dataCellStyle="Percent">
      <calculatedColumnFormula>IF(Table4[[#This Row],[ha2016.12]]&gt;0,Table4[[#This Row],[hp2016.12]]/Table4[[#This Row],[ha2016.12]],0)</calculatedColumnFormula>
    </tableColumn>
    <tableColumn id="86" name="2016.FY" dataDxfId="268" dataCellStyle="Percent">
      <calculatedColumnFormula>IF(Table4[[#This Row],[ha2016.FY]]&gt;0,Table4[[#This Row],[hp2016.FY]]/Table4[[#This Row],[ha2016.FY]],0)</calculatedColumnFormula>
    </tableColumn>
    <tableColumn id="87" name="2017" dataDxfId="267" dataCellStyle="Percent">
      <calculatedColumnFormula>IF(Table4[[#This Row],[ha2017]]&gt;0,Table4[[#This Row],[hp2017]]/Table4[[#This Row],[ha2017]],0)</calculatedColumnFormula>
    </tableColumn>
    <tableColumn id="88" name="2018" dataDxfId="266" dataCellStyle="Percent">
      <calculatedColumnFormula>IF(Table4[[#This Row],[ha2018]]&gt;0,Table4[[#This Row],[hp2018]]/Table4[[#This Row],[ha2018]],0)</calculatedColumnFormula>
    </tableColumn>
    <tableColumn id="89" name="2019" dataDxfId="265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/>
  <tableColumns count="93">
    <tableColumn id="1" name="PRESS" dataDxfId="261"/>
    <tableColumn id="2" name="Plant"/>
    <tableColumn id="36" name="Type"/>
    <tableColumn id="3" name="Tonnage"/>
    <tableColumn id="4" name="Range" dataDxfId="260">
      <calculatedColumnFormula>CONCATENATE(FLOOR(D5,v_TRBS),"-",FLOOR(D5,v_TRBS)+v_TRBS-1)</calculatedColumnFormula>
    </tableColumn>
    <tableColumn id="5" name="PressOEE" dataDxfId="259" dataCellStyle="Percent"/>
    <tableColumn id="7" name="ha2015.01" dataDxfId="258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57">
      <calculatedColumnFormula>VLOOKUP(t_Presses[[Plant]:[Plant]],t_Plants[],Plants!CO$1,FALSE)</calculatedColumnFormula>
    </tableColumn>
    <tableColumn id="16" name="ha2015.04" dataDxfId="256">
      <calculatedColumnFormula>VLOOKUP(t_Presses[[Plant]:[Plant]],t_Plants[],Plants!CP$1,FALSE)</calculatedColumnFormula>
    </tableColumn>
    <tableColumn id="17" name="ha2015.05" dataDxfId="255">
      <calculatedColumnFormula>VLOOKUP(t_Presses[[Plant]:[Plant]],t_Plants[],Plants!CQ$1,FALSE)</calculatedColumnFormula>
    </tableColumn>
    <tableColumn id="18" name="ha2015.06" dataDxfId="254">
      <calculatedColumnFormula>VLOOKUP(t_Presses[[Plant]:[Plant]],t_Plants[],Plants!CR$1,FALSE)</calculatedColumnFormula>
    </tableColumn>
    <tableColumn id="19" name="ha2015.07" dataDxfId="253">
      <calculatedColumnFormula>VLOOKUP(t_Presses[[Plant]:[Plant]],t_Plants[],Plants!CS$1,FALSE)</calculatedColumnFormula>
    </tableColumn>
    <tableColumn id="20" name="ha2015.08" dataDxfId="252">
      <calculatedColumnFormula>VLOOKUP(t_Presses[[Plant]:[Plant]],t_Plants[],Plants!CT$1,FALSE)</calculatedColumnFormula>
    </tableColumn>
    <tableColumn id="21" name="ha2015.09" dataDxfId="251">
      <calculatedColumnFormula>VLOOKUP(t_Presses[[Plant]:[Plant]],t_Plants[],Plants!CU$1,FALSE)</calculatedColumnFormula>
    </tableColumn>
    <tableColumn id="22" name="ha2015.10" dataDxfId="250">
      <calculatedColumnFormula>VLOOKUP(t_Presses[[Plant]:[Plant]],t_Plants[],Plants!CV$1,FALSE)</calculatedColumnFormula>
    </tableColumn>
    <tableColumn id="23" name="ha2015.11" dataDxfId="249">
      <calculatedColumnFormula>VLOOKUP(t_Presses[[Plant]:[Plant]],t_Plants[],Plants!CW$1,FALSE)</calculatedColumnFormula>
    </tableColumn>
    <tableColumn id="24" name="ha2015.12" dataDxfId="248">
      <calculatedColumnFormula>VLOOKUP(t_Presses[[Plant]:[Plant]],t_Plants[],Plants!CX$1,FALSE)</calculatedColumnFormula>
    </tableColumn>
    <tableColumn id="25" name="ha2015.FY" dataDxfId="247">
      <calculatedColumnFormula>SUM(t_Presses[[#This Row],[ha2015.01]:[ha2015.12]])</calculatedColumnFormula>
    </tableColumn>
    <tableColumn id="6" name="ha2016.01" dataDxfId="246"/>
    <tableColumn id="47" name="ha2016.02" dataDxfId="245"/>
    <tableColumn id="48" name="ha2016.03" dataDxfId="244"/>
    <tableColumn id="49" name="ha2016.04" dataDxfId="243"/>
    <tableColumn id="50" name="ha2016.05" dataDxfId="242"/>
    <tableColumn id="51" name="ha2016.06" dataDxfId="241"/>
    <tableColumn id="52" name="ha2016.07" dataDxfId="240"/>
    <tableColumn id="53" name="ha2016.08" dataDxfId="239"/>
    <tableColumn id="54" name="ha2016.09" dataDxfId="238"/>
    <tableColumn id="55" name="ha2016.10" dataDxfId="237"/>
    <tableColumn id="56" name="ha2016.11" dataDxfId="236"/>
    <tableColumn id="57" name="ha2016.12" dataDxfId="235"/>
    <tableColumn id="58" name="ha2016.FY" dataDxfId="234">
      <calculatedColumnFormula>SUM(t_Presses[[#This Row],[ha2016.01]:[ha2016.12]])</calculatedColumnFormula>
    </tableColumn>
    <tableColumn id="59" name="ha2017" dataDxfId="233"/>
    <tableColumn id="60" name="ha2018" dataDxfId="232"/>
    <tableColumn id="61" name="ha2019" dataDxfId="231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30">
      <calculatedColumnFormula>SUM(t_Presses[[#This Row],[hp2015.01]:[hp2015.12]])</calculatedColumnFormula>
    </tableColumn>
    <tableColumn id="63" name="hp2016.01" dataDxfId="229" dataCellStyle="Comma">
      <calculatedColumnFormula>SUMIF(r_PartPresses,t_Presses[[PRESS]:[PRESS]],t_Parts[hp2016.01])</calculatedColumnFormula>
    </tableColumn>
    <tableColumn id="64" name="hp2016.02" dataDxfId="228" dataCellStyle="Comma"/>
    <tableColumn id="65" name="hp2016.03" dataDxfId="227" dataCellStyle="Comma"/>
    <tableColumn id="66" name="hp2016.04" dataDxfId="226" dataCellStyle="Comma"/>
    <tableColumn id="67" name="hp2016.05" dataDxfId="225" dataCellStyle="Comma"/>
    <tableColumn id="68" name="hp2016.06" dataDxfId="224" dataCellStyle="Comma"/>
    <tableColumn id="69" name="hp2016.07" dataDxfId="223" dataCellStyle="Comma"/>
    <tableColumn id="70" name="hp2016.08" dataDxfId="222" dataCellStyle="Comma"/>
    <tableColumn id="71" name="hp2016.09" dataDxfId="221" dataCellStyle="Comma"/>
    <tableColumn id="72" name="hp2016.10" dataDxfId="220" dataCellStyle="Comma"/>
    <tableColumn id="73" name="hp2016.11" dataDxfId="219" dataCellStyle="Comma"/>
    <tableColumn id="74" name="hp2016.12" dataDxfId="218" dataCellStyle="Comma"/>
    <tableColumn id="75" name="hp2016.FY" dataDxfId="217" dataCellStyle="Comma"/>
    <tableColumn id="76" name="hp2017" dataDxfId="216" dataCellStyle="Comma"/>
    <tableColumn id="77" name="hp2018" dataDxfId="215" dataCellStyle="Comma"/>
    <tableColumn id="78" name="hp2019" dataDxfId="214" dataCellStyle="Comma"/>
    <tableColumn id="13" name="2015.01" dataDxfId="213" dataCellStyle="Percent">
      <calculatedColumnFormula>t_Presses[[#This Row],[hp2015.01]]/t_Presses[[#This Row],[ha2015.01]]</calculatedColumnFormula>
    </tableColumn>
    <tableColumn id="14" name="2015.02" dataDxfId="212" dataCellStyle="Percent">
      <calculatedColumnFormula>t_Presses[[#This Row],[hp2015.02]]/t_Presses[[#This Row],[ha2015.02]]</calculatedColumnFormula>
    </tableColumn>
    <tableColumn id="15" name="2015.03" dataDxfId="211" dataCellStyle="Percent"/>
    <tableColumn id="37" name="2015.04" dataDxfId="210" dataCellStyle="Percent"/>
    <tableColumn id="38" name="2015.05" dataDxfId="209" dataCellStyle="Percent"/>
    <tableColumn id="39" name="2015.06" dataDxfId="208" dataCellStyle="Percent"/>
    <tableColumn id="40" name="2015.07" dataDxfId="207" dataCellStyle="Percent"/>
    <tableColumn id="41" name="2015.08" dataDxfId="206" dataCellStyle="Percent"/>
    <tableColumn id="42" name="2015.09" dataDxfId="205" dataCellStyle="Percent"/>
    <tableColumn id="43" name="2015.10" dataDxfId="204" dataCellStyle="Percent"/>
    <tableColumn id="44" name="2015.11" dataDxfId="203" dataCellStyle="Percent"/>
    <tableColumn id="45" name="2015.12" dataDxfId="202" dataCellStyle="Percent"/>
    <tableColumn id="46" name="2015.FY" dataDxfId="201" dataCellStyle="Percent"/>
    <tableColumn id="80" name="2016.01" dataDxfId="200" dataCellStyle="Percent">
      <calculatedColumnFormula>t_Presses[[#This Row],[hp2016.01]]/t_Presses[[#This Row],[ha2016.01]]</calculatedColumnFormula>
    </tableColumn>
    <tableColumn id="81" name="2016.02" dataDxfId="199" dataCellStyle="Percent"/>
    <tableColumn id="82" name="2016.03" dataDxfId="198" dataCellStyle="Percent"/>
    <tableColumn id="83" name="2016.04" dataDxfId="197" dataCellStyle="Percent"/>
    <tableColumn id="84" name="2016.05" dataDxfId="196" dataCellStyle="Percent"/>
    <tableColumn id="85" name="2016.06" dataDxfId="195" dataCellStyle="Percent"/>
    <tableColumn id="86" name="2016.07" dataDxfId="194" dataCellStyle="Percent"/>
    <tableColumn id="87" name="2016.08" dataDxfId="193" dataCellStyle="Percent"/>
    <tableColumn id="88" name="2016.09" dataDxfId="192" dataCellStyle="Percent"/>
    <tableColumn id="89" name="2016.10" dataDxfId="191" dataCellStyle="Percent"/>
    <tableColumn id="90" name="2016.11" dataDxfId="190" dataCellStyle="Percent"/>
    <tableColumn id="91" name="2016.12" dataDxfId="189" dataCellStyle="Percent"/>
    <tableColumn id="92" name="2016.FY" dataDxfId="188" dataCellStyle="Percent">
      <calculatedColumnFormula>t_Presses[[#This Row],[hp2016.FY]]/t_Presses[[#This Row],[ha2016.FY]]</calculatedColumnFormula>
    </tableColumn>
    <tableColumn id="93" name="2017" dataDxfId="187" dataCellStyle="Percent"/>
    <tableColumn id="94" name="2018" dataDxfId="186" dataCellStyle="Percent"/>
    <tableColumn id="95" name="2019" dataDxfId="185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S17" totalsRowShown="0" headerRowDxfId="184" dataDxfId="183" headerRowCellStyle="Neutral">
  <autoFilter ref="A5:FS17"/>
  <sortState ref="A6:FR16">
    <sortCondition ref="A5:A16"/>
  </sortState>
  <tableColumns count="175">
    <tableColumn id="1" name="PartNo" dataDxfId="182"/>
    <tableColumn id="2" name="Press" dataDxfId="181"/>
    <tableColumn id="9" name="UnitsPerCycle" dataDxfId="180"/>
    <tableColumn id="10" name="CyclesPerHr" dataDxfId="179"/>
    <tableColumn id="71" name="SetupHrs" dataDxfId="178"/>
    <tableColumn id="72" name="SetupsPerMo" dataDxfId="177"/>
    <tableColumn id="12" name="SOP" dataDxfId="176"/>
    <tableColumn id="13" name="EOP" dataDxfId="175"/>
    <tableColumn id="14" name="2015vol" dataDxfId="174"/>
    <tableColumn id="15" name="2016vol" dataDxfId="173"/>
    <tableColumn id="16" name="2017vol" dataDxfId="172"/>
    <tableColumn id="17" name="2018vol" dataDxfId="171"/>
    <tableColumn id="18" name="2019vol" dataDxfId="170"/>
    <tableColumn id="79" name="DieFB" dataDxfId="169" dataCellStyle="Percent"/>
    <tableColumn id="80" name="DieLR" dataDxfId="168" dataCellStyle="Percent"/>
    <tableColumn id="81" name="DieShutHt" dataDxfId="167" dataCellStyle="Percent"/>
    <tableColumn id="175" name="DieWt" dataDxfId="166"/>
    <tableColumn id="74" name="ActTonnage" dataDxfId="165" dataCellStyle="Percent"/>
    <tableColumn id="75" name="FeedHt" dataDxfId="164" dataCellStyle="Percent"/>
    <tableColumn id="76" name="SteelPN" dataDxfId="163" dataCellStyle="Percent"/>
    <tableColumn id="77" name="BlankWt" dataDxfId="162" dataCellStyle="Percent"/>
    <tableColumn id="11" name="Routing" dataDxfId="161" dataCellStyle="Percent"/>
    <tableColumn id="3" name="Plant" dataDxfId="160">
      <calculatedColumnFormula>VLOOKUP(t_Parts[[#This Row],[Press]],t_Presses[],Press!B$1,FALSE)</calculatedColumnFormula>
    </tableColumn>
    <tableColumn id="4" name="T Range" dataDxfId="159">
      <calculatedColumnFormula>VLOOKUP(t_Parts[[#This Row],[Press]],t_Presses[],Press!E$1,FALSE)</calculatedColumnFormula>
    </tableColumn>
    <tableColumn id="6" name="PlantOEE" dataDxfId="158" dataCellStyle="Percent">
      <calculatedColumnFormula>VLOOKUP(t_Parts[[#This Row],[Plant]],t_Plants[],Plants!C$1,FALSE)</calculatedColumnFormula>
    </tableColumn>
    <tableColumn id="5" name="PressOEE" dataDxfId="157" dataCellStyle="Percent">
      <calculatedColumnFormula>VLOOKUP(t_Parts[[#This Row],[Press]],t_Presses[],Press!F$1,FALSE)</calculatedColumnFormula>
    </tableColumn>
    <tableColumn id="7" name="PartOEE" dataDxfId="156" dataCellStyle="Percent"/>
    <tableColumn id="8" name="UseOEE" dataDxfId="155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54">
      <calculatedColumnFormula>t_Parts[[#This Row],[SetupsPerMo]]*t_Parts[[#This Row],[SetupHrs]]</calculatedColumnFormula>
    </tableColumn>
    <tableColumn id="73" name="NetPPH" dataDxfId="153">
      <calculatedColumnFormula>(t_Parts[[#This Row],[UnitsPerCycle]]*t_Parts[[#This Row],[CyclesPerHr]])*t_Parts[[#This Row],[UseOEE]]</calculatedColumnFormula>
    </tableColumn>
    <tableColumn id="19" name="pv2015.01" dataDxfId="152">
      <calculatedColumnFormula>IF(AND(AE$3&gt;=VALUE(t_Parts[[SOP]:[SOP]]),AE$3&lt;=VALUE(t_Parts[[EOP]:[EOP]])),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51">
      <calculatedColumnFormula>IF(AND(AF$3&gt;=VALUE(t_Parts[[SOP]:[SOP]]),AF$3&lt;=VALUE(t_Parts[[EOP]:[EOP]])),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50">
      <calculatedColumnFormula>IF(AND(AG$3&gt;=VALUE(t_Parts[[SOP]:[SOP]]),AG$3&lt;=VALUE(t_Parts[[EOP]:[EOP]])),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49">
      <calculatedColumnFormula>IF(AND(AH$3&gt;=VALUE(t_Parts[[SOP]:[SOP]]),AH$3&lt;=VALUE(t_Parts[[EOP]:[EOP]])),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48">
      <calculatedColumnFormula>IF(AND(AI$3&gt;=VALUE(t_Parts[[SOP]:[SOP]]),AI$3&lt;=VALUE(t_Parts[[EOP]:[EOP]])),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47">
      <calculatedColumnFormula>IF(AND(AJ$3&gt;=VALUE(t_Parts[[SOP]:[SOP]]),AJ$3&lt;=VALUE(t_Parts[[EOP]:[EOP]])),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46">
      <calculatedColumnFormula>IF(AND(AK$3&gt;=VALUE(t_Parts[[SOP]:[SOP]]),AK$3&lt;=VALUE(t_Parts[[EOP]:[EOP]])),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45">
      <calculatedColumnFormula>IF(AND(AL$3&gt;=VALUE(t_Parts[[SOP]:[SOP]]),AL$3&lt;=VALUE(t_Parts[[EOP]:[EOP]])),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44">
      <calculatedColumnFormula>IF(AND(AM$3&gt;=VALUE(t_Parts[[SOP]:[SOP]]),AM$3&lt;=VALUE(t_Parts[[EOP]:[EOP]])),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43">
      <calculatedColumnFormula>IF(AND(AN$3&gt;=VALUE(t_Parts[[SOP]:[SOP]]),AN$3&lt;=VALUE(t_Parts[[EOP]:[EOP]])),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42">
      <calculatedColumnFormula>IF(AND(AO$3&gt;=VALUE(t_Parts[[SOP]:[SOP]]),AO$3&lt;=VALUE(t_Parts[[EOP]:[EOP]])),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41">
      <calculatedColumnFormula>IF(AND(AP$3&gt;=VALUE(t_Parts[[SOP]:[SOP]]),AP$3&lt;=VALUE(t_Parts[[EOP]:[EOP]])),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40">
      <calculatedColumnFormula>SUM(t_Parts[[#This Row],[pv2015.01]:[pv2015.12]])</calculatedColumnFormula>
    </tableColumn>
    <tableColumn id="82" name="pv2016.01" dataDxfId="139">
      <calculatedColumnFormula>IF(AND(AR$3&gt;=VALUE(t_Parts[[SOP]:[SOP]]),AR$3&lt;=VALUE(t_Parts[[EOP]:[EOP]])),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38">
      <calculatedColumnFormula>IF(AND(AS$3&gt;=VALUE(t_Parts[[SOP]:[SOP]]),AS$3&lt;=VALUE(t_Parts[[EOP]:[EOP]])),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37">
      <calculatedColumnFormula>IF(AND(AT$3&gt;=VALUE(t_Parts[[SOP]:[SOP]]),AT$3&lt;=VALUE(t_Parts[[EOP]:[EOP]])),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36">
      <calculatedColumnFormula>IF(AND(AU$3&gt;=VALUE(t_Parts[[SOP]:[SOP]]),AU$3&lt;=VALUE(t_Parts[[EOP]:[EOP]])),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35">
      <calculatedColumnFormula>IF(AND(AV$3&gt;=VALUE(t_Parts[[SOP]:[SOP]]),AV$3&lt;=VALUE(t_Parts[[EOP]:[EOP]])),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34">
      <calculatedColumnFormula>IF(AND(AW$3&gt;=VALUE(t_Parts[[SOP]:[SOP]]),AW$3&lt;=VALUE(t_Parts[[EOP]:[EOP]])),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33">
      <calculatedColumnFormula>IF(AND(AX$3&gt;=VALUE(t_Parts[[SOP]:[SOP]]),AX$3&lt;=VALUE(t_Parts[[EOP]:[EOP]])),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32">
      <calculatedColumnFormula>IF(AND(AY$3&gt;=VALUE(t_Parts[[SOP]:[SOP]]),AY$3&lt;=VALUE(t_Parts[[EOP]:[EOP]])),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31">
      <calculatedColumnFormula>IF(AND(AZ$3&gt;=VALUE(t_Parts[[SOP]:[SOP]]),AZ$3&lt;=VALUE(t_Parts[[EOP]:[EOP]])),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30">
      <calculatedColumnFormula>IF(AND(BA$3&gt;=VALUE(t_Parts[[SOP]:[SOP]]),BA$3&lt;=VALUE(t_Parts[[EOP]:[EOP]])),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29">
      <calculatedColumnFormula>IF(AND(BB$3&gt;=VALUE(t_Parts[[SOP]:[SOP]]),BB$3&lt;=VALUE(t_Parts[[EOP]:[EOP]])),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28">
      <calculatedColumnFormula>IF(AND(BC$3&gt;=VALUE(t_Parts[[SOP]:[SOP]]),BC$3&lt;=VALUE(t_Parts[[EOP]:[EOP]])),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27">
      <calculatedColumnFormula>SUM(t_Parts[[#This Row],[pv2016.01]:[pv2016.12]])</calculatedColumnFormula>
    </tableColumn>
    <tableColumn id="95" name="pv2017" dataDxfId="126">
      <calculatedColumnFormula>t_Parts[[#This Row],[2017vol]]</calculatedColumnFormula>
    </tableColumn>
    <tableColumn id="97" name="pv2018" dataDxfId="125">
      <calculatedColumnFormula>t_Parts[[#This Row],[2018vol]]</calculatedColumnFormula>
    </tableColumn>
    <tableColumn id="96" name="pv2019" dataDxfId="124">
      <calculatedColumnFormula>t_Parts[[#This Row],[2019vol]]</calculatedColumnFormula>
    </tableColumn>
    <tableColumn id="32" name="ha2015.01" dataDxfId="123">
      <calculatedColumnFormula>VLOOKUP(t_Parts[[Plant]:[Plant]],t_Plants[],Plants!CM$1,FALSE)</calculatedColumnFormula>
    </tableColumn>
    <tableColumn id="33" name="ha2015.02" dataDxfId="122">
      <calculatedColumnFormula>VLOOKUP(t_Parts[[Plant]:[Plant]],t_Plants[],Plants!CN$1,FALSE)</calculatedColumnFormula>
    </tableColumn>
    <tableColumn id="34" name="ha2015.03" dataDxfId="121">
      <calculatedColumnFormula>VLOOKUP(t_Parts[[Plant]:[Plant]],t_Plants[],Plants!CO$1,FALSE)</calculatedColumnFormula>
    </tableColumn>
    <tableColumn id="35" name="ha2015.04" dataDxfId="120">
      <calculatedColumnFormula>VLOOKUP(t_Parts[[Plant]:[Plant]],t_Plants[],Plants!CP$1,FALSE)</calculatedColumnFormula>
    </tableColumn>
    <tableColumn id="36" name="ha2015.05" dataDxfId="119">
      <calculatedColumnFormula>VLOOKUP(t_Parts[[Plant]:[Plant]],t_Plants[],Plants!CQ$1,FALSE)</calculatedColumnFormula>
    </tableColumn>
    <tableColumn id="37" name="ha2015.06" dataDxfId="118">
      <calculatedColumnFormula>VLOOKUP(t_Parts[[Plant]:[Plant]],t_Plants[],Plants!CR$1,FALSE)</calculatedColumnFormula>
    </tableColumn>
    <tableColumn id="38" name="ha2015.07" dataDxfId="117">
      <calculatedColumnFormula>VLOOKUP(t_Parts[[Plant]:[Plant]],t_Plants[],Plants!CS$1,FALSE)</calculatedColumnFormula>
    </tableColumn>
    <tableColumn id="39" name="ha2015.08" dataDxfId="116">
      <calculatedColumnFormula>VLOOKUP(t_Parts[[Plant]:[Plant]],t_Plants[],Plants!CT$1,FALSE)</calculatedColumnFormula>
    </tableColumn>
    <tableColumn id="40" name="ha2015.09" dataDxfId="115">
      <calculatedColumnFormula>VLOOKUP(t_Parts[[Plant]:[Plant]],t_Plants[],Plants!CU$1,FALSE)</calculatedColumnFormula>
    </tableColumn>
    <tableColumn id="41" name="ha2015.10" dataDxfId="114">
      <calculatedColumnFormula>VLOOKUP(t_Parts[[Plant]:[Plant]],t_Plants[],Plants!CV$1,FALSE)</calculatedColumnFormula>
    </tableColumn>
    <tableColumn id="42" name="ha2015.11" dataDxfId="113">
      <calculatedColumnFormula>VLOOKUP(t_Parts[[Plant]:[Plant]],t_Plants[],Plants!CW$1,FALSE)</calculatedColumnFormula>
    </tableColumn>
    <tableColumn id="43" name="ha2015.12" dataDxfId="112">
      <calculatedColumnFormula>VLOOKUP(t_Parts[[Plant]:[Plant]],t_Plants[],Plants!CX$1,FALSE)</calculatedColumnFormula>
    </tableColumn>
    <tableColumn id="44" name="ha2015.FY" dataDxfId="111">
      <calculatedColumnFormula>SUM(t_Parts[[#This Row],[ha2015.01]:[ha2015.12]])</calculatedColumnFormula>
    </tableColumn>
    <tableColumn id="98" name="ha2016.01" dataDxfId="110">
      <calculatedColumnFormula>VLOOKUP(t_Parts[[Plant]:[Plant]],t_Plants[],Plants!CZ$1,FALSE)</calculatedColumnFormula>
    </tableColumn>
    <tableColumn id="99" name="ha2016.02" dataDxfId="109">
      <calculatedColumnFormula>VLOOKUP(t_Parts[[Plant]:[Plant]],t_Plants[],Plants!DA$1,FALSE)</calculatedColumnFormula>
    </tableColumn>
    <tableColumn id="100" name="ha2016.03" dataDxfId="108">
      <calculatedColumnFormula>VLOOKUP(t_Parts[[Plant]:[Plant]],t_Plants[],Plants!DB$1,FALSE)</calculatedColumnFormula>
    </tableColumn>
    <tableColumn id="101" name="ha2016.04" dataDxfId="107">
      <calculatedColumnFormula>VLOOKUP(t_Parts[[Plant]:[Plant]],t_Plants[],Plants!DC$1,FALSE)</calculatedColumnFormula>
    </tableColumn>
    <tableColumn id="102" name="ha2016.05" dataDxfId="106">
      <calculatedColumnFormula>VLOOKUP(t_Parts[[Plant]:[Plant]],t_Plants[],Plants!DD$1,FALSE)</calculatedColumnFormula>
    </tableColumn>
    <tableColumn id="103" name="ha2016.06" dataDxfId="105">
      <calculatedColumnFormula>VLOOKUP(t_Parts[[Plant]:[Plant]],t_Plants[],Plants!DE$1,FALSE)</calculatedColumnFormula>
    </tableColumn>
    <tableColumn id="104" name="ha2016.07" dataDxfId="104">
      <calculatedColumnFormula>VLOOKUP(t_Parts[[Plant]:[Plant]],t_Plants[],Plants!DF$1,FALSE)</calculatedColumnFormula>
    </tableColumn>
    <tableColumn id="105" name="ha2016.08" dataDxfId="103">
      <calculatedColumnFormula>VLOOKUP(t_Parts[[Plant]:[Plant]],t_Plants[],Plants!DG$1,FALSE)</calculatedColumnFormula>
    </tableColumn>
    <tableColumn id="106" name="ha2016.09" dataDxfId="102">
      <calculatedColumnFormula>VLOOKUP(t_Parts[[Plant]:[Plant]],t_Plants[],Plants!DH$1,FALSE)</calculatedColumnFormula>
    </tableColumn>
    <tableColumn id="107" name="ha2016.10" dataDxfId="101">
      <calculatedColumnFormula>VLOOKUP(t_Parts[[Plant]:[Plant]],t_Plants[],Plants!DI$1,FALSE)</calculatedColumnFormula>
    </tableColumn>
    <tableColumn id="108" name="ha2016.11" dataDxfId="100">
      <calculatedColumnFormula>VLOOKUP(t_Parts[[Plant]:[Plant]],t_Plants[],Plants!DJ$1,FALSE)</calculatedColumnFormula>
    </tableColumn>
    <tableColumn id="109" name="ha2016.12" dataDxfId="99">
      <calculatedColumnFormula>VLOOKUP(t_Parts[[Plant]:[Plant]],t_Plants[],Plants!DK$1,FALSE)</calculatedColumnFormula>
    </tableColumn>
    <tableColumn id="110" name="ha2016.FY" dataDxfId="98">
      <calculatedColumnFormula>VLOOKUP(t_Parts[[Plant]:[Plant]],t_Plants[],Plants!DL$1,FALSE)</calculatedColumnFormula>
    </tableColumn>
    <tableColumn id="111" name="ha2017" dataDxfId="97">
      <calculatedColumnFormula>VLOOKUP(t_Parts[[Plant]:[Plant]],t_Plants[],Plants!DM$1,FALSE)</calculatedColumnFormula>
    </tableColumn>
    <tableColumn id="112" name="ha2018" dataDxfId="96">
      <calculatedColumnFormula>VLOOKUP(t_Parts[[Plant]:[Plant]],t_Plants[],Plants!DN$1,FALSE)</calculatedColumnFormula>
    </tableColumn>
    <tableColumn id="145" name="ha2019" dataDxfId="95">
      <calculatedColumnFormula>VLOOKUP(t_Parts[[Plant]:[Plant]],t_Plants[],Plants!DO$1,FALSE)</calculatedColumnFormula>
    </tableColumn>
    <tableColumn id="45" name="hp2015.01" dataDxfId="94">
      <calculatedColumnFormula>IF(AND(AE$3&gt;=VALUE(t_Parts[[SOP]:[SOP]]),AE$3&lt;=VALUE(t_Parts[[EOP]:[EOP]])), t_Parts[[SetupHrsPerMo]:[SetupHrsPerMo]]+(t_Parts[[#This Row],[pv2015.01]]/t_Parts[[NetPPH]:[NetPPH]]),0)</calculatedColumnFormula>
    </tableColumn>
    <tableColumn id="46" name="hp2015.02" dataDxfId="93">
      <calculatedColumnFormula>IF(AND(AF$3&gt;=VALUE(t_Parts[[SOP]:[SOP]]),AF$3&lt;=VALUE(t_Parts[[EOP]:[EOP]])), t_Parts[[SetupHrsPerMo]:[SetupHrsPerMo]]+(t_Parts[[#This Row],[pv2015.02]]/t_Parts[[NetPPH]:[NetPPH]]),0)</calculatedColumnFormula>
    </tableColumn>
    <tableColumn id="47" name="hp2015.03" dataDxfId="92">
      <calculatedColumnFormula>IF(AND(AG$3&gt;=VALUE(t_Parts[[SOP]:[SOP]]),AG$3&lt;=VALUE(t_Parts[[EOP]:[EOP]])), t_Parts[[SetupHrsPerMo]:[SetupHrsPerMo]]+(t_Parts[[#This Row],[pv2015.03]]/t_Parts[[NetPPH]:[NetPPH]]),0)</calculatedColumnFormula>
    </tableColumn>
    <tableColumn id="48" name="hp2015.04" dataDxfId="91">
      <calculatedColumnFormula>IF(AND(AH$3&gt;=VALUE(t_Parts[[SOP]:[SOP]]),AH$3&lt;=VALUE(t_Parts[[EOP]:[EOP]])), t_Parts[[SetupHrsPerMo]:[SetupHrsPerMo]]+(t_Parts[[#This Row],[pv2015.04]]/t_Parts[[NetPPH]:[NetPPH]]),0)</calculatedColumnFormula>
    </tableColumn>
    <tableColumn id="49" name="hp2015.05" dataDxfId="90">
      <calculatedColumnFormula>IF(AND(AI$3&gt;=VALUE(t_Parts[[SOP]:[SOP]]),AI$3&lt;=VALUE(t_Parts[[EOP]:[EOP]])), t_Parts[[SetupHrsPerMo]:[SetupHrsPerMo]]+(t_Parts[[#This Row],[pv2015.05]]/t_Parts[[NetPPH]:[NetPPH]]),0)</calculatedColumnFormula>
    </tableColumn>
    <tableColumn id="50" name="hp2015.06" dataDxfId="89">
      <calculatedColumnFormula>IF(AND(AJ$3&gt;=VALUE(t_Parts[[SOP]:[SOP]]),AJ$3&lt;=VALUE(t_Parts[[EOP]:[EOP]])), t_Parts[[SetupHrsPerMo]:[SetupHrsPerMo]]+(t_Parts[[#This Row],[pv2015.06]]/t_Parts[[NetPPH]:[NetPPH]]),0)</calculatedColumnFormula>
    </tableColumn>
    <tableColumn id="51" name="hp2015.07" dataDxfId="88">
      <calculatedColumnFormula>IF(AND(AK$3&gt;=VALUE(t_Parts[[SOP]:[SOP]]),AK$3&lt;=VALUE(t_Parts[[EOP]:[EOP]])), t_Parts[[SetupHrsPerMo]:[SetupHrsPerMo]]+(t_Parts[[#This Row],[pv2015.07]]/t_Parts[[NetPPH]:[NetPPH]]),0)</calculatedColumnFormula>
    </tableColumn>
    <tableColumn id="52" name="hp2015.08" dataDxfId="87">
      <calculatedColumnFormula>IF(AND(AL$3&gt;=VALUE(t_Parts[[SOP]:[SOP]]),AL$3&lt;=VALUE(t_Parts[[EOP]:[EOP]])), t_Parts[[SetupHrsPerMo]:[SetupHrsPerMo]]+(t_Parts[[#This Row],[pv2015.08]]/t_Parts[[NetPPH]:[NetPPH]]),0)</calculatedColumnFormula>
    </tableColumn>
    <tableColumn id="53" name="hp2015.09" dataDxfId="86">
      <calculatedColumnFormula>IF(AND(AM$3&gt;=VALUE(t_Parts[[SOP]:[SOP]]),AM$3&lt;=VALUE(t_Parts[[EOP]:[EOP]])), t_Parts[[SetupHrsPerMo]:[SetupHrsPerMo]]+(t_Parts[[#This Row],[pv2015.09]]/t_Parts[[NetPPH]:[NetPPH]]),0)</calculatedColumnFormula>
    </tableColumn>
    <tableColumn id="54" name="hp2015.10" dataDxfId="85">
      <calculatedColumnFormula>IF(AND(AN$3&gt;=VALUE(t_Parts[[SOP]:[SOP]]),AN$3&lt;=VALUE(t_Parts[[EOP]:[EOP]])), t_Parts[[SetupHrsPerMo]:[SetupHrsPerMo]]+(t_Parts[[#This Row],[pv2015.10]]/t_Parts[[NetPPH]:[NetPPH]]),0)</calculatedColumnFormula>
    </tableColumn>
    <tableColumn id="55" name="hp2015.11" dataDxfId="84">
      <calculatedColumnFormula>IF(AND(AO$3&gt;=VALUE(t_Parts[[SOP]:[SOP]]),AO$3&lt;=VALUE(t_Parts[[EOP]:[EOP]])), t_Parts[[SetupHrsPerMo]:[SetupHrsPerMo]]+(t_Parts[[#This Row],[pv2015.11]]/t_Parts[[NetPPH]:[NetPPH]]),0)</calculatedColumnFormula>
    </tableColumn>
    <tableColumn id="56" name="hp2015.12" dataDxfId="83">
      <calculatedColumnFormula>IF(AND(AP$3&gt;=VALUE(t_Parts[[SOP]:[SOP]]),AP$3&lt;=VALUE(t_Parts[[EOP]:[EOP]])), t_Parts[[SetupHrsPerMo]:[SetupHrsPerMo]]+(t_Parts[[#This Row],[pv2015.12]]/t_Parts[[NetPPH]:[NetPPH]]),0)</calculatedColumnFormula>
    </tableColumn>
    <tableColumn id="57" name="hp2015.FY" dataDxfId="82">
      <calculatedColumnFormula>SUM(t_Parts[[#This Row],[hp2015.01]:[hp2015.12]])</calculatedColumnFormula>
    </tableColumn>
    <tableColumn id="113" name="hp2016.01" dataDxfId="81">
      <calculatedColumnFormula>IF(AND(AR$3&gt;=VALUE(t_Parts[[SOP]:[SOP]]),AR$3&lt;=VALUE(t_Parts[[EOP]:[EOP]])), t_Parts[[SetupHrsPerMo]:[SetupHrsPerMo]]+(t_Parts[[#This Row],[pv2016.01]]/t_Parts[[NetPPH]:[NetPPH]]),0)</calculatedColumnFormula>
    </tableColumn>
    <tableColumn id="114" name="hp2016.02" dataDxfId="80">
      <calculatedColumnFormula>IF(AND(AS$3&gt;=VALUE(t_Parts[[SOP]:[SOP]]),AS$3&lt;=VALUE(t_Parts[[EOP]:[EOP]])), t_Parts[[SetupHrsPerMo]:[SetupHrsPerMo]]+(t_Parts[[#This Row],[pv2016.02]]/t_Parts[[NetPPH]:[NetPPH]]),0)</calculatedColumnFormula>
    </tableColumn>
    <tableColumn id="115" name="hp2016.03" dataDxfId="79">
      <calculatedColumnFormula>IF(AND(AT$3&gt;=VALUE(t_Parts[[SOP]:[SOP]]),AT$3&lt;=VALUE(t_Parts[[EOP]:[EOP]])), t_Parts[[SetupHrsPerMo]:[SetupHrsPerMo]]+(t_Parts[[#This Row],[pv2016.03]]/t_Parts[[NetPPH]:[NetPPH]]),0)</calculatedColumnFormula>
    </tableColumn>
    <tableColumn id="116" name="hp2016.04" dataDxfId="78">
      <calculatedColumnFormula>IF(AND(AU$3&gt;=VALUE(t_Parts[[SOP]:[SOP]]),AU$3&lt;=VALUE(t_Parts[[EOP]:[EOP]])), t_Parts[[SetupHrsPerMo]:[SetupHrsPerMo]]+(t_Parts[[#This Row],[pv2016.04]]/t_Parts[[NetPPH]:[NetPPH]]),0)</calculatedColumnFormula>
    </tableColumn>
    <tableColumn id="117" name="hp2016.05" dataDxfId="77">
      <calculatedColumnFormula>IF(AND(AV$3&gt;=VALUE(t_Parts[[SOP]:[SOP]]),AV$3&lt;=VALUE(t_Parts[[EOP]:[EOP]])), t_Parts[[SetupHrsPerMo]:[SetupHrsPerMo]]+(t_Parts[[#This Row],[pv2016.05]]/t_Parts[[NetPPH]:[NetPPH]]),0)</calculatedColumnFormula>
    </tableColumn>
    <tableColumn id="118" name="hp2016.06" dataDxfId="76">
      <calculatedColumnFormula>IF(AND(AW$3&gt;=VALUE(t_Parts[[SOP]:[SOP]]),AW$3&lt;=VALUE(t_Parts[[EOP]:[EOP]])), t_Parts[[SetupHrsPerMo]:[SetupHrsPerMo]]+(t_Parts[[#This Row],[pv2016.06]]/t_Parts[[NetPPH]:[NetPPH]]),0)</calculatedColumnFormula>
    </tableColumn>
    <tableColumn id="119" name="hp2016.07" dataDxfId="75">
      <calculatedColumnFormula>IF(AND(AX$3&gt;=VALUE(t_Parts[[SOP]:[SOP]]),AX$3&lt;=VALUE(t_Parts[[EOP]:[EOP]])), t_Parts[[SetupHrsPerMo]:[SetupHrsPerMo]]+(t_Parts[[#This Row],[pv2016.07]]/t_Parts[[NetPPH]:[NetPPH]]),0)</calculatedColumnFormula>
    </tableColumn>
    <tableColumn id="120" name="hp2016.08" dataDxfId="74">
      <calculatedColumnFormula>IF(AND(AY$3&gt;=VALUE(t_Parts[[SOP]:[SOP]]),AY$3&lt;=VALUE(t_Parts[[EOP]:[EOP]])), t_Parts[[SetupHrsPerMo]:[SetupHrsPerMo]]+(t_Parts[[#This Row],[pv2016.08]]/t_Parts[[NetPPH]:[NetPPH]]),0)</calculatedColumnFormula>
    </tableColumn>
    <tableColumn id="121" name="hp2016.09" dataDxfId="73">
      <calculatedColumnFormula>IF(AND(AZ$3&gt;=VALUE(t_Parts[[SOP]:[SOP]]),AZ$3&lt;=VALUE(t_Parts[[EOP]:[EOP]])), t_Parts[[SetupHrsPerMo]:[SetupHrsPerMo]]+(t_Parts[[#This Row],[pv2016.09]]/t_Parts[[NetPPH]:[NetPPH]]),0)</calculatedColumnFormula>
    </tableColumn>
    <tableColumn id="122" name="hp2016.10" dataDxfId="72">
      <calculatedColumnFormula>IF(AND(BA$3&gt;=VALUE(t_Parts[[SOP]:[SOP]]),BA$3&lt;=VALUE(t_Parts[[EOP]:[EOP]])), t_Parts[[SetupHrsPerMo]:[SetupHrsPerMo]]+(t_Parts[[#This Row],[pv2016.10]]/t_Parts[[NetPPH]:[NetPPH]]),0)</calculatedColumnFormula>
    </tableColumn>
    <tableColumn id="123" name="hp2016.11" dataDxfId="71">
      <calculatedColumnFormula>IF(AND(BB$3&gt;=VALUE(t_Parts[[SOP]:[SOP]]),BB$3&lt;=VALUE(t_Parts[[EOP]:[EOP]])), t_Parts[[SetupHrsPerMo]:[SetupHrsPerMo]]+(t_Parts[[#This Row],[pv2016.11]]/t_Parts[[NetPPH]:[NetPPH]]),0)</calculatedColumnFormula>
    </tableColumn>
    <tableColumn id="124" name="hp2016.12" dataDxfId="70">
      <calculatedColumnFormula>IF(AND(BC$3&gt;=VALUE(t_Parts[[SOP]:[SOP]]),BC$3&lt;=VALUE(t_Parts[[EOP]:[EOP]])), t_Parts[[SetupHrsPerMo]:[SetupHrsPerMo]]+(t_Parts[[#This Row],[pv2016.12]]/t_Parts[[NetPPH]:[NetPPH]]),0)</calculatedColumnFormula>
    </tableColumn>
    <tableColumn id="127" name="hp2016.FY" dataDxfId="69">
      <calculatedColumnFormula>SUM(t_Parts[[#This Row],[hp2016.01]:[hp2016.12]])</calculatedColumnFormula>
    </tableColumn>
    <tableColumn id="126" name="hp2017" dataDxfId="68">
      <calculatedColumnFormula>IF(AND(BE$3&gt;=VALUE(t_Parts[[SOP]:[SOP]]),BE$3&lt;=VALUE(t_Parts[[EOP]:[EOP]])), 12*t_Parts[[SetupHrsPerMo]:[SetupHrsPerMo]]+(t_Parts[[#This Row],[pv2017]]/t_Parts[[NetPPH]:[NetPPH]]),0)</calculatedColumnFormula>
    </tableColumn>
    <tableColumn id="125" name="hp2018" dataDxfId="67">
      <calculatedColumnFormula>IF(AND(BF$3&gt;=VALUE(t_Parts[[SOP]:[SOP]]),BF$3&lt;=VALUE(t_Parts[[EOP]:[EOP]])), 12*t_Parts[[SetupHrsPerMo]:[SetupHrsPerMo]]+(t_Parts[[#This Row],[pv2018]]/t_Parts[[NetPPH]:[NetPPH]]),0)</calculatedColumnFormula>
    </tableColumn>
    <tableColumn id="128" name="hp2019" dataDxfId="66">
      <calculatedColumnFormula>IF(AND(BG$3&gt;=VALUE(t_Parts[[SOP]:[SOP]]),BG$3&lt;=VALUE(t_Parts[[EOP]:[EOP]])), 12*t_Parts[[SetupHrsPerMo]:[SetupHrsPerMo]]+(t_Parts[[#This Row],[pv2019]]/t_Parts[[NetPPH]:[NetPPH]]),0)</calculatedColumnFormula>
    </tableColumn>
    <tableColumn id="58" name="2015.01" dataDxfId="65">
      <calculatedColumnFormula>t_Parts[[#This Row],[hp2015.01]]/t_Parts[[#This Row],[ha2015.01]]</calculatedColumnFormula>
    </tableColumn>
    <tableColumn id="59" name="2015.02" dataDxfId="64">
      <calculatedColumnFormula>t_Parts[[#This Row],[hp2015.02]]/t_Parts[[#This Row],[ha2015.02]]</calculatedColumnFormula>
    </tableColumn>
    <tableColumn id="60" name="2015.03" dataDxfId="63">
      <calculatedColumnFormula>t_Parts[[#This Row],[hp2015.03]]/t_Parts[[#This Row],[ha2015.03]]</calculatedColumnFormula>
    </tableColumn>
    <tableColumn id="61" name="2015.04" dataDxfId="62">
      <calculatedColumnFormula>t_Parts[[#This Row],[hp2015.04]]/t_Parts[[#This Row],[ha2015.04]]</calculatedColumnFormula>
    </tableColumn>
    <tableColumn id="62" name="2015.05" dataDxfId="61">
      <calculatedColumnFormula>t_Parts[[#This Row],[hp2015.05]]/t_Parts[[#This Row],[ha2015.05]]</calculatedColumnFormula>
    </tableColumn>
    <tableColumn id="63" name="2015.06" dataDxfId="60">
      <calculatedColumnFormula>t_Parts[[#This Row],[hp2015.06]]/t_Parts[[#This Row],[ha2015.06]]</calculatedColumnFormula>
    </tableColumn>
    <tableColumn id="64" name="2015.07" dataDxfId="59">
      <calculatedColumnFormula>t_Parts[[#This Row],[hp2015.07]]/t_Parts[[#This Row],[ha2015.07]]</calculatedColumnFormula>
    </tableColumn>
    <tableColumn id="65" name="2015.08" dataDxfId="58">
      <calculatedColumnFormula>t_Parts[[#This Row],[hp2015.08]]/t_Parts[[#This Row],[ha2015.08]]</calculatedColumnFormula>
    </tableColumn>
    <tableColumn id="66" name="2015.09" dataDxfId="57">
      <calculatedColumnFormula>t_Parts[[#This Row],[hp2015.09]]/t_Parts[[#This Row],[ha2015.09]]</calculatedColumnFormula>
    </tableColumn>
    <tableColumn id="67" name="2015.1" dataDxfId="56">
      <calculatedColumnFormula>t_Parts[[#This Row],[hp2015.10]]/t_Parts[[#This Row],[ha2015.10]]</calculatedColumnFormula>
    </tableColumn>
    <tableColumn id="68" name="2015.11" dataDxfId="55">
      <calculatedColumnFormula>t_Parts[[#This Row],[hp2015.11]]/t_Parts[[#This Row],[ha2015.11]]</calculatedColumnFormula>
    </tableColumn>
    <tableColumn id="69" name="2015.12" dataDxfId="54">
      <calculatedColumnFormula>t_Parts[[#This Row],[hp2015.12]]/t_Parts[[#This Row],[ha2015.12]]</calculatedColumnFormula>
    </tableColumn>
    <tableColumn id="70" name="2015.FY" dataDxfId="53">
      <calculatedColumnFormula>t_Parts[[#This Row],[hp2015.FY]]/t_Parts[[#This Row],[ha2015.FY]]</calculatedColumnFormula>
    </tableColumn>
    <tableColumn id="129" name="2016.01" dataDxfId="52">
      <calculatedColumnFormula>t_Parts[[#This Row],[hp2016.01]]/t_Parts[[#This Row],[ha2016.01]]</calculatedColumnFormula>
    </tableColumn>
    <tableColumn id="130" name="2016.02" dataDxfId="51">
      <calculatedColumnFormula>t_Parts[[#This Row],[hp2016.02]]/t_Parts[[#This Row],[ha2016.02]]</calculatedColumnFormula>
    </tableColumn>
    <tableColumn id="131" name="2016.03" dataDxfId="50">
      <calculatedColumnFormula>t_Parts[[#This Row],[hp2016.03]]/t_Parts[[#This Row],[ha2016.03]]</calculatedColumnFormula>
    </tableColumn>
    <tableColumn id="132" name="2016.04" dataDxfId="49">
      <calculatedColumnFormula>t_Parts[[#This Row],[hp2016.04]]/t_Parts[[#This Row],[ha2016.04]]</calculatedColumnFormula>
    </tableColumn>
    <tableColumn id="133" name="2016.05" dataDxfId="48">
      <calculatedColumnFormula>t_Parts[[#This Row],[hp2016.05]]/t_Parts[[#This Row],[ha2016.05]]</calculatedColumnFormula>
    </tableColumn>
    <tableColumn id="134" name="2016.06" dataDxfId="47">
      <calculatedColumnFormula>t_Parts[[#This Row],[hp2016.06]]/t_Parts[[#This Row],[ha2016.06]]</calculatedColumnFormula>
    </tableColumn>
    <tableColumn id="135" name="2016.07" dataDxfId="46">
      <calculatedColumnFormula>t_Parts[[#This Row],[hp2016.07]]/t_Parts[[#This Row],[ha2016.07]]</calculatedColumnFormula>
    </tableColumn>
    <tableColumn id="136" name="2016.08" dataDxfId="45">
      <calculatedColumnFormula>t_Parts[[#This Row],[hp2016.08]]/t_Parts[[#This Row],[ha2016.08]]</calculatedColumnFormula>
    </tableColumn>
    <tableColumn id="137" name="2016.09" dataDxfId="44">
      <calculatedColumnFormula>t_Parts[[#This Row],[hp2016.09]]/t_Parts[[#This Row],[ha2016.09]]</calculatedColumnFormula>
    </tableColumn>
    <tableColumn id="138" name="2016.10" dataDxfId="43">
      <calculatedColumnFormula>t_Parts[[#This Row],[hp2016.10]]/t_Parts[[#This Row],[ha2016.10]]</calculatedColumnFormula>
    </tableColumn>
    <tableColumn id="139" name="2016.11" dataDxfId="42">
      <calculatedColumnFormula>t_Parts[[#This Row],[hp2016.11]]/t_Parts[[#This Row],[ha2016.11]]</calculatedColumnFormula>
    </tableColumn>
    <tableColumn id="140" name="2016.12" dataDxfId="41">
      <calculatedColumnFormula>t_Parts[[#This Row],[hp2016.12]]/t_Parts[[#This Row],[ha2016.12]]</calculatedColumnFormula>
    </tableColumn>
    <tableColumn id="141" name="2016.FY" dataDxfId="40">
      <calculatedColumnFormula>t_Parts[[#This Row],[hp2016.FY]]/t_Parts[[#This Row],[ha2016.FY]]</calculatedColumnFormula>
    </tableColumn>
    <tableColumn id="142" name="2017" dataDxfId="39">
      <calculatedColumnFormula>t_Parts[[#This Row],[hp2017]]/t_Parts[[#This Row],[ha2017]]</calculatedColumnFormula>
    </tableColumn>
    <tableColumn id="143" name="2018" dataDxfId="38">
      <calculatedColumnFormula>t_Parts[[#This Row],[hp2018]]/t_Parts[[#This Row],[ha2018]]</calculatedColumnFormula>
    </tableColumn>
    <tableColumn id="144" name="2019" dataDxfId="37">
      <calculatedColumnFormula>t_Parts[[#This Row],[hp2019]]/t_Parts[[#This Row],[hp2015.01]]</calculatedColumnFormula>
    </tableColumn>
    <tableColumn id="146" name="hr2015.01" dataDxfId="36">
      <calculatedColumnFormula>(t_Parts[[#This Row],[ha2015.01]]-t_Parts[[#This Row],[hp2015.01]])*t_Parts[[NetPPH]:[NetPPH]]</calculatedColumnFormula>
    </tableColumn>
    <tableColumn id="147" name="hr2015.02" dataDxfId="35">
      <calculatedColumnFormula>(t_Parts[[#This Row],[ha2015.02]]-t_Parts[[#This Row],[hp2015.02]])*t_Parts[[NetPPH]:[NetPPH]]</calculatedColumnFormula>
    </tableColumn>
    <tableColumn id="148" name="hr2015.03" dataDxfId="34">
      <calculatedColumnFormula>(t_Parts[[#This Row],[ha2015.03]]-t_Parts[[#This Row],[hp2015.03]])*t_Parts[[NetPPH]:[NetPPH]]</calculatedColumnFormula>
    </tableColumn>
    <tableColumn id="149" name="hr2015.04" dataDxfId="33">
      <calculatedColumnFormula>(t_Parts[[#This Row],[ha2015.04]]-t_Parts[[#This Row],[hp2015.04]])*t_Parts[[NetPPH]:[NetPPH]]</calculatedColumnFormula>
    </tableColumn>
    <tableColumn id="150" name="hr2015.05" dataDxfId="32">
      <calculatedColumnFormula>(t_Parts[[#This Row],[ha2015.05]]-t_Parts[[#This Row],[hp2015.05]])*t_Parts[[NetPPH]:[NetPPH]]</calculatedColumnFormula>
    </tableColumn>
    <tableColumn id="151" name="hr2015.06" dataDxfId="31">
      <calculatedColumnFormula>(t_Parts[[#This Row],[ha2015.06]]-t_Parts[[#This Row],[hp2015.06]])*t_Parts[[NetPPH]:[NetPPH]]</calculatedColumnFormula>
    </tableColumn>
    <tableColumn id="152" name="hr2015.07" dataDxfId="30">
      <calculatedColumnFormula>(t_Parts[[#This Row],[ha2015.07]]-t_Parts[[#This Row],[hp2015.07]])*t_Parts[[NetPPH]:[NetPPH]]</calculatedColumnFormula>
    </tableColumn>
    <tableColumn id="153" name="hr2015.08" dataDxfId="29">
      <calculatedColumnFormula>(t_Parts[[#This Row],[ha2015.08]]-t_Parts[[#This Row],[hp2015.08]])*t_Parts[[NetPPH]:[NetPPH]]</calculatedColumnFormula>
    </tableColumn>
    <tableColumn id="154" name="hr2015.09" dataDxfId="28">
      <calculatedColumnFormula>(t_Parts[[#This Row],[ha2015.09]]-t_Parts[[#This Row],[hp2015.09]])*t_Parts[[NetPPH]:[NetPPH]]</calculatedColumnFormula>
    </tableColumn>
    <tableColumn id="155" name="hr2015.10" dataDxfId="27">
      <calculatedColumnFormula>(t_Parts[[#This Row],[ha2015.10]]-t_Parts[[#This Row],[hp2015.10]])*t_Parts[[NetPPH]:[NetPPH]]</calculatedColumnFormula>
    </tableColumn>
    <tableColumn id="156" name="hr2015.11" dataDxfId="26">
      <calculatedColumnFormula>(t_Parts[[#This Row],[ha2015.11]]-t_Parts[[#This Row],[hp2015.11]])*t_Parts[[NetPPH]:[NetPPH]]</calculatedColumnFormula>
    </tableColumn>
    <tableColumn id="157" name="hr2015.12" dataDxfId="25">
      <calculatedColumnFormula>(t_Parts[[#This Row],[ha2015.12]]-t_Parts[[#This Row],[hp2015.12]])*t_Parts[[NetPPH]:[NetPPH]]</calculatedColumnFormula>
    </tableColumn>
    <tableColumn id="158" name="hr2015.FY" dataDxfId="24">
      <calculatedColumnFormula>(t_Parts[[#This Row],[ha2015.FY]]-t_Parts[[#This Row],[hp2015.FY]])*t_Parts[[NetPPH]:[NetPPH]]</calculatedColumnFormula>
    </tableColumn>
    <tableColumn id="159" name="hr2016.01" dataDxfId="23">
      <calculatedColumnFormula>(t_Parts[[#This Row],[ha2016.01]]-t_Parts[[#This Row],[hp2016.01]])*t_Parts[[NetPPH]:[NetPPH]]</calculatedColumnFormula>
    </tableColumn>
    <tableColumn id="160" name="hr2016.02" dataDxfId="22">
      <calculatedColumnFormula>(t_Parts[[#This Row],[ha2016.02]]-t_Parts[[#This Row],[hp2016.02]])*t_Parts[[NetPPH]:[NetPPH]]</calculatedColumnFormula>
    </tableColumn>
    <tableColumn id="161" name="hr2016.03" dataDxfId="21">
      <calculatedColumnFormula>(t_Parts[[#This Row],[ha2016.03]]-t_Parts[[#This Row],[hp2016.03]])*t_Parts[[NetPPH]:[NetPPH]]</calculatedColumnFormula>
    </tableColumn>
    <tableColumn id="162" name="hr2016.04" dataDxfId="20">
      <calculatedColumnFormula>(t_Parts[[#This Row],[ha2016.04]]-t_Parts[[#This Row],[hp2016.04]])*t_Parts[[NetPPH]:[NetPPH]]</calculatedColumnFormula>
    </tableColumn>
    <tableColumn id="163" name="hr2016.05" dataDxfId="19">
      <calculatedColumnFormula>(t_Parts[[#This Row],[ha2016.05]]-t_Parts[[#This Row],[hp2016.05]])*t_Parts[[NetPPH]:[NetPPH]]</calculatedColumnFormula>
    </tableColumn>
    <tableColumn id="164" name="hr2016.06" dataDxfId="18">
      <calculatedColumnFormula>(t_Parts[[#This Row],[ha2016.06]]-t_Parts[[#This Row],[hp2016.06]])*t_Parts[[NetPPH]:[NetPPH]]</calculatedColumnFormula>
    </tableColumn>
    <tableColumn id="165" name="hr2016.07" dataDxfId="17">
      <calculatedColumnFormula>(t_Parts[[#This Row],[ha2016.07]]-t_Parts[[#This Row],[hp2016.07]])*t_Parts[[NetPPH]:[NetPPH]]</calculatedColumnFormula>
    </tableColumn>
    <tableColumn id="166" name="hr2016.08" dataDxfId="16">
      <calculatedColumnFormula>(t_Parts[[#This Row],[ha2016.08]]-t_Parts[[#This Row],[hp2016.08]])*t_Parts[[NetPPH]:[NetPPH]]</calculatedColumnFormula>
    </tableColumn>
    <tableColumn id="167" name="hr2016.09" dataDxfId="15">
      <calculatedColumnFormula>(t_Parts[[#This Row],[ha2016.09]]-t_Parts[[#This Row],[hp2016.09]])*t_Parts[[NetPPH]:[NetPPH]]</calculatedColumnFormula>
    </tableColumn>
    <tableColumn id="168" name="hr2016.10" dataDxfId="14">
      <calculatedColumnFormula>(t_Parts[[#This Row],[ha2016.10]]-t_Parts[[#This Row],[hp2016.10]])*t_Parts[[NetPPH]:[NetPPH]]</calculatedColumnFormula>
    </tableColumn>
    <tableColumn id="169" name="hr2016.11" dataDxfId="13">
      <calculatedColumnFormula>(t_Parts[[#This Row],[ha2016.11]]-t_Parts[[#This Row],[hp2016.11]])*t_Parts[[NetPPH]:[NetPPH]]</calculatedColumnFormula>
    </tableColumn>
    <tableColumn id="170" name="hr2016.12" dataDxfId="12">
      <calculatedColumnFormula>(t_Parts[[#This Row],[ha2016.12]]-t_Parts[[#This Row],[hp2016.12]])*t_Parts[[NetPPH]:[NetPPH]]</calculatedColumnFormula>
    </tableColumn>
    <tableColumn id="171" name="hr2016.FY" dataDxfId="11">
      <calculatedColumnFormula>(t_Parts[[#This Row],[ha2016.FY]]-t_Parts[[#This Row],[hp2016.FY]])*t_Parts[[NetPPH]:[NetPPH]]</calculatedColumnFormula>
    </tableColumn>
    <tableColumn id="172" name="hr2017" dataDxfId="10">
      <calculatedColumnFormula>(t_Parts[[#This Row],[ha2017]]-t_Parts[[#This Row],[hp2017]])*t_Parts[[NetPPH]:[NetPPH]]</calculatedColumnFormula>
    </tableColumn>
    <tableColumn id="173" name="hr2018" dataDxfId="9">
      <calculatedColumnFormula>(t_Parts[[#This Row],[ha2018]]-t_Parts[[#This Row],[hp2018]])*t_Parts[[NetPPH]:[NetPPH]]</calculatedColumnFormula>
    </tableColumn>
    <tableColumn id="174" name="hr2019" dataDxfId="8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7"/>
    <tableColumn id="2" name="Order" dataDxfId="6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8" totalsRowShown="0">
  <autoFilter ref="A14:B18"/>
  <tableColumns count="2">
    <tableColumn id="2" name="Tonnage View Options"/>
    <tableColumn id="1" name="Order" dataDxfId="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1:B33" totalsRowShown="0" headerRowDxfId="4" dataDxfId="3" tableBorderDxfId="2">
  <autoFilter ref="A21:B33"/>
  <sortState ref="A30:D41">
    <sortCondition ref="D29:D41"/>
  </sortState>
  <tableColumns count="2">
    <tableColumn id="1" name="Part View Options" dataDxfId="1"/>
    <tableColumn id="2" name="Order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opLeftCell="A2" zoomScaleNormal="100" workbookViewId="0">
      <selection activeCell="A6" sqref="A6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customWidth="1"/>
    <col min="93" max="93" width="11.7109375" customWidth="1" collapsed="1"/>
    <col min="94" max="160" width="11.7109375" customWidth="1"/>
    <col min="161" max="161" width="9.85546875" customWidth="1"/>
    <col min="162" max="173" width="10.42578125" customWidth="1"/>
    <col min="174" max="176" width="9.85546875" customWidth="1"/>
    <col min="177" max="177" width="12.5703125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68" t="s">
        <v>455</v>
      </c>
      <c r="B2" s="70"/>
    </row>
    <row r="3" spans="1:177" ht="18" customHeight="1" x14ac:dyDescent="0.25">
      <c r="A3" s="12" t="s">
        <v>177</v>
      </c>
      <c r="B3" s="13"/>
      <c r="C3" s="13"/>
      <c r="D3" s="11" t="s">
        <v>32</v>
      </c>
      <c r="E3" s="11"/>
      <c r="F3" s="55"/>
      <c r="G3" s="55"/>
      <c r="H3" s="55"/>
      <c r="I3" s="55"/>
      <c r="J3" s="55"/>
      <c r="K3" s="55"/>
      <c r="L3" s="55"/>
      <c r="M3" s="55"/>
      <c r="N3" s="55"/>
      <c r="O3" s="55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64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65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48" t="s">
        <v>54</v>
      </c>
      <c r="DP3" s="19" t="s">
        <v>100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99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99</v>
      </c>
      <c r="ES3" s="2" t="s">
        <v>473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 t="s">
        <v>474</v>
      </c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0" t="s">
        <v>475</v>
      </c>
    </row>
    <row r="4" spans="1:177" x14ac:dyDescent="0.25">
      <c r="A4" s="67" t="s">
        <v>38</v>
      </c>
      <c r="B4" s="7" t="s">
        <v>4</v>
      </c>
      <c r="C4" s="7" t="s">
        <v>1</v>
      </c>
      <c r="D4" s="7" t="s">
        <v>207</v>
      </c>
      <c r="E4" s="7" t="s">
        <v>208</v>
      </c>
      <c r="F4" s="7" t="s">
        <v>209</v>
      </c>
      <c r="G4" s="7" t="s">
        <v>210</v>
      </c>
      <c r="H4" s="7" t="s">
        <v>211</v>
      </c>
      <c r="I4" s="7" t="s">
        <v>212</v>
      </c>
      <c r="J4" s="7" t="s">
        <v>213</v>
      </c>
      <c r="K4" s="7" t="s">
        <v>214</v>
      </c>
      <c r="L4" s="7" t="s">
        <v>215</v>
      </c>
      <c r="M4" s="7" t="s">
        <v>216</v>
      </c>
      <c r="N4" s="7" t="s">
        <v>217</v>
      </c>
      <c r="O4" s="7" t="s">
        <v>218</v>
      </c>
      <c r="P4" s="11" t="s">
        <v>219</v>
      </c>
      <c r="Q4" s="7" t="s">
        <v>220</v>
      </c>
      <c r="R4" s="7" t="s">
        <v>221</v>
      </c>
      <c r="S4" s="7" t="s">
        <v>222</v>
      </c>
      <c r="T4" s="7" t="s">
        <v>223</v>
      </c>
      <c r="U4" s="7" t="s">
        <v>224</v>
      </c>
      <c r="V4" s="7" t="s">
        <v>225</v>
      </c>
      <c r="W4" s="7" t="s">
        <v>226</v>
      </c>
      <c r="X4" s="7" t="s">
        <v>227</v>
      </c>
      <c r="Y4" s="7" t="s">
        <v>228</v>
      </c>
      <c r="Z4" s="7" t="s">
        <v>229</v>
      </c>
      <c r="AA4" s="7" t="s">
        <v>230</v>
      </c>
      <c r="AB4" s="7" t="s">
        <v>231</v>
      </c>
      <c r="AC4" s="11" t="s">
        <v>232</v>
      </c>
      <c r="AD4" s="11" t="s">
        <v>233</v>
      </c>
      <c r="AE4" s="11" t="s">
        <v>234</v>
      </c>
      <c r="AF4" s="11" t="s">
        <v>235</v>
      </c>
      <c r="AG4" s="7" t="s">
        <v>236</v>
      </c>
      <c r="AH4" s="7" t="s">
        <v>237</v>
      </c>
      <c r="AI4" s="7" t="s">
        <v>238</v>
      </c>
      <c r="AJ4" s="7" t="s">
        <v>239</v>
      </c>
      <c r="AK4" s="7" t="s">
        <v>240</v>
      </c>
      <c r="AL4" s="7" t="s">
        <v>241</v>
      </c>
      <c r="AM4" s="7" t="s">
        <v>242</v>
      </c>
      <c r="AN4" s="7" t="s">
        <v>243</v>
      </c>
      <c r="AO4" s="7" t="s">
        <v>244</v>
      </c>
      <c r="AP4" s="7" t="s">
        <v>245</v>
      </c>
      <c r="AQ4" s="7" t="s">
        <v>246</v>
      </c>
      <c r="AR4" s="7" t="s">
        <v>247</v>
      </c>
      <c r="AS4" s="9" t="s">
        <v>248</v>
      </c>
      <c r="AT4" s="7" t="s">
        <v>289</v>
      </c>
      <c r="AU4" s="7" t="s">
        <v>290</v>
      </c>
      <c r="AV4" s="7" t="s">
        <v>291</v>
      </c>
      <c r="AW4" s="7" t="s">
        <v>292</v>
      </c>
      <c r="AX4" s="7" t="s">
        <v>293</v>
      </c>
      <c r="AY4" s="7" t="s">
        <v>294</v>
      </c>
      <c r="AZ4" s="7" t="s">
        <v>295</v>
      </c>
      <c r="BA4" s="7" t="s">
        <v>296</v>
      </c>
      <c r="BB4" s="7" t="s">
        <v>297</v>
      </c>
      <c r="BC4" s="7" t="s">
        <v>298</v>
      </c>
      <c r="BD4" s="7" t="s">
        <v>299</v>
      </c>
      <c r="BE4" s="7" t="s">
        <v>300</v>
      </c>
      <c r="BF4" s="91" t="s">
        <v>301</v>
      </c>
      <c r="BG4" s="91" t="s">
        <v>302</v>
      </c>
      <c r="BH4" s="91" t="s">
        <v>304</v>
      </c>
      <c r="BI4" s="91" t="s">
        <v>303</v>
      </c>
      <c r="BJ4" s="8" t="s">
        <v>249</v>
      </c>
      <c r="BK4" s="8" t="s">
        <v>250</v>
      </c>
      <c r="BL4" s="8" t="s">
        <v>251</v>
      </c>
      <c r="BM4" s="8" t="s">
        <v>252</v>
      </c>
      <c r="BN4" s="8" t="s">
        <v>253</v>
      </c>
      <c r="BO4" s="8" t="s">
        <v>254</v>
      </c>
      <c r="BP4" s="8" t="s">
        <v>255</v>
      </c>
      <c r="BQ4" s="8" t="s">
        <v>256</v>
      </c>
      <c r="BR4" s="8" t="s">
        <v>257</v>
      </c>
      <c r="BS4" s="8" t="s">
        <v>258</v>
      </c>
      <c r="BT4" s="8" t="s">
        <v>259</v>
      </c>
      <c r="BU4" s="8" t="s">
        <v>260</v>
      </c>
      <c r="BV4" s="8" t="s">
        <v>261</v>
      </c>
      <c r="BW4" s="8" t="s">
        <v>305</v>
      </c>
      <c r="BX4" s="8" t="s">
        <v>306</v>
      </c>
      <c r="BY4" s="8" t="s">
        <v>307</v>
      </c>
      <c r="BZ4" s="8" t="s">
        <v>308</v>
      </c>
      <c r="CA4" s="8" t="s">
        <v>309</v>
      </c>
      <c r="CB4" s="8" t="s">
        <v>310</v>
      </c>
      <c r="CC4" s="8" t="s">
        <v>311</v>
      </c>
      <c r="CD4" s="8" t="s">
        <v>312</v>
      </c>
      <c r="CE4" s="8" t="s">
        <v>313</v>
      </c>
      <c r="CF4" s="8" t="s">
        <v>314</v>
      </c>
      <c r="CG4" s="8" t="s">
        <v>315</v>
      </c>
      <c r="CH4" s="8" t="s">
        <v>316</v>
      </c>
      <c r="CI4" s="8" t="s">
        <v>317</v>
      </c>
      <c r="CJ4" s="8" t="s">
        <v>318</v>
      </c>
      <c r="CK4" s="8" t="s">
        <v>319</v>
      </c>
      <c r="CL4" s="8" t="s">
        <v>320</v>
      </c>
      <c r="CM4" s="10" t="s">
        <v>262</v>
      </c>
      <c r="CN4" s="10" t="s">
        <v>263</v>
      </c>
      <c r="CO4" s="10" t="s">
        <v>264</v>
      </c>
      <c r="CP4" s="10" t="s">
        <v>265</v>
      </c>
      <c r="CQ4" s="10" t="s">
        <v>266</v>
      </c>
      <c r="CR4" s="10" t="s">
        <v>267</v>
      </c>
      <c r="CS4" s="10" t="s">
        <v>268</v>
      </c>
      <c r="CT4" s="10" t="s">
        <v>269</v>
      </c>
      <c r="CU4" s="10" t="s">
        <v>270</v>
      </c>
      <c r="CV4" s="10" t="s">
        <v>271</v>
      </c>
      <c r="CW4" s="10" t="s">
        <v>272</v>
      </c>
      <c r="CX4" s="10" t="s">
        <v>273</v>
      </c>
      <c r="CY4" s="10" t="s">
        <v>274</v>
      </c>
      <c r="CZ4" s="10" t="s">
        <v>350</v>
      </c>
      <c r="DA4" s="10" t="s">
        <v>351</v>
      </c>
      <c r="DB4" s="10" t="s">
        <v>352</v>
      </c>
      <c r="DC4" s="10" t="s">
        <v>353</v>
      </c>
      <c r="DD4" s="10" t="s">
        <v>354</v>
      </c>
      <c r="DE4" s="10" t="s">
        <v>355</v>
      </c>
      <c r="DF4" s="10" t="s">
        <v>356</v>
      </c>
      <c r="DG4" s="10" t="s">
        <v>357</v>
      </c>
      <c r="DH4" s="10" t="s">
        <v>358</v>
      </c>
      <c r="DI4" s="10" t="s">
        <v>359</v>
      </c>
      <c r="DJ4" s="10" t="s">
        <v>360</v>
      </c>
      <c r="DK4" s="10" t="s">
        <v>361</v>
      </c>
      <c r="DL4" s="10" t="s">
        <v>365</v>
      </c>
      <c r="DM4" s="10" t="s">
        <v>362</v>
      </c>
      <c r="DN4" s="10" t="s">
        <v>363</v>
      </c>
      <c r="DO4" s="10" t="s">
        <v>364</v>
      </c>
      <c r="DP4" s="19" t="s">
        <v>275</v>
      </c>
      <c r="DQ4" s="19" t="s">
        <v>276</v>
      </c>
      <c r="DR4" s="19" t="s">
        <v>277</v>
      </c>
      <c r="DS4" s="19" t="s">
        <v>278</v>
      </c>
      <c r="DT4" s="19" t="s">
        <v>279</v>
      </c>
      <c r="DU4" s="19" t="s">
        <v>280</v>
      </c>
      <c r="DV4" s="19" t="s">
        <v>281</v>
      </c>
      <c r="DW4" s="19" t="s">
        <v>282</v>
      </c>
      <c r="DX4" s="19" t="s">
        <v>283</v>
      </c>
      <c r="DY4" s="19" t="s">
        <v>284</v>
      </c>
      <c r="DZ4" s="19" t="s">
        <v>285</v>
      </c>
      <c r="EA4" s="19" t="s">
        <v>286</v>
      </c>
      <c r="EB4" s="19" t="s">
        <v>287</v>
      </c>
      <c r="EC4" s="19" t="s">
        <v>321</v>
      </c>
      <c r="ED4" s="19" t="s">
        <v>322</v>
      </c>
      <c r="EE4" s="19" t="s">
        <v>323</v>
      </c>
      <c r="EF4" s="19" t="s">
        <v>324</v>
      </c>
      <c r="EG4" s="19" t="s">
        <v>325</v>
      </c>
      <c r="EH4" s="19" t="s">
        <v>326</v>
      </c>
      <c r="EI4" s="19" t="s">
        <v>327</v>
      </c>
      <c r="EJ4" s="19" t="s">
        <v>328</v>
      </c>
      <c r="EK4" s="19" t="s">
        <v>329</v>
      </c>
      <c r="EL4" s="19" t="s">
        <v>330</v>
      </c>
      <c r="EM4" s="19" t="s">
        <v>331</v>
      </c>
      <c r="EN4" s="19" t="s">
        <v>332</v>
      </c>
      <c r="EO4" s="19" t="s">
        <v>333</v>
      </c>
      <c r="EP4" s="19" t="s">
        <v>334</v>
      </c>
      <c r="EQ4" s="19" t="s">
        <v>335</v>
      </c>
      <c r="ER4" s="19" t="s">
        <v>336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98</v>
      </c>
      <c r="FC4" s="2" t="s">
        <v>93</v>
      </c>
      <c r="FD4" s="2" t="s">
        <v>94</v>
      </c>
      <c r="FE4" s="2" t="s">
        <v>456</v>
      </c>
      <c r="FF4" s="2" t="s">
        <v>337</v>
      </c>
      <c r="FG4" s="2" t="s">
        <v>338</v>
      </c>
      <c r="FH4" s="2" t="s">
        <v>339</v>
      </c>
      <c r="FI4" s="2" t="s">
        <v>340</v>
      </c>
      <c r="FJ4" s="2" t="s">
        <v>341</v>
      </c>
      <c r="FK4" s="2" t="s">
        <v>342</v>
      </c>
      <c r="FL4" s="2" t="s">
        <v>343</v>
      </c>
      <c r="FM4" s="2" t="s">
        <v>344</v>
      </c>
      <c r="FN4" s="2" t="s">
        <v>345</v>
      </c>
      <c r="FO4" s="2" t="s">
        <v>346</v>
      </c>
      <c r="FP4" s="2" t="s">
        <v>347</v>
      </c>
      <c r="FQ4" s="2" t="s">
        <v>348</v>
      </c>
      <c r="FR4" s="2" t="s">
        <v>457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67">
        <v>12</v>
      </c>
      <c r="C5" s="69">
        <v>0.77</v>
      </c>
      <c r="D5" s="67">
        <v>4</v>
      </c>
      <c r="E5" s="67">
        <v>3</v>
      </c>
      <c r="F5" s="67">
        <v>2</v>
      </c>
      <c r="G5" s="67">
        <v>4</v>
      </c>
      <c r="H5" s="67">
        <v>3</v>
      </c>
      <c r="I5" s="67">
        <v>2</v>
      </c>
      <c r="J5" s="67">
        <v>4</v>
      </c>
      <c r="K5" s="67">
        <v>3</v>
      </c>
      <c r="L5" s="67">
        <v>2</v>
      </c>
      <c r="M5" s="67">
        <v>4</v>
      </c>
      <c r="N5" s="67">
        <v>3</v>
      </c>
      <c r="O5" s="67">
        <v>2</v>
      </c>
      <c r="P5" s="90">
        <f>SUM(t_Plants[[#This Row],[d2015.01]:[d2015.12]])</f>
        <v>36</v>
      </c>
      <c r="Q5" s="67">
        <v>4</v>
      </c>
      <c r="R5" s="67">
        <v>3</v>
      </c>
      <c r="S5" s="67">
        <v>2</v>
      </c>
      <c r="T5" s="67">
        <v>4</v>
      </c>
      <c r="U5" s="67">
        <v>3</v>
      </c>
      <c r="V5" s="67">
        <v>2</v>
      </c>
      <c r="W5" s="67">
        <v>4</v>
      </c>
      <c r="X5" s="67">
        <v>3</v>
      </c>
      <c r="Y5" s="67">
        <v>2</v>
      </c>
      <c r="Z5" s="67">
        <v>4</v>
      </c>
      <c r="AA5" s="67">
        <v>3</v>
      </c>
      <c r="AB5" s="67">
        <v>2</v>
      </c>
      <c r="AC5" s="90">
        <f>SUM(t_Plants[[#This Row],[d2016.01]:[d2016.12]])</f>
        <v>36</v>
      </c>
      <c r="AD5" s="90">
        <f>t_Plants[[#This Row],[d2016.FY]]</f>
        <v>36</v>
      </c>
      <c r="AE5" s="90">
        <f>t_Plants[[#This Row],[d2016.FY]]</f>
        <v>36</v>
      </c>
      <c r="AF5" s="90">
        <f>t_Plants[[#This Row],[d2016.FY]]</f>
        <v>36</v>
      </c>
      <c r="AG5" s="67">
        <v>3</v>
      </c>
      <c r="AH5" s="67">
        <v>2</v>
      </c>
      <c r="AI5" s="67">
        <v>1</v>
      </c>
      <c r="AJ5" s="67">
        <v>3</v>
      </c>
      <c r="AK5" s="67">
        <v>2</v>
      </c>
      <c r="AL5" s="67">
        <v>1</v>
      </c>
      <c r="AM5" s="67">
        <v>3</v>
      </c>
      <c r="AN5" s="67">
        <v>2</v>
      </c>
      <c r="AO5" s="67">
        <v>1</v>
      </c>
      <c r="AP5" s="67">
        <v>3</v>
      </c>
      <c r="AQ5" s="67">
        <v>2</v>
      </c>
      <c r="AR5" s="67">
        <v>1</v>
      </c>
      <c r="AS5" s="90">
        <f>SUM(t_Plants[[#This Row],[o2015.01]:[o2015.12]])</f>
        <v>24</v>
      </c>
      <c r="AT5" s="67">
        <v>3</v>
      </c>
      <c r="AU5" s="67">
        <v>2</v>
      </c>
      <c r="AV5" s="67">
        <v>1</v>
      </c>
      <c r="AW5" s="67">
        <v>3</v>
      </c>
      <c r="AX5" s="67">
        <v>2</v>
      </c>
      <c r="AY5" s="67">
        <v>1</v>
      </c>
      <c r="AZ5" s="67">
        <v>3</v>
      </c>
      <c r="BA5" s="67">
        <v>2</v>
      </c>
      <c r="BB5" s="67">
        <v>1</v>
      </c>
      <c r="BC5" s="67">
        <v>3</v>
      </c>
      <c r="BD5" s="67">
        <v>2</v>
      </c>
      <c r="BE5" s="67">
        <v>1</v>
      </c>
      <c r="BF5" s="90">
        <f>SUM(t_Plants[[#This Row],[o2016.01]:[o2016.12]])</f>
        <v>24</v>
      </c>
      <c r="BG5" s="90">
        <f>t_Plants[[#This Row],[o2016.FY]]</f>
        <v>24</v>
      </c>
      <c r="BH5" s="90">
        <f>t_Plants[[#This Row],[o2016.FY]]</f>
        <v>24</v>
      </c>
      <c r="BI5" s="90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67">
        <v>8</v>
      </c>
      <c r="C6" s="69">
        <v>0.76</v>
      </c>
      <c r="D6" s="67">
        <v>28</v>
      </c>
      <c r="E6" s="67">
        <v>28</v>
      </c>
      <c r="F6" s="67">
        <v>35</v>
      </c>
      <c r="G6" s="67">
        <v>28</v>
      </c>
      <c r="H6" s="67">
        <v>28</v>
      </c>
      <c r="I6" s="67">
        <v>35</v>
      </c>
      <c r="J6" s="67">
        <v>28</v>
      </c>
      <c r="K6" s="67">
        <v>28</v>
      </c>
      <c r="L6" s="67">
        <v>35</v>
      </c>
      <c r="M6" s="67">
        <v>28</v>
      </c>
      <c r="N6" s="67">
        <v>28</v>
      </c>
      <c r="O6" s="67">
        <v>35</v>
      </c>
      <c r="P6" s="90">
        <f>SUM(t_Plants[[#This Row],[d2015.01]:[d2015.12]])</f>
        <v>364</v>
      </c>
      <c r="Q6" s="67">
        <v>28</v>
      </c>
      <c r="R6" s="67">
        <v>28</v>
      </c>
      <c r="S6" s="67">
        <v>35</v>
      </c>
      <c r="T6" s="67">
        <v>28</v>
      </c>
      <c r="U6" s="67">
        <v>28</v>
      </c>
      <c r="V6" s="67">
        <v>35</v>
      </c>
      <c r="W6" s="67">
        <v>28</v>
      </c>
      <c r="X6" s="67">
        <v>28</v>
      </c>
      <c r="Y6" s="67">
        <v>35</v>
      </c>
      <c r="Z6" s="67">
        <v>28</v>
      </c>
      <c r="AA6" s="67">
        <v>28</v>
      </c>
      <c r="AB6" s="67">
        <v>35</v>
      </c>
      <c r="AC6" s="90">
        <f>SUM(t_Plants[[#This Row],[d2016.01]:[d2016.12]])</f>
        <v>364</v>
      </c>
      <c r="AD6" s="90">
        <f>t_Plants[[#This Row],[d2016.FY]]</f>
        <v>364</v>
      </c>
      <c r="AE6" s="90">
        <f>t_Plants[[#This Row],[d2016.FY]]</f>
        <v>364</v>
      </c>
      <c r="AF6" s="90">
        <f>t_Plants[[#This Row],[d2016.FY]]</f>
        <v>364</v>
      </c>
      <c r="AG6" s="67">
        <v>2</v>
      </c>
      <c r="AH6" s="67">
        <v>2</v>
      </c>
      <c r="AI6" s="67">
        <v>1</v>
      </c>
      <c r="AJ6" s="67">
        <v>2</v>
      </c>
      <c r="AK6" s="67">
        <v>2</v>
      </c>
      <c r="AL6" s="67">
        <v>1</v>
      </c>
      <c r="AM6" s="67">
        <v>2</v>
      </c>
      <c r="AN6" s="67">
        <v>2</v>
      </c>
      <c r="AO6" s="67">
        <v>1</v>
      </c>
      <c r="AP6" s="67">
        <v>2</v>
      </c>
      <c r="AQ6" s="67">
        <v>2</v>
      </c>
      <c r="AR6" s="67">
        <v>1</v>
      </c>
      <c r="AS6" s="90">
        <f>SUM(t_Plants[[#This Row],[o2015.01]:[o2015.12]])</f>
        <v>20</v>
      </c>
      <c r="AT6" s="67">
        <v>2</v>
      </c>
      <c r="AU6" s="67">
        <v>2</v>
      </c>
      <c r="AV6" s="67">
        <v>1</v>
      </c>
      <c r="AW6" s="67">
        <v>2</v>
      </c>
      <c r="AX6" s="67">
        <v>2</v>
      </c>
      <c r="AY6" s="67">
        <v>1</v>
      </c>
      <c r="AZ6" s="67">
        <v>2</v>
      </c>
      <c r="BA6" s="67">
        <v>2</v>
      </c>
      <c r="BB6" s="67">
        <v>1</v>
      </c>
      <c r="BC6" s="67">
        <v>2</v>
      </c>
      <c r="BD6" s="67">
        <v>2</v>
      </c>
      <c r="BE6" s="67">
        <v>1</v>
      </c>
      <c r="BF6" s="90">
        <f>SUM(t_Plants[[#This Row],[o2016.01]:[o2016.12]])</f>
        <v>20</v>
      </c>
      <c r="BG6" s="90">
        <f>t_Plants[[#This Row],[o2016.FY]]</f>
        <v>20</v>
      </c>
      <c r="BH6" s="90">
        <f>t_Plants[[#This Row],[o2016.FY]]</f>
        <v>20</v>
      </c>
      <c r="BI6" s="90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67">
        <v>10</v>
      </c>
      <c r="C7" s="69">
        <v>0.55000000000000004</v>
      </c>
      <c r="D7" s="67">
        <v>28</v>
      </c>
      <c r="E7" s="67">
        <v>28</v>
      </c>
      <c r="F7" s="67">
        <v>35</v>
      </c>
      <c r="G7" s="67">
        <v>28</v>
      </c>
      <c r="H7" s="67">
        <v>28</v>
      </c>
      <c r="I7" s="67">
        <v>35</v>
      </c>
      <c r="J7" s="67">
        <v>28</v>
      </c>
      <c r="K7" s="67">
        <v>28</v>
      </c>
      <c r="L7" s="67">
        <v>35</v>
      </c>
      <c r="M7" s="67">
        <v>28</v>
      </c>
      <c r="N7" s="67">
        <v>28</v>
      </c>
      <c r="O7" s="67">
        <v>35</v>
      </c>
      <c r="P7" s="90">
        <f>SUM(t_Plants[[#This Row],[d2015.01]:[d2015.12]])</f>
        <v>364</v>
      </c>
      <c r="Q7" s="67">
        <v>28</v>
      </c>
      <c r="R7" s="67">
        <v>28</v>
      </c>
      <c r="S7" s="67">
        <v>35</v>
      </c>
      <c r="T7" s="67">
        <v>28</v>
      </c>
      <c r="U7" s="67">
        <v>28</v>
      </c>
      <c r="V7" s="67">
        <v>35</v>
      </c>
      <c r="W7" s="67">
        <v>28</v>
      </c>
      <c r="X7" s="67">
        <v>28</v>
      </c>
      <c r="Y7" s="67">
        <v>35</v>
      </c>
      <c r="Z7" s="67">
        <v>28</v>
      </c>
      <c r="AA7" s="67">
        <v>28</v>
      </c>
      <c r="AB7" s="67">
        <v>35</v>
      </c>
      <c r="AC7" s="90">
        <f>SUM(t_Plants[[#This Row],[d2016.01]:[d2016.12]])</f>
        <v>364</v>
      </c>
      <c r="AD7" s="90">
        <f>t_Plants[[#This Row],[d2016.FY]]</f>
        <v>364</v>
      </c>
      <c r="AE7" s="90">
        <f>t_Plants[[#This Row],[d2016.FY]]</f>
        <v>364</v>
      </c>
      <c r="AF7" s="90">
        <f>t_Plants[[#This Row],[d2016.FY]]</f>
        <v>364</v>
      </c>
      <c r="AG7" s="67">
        <v>3</v>
      </c>
      <c r="AH7" s="67">
        <v>2</v>
      </c>
      <c r="AI7" s="67">
        <v>1</v>
      </c>
      <c r="AJ7" s="67">
        <v>3</v>
      </c>
      <c r="AK7" s="67">
        <v>2</v>
      </c>
      <c r="AL7" s="67">
        <v>1</v>
      </c>
      <c r="AM7" s="67">
        <v>3</v>
      </c>
      <c r="AN7" s="67">
        <v>2</v>
      </c>
      <c r="AO7" s="67">
        <v>1</v>
      </c>
      <c r="AP7" s="67">
        <v>3</v>
      </c>
      <c r="AQ7" s="67">
        <v>2</v>
      </c>
      <c r="AR7" s="67">
        <v>1</v>
      </c>
      <c r="AS7" s="90">
        <f>SUM(t_Plants[[#This Row],[o2015.01]:[o2015.12]])</f>
        <v>24</v>
      </c>
      <c r="AT7" s="67">
        <v>3</v>
      </c>
      <c r="AU7" s="67">
        <v>4</v>
      </c>
      <c r="AV7" s="67">
        <v>1</v>
      </c>
      <c r="AW7" s="67">
        <v>3</v>
      </c>
      <c r="AX7" s="67">
        <v>2</v>
      </c>
      <c r="AY7" s="67">
        <v>1</v>
      </c>
      <c r="AZ7" s="67">
        <v>3</v>
      </c>
      <c r="BA7" s="67">
        <v>2</v>
      </c>
      <c r="BB7" s="67">
        <v>1</v>
      </c>
      <c r="BC7" s="67">
        <v>3</v>
      </c>
      <c r="BD7" s="67">
        <v>6</v>
      </c>
      <c r="BE7" s="67">
        <v>5</v>
      </c>
      <c r="BF7" s="90">
        <f>SUM(t_Plants[[#This Row],[o2016.01]:[o2016.12]])</f>
        <v>34</v>
      </c>
      <c r="BG7" s="90">
        <f>t_Plants[[#This Row],[o2016.FY]]</f>
        <v>34</v>
      </c>
      <c r="BH7" s="90">
        <f>t_Plants[[#This Row],[o2016.FY]]</f>
        <v>34</v>
      </c>
      <c r="BI7" s="90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67">
        <v>10</v>
      </c>
      <c r="C8" s="69">
        <v>0.79</v>
      </c>
      <c r="D8" s="67">
        <v>28</v>
      </c>
      <c r="E8" s="67">
        <v>28</v>
      </c>
      <c r="F8" s="67">
        <v>35</v>
      </c>
      <c r="G8" s="67">
        <v>28</v>
      </c>
      <c r="H8" s="67">
        <v>28</v>
      </c>
      <c r="I8" s="67">
        <v>35</v>
      </c>
      <c r="J8" s="67">
        <v>28</v>
      </c>
      <c r="K8" s="67">
        <v>28</v>
      </c>
      <c r="L8" s="67">
        <v>35</v>
      </c>
      <c r="M8" s="67">
        <v>28</v>
      </c>
      <c r="N8" s="67">
        <v>28</v>
      </c>
      <c r="O8" s="67">
        <v>35</v>
      </c>
      <c r="P8" s="90">
        <f>SUM(t_Plants[[#This Row],[d2015.01]:[d2015.12]])</f>
        <v>364</v>
      </c>
      <c r="Q8" s="67">
        <v>28</v>
      </c>
      <c r="R8" s="67">
        <v>28</v>
      </c>
      <c r="S8" s="67">
        <v>35</v>
      </c>
      <c r="T8" s="67">
        <v>28</v>
      </c>
      <c r="U8" s="67">
        <v>28</v>
      </c>
      <c r="V8" s="67">
        <v>35</v>
      </c>
      <c r="W8" s="67">
        <v>28</v>
      </c>
      <c r="X8" s="67">
        <v>28</v>
      </c>
      <c r="Y8" s="67">
        <v>35</v>
      </c>
      <c r="Z8" s="67">
        <v>28</v>
      </c>
      <c r="AA8" s="67">
        <v>28</v>
      </c>
      <c r="AB8" s="67">
        <v>35</v>
      </c>
      <c r="AC8" s="90">
        <f>SUM(t_Plants[[#This Row],[d2016.01]:[d2016.12]])</f>
        <v>364</v>
      </c>
      <c r="AD8" s="90">
        <f>t_Plants[[#This Row],[d2016.FY]]</f>
        <v>364</v>
      </c>
      <c r="AE8" s="90">
        <f>t_Plants[[#This Row],[d2016.FY]]</f>
        <v>364</v>
      </c>
      <c r="AF8" s="90">
        <f>t_Plants[[#This Row],[d2016.FY]]</f>
        <v>364</v>
      </c>
      <c r="AG8" s="67">
        <v>3</v>
      </c>
      <c r="AH8" s="67">
        <v>2</v>
      </c>
      <c r="AI8" s="67">
        <v>1</v>
      </c>
      <c r="AJ8" s="67">
        <v>3</v>
      </c>
      <c r="AK8" s="67">
        <v>2</v>
      </c>
      <c r="AL8" s="67">
        <v>1</v>
      </c>
      <c r="AM8" s="67">
        <v>3</v>
      </c>
      <c r="AN8" s="67">
        <v>2</v>
      </c>
      <c r="AO8" s="67">
        <v>1</v>
      </c>
      <c r="AP8" s="67">
        <v>3</v>
      </c>
      <c r="AQ8" s="67">
        <v>2</v>
      </c>
      <c r="AR8" s="67">
        <v>1</v>
      </c>
      <c r="AS8" s="90">
        <f>SUM(t_Plants[[#This Row],[o2015.01]:[o2015.12]])</f>
        <v>24</v>
      </c>
      <c r="AT8" s="67">
        <v>3</v>
      </c>
      <c r="AU8" s="67">
        <v>2</v>
      </c>
      <c r="AV8" s="67">
        <v>1</v>
      </c>
      <c r="AW8" s="67">
        <v>3</v>
      </c>
      <c r="AX8" s="67">
        <v>2</v>
      </c>
      <c r="AY8" s="67">
        <v>1</v>
      </c>
      <c r="AZ8" s="67">
        <v>3</v>
      </c>
      <c r="BA8" s="67">
        <v>2</v>
      </c>
      <c r="BB8" s="67">
        <v>1</v>
      </c>
      <c r="BC8" s="67">
        <v>3</v>
      </c>
      <c r="BD8" s="67">
        <v>2</v>
      </c>
      <c r="BE8" s="67">
        <v>1</v>
      </c>
      <c r="BF8" s="90">
        <f>SUM(t_Plants[[#This Row],[o2016.01]:[o2016.12]])</f>
        <v>24</v>
      </c>
      <c r="BG8" s="90">
        <f>t_Plants[[#This Row],[o2016.FY]]</f>
        <v>24</v>
      </c>
      <c r="BH8" s="90">
        <f>t_Plants[[#This Row],[o2016.FY]]</f>
        <v>24</v>
      </c>
      <c r="BI8" s="90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67">
        <v>12</v>
      </c>
      <c r="C9" s="69">
        <v>0.78</v>
      </c>
      <c r="D9" s="67">
        <v>28</v>
      </c>
      <c r="E9" s="67">
        <v>28</v>
      </c>
      <c r="F9" s="67">
        <v>35</v>
      </c>
      <c r="G9" s="67">
        <v>28</v>
      </c>
      <c r="H9" s="67">
        <v>28</v>
      </c>
      <c r="I9" s="67">
        <v>35</v>
      </c>
      <c r="J9" s="67">
        <v>28</v>
      </c>
      <c r="K9" s="67">
        <v>28</v>
      </c>
      <c r="L9" s="67">
        <v>35</v>
      </c>
      <c r="M9" s="67">
        <v>28</v>
      </c>
      <c r="N9" s="67">
        <v>28</v>
      </c>
      <c r="O9" s="67">
        <v>35</v>
      </c>
      <c r="P9" s="90">
        <f>SUM(t_Plants[[#This Row],[d2015.01]:[d2015.12]])</f>
        <v>364</v>
      </c>
      <c r="Q9" s="67">
        <v>28</v>
      </c>
      <c r="R9" s="67">
        <v>28</v>
      </c>
      <c r="S9" s="67">
        <v>35</v>
      </c>
      <c r="T9" s="67">
        <v>28</v>
      </c>
      <c r="U9" s="67">
        <v>28</v>
      </c>
      <c r="V9" s="67">
        <v>35</v>
      </c>
      <c r="W9" s="67">
        <v>28</v>
      </c>
      <c r="X9" s="67">
        <v>28</v>
      </c>
      <c r="Y9" s="67">
        <v>35</v>
      </c>
      <c r="Z9" s="67">
        <v>28</v>
      </c>
      <c r="AA9" s="67">
        <v>28</v>
      </c>
      <c r="AB9" s="67">
        <v>35</v>
      </c>
      <c r="AC9" s="90">
        <f>SUM(t_Plants[[#This Row],[d2016.01]:[d2016.12]])</f>
        <v>364</v>
      </c>
      <c r="AD9" s="90">
        <f>t_Plants[[#This Row],[d2016.FY]]</f>
        <v>364</v>
      </c>
      <c r="AE9" s="90">
        <f>t_Plants[[#This Row],[d2016.FY]]</f>
        <v>364</v>
      </c>
      <c r="AF9" s="90">
        <f>t_Plants[[#This Row],[d2016.FY]]</f>
        <v>364</v>
      </c>
      <c r="AG9" s="67">
        <v>3</v>
      </c>
      <c r="AH9" s="67">
        <v>2</v>
      </c>
      <c r="AI9" s="67">
        <v>1</v>
      </c>
      <c r="AJ9" s="67">
        <v>3</v>
      </c>
      <c r="AK9" s="67">
        <v>2</v>
      </c>
      <c r="AL9" s="67">
        <v>1</v>
      </c>
      <c r="AM9" s="67">
        <v>3</v>
      </c>
      <c r="AN9" s="67">
        <v>2</v>
      </c>
      <c r="AO9" s="67">
        <v>1</v>
      </c>
      <c r="AP9" s="67">
        <v>3</v>
      </c>
      <c r="AQ9" s="67">
        <v>2</v>
      </c>
      <c r="AR9" s="67">
        <v>1</v>
      </c>
      <c r="AS9" s="90">
        <f>SUM(t_Plants[[#This Row],[o2015.01]:[o2015.12]])</f>
        <v>24</v>
      </c>
      <c r="AT9" s="67">
        <v>3</v>
      </c>
      <c r="AU9" s="67">
        <v>2</v>
      </c>
      <c r="AV9" s="67">
        <v>1</v>
      </c>
      <c r="AW9" s="67">
        <v>3</v>
      </c>
      <c r="AX9" s="67">
        <v>2</v>
      </c>
      <c r="AY9" s="67">
        <v>1</v>
      </c>
      <c r="AZ9" s="67">
        <v>3</v>
      </c>
      <c r="BA9" s="67">
        <v>2</v>
      </c>
      <c r="BB9" s="67">
        <v>1</v>
      </c>
      <c r="BC9" s="67">
        <v>3</v>
      </c>
      <c r="BD9" s="67">
        <v>2</v>
      </c>
      <c r="BE9" s="67">
        <v>1</v>
      </c>
      <c r="BF9" s="90">
        <f>SUM(t_Plants[[#This Row],[o2016.01]:[o2016.12]])</f>
        <v>24</v>
      </c>
      <c r="BG9" s="90">
        <f>t_Plants[[#This Row],[o2016.FY]]</f>
        <v>24</v>
      </c>
      <c r="BH9" s="90">
        <f>t_Plants[[#This Row],[o2016.FY]]</f>
        <v>24</v>
      </c>
      <c r="BI9" s="90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5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abSelected="1"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C14" sqref="C14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3" width="11.7109375" hidden="1" customWidth="1"/>
    <col min="74" max="74" width="11.7109375" customWidth="1"/>
    <col min="75" max="86" width="11.7109375" hidden="1" customWidth="1"/>
    <col min="87" max="87" width="11.7109375" customWidth="1"/>
    <col min="88" max="89" width="9.140625" customWidth="1"/>
    <col min="90" max="90" width="10.42578125" customWidth="1"/>
  </cols>
  <sheetData>
    <row r="1" spans="1:90" hidden="1" x14ac:dyDescent="0.25"/>
    <row r="2" spans="1:90" ht="41.25" customHeight="1" x14ac:dyDescent="0.25">
      <c r="A2" s="76" t="s">
        <v>477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184</v>
      </c>
      <c r="B3" s="12"/>
      <c r="C3" s="12"/>
      <c r="D3" s="10" t="s">
        <v>185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8" t="s">
        <v>54</v>
      </c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 t="s">
        <v>54</v>
      </c>
      <c r="AG3" s="1" t="s">
        <v>186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9" t="s">
        <v>99</v>
      </c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 t="s">
        <v>99</v>
      </c>
      <c r="BJ3" s="2" t="s">
        <v>187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50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50" t="s">
        <v>188</v>
      </c>
    </row>
    <row r="4" spans="1:90" x14ac:dyDescent="0.25">
      <c r="A4" s="54" t="s">
        <v>182</v>
      </c>
      <c r="B4" s="54" t="s">
        <v>183</v>
      </c>
      <c r="C4" s="54" t="s">
        <v>476</v>
      </c>
      <c r="D4" s="10" t="s">
        <v>14</v>
      </c>
      <c r="E4" s="10" t="s">
        <v>13</v>
      </c>
      <c r="F4" s="10" t="s">
        <v>15</v>
      </c>
      <c r="G4" s="10" t="s">
        <v>43</v>
      </c>
      <c r="H4" s="10" t="s">
        <v>44</v>
      </c>
      <c r="I4" s="10" t="s">
        <v>45</v>
      </c>
      <c r="J4" s="10" t="s">
        <v>46</v>
      </c>
      <c r="K4" s="10" t="s">
        <v>47</v>
      </c>
      <c r="L4" s="10" t="s">
        <v>48</v>
      </c>
      <c r="M4" s="10" t="s">
        <v>49</v>
      </c>
      <c r="N4" s="10" t="s">
        <v>50</v>
      </c>
      <c r="O4" s="10" t="s">
        <v>51</v>
      </c>
      <c r="P4" s="10" t="s">
        <v>52</v>
      </c>
      <c r="Q4" s="10" t="s">
        <v>372</v>
      </c>
      <c r="R4" s="10" t="s">
        <v>373</v>
      </c>
      <c r="S4" s="10" t="s">
        <v>374</v>
      </c>
      <c r="T4" s="10" t="s">
        <v>375</v>
      </c>
      <c r="U4" s="10" t="s">
        <v>376</v>
      </c>
      <c r="V4" s="10" t="s">
        <v>377</v>
      </c>
      <c r="W4" s="10" t="s">
        <v>378</v>
      </c>
      <c r="X4" s="10" t="s">
        <v>379</v>
      </c>
      <c r="Y4" s="10" t="s">
        <v>380</v>
      </c>
      <c r="Z4" s="10" t="s">
        <v>381</v>
      </c>
      <c r="AA4" s="10" t="s">
        <v>382</v>
      </c>
      <c r="AB4" s="10" t="s">
        <v>383</v>
      </c>
      <c r="AC4" s="10" t="s">
        <v>384</v>
      </c>
      <c r="AD4" s="10" t="s">
        <v>385</v>
      </c>
      <c r="AE4" s="10" t="s">
        <v>386</v>
      </c>
      <c r="AF4" s="10" t="s">
        <v>403</v>
      </c>
      <c r="AG4" s="1" t="s">
        <v>69</v>
      </c>
      <c r="AH4" s="1" t="s">
        <v>70</v>
      </c>
      <c r="AI4" s="1" t="s">
        <v>71</v>
      </c>
      <c r="AJ4" s="1" t="s">
        <v>72</v>
      </c>
      <c r="AK4" s="1" t="s">
        <v>73</v>
      </c>
      <c r="AL4" s="1" t="s">
        <v>74</v>
      </c>
      <c r="AM4" s="1" t="s">
        <v>75</v>
      </c>
      <c r="AN4" s="1" t="s">
        <v>76</v>
      </c>
      <c r="AO4" s="1" t="s">
        <v>77</v>
      </c>
      <c r="AP4" s="1" t="s">
        <v>78</v>
      </c>
      <c r="AQ4" s="1" t="s">
        <v>79</v>
      </c>
      <c r="AR4" s="1" t="s">
        <v>80</v>
      </c>
      <c r="AS4" s="1" t="s">
        <v>81</v>
      </c>
      <c r="AT4" s="1" t="s">
        <v>387</v>
      </c>
      <c r="AU4" s="1" t="s">
        <v>388</v>
      </c>
      <c r="AV4" s="1" t="s">
        <v>389</v>
      </c>
      <c r="AW4" s="1" t="s">
        <v>390</v>
      </c>
      <c r="AX4" s="1" t="s">
        <v>391</v>
      </c>
      <c r="AY4" s="1" t="s">
        <v>392</v>
      </c>
      <c r="AZ4" s="1" t="s">
        <v>393</v>
      </c>
      <c r="BA4" s="1" t="s">
        <v>394</v>
      </c>
      <c r="BB4" s="1" t="s">
        <v>395</v>
      </c>
      <c r="BC4" s="1" t="s">
        <v>396</v>
      </c>
      <c r="BD4" s="1" t="s">
        <v>397</v>
      </c>
      <c r="BE4" s="1" t="s">
        <v>398</v>
      </c>
      <c r="BF4" s="1" t="s">
        <v>399</v>
      </c>
      <c r="BG4" s="1" t="s">
        <v>400</v>
      </c>
      <c r="BH4" s="1" t="s">
        <v>401</v>
      </c>
      <c r="BI4" s="1" t="s">
        <v>402</v>
      </c>
      <c r="BJ4" s="2" t="s">
        <v>16</v>
      </c>
      <c r="BK4" s="2" t="s">
        <v>17</v>
      </c>
      <c r="BL4" s="2" t="s">
        <v>18</v>
      </c>
      <c r="BM4" s="2" t="s">
        <v>86</v>
      </c>
      <c r="BN4" s="2" t="s">
        <v>87</v>
      </c>
      <c r="BO4" s="2" t="s">
        <v>88</v>
      </c>
      <c r="BP4" s="2" t="s">
        <v>89</v>
      </c>
      <c r="BQ4" s="2" t="s">
        <v>90</v>
      </c>
      <c r="BR4" s="2" t="s">
        <v>91</v>
      </c>
      <c r="BS4" s="2" t="s">
        <v>98</v>
      </c>
      <c r="BT4" s="2" t="s">
        <v>93</v>
      </c>
      <c r="BU4" s="2" t="s">
        <v>94</v>
      </c>
      <c r="BV4" s="2" t="s">
        <v>82</v>
      </c>
      <c r="BW4" s="2" t="s">
        <v>337</v>
      </c>
      <c r="BX4" s="2" t="s">
        <v>338</v>
      </c>
      <c r="BY4" s="2" t="s">
        <v>339</v>
      </c>
      <c r="BZ4" s="2" t="s">
        <v>340</v>
      </c>
      <c r="CA4" s="2" t="s">
        <v>341</v>
      </c>
      <c r="CB4" s="2" t="s">
        <v>342</v>
      </c>
      <c r="CC4" s="2" t="s">
        <v>343</v>
      </c>
      <c r="CD4" s="2" t="s">
        <v>344</v>
      </c>
      <c r="CE4" s="2" t="s">
        <v>345</v>
      </c>
      <c r="CF4" s="2" t="s">
        <v>346</v>
      </c>
      <c r="CG4" s="2" t="s">
        <v>347</v>
      </c>
      <c r="CH4" s="2" t="s">
        <v>348</v>
      </c>
      <c r="CI4" s="2" t="s">
        <v>349</v>
      </c>
      <c r="CJ4" s="2" t="s">
        <v>83</v>
      </c>
      <c r="CK4" s="2" t="s">
        <v>84</v>
      </c>
      <c r="CL4" s="2" t="s">
        <v>85</v>
      </c>
    </row>
    <row r="5" spans="1:90" x14ac:dyDescent="0.25">
      <c r="A5" s="41">
        <v>1</v>
      </c>
      <c r="B5" s="41" t="str">
        <f>CONCATENATE(FLOOR(v_TRBS*(A5-1),v_TRBS),"-",FLOOR(v_TRBS*(A5-1),v_TRBS)+v_TRBS-1)</f>
        <v>0-299</v>
      </c>
      <c r="C5" s="41">
        <f>COUNTIF(r_Press_Tonnage,Table4[[Tonnage Range]:[Tonnage Range]])</f>
        <v>17</v>
      </c>
      <c r="D5" s="47">
        <f>SUMIF(r_Press_Tonnage,Table4[[Tonnage Range]:[Tonnage Range]],t_Presses[ha2015.01])</f>
        <v>3872</v>
      </c>
      <c r="E5" s="47">
        <f>SUMIF(r_Press_Tonnage,Table4[[Tonnage Range]:[Tonnage Range]],t_Presses[ha2015.02])</f>
        <v>3952</v>
      </c>
      <c r="F5" s="47">
        <f>SUMIF(r_Press_Tonnage,Table4[[Tonnage Range]:[Tonnage Range]],t_Presses[ha2015.03])</f>
        <v>5168</v>
      </c>
      <c r="G5" s="47">
        <f>SUMIF(r_Press_Tonnage,Table4[[Tonnage Range]:[Tonnage Range]],t_Presses[ha2015.04])</f>
        <v>3872</v>
      </c>
      <c r="H5" s="47">
        <f>SUMIF(r_Press_Tonnage,Table4[[Tonnage Range]:[Tonnage Range]],t_Presses[ha2015.05])</f>
        <v>3952</v>
      </c>
      <c r="I5" s="47">
        <f>SUMIF(r_Press_Tonnage,Table4[[Tonnage Range]:[Tonnage Range]],t_Presses[ha2015.06])</f>
        <v>5168</v>
      </c>
      <c r="J5" s="47">
        <f>SUMIF(r_Press_Tonnage,Table4[[Tonnage Range]:[Tonnage Range]],t_Presses[ha2015.07])</f>
        <v>3872</v>
      </c>
      <c r="K5" s="47">
        <f>SUMIF(r_Press_Tonnage,Table4[[Tonnage Range]:[Tonnage Range]],t_Presses[ha2015.08])</f>
        <v>3952</v>
      </c>
      <c r="L5" s="47">
        <f>SUMIF(r_Press_Tonnage,Table4[[Tonnage Range]:[Tonnage Range]],t_Presses[ha2015.09])</f>
        <v>5168</v>
      </c>
      <c r="M5" s="47">
        <f>SUMIF(r_Press_Tonnage,Table4[[Tonnage Range]:[Tonnage Range]],t_Presses[ha2015.10])</f>
        <v>3872</v>
      </c>
      <c r="N5" s="47">
        <f>SUMIF(r_Press_Tonnage,Table4[[Tonnage Range]:[Tonnage Range]],t_Presses[ha2015.11])</f>
        <v>3952</v>
      </c>
      <c r="O5" s="47">
        <f>SUMIF(r_Press_Tonnage,Table4[[Tonnage Range]:[Tonnage Range]],t_Presses[ha2015.12])</f>
        <v>5168</v>
      </c>
      <c r="P5" s="47">
        <f>SUMIF(r_Press_Tonnage,Table4[[Tonnage Range]:[Tonnage Range]],t_Presses[ha2015.FY])</f>
        <v>51968</v>
      </c>
      <c r="Q5" s="47">
        <f>SUMIF(r_Press_Tonnage,Table4[[Tonnage Range]:[Tonnage Range]],t_Presses[ha2016.01])</f>
        <v>3372</v>
      </c>
      <c r="R5" s="47">
        <f>SUMIF(r_Press_Tonnage,Table4[[Tonnage Range]:[Tonnage Range]],t_Presses[ha2016.02])</f>
        <v>3312</v>
      </c>
      <c r="S5" s="47">
        <f>SUMIF(r_Press_Tonnage,Table4[[Tonnage Range]:[Tonnage Range]],t_Presses[ha2016.03])</f>
        <v>4488</v>
      </c>
      <c r="T5" s="47">
        <f>SUMIF(r_Press_Tonnage,Table4[[Tonnage Range]:[Tonnage Range]],t_Presses[ha2016.04])</f>
        <v>3372</v>
      </c>
      <c r="U5" s="47">
        <f>SUMIF(r_Press_Tonnage,Table4[[Tonnage Range]:[Tonnage Range]],t_Presses[ha2016.05])</f>
        <v>3432</v>
      </c>
      <c r="V5" s="47">
        <f>SUMIF(r_Press_Tonnage,Table4[[Tonnage Range]:[Tonnage Range]],t_Presses[ha2016.06])</f>
        <v>4488</v>
      </c>
      <c r="W5" s="47">
        <f>SUMIF(r_Press_Tonnage,Table4[[Tonnage Range]:[Tonnage Range]],t_Presses[ha2016.07])</f>
        <v>3372</v>
      </c>
      <c r="X5" s="47">
        <f>SUMIF(r_Press_Tonnage,Table4[[Tonnage Range]:[Tonnage Range]],t_Presses[ha2016.08])</f>
        <v>3432</v>
      </c>
      <c r="Y5" s="47">
        <f>SUMIF(r_Press_Tonnage,Table4[[Tonnage Range]:[Tonnage Range]],t_Presses[ha2016.09])</f>
        <v>4488</v>
      </c>
      <c r="Z5" s="47">
        <f>SUMIF(r_Press_Tonnage,Table4[[Tonnage Range]:[Tonnage Range]],t_Presses[ha2016.10])</f>
        <v>3372</v>
      </c>
      <c r="AA5" s="47">
        <f>SUMIF(r_Press_Tonnage,Table4[[Tonnage Range]:[Tonnage Range]],t_Presses[ha2016.11])</f>
        <v>3192</v>
      </c>
      <c r="AB5" s="47">
        <f>SUMIF(r_Press_Tonnage,Table4[[Tonnage Range]:[Tonnage Range]],t_Presses[ha2016.12])</f>
        <v>4248</v>
      </c>
      <c r="AC5" s="47">
        <f>SUMIF(r_Press_Tonnage,Table4[[Tonnage Range]:[Tonnage Range]],t_Presses[ha2016.FY])</f>
        <v>44568</v>
      </c>
      <c r="AD5" s="47">
        <f>SUMIF(r_Press_Tonnage,Table4[[Tonnage Range]:[Tonnage Range]],t_Presses[ha2017])</f>
        <v>44568</v>
      </c>
      <c r="AE5" s="47">
        <f>SUMIF(r_Press_Tonnage,Table4[[Tonnage Range]:[Tonnage Range]],t_Presses[ha2018])</f>
        <v>44568</v>
      </c>
      <c r="AF5" s="47">
        <f>SUMIF(r_Press_Tonnage,Table4[[Tonnage Range]:[Tonnage Range]],t_Presses[ha2019])</f>
        <v>44568</v>
      </c>
      <c r="AG5" s="47">
        <f>SUMIF(r_Press_Tonnage,Table4[[Tonnage Range]:[Tonnage Range]],t_Presses[hp2015.01])</f>
        <v>204.17692902125614</v>
      </c>
      <c r="AH5" s="47">
        <f>SUMIF(r_Press_Tonnage,Table4[[Tonnage Range]:[Tonnage Range]],t_Presses[hp2015.02])</f>
        <v>206.38524649218391</v>
      </c>
      <c r="AI5" s="47">
        <f>SUMIF(r_Press_Tonnage,Table4[[Tonnage Range]:[Tonnage Range]],t_Presses[hp2015.03])</f>
        <v>262.81147618208661</v>
      </c>
      <c r="AJ5" s="47">
        <f>SUMIF(r_Press_Tonnage,Table4[[Tonnage Range]:[Tonnage Range]],t_Presses[hp2015.04])</f>
        <v>204.17692902125614</v>
      </c>
      <c r="AK5" s="47">
        <f>SUMIF(r_Press_Tonnage,Table4[[Tonnage Range]:[Tonnage Range]],t_Presses[hp2015.05])</f>
        <v>206.38524649218391</v>
      </c>
      <c r="AL5" s="47">
        <f>SUMIF(r_Press_Tonnage,Table4[[Tonnage Range]:[Tonnage Range]],t_Presses[hp2015.06])</f>
        <v>262.81147618208661</v>
      </c>
      <c r="AM5" s="47">
        <f>SUMIF(r_Press_Tonnage,Table4[[Tonnage Range]:[Tonnage Range]],t_Presses[hp2015.07])</f>
        <v>204.17692902125614</v>
      </c>
      <c r="AN5" s="47">
        <f>SUMIF(r_Press_Tonnage,Table4[[Tonnage Range]:[Tonnage Range]],t_Presses[hp2015.08])</f>
        <v>206.38524649218391</v>
      </c>
      <c r="AO5" s="47">
        <f>SUMIF(r_Press_Tonnage,Table4[[Tonnage Range]:[Tonnage Range]],t_Presses[hp2015.09])</f>
        <v>262.81147618208661</v>
      </c>
      <c r="AP5" s="47">
        <f>SUMIF(r_Press_Tonnage,Table4[[Tonnage Range]:[Tonnage Range]],t_Presses[hp2015.10])</f>
        <v>204.17692902125614</v>
      </c>
      <c r="AQ5" s="47">
        <f>SUMIF(r_Press_Tonnage,Table4[[Tonnage Range]:[Tonnage Range]],t_Presses[hp2015.11])</f>
        <v>206.38524649218391</v>
      </c>
      <c r="AR5" s="47">
        <f>SUMIF(r_Press_Tonnage,Table4[[Tonnage Range]:[Tonnage Range]],t_Presses[hp2015.12])</f>
        <v>262.81147618208661</v>
      </c>
      <c r="AS5" s="47">
        <f>SUM(Table4[[#This Row],[hp2015.01]:[hp2015.12]])</f>
        <v>2693.4946067821065</v>
      </c>
      <c r="AT5" s="47">
        <f>SUMIF(r_Press_Tonnage,Table4[[Tonnage Range]:[Tonnage Range]],t_Presses[hp2016.01])</f>
        <v>0.59523809523809523</v>
      </c>
      <c r="AU5" s="47">
        <f>SUMIF(r_Press_Tonnage,Table4[[Tonnage Range]:[Tonnage Range]],t_Presses[hp2016.02])</f>
        <v>0.5714285714285714</v>
      </c>
      <c r="AV5" s="47">
        <f>SUMIF(r_Press_Tonnage,Table4[[Tonnage Range]:[Tonnage Range]],t_Presses[hp2016.03])</f>
        <v>0.80952380952380953</v>
      </c>
      <c r="AW5" s="47">
        <f>SUMIF(r_Press_Tonnage,Table4[[Tonnage Range]:[Tonnage Range]],t_Presses[hp2016.04])</f>
        <v>0.59523809523809523</v>
      </c>
      <c r="AX5" s="47">
        <f>SUMIF(r_Press_Tonnage,Table4[[Tonnage Range]:[Tonnage Range]],t_Presses[hp2016.05])</f>
        <v>0.61904761904761907</v>
      </c>
      <c r="AY5" s="47">
        <f>SUMIF(r_Press_Tonnage,Table4[[Tonnage Range]:[Tonnage Range]],t_Presses[hp2016.06])</f>
        <v>0.80952380952380953</v>
      </c>
      <c r="AZ5" s="47">
        <f>SUMIF(r_Press_Tonnage,Table4[[Tonnage Range]:[Tonnage Range]],t_Presses[hp2016.07])</f>
        <v>0.59523809523809523</v>
      </c>
      <c r="BA5" s="47">
        <f>SUMIF(r_Press_Tonnage,Table4[[Tonnage Range]:[Tonnage Range]],t_Presses[hp2016.08])</f>
        <v>0.61904761904761907</v>
      </c>
      <c r="BB5" s="47">
        <f>SUMIF(r_Press_Tonnage,Table4[[Tonnage Range]:[Tonnage Range]],t_Presses[hp2016.09])</f>
        <v>0.80952380952380953</v>
      </c>
      <c r="BC5" s="47">
        <f>SUMIF(r_Press_Tonnage,Table4[[Tonnage Range]:[Tonnage Range]],t_Presses[hp2016.10])</f>
        <v>0.59523809523809523</v>
      </c>
      <c r="BD5" s="47">
        <f>SUMIF(r_Press_Tonnage,Table4[[Tonnage Range]:[Tonnage Range]],t_Presses[hp2016.11])</f>
        <v>0.52380952380952384</v>
      </c>
      <c r="BE5" s="47">
        <f>SUMIF(r_Press_Tonnage,Table4[[Tonnage Range]:[Tonnage Range]],t_Presses[hp2016.12])</f>
        <v>0.7142857142857143</v>
      </c>
      <c r="BF5" s="47">
        <f>SUMIF(r_Press_Tonnage,Table4[[Tonnage Range]:[Tonnage Range]],t_Presses[hp2016.FY])</f>
        <v>7.8571428571428559</v>
      </c>
      <c r="BG5" s="47">
        <f>SUMIF(r_Press_Tonnage,Table4[[Tonnage Range]:[Tonnage Range]],t_Presses[hp2017])</f>
        <v>40.476190476190474</v>
      </c>
      <c r="BH5" s="47">
        <f>SUMIF(r_Press_Tonnage,Table4[[Tonnage Range]:[Tonnage Range]],t_Presses[hp2018])</f>
        <v>42.857142857142854</v>
      </c>
      <c r="BI5" s="47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5.2731644891853342E-2</v>
      </c>
      <c r="BK5" s="17">
        <f>IF(Table4[[#This Row],[ha2015.02]]&gt;0,Table4[[#This Row],[hp2015.02]]/Table4[[#This Row],[ha2015.02]],0)</f>
        <v>5.2222987472718599E-2</v>
      </c>
      <c r="BL5" s="17">
        <f>IF(Table4[[#This Row],[ha2015.03]]&gt;0,Table4[[#This Row],[hp2015.03]]/Table4[[#This Row],[ha2015.03]],0)</f>
        <v>5.0853613812323263E-2</v>
      </c>
      <c r="BM5" s="17">
        <f>IF(Table4[[#This Row],[ha2015.04]]&gt;0,Table4[[#This Row],[hp2015.04]]/Table4[[#This Row],[ha2015.04]],0)</f>
        <v>5.2731644891853342E-2</v>
      </c>
      <c r="BN5" s="17">
        <f>IF(Table4[[#This Row],[ha2015.05]]&gt;0,Table4[[#This Row],[hp2015.05]]/Table4[[#This Row],[ha2015.05]],0)</f>
        <v>5.2222987472718599E-2</v>
      </c>
      <c r="BO5" s="17">
        <f>IF(Table4[[#This Row],[ha2015.06]]&gt;0,Table4[[#This Row],[hp2015.06]]/Table4[[#This Row],[ha2015.06]],0)</f>
        <v>5.0853613812323263E-2</v>
      </c>
      <c r="BP5" s="17">
        <f>IF(Table4[[#This Row],[ha2015.07]]&gt;0,Table4[[#This Row],[hp2015.07]]/Table4[[#This Row],[ha2015.07]],0)</f>
        <v>5.2731644891853342E-2</v>
      </c>
      <c r="BQ5" s="17">
        <f>IF(Table4[[#This Row],[ha2015.08]]&gt;0,Table4[[#This Row],[hp2015.08]]/Table4[[#This Row],[ha2015.08]],0)</f>
        <v>5.2222987472718599E-2</v>
      </c>
      <c r="BR5" s="17">
        <f>IF(Table4[[#This Row],[ha2015.09]]&gt;0,Table4[[#This Row],[hp2015.09]]/Table4[[#This Row],[ha2015.09]],0)</f>
        <v>5.0853613812323263E-2</v>
      </c>
      <c r="BS5" s="17">
        <f>IF(Table4[[#This Row],[ha2015.10]]&gt;0,Table4[[#This Row],[hp2015.10]]/Table4[[#This Row],[ha2015.10]],0)</f>
        <v>5.2731644891853342E-2</v>
      </c>
      <c r="BT5" s="17">
        <f>IF(Table4[[#This Row],[ha2015.11]]&gt;0,Table4[[#This Row],[hp2015.11]]/Table4[[#This Row],[ha2015.11]],0)</f>
        <v>5.2222987472718599E-2</v>
      </c>
      <c r="BU5" s="17">
        <f>IF(Table4[[#This Row],[ha2015.12]]&gt;0,Table4[[#This Row],[hp2015.12]]/Table4[[#This Row],[ha2015.12]],0)</f>
        <v>5.0853613812323263E-2</v>
      </c>
      <c r="BV5" s="17">
        <f>IF(Table4[[#This Row],[ha2015.FY]]&gt;0,Table4[[#This Row],[hp2015.FY]]/Table4[[#This Row],[ha2015.FY]],0)</f>
        <v>5.182986851104731E-2</v>
      </c>
      <c r="BW5" s="17">
        <f>IF(Table4[[#This Row],[ha2016.01]]&gt;0,Table4[[#This Row],[hp2016.01]]/Table4[[#This Row],[ha2016.01]],0)</f>
        <v>1.7652375303620855E-4</v>
      </c>
      <c r="BX5" s="17">
        <f>IF(Table4[[#This Row],[ha2016.02]]&gt;0,Table4[[#This Row],[hp2016.02]]/Table4[[#This Row],[ha2016.02]],0)</f>
        <v>1.7253278122843341E-4</v>
      </c>
      <c r="BY5" s="17">
        <f>IF(Table4[[#This Row],[ha2016.03]]&gt;0,Table4[[#This Row],[hp2016.03]]/Table4[[#This Row],[ha2016.03]],0)</f>
        <v>1.8037518037518038E-4</v>
      </c>
      <c r="BZ5" s="17">
        <f>IF(Table4[[#This Row],[ha2016.04]]&gt;0,Table4[[#This Row],[hp2016.04]]/Table4[[#This Row],[ha2016.04]],0)</f>
        <v>1.7652375303620855E-4</v>
      </c>
      <c r="CA5" s="17">
        <f>IF(Table4[[#This Row],[ha2016.05]]&gt;0,Table4[[#This Row],[hp2016.05]]/Table4[[#This Row],[ha2016.05]],0)</f>
        <v>1.8037518037518038E-4</v>
      </c>
      <c r="CB5" s="17">
        <f>IF(Table4[[#This Row],[ha2016.06]]&gt;0,Table4[[#This Row],[hp2016.06]]/Table4[[#This Row],[ha2016.06]],0)</f>
        <v>1.8037518037518038E-4</v>
      </c>
      <c r="CC5" s="17">
        <f>IF(Table4[[#This Row],[ha2016.07]]&gt;0,Table4[[#This Row],[hp2016.07]]/Table4[[#This Row],[ha2016.07]],0)</f>
        <v>1.7652375303620855E-4</v>
      </c>
      <c r="CD5" s="17">
        <f>IF(Table4[[#This Row],[ha2016.08]]&gt;0,Table4[[#This Row],[hp2016.08]]/Table4[[#This Row],[ha2016.08]],0)</f>
        <v>1.8037518037518038E-4</v>
      </c>
      <c r="CE5" s="17">
        <f>IF(Table4[[#This Row],[ha2016.09]]&gt;0,Table4[[#This Row],[hp2016.09]]/Table4[[#This Row],[ha2016.09]],0)</f>
        <v>1.8037518037518038E-4</v>
      </c>
      <c r="CF5" s="17">
        <f>IF(Table4[[#This Row],[ha2016.10]]&gt;0,Table4[[#This Row],[hp2016.10]]/Table4[[#This Row],[ha2016.10]],0)</f>
        <v>1.7652375303620855E-4</v>
      </c>
      <c r="CG5" s="17">
        <f>IF(Table4[[#This Row],[ha2016.11]]&gt;0,Table4[[#This Row],[hp2016.11]]/Table4[[#This Row],[ha2016.11]],0)</f>
        <v>1.6410072801050245E-4</v>
      </c>
      <c r="CH5" s="17">
        <f>IF(Table4[[#This Row],[ha2016.12]]&gt;0,Table4[[#This Row],[hp2016.12]]/Table4[[#This Row],[ha2016.12]],0)</f>
        <v>1.6814635458703255E-4</v>
      </c>
      <c r="CI5" s="17">
        <f>IF(Table4[[#This Row],[ha2016.FY]]&gt;0,Table4[[#This Row],[hp2016.FY]]/Table4[[#This Row],[ha2016.FY]],0)</f>
        <v>1.762956124830115E-4</v>
      </c>
      <c r="CJ5" s="17">
        <f>IF(Table4[[#This Row],[ha2017]]&gt;0,Table4[[#This Row],[hp2017]]/Table4[[#This Row],[ha2017]],0)</f>
        <v>9.0818951885187748E-4</v>
      </c>
      <c r="CK5" s="17">
        <f>IF(Table4[[#This Row],[ha2018]]&gt;0,Table4[[#This Row],[hp2018]]/Table4[[#This Row],[ha2018]],0)</f>
        <v>9.6161243172551724E-4</v>
      </c>
      <c r="CL5" s="17">
        <f>IF(Table4[[#This Row],[ha2019]]&gt;0,Table4[[#This Row],[hp2019]]/Table4[[#This Row],[ha2019]],0)</f>
        <v>1.0150353445991572E-3</v>
      </c>
    </row>
    <row r="6" spans="1:90" x14ac:dyDescent="0.25">
      <c r="A6" s="41">
        <v>2</v>
      </c>
      <c r="B6" s="41" t="str">
        <f>CONCATENATE(FLOOR(v_TRBS*(A6-1),v_TRBS),"-",FLOOR(v_TRBS*(A6-1),v_TRBS)+v_TRBS-1)</f>
        <v>300-599</v>
      </c>
      <c r="C6" s="41">
        <f>COUNTIF(r_Press_Tonnage,Table4[[Tonnage Range]:[Tonnage Range]])</f>
        <v>11</v>
      </c>
      <c r="D6">
        <f>SUMIF(r_Press_Tonnage,Table4[[Tonnage Range]:[Tonnage Range]],t_Presses[ha2015.01])</f>
        <v>2624</v>
      </c>
      <c r="E6">
        <f>SUMIF(r_Press_Tonnage,Table4[[Tonnage Range]:[Tonnage Range]],t_Presses[ha2015.02])</f>
        <v>2704</v>
      </c>
      <c r="F6">
        <f>SUMIF(r_Press_Tonnage,Table4[[Tonnage Range]:[Tonnage Range]],t_Presses[ha2015.03])</f>
        <v>3536</v>
      </c>
      <c r="G6">
        <f>SUMIF(r_Press_Tonnage,Table4[[Tonnage Range]:[Tonnage Range]],t_Presses[ha2015.04])</f>
        <v>2624</v>
      </c>
      <c r="H6">
        <f>SUMIF(r_Press_Tonnage,Table4[[Tonnage Range]:[Tonnage Range]],t_Presses[ha2015.05])</f>
        <v>2704</v>
      </c>
      <c r="I6">
        <f>SUMIF(r_Press_Tonnage,Table4[[Tonnage Range]:[Tonnage Range]],t_Presses[ha2015.06])</f>
        <v>3536</v>
      </c>
      <c r="J6">
        <f>SUMIF(r_Press_Tonnage,Table4[[Tonnage Range]:[Tonnage Range]],t_Presses[ha2015.07])</f>
        <v>2624</v>
      </c>
      <c r="K6">
        <f>SUMIF(r_Press_Tonnage,Table4[[Tonnage Range]:[Tonnage Range]],t_Presses[ha2015.08])</f>
        <v>2704</v>
      </c>
      <c r="L6">
        <f>SUMIF(r_Press_Tonnage,Table4[[Tonnage Range]:[Tonnage Range]],t_Presses[ha2015.09])</f>
        <v>3536</v>
      </c>
      <c r="M6">
        <f>SUMIF(r_Press_Tonnage,Table4[[Tonnage Range]:[Tonnage Range]],t_Presses[ha2015.10])</f>
        <v>2624</v>
      </c>
      <c r="N6">
        <f>SUMIF(r_Press_Tonnage,Table4[[Tonnage Range]:[Tonnage Range]],t_Presses[ha2015.11])</f>
        <v>2704</v>
      </c>
      <c r="O6">
        <f>SUMIF(r_Press_Tonnage,Table4[[Tonnage Range]:[Tonnage Range]],t_Presses[ha2015.12])</f>
        <v>3536</v>
      </c>
      <c r="P6">
        <f>SUMIF(r_Press_Tonnage,Table4[[Tonnage Range]:[Tonnage Range]],t_Presses[ha2015.FY])</f>
        <v>35456</v>
      </c>
      <c r="Q6" s="20">
        <f>SUMIF(r_Press_Tonnage,Table4[[Tonnage Range]:[Tonnage Range]],t_Presses[ha2016.01])</f>
        <v>874</v>
      </c>
      <c r="R6" s="47">
        <f>SUMIF(r_Press_Tonnage,Table4[[Tonnage Range]:[Tonnage Range]],t_Presses[ha2016.02])</f>
        <v>864</v>
      </c>
      <c r="S6" s="47">
        <f>SUMIF(r_Press_Tonnage,Table4[[Tonnage Range]:[Tonnage Range]],t_Presses[ha2016.03])</f>
        <v>1156</v>
      </c>
      <c r="T6" s="47">
        <f>SUMIF(r_Press_Tonnage,Table4[[Tonnage Range]:[Tonnage Range]],t_Presses[ha2016.04])</f>
        <v>874</v>
      </c>
      <c r="U6" s="47">
        <f>SUMIF(r_Press_Tonnage,Table4[[Tonnage Range]:[Tonnage Range]],t_Presses[ha2016.05])</f>
        <v>884</v>
      </c>
      <c r="V6" s="47">
        <f>SUMIF(r_Press_Tonnage,Table4[[Tonnage Range]:[Tonnage Range]],t_Presses[ha2016.06])</f>
        <v>1156</v>
      </c>
      <c r="W6" s="47">
        <f>SUMIF(r_Press_Tonnage,Table4[[Tonnage Range]:[Tonnage Range]],t_Presses[ha2016.07])</f>
        <v>874</v>
      </c>
      <c r="X6" s="47">
        <f>SUMIF(r_Press_Tonnage,Table4[[Tonnage Range]:[Tonnage Range]],t_Presses[ha2016.08])</f>
        <v>884</v>
      </c>
      <c r="Y6" s="47">
        <f>SUMIF(r_Press_Tonnage,Table4[[Tonnage Range]:[Tonnage Range]],t_Presses[ha2016.09])</f>
        <v>1156</v>
      </c>
      <c r="Z6" s="47">
        <f>SUMIF(r_Press_Tonnage,Table4[[Tonnage Range]:[Tonnage Range]],t_Presses[ha2016.10])</f>
        <v>874</v>
      </c>
      <c r="AA6" s="47">
        <f>SUMIF(r_Press_Tonnage,Table4[[Tonnage Range]:[Tonnage Range]],t_Presses[ha2016.11])</f>
        <v>844</v>
      </c>
      <c r="AB6" s="47">
        <f>SUMIF(r_Press_Tonnage,Table4[[Tonnage Range]:[Tonnage Range]],t_Presses[ha2016.12])</f>
        <v>1116</v>
      </c>
      <c r="AC6" s="47">
        <f>SUMIF(r_Press_Tonnage,Table4[[Tonnage Range]:[Tonnage Range]],t_Presses[ha2016.FY])</f>
        <v>11556</v>
      </c>
      <c r="AD6" s="47">
        <f>SUMIF(r_Press_Tonnage,Table4[[Tonnage Range]:[Tonnage Range]],t_Presses[ha2017])</f>
        <v>11556</v>
      </c>
      <c r="AE6" s="47">
        <f>SUMIF(r_Press_Tonnage,Table4[[Tonnage Range]:[Tonnage Range]],t_Presses[ha2018])</f>
        <v>11556</v>
      </c>
      <c r="AF6" s="47">
        <f>SUMIF(r_Press_Tonnage,Table4[[Tonnage Range]:[Tonnage Range]],t_Presses[ha2019])</f>
        <v>11556</v>
      </c>
      <c r="AG6" s="47">
        <f>SUMIF(r_Press_Tonnage,Table4[[Tonnage Range]:[Tonnage Range]],t_Presses[hp2015.01])</f>
        <v>0</v>
      </c>
      <c r="AH6" s="47">
        <f>SUMIF(r_Press_Tonnage,Table4[[Tonnage Range]:[Tonnage Range]],t_Presses[hp2015.02])</f>
        <v>0</v>
      </c>
      <c r="AI6" s="47">
        <f>SUMIF(r_Press_Tonnage,Table4[[Tonnage Range]:[Tonnage Range]],t_Presses[hp2015.03])</f>
        <v>0</v>
      </c>
      <c r="AJ6" s="47">
        <f>SUMIF(r_Press_Tonnage,Table4[[Tonnage Range]:[Tonnage Range]],t_Presses[hp2015.04])</f>
        <v>0</v>
      </c>
      <c r="AK6" s="47">
        <f>SUMIF(r_Press_Tonnage,Table4[[Tonnage Range]:[Tonnage Range]],t_Presses[hp2015.05])</f>
        <v>0</v>
      </c>
      <c r="AL6" s="47">
        <f>SUMIF(r_Press_Tonnage,Table4[[Tonnage Range]:[Tonnage Range]],t_Presses[hp2015.06])</f>
        <v>0</v>
      </c>
      <c r="AM6" s="47">
        <f>SUMIF(r_Press_Tonnage,Table4[[Tonnage Range]:[Tonnage Range]],t_Presses[hp2015.07])</f>
        <v>0</v>
      </c>
      <c r="AN6" s="47">
        <f>SUMIF(r_Press_Tonnage,Table4[[Tonnage Range]:[Tonnage Range]],t_Presses[hp2015.08])</f>
        <v>0</v>
      </c>
      <c r="AO6" s="47">
        <f>SUMIF(r_Press_Tonnage,Table4[[Tonnage Range]:[Tonnage Range]],t_Presses[hp2015.09])</f>
        <v>0</v>
      </c>
      <c r="AP6" s="47">
        <f>SUMIF(r_Press_Tonnage,Table4[[Tonnage Range]:[Tonnage Range]],t_Presses[hp2015.10])</f>
        <v>0</v>
      </c>
      <c r="AQ6" s="47">
        <f>SUMIF(r_Press_Tonnage,Table4[[Tonnage Range]:[Tonnage Range]],t_Presses[hp2015.11])</f>
        <v>0</v>
      </c>
      <c r="AR6" s="47">
        <f>SUMIF(r_Press_Tonnage,Table4[[Tonnage Range]:[Tonnage Range]],t_Presses[hp2015.12])</f>
        <v>0</v>
      </c>
      <c r="AS6" s="47">
        <f>SUM(Table4[[#This Row],[hp2015.01]:[hp2015.12]])</f>
        <v>0</v>
      </c>
      <c r="AT6" s="47">
        <f>SUMIF(r_Press_Tonnage,Table4[[Tonnage Range]:[Tonnage Range]],t_Presses[hp2016.01])</f>
        <v>0</v>
      </c>
      <c r="AU6" s="47">
        <f>SUMIF(r_Press_Tonnage,Table4[[Tonnage Range]:[Tonnage Range]],t_Presses[hp2016.02])</f>
        <v>0</v>
      </c>
      <c r="AV6" s="47">
        <f>SUMIF(r_Press_Tonnage,Table4[[Tonnage Range]:[Tonnage Range]],t_Presses[hp2016.03])</f>
        <v>0</v>
      </c>
      <c r="AW6" s="47">
        <f>SUMIF(r_Press_Tonnage,Table4[[Tonnage Range]:[Tonnage Range]],t_Presses[hp2016.04])</f>
        <v>0</v>
      </c>
      <c r="AX6" s="47">
        <f>SUMIF(r_Press_Tonnage,Table4[[Tonnage Range]:[Tonnage Range]],t_Presses[hp2016.05])</f>
        <v>0</v>
      </c>
      <c r="AY6" s="47">
        <f>SUMIF(r_Press_Tonnage,Table4[[Tonnage Range]:[Tonnage Range]],t_Presses[hp2016.06])</f>
        <v>0</v>
      </c>
      <c r="AZ6" s="47">
        <f>SUMIF(r_Press_Tonnage,Table4[[Tonnage Range]:[Tonnage Range]],t_Presses[hp2016.07])</f>
        <v>0</v>
      </c>
      <c r="BA6" s="47">
        <f>SUMIF(r_Press_Tonnage,Table4[[Tonnage Range]:[Tonnage Range]],t_Presses[hp2016.08])</f>
        <v>0</v>
      </c>
      <c r="BB6" s="47">
        <f>SUMIF(r_Press_Tonnage,Table4[[Tonnage Range]:[Tonnage Range]],t_Presses[hp2016.09])</f>
        <v>0</v>
      </c>
      <c r="BC6" s="47">
        <f>SUMIF(r_Press_Tonnage,Table4[[Tonnage Range]:[Tonnage Range]],t_Presses[hp2016.10])</f>
        <v>0</v>
      </c>
      <c r="BD6" s="47">
        <f>SUMIF(r_Press_Tonnage,Table4[[Tonnage Range]:[Tonnage Range]],t_Presses[hp2016.11])</f>
        <v>0</v>
      </c>
      <c r="BE6" s="47">
        <f>SUMIF(r_Press_Tonnage,Table4[[Tonnage Range]:[Tonnage Range]],t_Presses[hp2016.12])</f>
        <v>0</v>
      </c>
      <c r="BF6" s="47">
        <f>SUMIF(r_Press_Tonnage,Table4[[Tonnage Range]:[Tonnage Range]],t_Presses[hp2016.FY])</f>
        <v>0</v>
      </c>
      <c r="BG6" s="47">
        <f>SUMIF(r_Press_Tonnage,Table4[[Tonnage Range]:[Tonnage Range]],t_Presses[hp2017])</f>
        <v>0</v>
      </c>
      <c r="BH6" s="47">
        <f>SUMIF(r_Press_Tonnage,Table4[[Tonnage Range]:[Tonnage Range]],t_Presses[hp2018])</f>
        <v>0</v>
      </c>
      <c r="BI6" s="47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1" t="str">
        <f>CONCATENATE(FLOOR(v_TRBS*(A7-1),v_TRBS),"-",FLOOR(v_TRBS*(A7-1),v_TRBS)+v_TRBS-1)</f>
        <v>600-899</v>
      </c>
      <c r="C7" s="41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7">
        <f>SUMIF(r_Press_Tonnage,Table4[[Tonnage Range]:[Tonnage Range]],t_Presses[ha2016.02])</f>
        <v>624</v>
      </c>
      <c r="S7" s="47">
        <f>SUMIF(r_Press_Tonnage,Table4[[Tonnage Range]:[Tonnage Range]],t_Presses[ha2016.03])</f>
        <v>816</v>
      </c>
      <c r="T7" s="47">
        <f>SUMIF(r_Press_Tonnage,Table4[[Tonnage Range]:[Tonnage Range]],t_Presses[ha2016.04])</f>
        <v>624</v>
      </c>
      <c r="U7" s="47">
        <f>SUMIF(r_Press_Tonnage,Table4[[Tonnage Range]:[Tonnage Range]],t_Presses[ha2016.05])</f>
        <v>624</v>
      </c>
      <c r="V7" s="47">
        <f>SUMIF(r_Press_Tonnage,Table4[[Tonnage Range]:[Tonnage Range]],t_Presses[ha2016.06])</f>
        <v>816</v>
      </c>
      <c r="W7" s="47">
        <f>SUMIF(r_Press_Tonnage,Table4[[Tonnage Range]:[Tonnage Range]],t_Presses[ha2016.07])</f>
        <v>624</v>
      </c>
      <c r="X7" s="47">
        <f>SUMIF(r_Press_Tonnage,Table4[[Tonnage Range]:[Tonnage Range]],t_Presses[ha2016.08])</f>
        <v>624</v>
      </c>
      <c r="Y7" s="47">
        <f>SUMIF(r_Press_Tonnage,Table4[[Tonnage Range]:[Tonnage Range]],t_Presses[ha2016.09])</f>
        <v>816</v>
      </c>
      <c r="Z7" s="47">
        <f>SUMIF(r_Press_Tonnage,Table4[[Tonnage Range]:[Tonnage Range]],t_Presses[ha2016.10])</f>
        <v>624</v>
      </c>
      <c r="AA7" s="47">
        <f>SUMIF(r_Press_Tonnage,Table4[[Tonnage Range]:[Tonnage Range]],t_Presses[ha2016.11])</f>
        <v>624</v>
      </c>
      <c r="AB7" s="47">
        <f>SUMIF(r_Press_Tonnage,Table4[[Tonnage Range]:[Tonnage Range]],t_Presses[ha2016.12])</f>
        <v>816</v>
      </c>
      <c r="AC7" s="47">
        <f>SUMIF(r_Press_Tonnage,Table4[[Tonnage Range]:[Tonnage Range]],t_Presses[ha2016.FY])</f>
        <v>8256</v>
      </c>
      <c r="AD7" s="47">
        <f>SUMIF(r_Press_Tonnage,Table4[[Tonnage Range]:[Tonnage Range]],t_Presses[ha2017])</f>
        <v>8256</v>
      </c>
      <c r="AE7" s="47">
        <f>SUMIF(r_Press_Tonnage,Table4[[Tonnage Range]:[Tonnage Range]],t_Presses[ha2018])</f>
        <v>8256</v>
      </c>
      <c r="AF7" s="47">
        <f>SUMIF(r_Press_Tonnage,Table4[[Tonnage Range]:[Tonnage Range]],t_Presses[ha2019])</f>
        <v>8256</v>
      </c>
      <c r="AG7" s="47">
        <f>SUMIF(r_Press_Tonnage,Table4[[Tonnage Range]:[Tonnage Range]],t_Presses[hp2015.01])</f>
        <v>0</v>
      </c>
      <c r="AH7" s="47">
        <f>SUMIF(r_Press_Tonnage,Table4[[Tonnage Range]:[Tonnage Range]],t_Presses[hp2015.02])</f>
        <v>0</v>
      </c>
      <c r="AI7" s="47">
        <f>SUMIF(r_Press_Tonnage,Table4[[Tonnage Range]:[Tonnage Range]],t_Presses[hp2015.03])</f>
        <v>0</v>
      </c>
      <c r="AJ7" s="47">
        <f>SUMIF(r_Press_Tonnage,Table4[[Tonnage Range]:[Tonnage Range]],t_Presses[hp2015.04])</f>
        <v>0</v>
      </c>
      <c r="AK7" s="47">
        <f>SUMIF(r_Press_Tonnage,Table4[[Tonnage Range]:[Tonnage Range]],t_Presses[hp2015.05])</f>
        <v>0</v>
      </c>
      <c r="AL7" s="47">
        <f>SUMIF(r_Press_Tonnage,Table4[[Tonnage Range]:[Tonnage Range]],t_Presses[hp2015.06])</f>
        <v>0</v>
      </c>
      <c r="AM7" s="47">
        <f>SUMIF(r_Press_Tonnage,Table4[[Tonnage Range]:[Tonnage Range]],t_Presses[hp2015.07])</f>
        <v>0</v>
      </c>
      <c r="AN7" s="47">
        <f>SUMIF(r_Press_Tonnage,Table4[[Tonnage Range]:[Tonnage Range]],t_Presses[hp2015.08])</f>
        <v>0</v>
      </c>
      <c r="AO7" s="47">
        <f>SUMIF(r_Press_Tonnage,Table4[[Tonnage Range]:[Tonnage Range]],t_Presses[hp2015.09])</f>
        <v>0</v>
      </c>
      <c r="AP7" s="47">
        <f>SUMIF(r_Press_Tonnage,Table4[[Tonnage Range]:[Tonnage Range]],t_Presses[hp2015.10])</f>
        <v>0</v>
      </c>
      <c r="AQ7" s="47">
        <f>SUMIF(r_Press_Tonnage,Table4[[Tonnage Range]:[Tonnage Range]],t_Presses[hp2015.11])</f>
        <v>0</v>
      </c>
      <c r="AR7" s="47">
        <f>SUMIF(r_Press_Tonnage,Table4[[Tonnage Range]:[Tonnage Range]],t_Presses[hp2015.12])</f>
        <v>0</v>
      </c>
      <c r="AS7" s="47">
        <f>SUM(Table4[[#This Row],[hp2015.01]:[hp2015.12]])</f>
        <v>0</v>
      </c>
      <c r="AT7" s="47">
        <f>SUMIF(r_Press_Tonnage,Table4[[Tonnage Range]:[Tonnage Range]],t_Presses[hp2016.01])</f>
        <v>0</v>
      </c>
      <c r="AU7" s="47">
        <f>SUMIF(r_Press_Tonnage,Table4[[Tonnage Range]:[Tonnage Range]],t_Presses[hp2016.02])</f>
        <v>0</v>
      </c>
      <c r="AV7" s="47">
        <f>SUMIF(r_Press_Tonnage,Table4[[Tonnage Range]:[Tonnage Range]],t_Presses[hp2016.03])</f>
        <v>0</v>
      </c>
      <c r="AW7" s="47">
        <f>SUMIF(r_Press_Tonnage,Table4[[Tonnage Range]:[Tonnage Range]],t_Presses[hp2016.04])</f>
        <v>0</v>
      </c>
      <c r="AX7" s="47">
        <f>SUMIF(r_Press_Tonnage,Table4[[Tonnage Range]:[Tonnage Range]],t_Presses[hp2016.05])</f>
        <v>0</v>
      </c>
      <c r="AY7" s="47">
        <f>SUMIF(r_Press_Tonnage,Table4[[Tonnage Range]:[Tonnage Range]],t_Presses[hp2016.06])</f>
        <v>0</v>
      </c>
      <c r="AZ7" s="47">
        <f>SUMIF(r_Press_Tonnage,Table4[[Tonnage Range]:[Tonnage Range]],t_Presses[hp2016.07])</f>
        <v>0</v>
      </c>
      <c r="BA7" s="47">
        <f>SUMIF(r_Press_Tonnage,Table4[[Tonnage Range]:[Tonnage Range]],t_Presses[hp2016.08])</f>
        <v>0</v>
      </c>
      <c r="BB7" s="47">
        <f>SUMIF(r_Press_Tonnage,Table4[[Tonnage Range]:[Tonnage Range]],t_Presses[hp2016.09])</f>
        <v>0</v>
      </c>
      <c r="BC7" s="47">
        <f>SUMIF(r_Press_Tonnage,Table4[[Tonnage Range]:[Tonnage Range]],t_Presses[hp2016.10])</f>
        <v>0</v>
      </c>
      <c r="BD7" s="47">
        <f>SUMIF(r_Press_Tonnage,Table4[[Tonnage Range]:[Tonnage Range]],t_Presses[hp2016.11])</f>
        <v>0</v>
      </c>
      <c r="BE7" s="47">
        <f>SUMIF(r_Press_Tonnage,Table4[[Tonnage Range]:[Tonnage Range]],t_Presses[hp2016.12])</f>
        <v>0</v>
      </c>
      <c r="BF7" s="47">
        <f>SUMIF(r_Press_Tonnage,Table4[[Tonnage Range]:[Tonnage Range]],t_Presses[hp2016.FY])</f>
        <v>0</v>
      </c>
      <c r="BG7" s="47">
        <f>SUMIF(r_Press_Tonnage,Table4[[Tonnage Range]:[Tonnage Range]],t_Presses[hp2017])</f>
        <v>0</v>
      </c>
      <c r="BH7" s="47">
        <f>SUMIF(r_Press_Tonnage,Table4[[Tonnage Range]:[Tonnage Range]],t_Presses[hp2018])</f>
        <v>0</v>
      </c>
      <c r="BI7" s="47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1" t="str">
        <f>CONCATENATE(FLOOR(v_TRBS*(A8-1),v_TRBS),"-",FLOOR(v_TRBS*(A8-1),v_TRBS)+v_TRBS-1)</f>
        <v>900-1199</v>
      </c>
      <c r="C8" s="41">
        <f>COUNTIF(r_Press_Tonnage,Table4[[Tonnage Range]:[Tonnage Range]])</f>
        <v>4</v>
      </c>
      <c r="D8">
        <f>SUMIF(r_Press_Tonnage,Table4[[Tonnage Range]:[Tonnage Range]],t_Presses[ha2015.01])</f>
        <v>874</v>
      </c>
      <c r="E8">
        <f>SUMIF(r_Press_Tonnage,Table4[[Tonnage Range]:[Tonnage Range]],t_Presses[ha2015.02])</f>
        <v>884</v>
      </c>
      <c r="F8">
        <f>SUMIF(r_Press_Tonnage,Table4[[Tonnage Range]:[Tonnage Range]],t_Presses[ha2015.03])</f>
        <v>1156</v>
      </c>
      <c r="G8">
        <f>SUMIF(r_Press_Tonnage,Table4[[Tonnage Range]:[Tonnage Range]],t_Presses[ha2015.04])</f>
        <v>874</v>
      </c>
      <c r="H8">
        <f>SUMIF(r_Press_Tonnage,Table4[[Tonnage Range]:[Tonnage Range]],t_Presses[ha2015.05])</f>
        <v>884</v>
      </c>
      <c r="I8">
        <f>SUMIF(r_Press_Tonnage,Table4[[Tonnage Range]:[Tonnage Range]],t_Presses[ha2015.06])</f>
        <v>1156</v>
      </c>
      <c r="J8">
        <f>SUMIF(r_Press_Tonnage,Table4[[Tonnage Range]:[Tonnage Range]],t_Presses[ha2015.07])</f>
        <v>874</v>
      </c>
      <c r="K8">
        <f>SUMIF(r_Press_Tonnage,Table4[[Tonnage Range]:[Tonnage Range]],t_Presses[ha2015.08])</f>
        <v>884</v>
      </c>
      <c r="L8">
        <f>SUMIF(r_Press_Tonnage,Table4[[Tonnage Range]:[Tonnage Range]],t_Presses[ha2015.09])</f>
        <v>1156</v>
      </c>
      <c r="M8">
        <f>SUMIF(r_Press_Tonnage,Table4[[Tonnage Range]:[Tonnage Range]],t_Presses[ha2015.10])</f>
        <v>874</v>
      </c>
      <c r="N8">
        <f>SUMIF(r_Press_Tonnage,Table4[[Tonnage Range]:[Tonnage Range]],t_Presses[ha2015.11])</f>
        <v>884</v>
      </c>
      <c r="O8">
        <f>SUMIF(r_Press_Tonnage,Table4[[Tonnage Range]:[Tonnage Range]],t_Presses[ha2015.12])</f>
        <v>1156</v>
      </c>
      <c r="P8">
        <f>SUMIF(r_Press_Tonnage,Table4[[Tonnage Range]:[Tonnage Range]],t_Presses[ha2015.FY])</f>
        <v>11656</v>
      </c>
      <c r="Q8" s="20">
        <f>SUMIF(r_Press_Tonnage,Table4[[Tonnage Range]:[Tonnage Range]],t_Presses[ha2016.01])</f>
        <v>874</v>
      </c>
      <c r="R8" s="47">
        <f>SUMIF(r_Press_Tonnage,Table4[[Tonnage Range]:[Tonnage Range]],t_Presses[ha2016.02])</f>
        <v>864</v>
      </c>
      <c r="S8" s="47">
        <f>SUMIF(r_Press_Tonnage,Table4[[Tonnage Range]:[Tonnage Range]],t_Presses[ha2016.03])</f>
        <v>1156</v>
      </c>
      <c r="T8" s="47">
        <f>SUMIF(r_Press_Tonnage,Table4[[Tonnage Range]:[Tonnage Range]],t_Presses[ha2016.04])</f>
        <v>874</v>
      </c>
      <c r="U8" s="47">
        <f>SUMIF(r_Press_Tonnage,Table4[[Tonnage Range]:[Tonnage Range]],t_Presses[ha2016.05])</f>
        <v>884</v>
      </c>
      <c r="V8" s="47">
        <f>SUMIF(r_Press_Tonnage,Table4[[Tonnage Range]:[Tonnage Range]],t_Presses[ha2016.06])</f>
        <v>1156</v>
      </c>
      <c r="W8" s="47">
        <f>SUMIF(r_Press_Tonnage,Table4[[Tonnage Range]:[Tonnage Range]],t_Presses[ha2016.07])</f>
        <v>874</v>
      </c>
      <c r="X8" s="47">
        <f>SUMIF(r_Press_Tonnage,Table4[[Tonnage Range]:[Tonnage Range]],t_Presses[ha2016.08])</f>
        <v>884</v>
      </c>
      <c r="Y8" s="47">
        <f>SUMIF(r_Press_Tonnage,Table4[[Tonnage Range]:[Tonnage Range]],t_Presses[ha2016.09])</f>
        <v>1156</v>
      </c>
      <c r="Z8" s="47">
        <f>SUMIF(r_Press_Tonnage,Table4[[Tonnage Range]:[Tonnage Range]],t_Presses[ha2016.10])</f>
        <v>874</v>
      </c>
      <c r="AA8" s="47">
        <f>SUMIF(r_Press_Tonnage,Table4[[Tonnage Range]:[Tonnage Range]],t_Presses[ha2016.11])</f>
        <v>844</v>
      </c>
      <c r="AB8" s="47">
        <f>SUMIF(r_Press_Tonnage,Table4[[Tonnage Range]:[Tonnage Range]],t_Presses[ha2016.12])</f>
        <v>1116</v>
      </c>
      <c r="AC8" s="47">
        <f>SUMIF(r_Press_Tonnage,Table4[[Tonnage Range]:[Tonnage Range]],t_Presses[ha2016.FY])</f>
        <v>11556</v>
      </c>
      <c r="AD8" s="47">
        <f>SUMIF(r_Press_Tonnage,Table4[[Tonnage Range]:[Tonnage Range]],t_Presses[ha2017])</f>
        <v>11556</v>
      </c>
      <c r="AE8" s="47">
        <f>SUMIF(r_Press_Tonnage,Table4[[Tonnage Range]:[Tonnage Range]],t_Presses[ha2018])</f>
        <v>11556</v>
      </c>
      <c r="AF8" s="47">
        <f>SUMIF(r_Press_Tonnage,Table4[[Tonnage Range]:[Tonnage Range]],t_Presses[ha2019])</f>
        <v>11556</v>
      </c>
      <c r="AG8" s="47">
        <f>SUMIF(r_Press_Tonnage,Table4[[Tonnage Range]:[Tonnage Range]],t_Presses[hp2015.01])</f>
        <v>0</v>
      </c>
      <c r="AH8" s="47">
        <f>SUMIF(r_Press_Tonnage,Table4[[Tonnage Range]:[Tonnage Range]],t_Presses[hp2015.02])</f>
        <v>0</v>
      </c>
      <c r="AI8" s="47">
        <f>SUMIF(r_Press_Tonnage,Table4[[Tonnage Range]:[Tonnage Range]],t_Presses[hp2015.03])</f>
        <v>0</v>
      </c>
      <c r="AJ8" s="47">
        <f>SUMIF(r_Press_Tonnage,Table4[[Tonnage Range]:[Tonnage Range]],t_Presses[hp2015.04])</f>
        <v>0</v>
      </c>
      <c r="AK8" s="47">
        <f>SUMIF(r_Press_Tonnage,Table4[[Tonnage Range]:[Tonnage Range]],t_Presses[hp2015.05])</f>
        <v>0</v>
      </c>
      <c r="AL8" s="47">
        <f>SUMIF(r_Press_Tonnage,Table4[[Tonnage Range]:[Tonnage Range]],t_Presses[hp2015.06])</f>
        <v>0</v>
      </c>
      <c r="AM8" s="47">
        <f>SUMIF(r_Press_Tonnage,Table4[[Tonnage Range]:[Tonnage Range]],t_Presses[hp2015.07])</f>
        <v>0</v>
      </c>
      <c r="AN8" s="47">
        <f>SUMIF(r_Press_Tonnage,Table4[[Tonnage Range]:[Tonnage Range]],t_Presses[hp2015.08])</f>
        <v>0</v>
      </c>
      <c r="AO8" s="47">
        <f>SUMIF(r_Press_Tonnage,Table4[[Tonnage Range]:[Tonnage Range]],t_Presses[hp2015.09])</f>
        <v>0</v>
      </c>
      <c r="AP8" s="47">
        <f>SUMIF(r_Press_Tonnage,Table4[[Tonnage Range]:[Tonnage Range]],t_Presses[hp2015.10])</f>
        <v>0</v>
      </c>
      <c r="AQ8" s="47">
        <f>SUMIF(r_Press_Tonnage,Table4[[Tonnage Range]:[Tonnage Range]],t_Presses[hp2015.11])</f>
        <v>0</v>
      </c>
      <c r="AR8" s="47">
        <f>SUMIF(r_Press_Tonnage,Table4[[Tonnage Range]:[Tonnage Range]],t_Presses[hp2015.12])</f>
        <v>0</v>
      </c>
      <c r="AS8" s="47">
        <f>SUM(Table4[[#This Row],[hp2015.01]:[hp2015.12]])</f>
        <v>0</v>
      </c>
      <c r="AT8" s="47">
        <f>SUMIF(r_Press_Tonnage,Table4[[Tonnage Range]:[Tonnage Range]],t_Presses[hp2016.01])</f>
        <v>0</v>
      </c>
      <c r="AU8" s="47">
        <f>SUMIF(r_Press_Tonnage,Table4[[Tonnage Range]:[Tonnage Range]],t_Presses[hp2016.02])</f>
        <v>0</v>
      </c>
      <c r="AV8" s="47">
        <f>SUMIF(r_Press_Tonnage,Table4[[Tonnage Range]:[Tonnage Range]],t_Presses[hp2016.03])</f>
        <v>0</v>
      </c>
      <c r="AW8" s="47">
        <f>SUMIF(r_Press_Tonnage,Table4[[Tonnage Range]:[Tonnage Range]],t_Presses[hp2016.04])</f>
        <v>0</v>
      </c>
      <c r="AX8" s="47">
        <f>SUMIF(r_Press_Tonnage,Table4[[Tonnage Range]:[Tonnage Range]],t_Presses[hp2016.05])</f>
        <v>0</v>
      </c>
      <c r="AY8" s="47">
        <f>SUMIF(r_Press_Tonnage,Table4[[Tonnage Range]:[Tonnage Range]],t_Presses[hp2016.06])</f>
        <v>0</v>
      </c>
      <c r="AZ8" s="47">
        <f>SUMIF(r_Press_Tonnage,Table4[[Tonnage Range]:[Tonnage Range]],t_Presses[hp2016.07])</f>
        <v>0</v>
      </c>
      <c r="BA8" s="47">
        <f>SUMIF(r_Press_Tonnage,Table4[[Tonnage Range]:[Tonnage Range]],t_Presses[hp2016.08])</f>
        <v>0</v>
      </c>
      <c r="BB8" s="47">
        <f>SUMIF(r_Press_Tonnage,Table4[[Tonnage Range]:[Tonnage Range]],t_Presses[hp2016.09])</f>
        <v>0</v>
      </c>
      <c r="BC8" s="47">
        <f>SUMIF(r_Press_Tonnage,Table4[[Tonnage Range]:[Tonnage Range]],t_Presses[hp2016.10])</f>
        <v>0</v>
      </c>
      <c r="BD8" s="47">
        <f>SUMIF(r_Press_Tonnage,Table4[[Tonnage Range]:[Tonnage Range]],t_Presses[hp2016.11])</f>
        <v>0</v>
      </c>
      <c r="BE8" s="47">
        <f>SUMIF(r_Press_Tonnage,Table4[[Tonnage Range]:[Tonnage Range]],t_Presses[hp2016.12])</f>
        <v>0</v>
      </c>
      <c r="BF8" s="47">
        <f>SUMIF(r_Press_Tonnage,Table4[[Tonnage Range]:[Tonnage Range]],t_Presses[hp2016.FY])</f>
        <v>0</v>
      </c>
      <c r="BG8" s="47">
        <f>SUMIF(r_Press_Tonnage,Table4[[Tonnage Range]:[Tonnage Range]],t_Presses[hp2017])</f>
        <v>0</v>
      </c>
      <c r="BH8" s="47">
        <f>SUMIF(r_Press_Tonnage,Table4[[Tonnage Range]:[Tonnage Range]],t_Presses[hp2018])</f>
        <v>0</v>
      </c>
      <c r="BI8" s="47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1" t="str">
        <f>CONCATENATE(FLOOR(v_TRBS*(A9-1),v_TRBS),"-",FLOOR(v_TRBS*(A9-1),v_TRBS)+v_TRBS-1)</f>
        <v>1200-1499</v>
      </c>
      <c r="C9" s="41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7">
        <f>SUMIF(r_Press_Tonnage,Table4[[Tonnage Range]:[Tonnage Range]],t_Presses[ha2016.02])</f>
        <v>0</v>
      </c>
      <c r="S9" s="47">
        <f>SUMIF(r_Press_Tonnage,Table4[[Tonnage Range]:[Tonnage Range]],t_Presses[ha2016.03])</f>
        <v>0</v>
      </c>
      <c r="T9" s="47">
        <f>SUMIF(r_Press_Tonnage,Table4[[Tonnage Range]:[Tonnage Range]],t_Presses[ha2016.04])</f>
        <v>0</v>
      </c>
      <c r="U9" s="47">
        <f>SUMIF(r_Press_Tonnage,Table4[[Tonnage Range]:[Tonnage Range]],t_Presses[ha2016.05])</f>
        <v>0</v>
      </c>
      <c r="V9" s="47">
        <f>SUMIF(r_Press_Tonnage,Table4[[Tonnage Range]:[Tonnage Range]],t_Presses[ha2016.06])</f>
        <v>0</v>
      </c>
      <c r="W9" s="47">
        <f>SUMIF(r_Press_Tonnage,Table4[[Tonnage Range]:[Tonnage Range]],t_Presses[ha2016.07])</f>
        <v>0</v>
      </c>
      <c r="X9" s="47">
        <f>SUMIF(r_Press_Tonnage,Table4[[Tonnage Range]:[Tonnage Range]],t_Presses[ha2016.08])</f>
        <v>0</v>
      </c>
      <c r="Y9" s="47">
        <f>SUMIF(r_Press_Tonnage,Table4[[Tonnage Range]:[Tonnage Range]],t_Presses[ha2016.09])</f>
        <v>0</v>
      </c>
      <c r="Z9" s="47">
        <f>SUMIF(r_Press_Tonnage,Table4[[Tonnage Range]:[Tonnage Range]],t_Presses[ha2016.10])</f>
        <v>0</v>
      </c>
      <c r="AA9" s="47">
        <f>SUMIF(r_Press_Tonnage,Table4[[Tonnage Range]:[Tonnage Range]],t_Presses[ha2016.11])</f>
        <v>0</v>
      </c>
      <c r="AB9" s="47">
        <f>SUMIF(r_Press_Tonnage,Table4[[Tonnage Range]:[Tonnage Range]],t_Presses[ha2016.12])</f>
        <v>0</v>
      </c>
      <c r="AC9" s="47">
        <f>SUMIF(r_Press_Tonnage,Table4[[Tonnage Range]:[Tonnage Range]],t_Presses[ha2016.FY])</f>
        <v>0</v>
      </c>
      <c r="AD9" s="47">
        <f>SUMIF(r_Press_Tonnage,Table4[[Tonnage Range]:[Tonnage Range]],t_Presses[ha2017])</f>
        <v>0</v>
      </c>
      <c r="AE9" s="47">
        <f>SUMIF(r_Press_Tonnage,Table4[[Tonnage Range]:[Tonnage Range]],t_Presses[ha2018])</f>
        <v>0</v>
      </c>
      <c r="AF9" s="47">
        <f>SUMIF(r_Press_Tonnage,Table4[[Tonnage Range]:[Tonnage Range]],t_Presses[ha2019])</f>
        <v>0</v>
      </c>
      <c r="AG9" s="47">
        <f>SUMIF(r_Press_Tonnage,Table4[[Tonnage Range]:[Tonnage Range]],t_Presses[hp2015.01])</f>
        <v>0</v>
      </c>
      <c r="AH9" s="47">
        <f>SUMIF(r_Press_Tonnage,Table4[[Tonnage Range]:[Tonnage Range]],t_Presses[hp2015.02])</f>
        <v>0</v>
      </c>
      <c r="AI9" s="47">
        <f>SUMIF(r_Press_Tonnage,Table4[[Tonnage Range]:[Tonnage Range]],t_Presses[hp2015.03])</f>
        <v>0</v>
      </c>
      <c r="AJ9" s="47">
        <f>SUMIF(r_Press_Tonnage,Table4[[Tonnage Range]:[Tonnage Range]],t_Presses[hp2015.04])</f>
        <v>0</v>
      </c>
      <c r="AK9" s="47">
        <f>SUMIF(r_Press_Tonnage,Table4[[Tonnage Range]:[Tonnage Range]],t_Presses[hp2015.05])</f>
        <v>0</v>
      </c>
      <c r="AL9" s="47">
        <f>SUMIF(r_Press_Tonnage,Table4[[Tonnage Range]:[Tonnage Range]],t_Presses[hp2015.06])</f>
        <v>0</v>
      </c>
      <c r="AM9" s="47">
        <f>SUMIF(r_Press_Tonnage,Table4[[Tonnage Range]:[Tonnage Range]],t_Presses[hp2015.07])</f>
        <v>0</v>
      </c>
      <c r="AN9" s="47">
        <f>SUMIF(r_Press_Tonnage,Table4[[Tonnage Range]:[Tonnage Range]],t_Presses[hp2015.08])</f>
        <v>0</v>
      </c>
      <c r="AO9" s="47">
        <f>SUMIF(r_Press_Tonnage,Table4[[Tonnage Range]:[Tonnage Range]],t_Presses[hp2015.09])</f>
        <v>0</v>
      </c>
      <c r="AP9" s="47">
        <f>SUMIF(r_Press_Tonnage,Table4[[Tonnage Range]:[Tonnage Range]],t_Presses[hp2015.10])</f>
        <v>0</v>
      </c>
      <c r="AQ9" s="47">
        <f>SUMIF(r_Press_Tonnage,Table4[[Tonnage Range]:[Tonnage Range]],t_Presses[hp2015.11])</f>
        <v>0</v>
      </c>
      <c r="AR9" s="47">
        <f>SUMIF(r_Press_Tonnage,Table4[[Tonnage Range]:[Tonnage Range]],t_Presses[hp2015.12])</f>
        <v>0</v>
      </c>
      <c r="AS9" s="47">
        <f>SUM(Table4[[#This Row],[hp2015.01]:[hp2015.12]])</f>
        <v>0</v>
      </c>
      <c r="AT9" s="47">
        <f>SUMIF(r_Press_Tonnage,Table4[[Tonnage Range]:[Tonnage Range]],t_Presses[hp2016.01])</f>
        <v>0</v>
      </c>
      <c r="AU9" s="47">
        <f>SUMIF(r_Press_Tonnage,Table4[[Tonnage Range]:[Tonnage Range]],t_Presses[hp2016.02])</f>
        <v>0</v>
      </c>
      <c r="AV9" s="47">
        <f>SUMIF(r_Press_Tonnage,Table4[[Tonnage Range]:[Tonnage Range]],t_Presses[hp2016.03])</f>
        <v>0</v>
      </c>
      <c r="AW9" s="47">
        <f>SUMIF(r_Press_Tonnage,Table4[[Tonnage Range]:[Tonnage Range]],t_Presses[hp2016.04])</f>
        <v>0</v>
      </c>
      <c r="AX9" s="47">
        <f>SUMIF(r_Press_Tonnage,Table4[[Tonnage Range]:[Tonnage Range]],t_Presses[hp2016.05])</f>
        <v>0</v>
      </c>
      <c r="AY9" s="47">
        <f>SUMIF(r_Press_Tonnage,Table4[[Tonnage Range]:[Tonnage Range]],t_Presses[hp2016.06])</f>
        <v>0</v>
      </c>
      <c r="AZ9" s="47">
        <f>SUMIF(r_Press_Tonnage,Table4[[Tonnage Range]:[Tonnage Range]],t_Presses[hp2016.07])</f>
        <v>0</v>
      </c>
      <c r="BA9" s="47">
        <f>SUMIF(r_Press_Tonnage,Table4[[Tonnage Range]:[Tonnage Range]],t_Presses[hp2016.08])</f>
        <v>0</v>
      </c>
      <c r="BB9" s="47">
        <f>SUMIF(r_Press_Tonnage,Table4[[Tonnage Range]:[Tonnage Range]],t_Presses[hp2016.09])</f>
        <v>0</v>
      </c>
      <c r="BC9" s="47">
        <f>SUMIF(r_Press_Tonnage,Table4[[Tonnage Range]:[Tonnage Range]],t_Presses[hp2016.10])</f>
        <v>0</v>
      </c>
      <c r="BD9" s="47">
        <f>SUMIF(r_Press_Tonnage,Table4[[Tonnage Range]:[Tonnage Range]],t_Presses[hp2016.11])</f>
        <v>0</v>
      </c>
      <c r="BE9" s="47">
        <f>SUMIF(r_Press_Tonnage,Table4[[Tonnage Range]:[Tonnage Range]],t_Presses[hp2016.12])</f>
        <v>0</v>
      </c>
      <c r="BF9" s="47">
        <f>SUMIF(r_Press_Tonnage,Table4[[Tonnage Range]:[Tonnage Range]],t_Presses[hp2016.FY])</f>
        <v>0</v>
      </c>
      <c r="BG9" s="47">
        <f>SUMIF(r_Press_Tonnage,Table4[[Tonnage Range]:[Tonnage Range]],t_Presses[hp2017])</f>
        <v>0</v>
      </c>
      <c r="BH9" s="47">
        <f>SUMIF(r_Press_Tonnage,Table4[[Tonnage Range]:[Tonnage Range]],t_Presses[hp2018])</f>
        <v>0</v>
      </c>
      <c r="BI9" s="47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BL5" activePane="bottomRight" state="frozen"/>
      <selection pane="topRight" activeCell="C1" sqref="C1"/>
      <selection pane="bottomLeft" activeCell="A4" sqref="A4"/>
      <selection pane="bottomRight" activeCell="B8" sqref="B8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hidden="1" customHeight="1" x14ac:dyDescent="0.25"/>
    <row r="3" spans="1:93" x14ac:dyDescent="0.25">
      <c r="A3" s="36" t="s">
        <v>176</v>
      </c>
      <c r="B3" s="13"/>
      <c r="C3" s="13"/>
      <c r="D3" s="13"/>
      <c r="E3" s="38" t="s">
        <v>164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8" t="s">
        <v>54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 t="s">
        <v>54</v>
      </c>
      <c r="AJ3" s="1" t="s">
        <v>189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49" t="s">
        <v>175</v>
      </c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 t="s">
        <v>99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0" t="s">
        <v>436</v>
      </c>
      <c r="BZ3" s="50"/>
      <c r="CA3" s="50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437</v>
      </c>
      <c r="CM3" s="2"/>
      <c r="CN3" s="2"/>
      <c r="CO3" s="50" t="s">
        <v>174</v>
      </c>
    </row>
    <row r="4" spans="1:93" x14ac:dyDescent="0.25">
      <c r="A4" s="37" t="s">
        <v>0</v>
      </c>
      <c r="B4" s="7" t="s">
        <v>38</v>
      </c>
      <c r="C4" s="7" t="s">
        <v>124</v>
      </c>
      <c r="D4" s="7" t="s">
        <v>2</v>
      </c>
      <c r="E4" t="s">
        <v>288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372</v>
      </c>
      <c r="U4" s="10" t="s">
        <v>373</v>
      </c>
      <c r="V4" s="10" t="s">
        <v>374</v>
      </c>
      <c r="W4" s="10" t="s">
        <v>375</v>
      </c>
      <c r="X4" s="10" t="s">
        <v>376</v>
      </c>
      <c r="Y4" s="10" t="s">
        <v>377</v>
      </c>
      <c r="Z4" s="10" t="s">
        <v>378</v>
      </c>
      <c r="AA4" s="10" t="s">
        <v>379</v>
      </c>
      <c r="AB4" s="10" t="s">
        <v>380</v>
      </c>
      <c r="AC4" s="10" t="s">
        <v>381</v>
      </c>
      <c r="AD4" s="10" t="s">
        <v>382</v>
      </c>
      <c r="AE4" s="10" t="s">
        <v>383</v>
      </c>
      <c r="AF4" s="10" t="s">
        <v>384</v>
      </c>
      <c r="AG4" s="10" t="s">
        <v>385</v>
      </c>
      <c r="AH4" s="10" t="s">
        <v>386</v>
      </c>
      <c r="AI4" s="10" t="s">
        <v>403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387</v>
      </c>
      <c r="AX4" s="1" t="s">
        <v>388</v>
      </c>
      <c r="AY4" s="1" t="s">
        <v>389</v>
      </c>
      <c r="AZ4" s="1" t="s">
        <v>390</v>
      </c>
      <c r="BA4" s="1" t="s">
        <v>391</v>
      </c>
      <c r="BB4" s="1" t="s">
        <v>392</v>
      </c>
      <c r="BC4" s="1" t="s">
        <v>393</v>
      </c>
      <c r="BD4" s="1" t="s">
        <v>394</v>
      </c>
      <c r="BE4" s="1" t="s">
        <v>395</v>
      </c>
      <c r="BF4" s="1" t="s">
        <v>396</v>
      </c>
      <c r="BG4" s="1" t="s">
        <v>397</v>
      </c>
      <c r="BH4" s="1" t="s">
        <v>398</v>
      </c>
      <c r="BI4" s="1" t="s">
        <v>399</v>
      </c>
      <c r="BJ4" s="1" t="s">
        <v>400</v>
      </c>
      <c r="BK4" s="1" t="s">
        <v>401</v>
      </c>
      <c r="BL4" s="1" t="s">
        <v>402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98</v>
      </c>
      <c r="BW4" s="2" t="s">
        <v>93</v>
      </c>
      <c r="BX4" s="2" t="s">
        <v>94</v>
      </c>
      <c r="BY4" s="2" t="s">
        <v>82</v>
      </c>
      <c r="BZ4" s="2" t="s">
        <v>337</v>
      </c>
      <c r="CA4" s="2" t="s">
        <v>338</v>
      </c>
      <c r="CB4" s="2" t="s">
        <v>339</v>
      </c>
      <c r="CC4" s="2" t="s">
        <v>340</v>
      </c>
      <c r="CD4" s="2" t="s">
        <v>341</v>
      </c>
      <c r="CE4" s="2" t="s">
        <v>342</v>
      </c>
      <c r="CF4" s="2" t="s">
        <v>343</v>
      </c>
      <c r="CG4" s="2" t="s">
        <v>344</v>
      </c>
      <c r="CH4" s="2" t="s">
        <v>345</v>
      </c>
      <c r="CI4" s="2" t="s">
        <v>346</v>
      </c>
      <c r="CJ4" s="2" t="s">
        <v>347</v>
      </c>
      <c r="CK4" s="2" t="s">
        <v>348</v>
      </c>
      <c r="CL4" s="2" t="s">
        <v>349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125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47">
        <f>SUMIF(r_PartPresses,t_Presses[[PRESS]:[PRESS]],t_Parts[hp2015.01])</f>
        <v>0</v>
      </c>
      <c r="AK5" s="47">
        <f>SUMIF(r_PartPresses,t_Presses[[PRESS]:[PRESS]],t_Parts[hp2015.02])</f>
        <v>0</v>
      </c>
      <c r="AL5" s="47">
        <f>SUMIF(r_PartPresses,t_Presses[[PRESS]:[PRESS]],t_Parts[hp2015.03])</f>
        <v>0</v>
      </c>
      <c r="AM5" s="47">
        <f>SUMIF(r_PartPresses,t_Presses[[PRESS]:[PRESS]],t_Parts[hp2015.04])</f>
        <v>0</v>
      </c>
      <c r="AN5" s="47">
        <f>SUMIF(r_PartPresses,t_Presses[[PRESS]:[PRESS]],t_Parts[hp2015.05])</f>
        <v>0</v>
      </c>
      <c r="AO5" s="47">
        <f>SUMIF(r_PartPresses,t_Presses[[PRESS]:[PRESS]],t_Parts[hp2015.06])</f>
        <v>0</v>
      </c>
      <c r="AP5" s="47">
        <f>SUMIF(r_PartPresses,t_Presses[[PRESS]:[PRESS]],t_Parts[hp2015.07])</f>
        <v>0</v>
      </c>
      <c r="AQ5" s="47">
        <f>SUMIF(r_PartPresses,t_Presses[[PRESS]:[PRESS]],t_Parts[hp2015.08])</f>
        <v>0</v>
      </c>
      <c r="AR5" s="47">
        <f>SUMIF(r_PartPresses,t_Presses[[PRESS]:[PRESS]],t_Parts[hp2015.09])</f>
        <v>0</v>
      </c>
      <c r="AS5" s="47">
        <f>SUMIF(r_PartPresses,t_Presses[[PRESS]:[PRESS]],t_Parts[hp2015.10])</f>
        <v>0</v>
      </c>
      <c r="AT5" s="47">
        <f>SUMIF(r_PartPresses,t_Presses[[PRESS]:[PRESS]],t_Parts[hp2015.11])</f>
        <v>0</v>
      </c>
      <c r="AU5" s="47">
        <f>SUMIF(r_PartPresses,t_Presses[[PRESS]:[PRESS]],t_Parts[hp2015.12])</f>
        <v>0</v>
      </c>
      <c r="AV5" s="47">
        <f>SUM(t_Presses[[#This Row],[hp2015.01]:[hp2015.12]])</f>
        <v>0</v>
      </c>
      <c r="AW5" s="47">
        <f>SUMIF(r_PartPresses,t_Presses[[PRESS]:[PRESS]],t_Parts[hp2016.01])</f>
        <v>0</v>
      </c>
      <c r="AX5" s="47">
        <f>SUMIF(r_PartPresses,t_Presses[[PRESS]:[PRESS]],t_Parts[hp2016.02])</f>
        <v>0</v>
      </c>
      <c r="AY5" s="47">
        <f>SUMIF(r_PartPresses,t_Presses[[PRESS]:[PRESS]],t_Parts[hp2016.03])</f>
        <v>0</v>
      </c>
      <c r="AZ5" s="47">
        <f>SUMIF(r_PartPresses,t_Presses[[PRESS]:[PRESS]],t_Parts[hp2016.04])</f>
        <v>0</v>
      </c>
      <c r="BA5" s="47">
        <f>SUMIF(r_PartPresses,t_Presses[[PRESS]:[PRESS]],t_Parts[hp2016.05])</f>
        <v>0</v>
      </c>
      <c r="BB5" s="47">
        <f>SUMIF(r_PartPresses,t_Presses[[PRESS]:[PRESS]],t_Parts[hp2016.06])</f>
        <v>0</v>
      </c>
      <c r="BC5" s="47">
        <f>SUMIF(r_PartPresses,t_Presses[[PRESS]:[PRESS]],t_Parts[hp2016.07])</f>
        <v>0</v>
      </c>
      <c r="BD5" s="47">
        <f>SUMIF(r_PartPresses,t_Presses[[PRESS]:[PRESS]],t_Parts[hp2016.08])</f>
        <v>0</v>
      </c>
      <c r="BE5" s="47">
        <f>SUMIF(r_PartPresses,t_Presses[[PRESS]:[PRESS]],t_Parts[hp2016.09])</f>
        <v>0</v>
      </c>
      <c r="BF5" s="47">
        <f>SUMIF(r_PartPresses,t_Presses[[PRESS]:[PRESS]],t_Parts[hp2016.10])</f>
        <v>0</v>
      </c>
      <c r="BG5" s="47">
        <f>SUMIF(r_PartPresses,t_Presses[[PRESS]:[PRESS]],t_Parts[hp2016.11])</f>
        <v>0</v>
      </c>
      <c r="BH5" s="47">
        <f>SUMIF(r_PartPresses,t_Presses[[PRESS]:[PRESS]],t_Parts[hp2016.12])</f>
        <v>0</v>
      </c>
      <c r="BI5" s="47">
        <f>SUMIF(r_PartPresses,t_Presses[[PRESS]:[PRESS]],t_Parts[hp2016.FY])</f>
        <v>0</v>
      </c>
      <c r="BJ5" s="47">
        <f>SUMIF(r_PartPresses,t_Presses[[PRESS]:[PRESS]],t_Parts[hp2017])</f>
        <v>0</v>
      </c>
      <c r="BK5" s="47">
        <f>SUMIF(r_PartPresses,t_Presses[[PRESS]:[PRESS]],t_Parts[hp2018])</f>
        <v>0</v>
      </c>
      <c r="BL5" s="47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125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47">
        <f>SUMIF(r_PartPresses,t_Presses[[PRESS]:[PRESS]],t_Parts[hp2015.01])</f>
        <v>0</v>
      </c>
      <c r="AK6" s="47">
        <f>SUMIF(r_PartPresses,t_Presses[[PRESS]:[PRESS]],t_Parts[hp2015.02])</f>
        <v>0</v>
      </c>
      <c r="AL6" s="47">
        <f>SUMIF(r_PartPresses,t_Presses[[PRESS]:[PRESS]],t_Parts[hp2015.03])</f>
        <v>0</v>
      </c>
      <c r="AM6" s="47">
        <f>SUMIF(r_PartPresses,t_Presses[[PRESS]:[PRESS]],t_Parts[hp2015.04])</f>
        <v>0</v>
      </c>
      <c r="AN6" s="47">
        <f>SUMIF(r_PartPresses,t_Presses[[PRESS]:[PRESS]],t_Parts[hp2015.05])</f>
        <v>0</v>
      </c>
      <c r="AO6" s="47">
        <f>SUMIF(r_PartPresses,t_Presses[[PRESS]:[PRESS]],t_Parts[hp2015.06])</f>
        <v>0</v>
      </c>
      <c r="AP6" s="47">
        <f>SUMIF(r_PartPresses,t_Presses[[PRESS]:[PRESS]],t_Parts[hp2015.07])</f>
        <v>0</v>
      </c>
      <c r="AQ6" s="47">
        <f>SUMIF(r_PartPresses,t_Presses[[PRESS]:[PRESS]],t_Parts[hp2015.08])</f>
        <v>0</v>
      </c>
      <c r="AR6" s="47">
        <f>SUMIF(r_PartPresses,t_Presses[[PRESS]:[PRESS]],t_Parts[hp2015.09])</f>
        <v>0</v>
      </c>
      <c r="AS6" s="47">
        <f>SUMIF(r_PartPresses,t_Presses[[PRESS]:[PRESS]],t_Parts[hp2015.10])</f>
        <v>0</v>
      </c>
      <c r="AT6" s="47">
        <f>SUMIF(r_PartPresses,t_Presses[[PRESS]:[PRESS]],t_Parts[hp2015.11])</f>
        <v>0</v>
      </c>
      <c r="AU6" s="47">
        <f>SUMIF(r_PartPresses,t_Presses[[PRESS]:[PRESS]],t_Parts[hp2015.12])</f>
        <v>0</v>
      </c>
      <c r="AV6" s="47">
        <f>SUM(t_Presses[[#This Row],[hp2015.01]:[hp2015.12]])</f>
        <v>0</v>
      </c>
      <c r="AW6" s="47">
        <f>SUMIF(r_PartPresses,t_Presses[[PRESS]:[PRESS]],t_Parts[hp2016.01])</f>
        <v>0</v>
      </c>
      <c r="AX6" s="47">
        <f>SUMIF(r_PartPresses,t_Presses[[PRESS]:[PRESS]],t_Parts[hp2016.02])</f>
        <v>0</v>
      </c>
      <c r="AY6" s="47">
        <f>SUMIF(r_PartPresses,t_Presses[[PRESS]:[PRESS]],t_Parts[hp2016.03])</f>
        <v>0</v>
      </c>
      <c r="AZ6" s="47">
        <f>SUMIF(r_PartPresses,t_Presses[[PRESS]:[PRESS]],t_Parts[hp2016.04])</f>
        <v>0</v>
      </c>
      <c r="BA6" s="47">
        <f>SUMIF(r_PartPresses,t_Presses[[PRESS]:[PRESS]],t_Parts[hp2016.05])</f>
        <v>0</v>
      </c>
      <c r="BB6" s="47">
        <f>SUMIF(r_PartPresses,t_Presses[[PRESS]:[PRESS]],t_Parts[hp2016.06])</f>
        <v>0</v>
      </c>
      <c r="BC6" s="47">
        <f>SUMIF(r_PartPresses,t_Presses[[PRESS]:[PRESS]],t_Parts[hp2016.07])</f>
        <v>0</v>
      </c>
      <c r="BD6" s="47">
        <f>SUMIF(r_PartPresses,t_Presses[[PRESS]:[PRESS]],t_Parts[hp2016.08])</f>
        <v>0</v>
      </c>
      <c r="BE6" s="47">
        <f>SUMIF(r_PartPresses,t_Presses[[PRESS]:[PRESS]],t_Parts[hp2016.09])</f>
        <v>0</v>
      </c>
      <c r="BF6" s="47">
        <f>SUMIF(r_PartPresses,t_Presses[[PRESS]:[PRESS]],t_Parts[hp2016.10])</f>
        <v>0</v>
      </c>
      <c r="BG6" s="47">
        <f>SUMIF(r_PartPresses,t_Presses[[PRESS]:[PRESS]],t_Parts[hp2016.11])</f>
        <v>0</v>
      </c>
      <c r="BH6" s="47">
        <f>SUMIF(r_PartPresses,t_Presses[[PRESS]:[PRESS]],t_Parts[hp2016.12])</f>
        <v>0</v>
      </c>
      <c r="BI6" s="47">
        <f>SUMIF(r_PartPresses,t_Presses[[PRESS]:[PRESS]],t_Parts[hp2016.FY])</f>
        <v>0</v>
      </c>
      <c r="BJ6" s="47">
        <f>SUMIF(r_PartPresses,t_Presses[[PRESS]:[PRESS]],t_Parts[hp2017])</f>
        <v>0</v>
      </c>
      <c r="BK6" s="47">
        <f>SUMIF(r_PartPresses,t_Presses[[PRESS]:[PRESS]],t_Parts[hp2018])</f>
        <v>0</v>
      </c>
      <c r="BL6" s="47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125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47">
        <f>SUMIF(r_PartPresses,t_Presses[[PRESS]:[PRESS]],t_Parts[hp2015.01])</f>
        <v>0</v>
      </c>
      <c r="AK7" s="47">
        <f>SUMIF(r_PartPresses,t_Presses[[PRESS]:[PRESS]],t_Parts[hp2015.02])</f>
        <v>0</v>
      </c>
      <c r="AL7" s="47">
        <f>SUMIF(r_PartPresses,t_Presses[[PRESS]:[PRESS]],t_Parts[hp2015.03])</f>
        <v>0</v>
      </c>
      <c r="AM7" s="47">
        <f>SUMIF(r_PartPresses,t_Presses[[PRESS]:[PRESS]],t_Parts[hp2015.04])</f>
        <v>0</v>
      </c>
      <c r="AN7" s="47">
        <f>SUMIF(r_PartPresses,t_Presses[[PRESS]:[PRESS]],t_Parts[hp2015.05])</f>
        <v>0</v>
      </c>
      <c r="AO7" s="47">
        <f>SUMIF(r_PartPresses,t_Presses[[PRESS]:[PRESS]],t_Parts[hp2015.06])</f>
        <v>0</v>
      </c>
      <c r="AP7" s="47">
        <f>SUMIF(r_PartPresses,t_Presses[[PRESS]:[PRESS]],t_Parts[hp2015.07])</f>
        <v>0</v>
      </c>
      <c r="AQ7" s="47">
        <f>SUMIF(r_PartPresses,t_Presses[[PRESS]:[PRESS]],t_Parts[hp2015.08])</f>
        <v>0</v>
      </c>
      <c r="AR7" s="47">
        <f>SUMIF(r_PartPresses,t_Presses[[PRESS]:[PRESS]],t_Parts[hp2015.09])</f>
        <v>0</v>
      </c>
      <c r="AS7" s="47">
        <f>SUMIF(r_PartPresses,t_Presses[[PRESS]:[PRESS]],t_Parts[hp2015.10])</f>
        <v>0</v>
      </c>
      <c r="AT7" s="47">
        <f>SUMIF(r_PartPresses,t_Presses[[PRESS]:[PRESS]],t_Parts[hp2015.11])</f>
        <v>0</v>
      </c>
      <c r="AU7" s="47">
        <f>SUMIF(r_PartPresses,t_Presses[[PRESS]:[PRESS]],t_Parts[hp2015.12])</f>
        <v>0</v>
      </c>
      <c r="AV7" s="47">
        <f>SUM(t_Presses[[#This Row],[hp2015.01]:[hp2015.12]])</f>
        <v>0</v>
      </c>
      <c r="AW7" s="47">
        <f>SUMIF(r_PartPresses,t_Presses[[PRESS]:[PRESS]],t_Parts[hp2016.01])</f>
        <v>0</v>
      </c>
      <c r="AX7" s="47">
        <f>SUMIF(r_PartPresses,t_Presses[[PRESS]:[PRESS]],t_Parts[hp2016.02])</f>
        <v>0</v>
      </c>
      <c r="AY7" s="47">
        <f>SUMIF(r_PartPresses,t_Presses[[PRESS]:[PRESS]],t_Parts[hp2016.03])</f>
        <v>0</v>
      </c>
      <c r="AZ7" s="47">
        <f>SUMIF(r_PartPresses,t_Presses[[PRESS]:[PRESS]],t_Parts[hp2016.04])</f>
        <v>0</v>
      </c>
      <c r="BA7" s="47">
        <f>SUMIF(r_PartPresses,t_Presses[[PRESS]:[PRESS]],t_Parts[hp2016.05])</f>
        <v>0</v>
      </c>
      <c r="BB7" s="47">
        <f>SUMIF(r_PartPresses,t_Presses[[PRESS]:[PRESS]],t_Parts[hp2016.06])</f>
        <v>0</v>
      </c>
      <c r="BC7" s="47">
        <f>SUMIF(r_PartPresses,t_Presses[[PRESS]:[PRESS]],t_Parts[hp2016.07])</f>
        <v>0</v>
      </c>
      <c r="BD7" s="47">
        <f>SUMIF(r_PartPresses,t_Presses[[PRESS]:[PRESS]],t_Parts[hp2016.08])</f>
        <v>0</v>
      </c>
      <c r="BE7" s="47">
        <f>SUMIF(r_PartPresses,t_Presses[[PRESS]:[PRESS]],t_Parts[hp2016.09])</f>
        <v>0</v>
      </c>
      <c r="BF7" s="47">
        <f>SUMIF(r_PartPresses,t_Presses[[PRESS]:[PRESS]],t_Parts[hp2016.10])</f>
        <v>0</v>
      </c>
      <c r="BG7" s="47">
        <f>SUMIF(r_PartPresses,t_Presses[[PRESS]:[PRESS]],t_Parts[hp2016.11])</f>
        <v>0</v>
      </c>
      <c r="BH7" s="47">
        <f>SUMIF(r_PartPresses,t_Presses[[PRESS]:[PRESS]],t_Parts[hp2016.12])</f>
        <v>0</v>
      </c>
      <c r="BI7" s="47">
        <f>SUMIF(r_PartPresses,t_Presses[[PRESS]:[PRESS]],t_Parts[hp2016.FY])</f>
        <v>0</v>
      </c>
      <c r="BJ7" s="47">
        <f>SUMIF(r_PartPresses,t_Presses[[PRESS]:[PRESS]],t_Parts[hp2017])</f>
        <v>0</v>
      </c>
      <c r="BK7" s="47">
        <f>SUMIF(r_PartPresses,t_Presses[[PRESS]:[PRESS]],t_Parts[hp2018])</f>
        <v>0</v>
      </c>
      <c r="BL7" s="47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125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47">
        <f>SUMIF(r_PartPresses,t_Presses[[PRESS]:[PRESS]],t_Parts[hp2015.01])</f>
        <v>0</v>
      </c>
      <c r="AK8" s="47">
        <f>SUMIF(r_PartPresses,t_Presses[[PRESS]:[PRESS]],t_Parts[hp2015.02])</f>
        <v>0</v>
      </c>
      <c r="AL8" s="47">
        <f>SUMIF(r_PartPresses,t_Presses[[PRESS]:[PRESS]],t_Parts[hp2015.03])</f>
        <v>0</v>
      </c>
      <c r="AM8" s="47">
        <f>SUMIF(r_PartPresses,t_Presses[[PRESS]:[PRESS]],t_Parts[hp2015.04])</f>
        <v>0</v>
      </c>
      <c r="AN8" s="47">
        <f>SUMIF(r_PartPresses,t_Presses[[PRESS]:[PRESS]],t_Parts[hp2015.05])</f>
        <v>0</v>
      </c>
      <c r="AO8" s="47">
        <f>SUMIF(r_PartPresses,t_Presses[[PRESS]:[PRESS]],t_Parts[hp2015.06])</f>
        <v>0</v>
      </c>
      <c r="AP8" s="47">
        <f>SUMIF(r_PartPresses,t_Presses[[PRESS]:[PRESS]],t_Parts[hp2015.07])</f>
        <v>0</v>
      </c>
      <c r="AQ8" s="47">
        <f>SUMIF(r_PartPresses,t_Presses[[PRESS]:[PRESS]],t_Parts[hp2015.08])</f>
        <v>0</v>
      </c>
      <c r="AR8" s="47">
        <f>SUMIF(r_PartPresses,t_Presses[[PRESS]:[PRESS]],t_Parts[hp2015.09])</f>
        <v>0</v>
      </c>
      <c r="AS8" s="47">
        <f>SUMIF(r_PartPresses,t_Presses[[PRESS]:[PRESS]],t_Parts[hp2015.10])</f>
        <v>0</v>
      </c>
      <c r="AT8" s="47">
        <f>SUMIF(r_PartPresses,t_Presses[[PRESS]:[PRESS]],t_Parts[hp2015.11])</f>
        <v>0</v>
      </c>
      <c r="AU8" s="47">
        <f>SUMIF(r_PartPresses,t_Presses[[PRESS]:[PRESS]],t_Parts[hp2015.12])</f>
        <v>0</v>
      </c>
      <c r="AV8" s="47">
        <f>SUM(t_Presses[[#This Row],[hp2015.01]:[hp2015.12]])</f>
        <v>0</v>
      </c>
      <c r="AW8" s="47">
        <f>SUMIF(r_PartPresses,t_Presses[[PRESS]:[PRESS]],t_Parts[hp2016.01])</f>
        <v>0</v>
      </c>
      <c r="AX8" s="47">
        <f>SUMIF(r_PartPresses,t_Presses[[PRESS]:[PRESS]],t_Parts[hp2016.02])</f>
        <v>0</v>
      </c>
      <c r="AY8" s="47">
        <f>SUMIF(r_PartPresses,t_Presses[[PRESS]:[PRESS]],t_Parts[hp2016.03])</f>
        <v>0</v>
      </c>
      <c r="AZ8" s="47">
        <f>SUMIF(r_PartPresses,t_Presses[[PRESS]:[PRESS]],t_Parts[hp2016.04])</f>
        <v>0</v>
      </c>
      <c r="BA8" s="47">
        <f>SUMIF(r_PartPresses,t_Presses[[PRESS]:[PRESS]],t_Parts[hp2016.05])</f>
        <v>0</v>
      </c>
      <c r="BB8" s="47">
        <f>SUMIF(r_PartPresses,t_Presses[[PRESS]:[PRESS]],t_Parts[hp2016.06])</f>
        <v>0</v>
      </c>
      <c r="BC8" s="47">
        <f>SUMIF(r_PartPresses,t_Presses[[PRESS]:[PRESS]],t_Parts[hp2016.07])</f>
        <v>0</v>
      </c>
      <c r="BD8" s="47">
        <f>SUMIF(r_PartPresses,t_Presses[[PRESS]:[PRESS]],t_Parts[hp2016.08])</f>
        <v>0</v>
      </c>
      <c r="BE8" s="47">
        <f>SUMIF(r_PartPresses,t_Presses[[PRESS]:[PRESS]],t_Parts[hp2016.09])</f>
        <v>0</v>
      </c>
      <c r="BF8" s="47">
        <f>SUMIF(r_PartPresses,t_Presses[[PRESS]:[PRESS]],t_Parts[hp2016.10])</f>
        <v>0</v>
      </c>
      <c r="BG8" s="47">
        <f>SUMIF(r_PartPresses,t_Presses[[PRESS]:[PRESS]],t_Parts[hp2016.11])</f>
        <v>0</v>
      </c>
      <c r="BH8" s="47">
        <f>SUMIF(r_PartPresses,t_Presses[[PRESS]:[PRESS]],t_Parts[hp2016.12])</f>
        <v>0</v>
      </c>
      <c r="BI8" s="47">
        <f>SUMIF(r_PartPresses,t_Presses[[PRESS]:[PRESS]],t_Parts[hp2016.FY])</f>
        <v>0</v>
      </c>
      <c r="BJ8" s="47">
        <f>SUMIF(r_PartPresses,t_Presses[[PRESS]:[PRESS]],t_Parts[hp2017])</f>
        <v>0</v>
      </c>
      <c r="BK8" s="47">
        <f>SUMIF(r_PartPresses,t_Presses[[PRESS]:[PRESS]],t_Parts[hp2018])</f>
        <v>0</v>
      </c>
      <c r="BL8" s="47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126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47">
        <f>SUMIF(r_PartPresses,t_Presses[[PRESS]:[PRESS]],t_Parts[hp2015.01])</f>
        <v>0</v>
      </c>
      <c r="AK9" s="47">
        <f>SUMIF(r_PartPresses,t_Presses[[PRESS]:[PRESS]],t_Parts[hp2015.02])</f>
        <v>0</v>
      </c>
      <c r="AL9" s="47">
        <f>SUMIF(r_PartPresses,t_Presses[[PRESS]:[PRESS]],t_Parts[hp2015.03])</f>
        <v>0</v>
      </c>
      <c r="AM9" s="47">
        <f>SUMIF(r_PartPresses,t_Presses[[PRESS]:[PRESS]],t_Parts[hp2015.04])</f>
        <v>0</v>
      </c>
      <c r="AN9" s="47">
        <f>SUMIF(r_PartPresses,t_Presses[[PRESS]:[PRESS]],t_Parts[hp2015.05])</f>
        <v>0</v>
      </c>
      <c r="AO9" s="47">
        <f>SUMIF(r_PartPresses,t_Presses[[PRESS]:[PRESS]],t_Parts[hp2015.06])</f>
        <v>0</v>
      </c>
      <c r="AP9" s="47">
        <f>SUMIF(r_PartPresses,t_Presses[[PRESS]:[PRESS]],t_Parts[hp2015.07])</f>
        <v>0</v>
      </c>
      <c r="AQ9" s="47">
        <f>SUMIF(r_PartPresses,t_Presses[[PRESS]:[PRESS]],t_Parts[hp2015.08])</f>
        <v>0</v>
      </c>
      <c r="AR9" s="47">
        <f>SUMIF(r_PartPresses,t_Presses[[PRESS]:[PRESS]],t_Parts[hp2015.09])</f>
        <v>0</v>
      </c>
      <c r="AS9" s="47">
        <f>SUMIF(r_PartPresses,t_Presses[[PRESS]:[PRESS]],t_Parts[hp2015.10])</f>
        <v>0</v>
      </c>
      <c r="AT9" s="47">
        <f>SUMIF(r_PartPresses,t_Presses[[PRESS]:[PRESS]],t_Parts[hp2015.11])</f>
        <v>0</v>
      </c>
      <c r="AU9" s="47">
        <f>SUMIF(r_PartPresses,t_Presses[[PRESS]:[PRESS]],t_Parts[hp2015.12])</f>
        <v>0</v>
      </c>
      <c r="AV9" s="47">
        <f>SUM(t_Presses[[#This Row],[hp2015.01]:[hp2015.12]])</f>
        <v>0</v>
      </c>
      <c r="AW9" s="47">
        <f>SUMIF(r_PartPresses,t_Presses[[PRESS]:[PRESS]],t_Parts[hp2016.01])</f>
        <v>0</v>
      </c>
      <c r="AX9" s="47">
        <f>SUMIF(r_PartPresses,t_Presses[[PRESS]:[PRESS]],t_Parts[hp2016.02])</f>
        <v>0</v>
      </c>
      <c r="AY9" s="47">
        <f>SUMIF(r_PartPresses,t_Presses[[PRESS]:[PRESS]],t_Parts[hp2016.03])</f>
        <v>0</v>
      </c>
      <c r="AZ9" s="47">
        <f>SUMIF(r_PartPresses,t_Presses[[PRESS]:[PRESS]],t_Parts[hp2016.04])</f>
        <v>0</v>
      </c>
      <c r="BA9" s="47">
        <f>SUMIF(r_PartPresses,t_Presses[[PRESS]:[PRESS]],t_Parts[hp2016.05])</f>
        <v>0</v>
      </c>
      <c r="BB9" s="47">
        <f>SUMIF(r_PartPresses,t_Presses[[PRESS]:[PRESS]],t_Parts[hp2016.06])</f>
        <v>0</v>
      </c>
      <c r="BC9" s="47">
        <f>SUMIF(r_PartPresses,t_Presses[[PRESS]:[PRESS]],t_Parts[hp2016.07])</f>
        <v>0</v>
      </c>
      <c r="BD9" s="47">
        <f>SUMIF(r_PartPresses,t_Presses[[PRESS]:[PRESS]],t_Parts[hp2016.08])</f>
        <v>0</v>
      </c>
      <c r="BE9" s="47">
        <f>SUMIF(r_PartPresses,t_Presses[[PRESS]:[PRESS]],t_Parts[hp2016.09])</f>
        <v>0</v>
      </c>
      <c r="BF9" s="47">
        <f>SUMIF(r_PartPresses,t_Presses[[PRESS]:[PRESS]],t_Parts[hp2016.10])</f>
        <v>0</v>
      </c>
      <c r="BG9" s="47">
        <f>SUMIF(r_PartPresses,t_Presses[[PRESS]:[PRESS]],t_Parts[hp2016.11])</f>
        <v>0</v>
      </c>
      <c r="BH9" s="47">
        <f>SUMIF(r_PartPresses,t_Presses[[PRESS]:[PRESS]],t_Parts[hp2016.12])</f>
        <v>0</v>
      </c>
      <c r="BI9" s="47">
        <f>SUMIF(r_PartPresses,t_Presses[[PRESS]:[PRESS]],t_Parts[hp2016.FY])</f>
        <v>0</v>
      </c>
      <c r="BJ9" s="47">
        <f>SUMIF(r_PartPresses,t_Presses[[PRESS]:[PRESS]],t_Parts[hp2017])</f>
        <v>0</v>
      </c>
      <c r="BK9" s="47">
        <f>SUMIF(r_PartPresses,t_Presses[[PRESS]:[PRESS]],t_Parts[hp2018])</f>
        <v>0</v>
      </c>
      <c r="BL9" s="47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125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47">
        <f>SUMIF(r_PartPresses,t_Presses[[PRESS]:[PRESS]],t_Parts[hp2015.01])</f>
        <v>46.135465739326037</v>
      </c>
      <c r="AK10" s="47">
        <f>SUMIF(r_PartPresses,t_Presses[[PRESS]:[PRESS]],t_Parts[hp2015.02])</f>
        <v>47.500884368899072</v>
      </c>
      <c r="AL10" s="47">
        <f>SUMIF(r_PartPresses,t_Presses[[PRESS]:[PRESS]],t_Parts[hp2015.03])</f>
        <v>58.424233405483399</v>
      </c>
      <c r="AM10" s="47">
        <f>SUMIF(r_PartPresses,t_Presses[[PRESS]:[PRESS]],t_Parts[hp2015.04])</f>
        <v>46.135465739326037</v>
      </c>
      <c r="AN10" s="47">
        <f>SUMIF(r_PartPresses,t_Presses[[PRESS]:[PRESS]],t_Parts[hp2015.05])</f>
        <v>47.500884368899072</v>
      </c>
      <c r="AO10" s="47">
        <f>SUMIF(r_PartPresses,t_Presses[[PRESS]:[PRESS]],t_Parts[hp2015.06])</f>
        <v>58.424233405483399</v>
      </c>
      <c r="AP10" s="47">
        <f>SUMIF(r_PartPresses,t_Presses[[PRESS]:[PRESS]],t_Parts[hp2015.07])</f>
        <v>46.135465739326037</v>
      </c>
      <c r="AQ10" s="47">
        <f>SUMIF(r_PartPresses,t_Presses[[PRESS]:[PRESS]],t_Parts[hp2015.08])</f>
        <v>47.500884368899072</v>
      </c>
      <c r="AR10" s="47">
        <f>SUMIF(r_PartPresses,t_Presses[[PRESS]:[PRESS]],t_Parts[hp2015.09])</f>
        <v>58.424233405483399</v>
      </c>
      <c r="AS10" s="47">
        <f>SUMIF(r_PartPresses,t_Presses[[PRESS]:[PRESS]],t_Parts[hp2015.10])</f>
        <v>46.135465739326037</v>
      </c>
      <c r="AT10" s="47">
        <f>SUMIF(r_PartPresses,t_Presses[[PRESS]:[PRESS]],t_Parts[hp2015.11])</f>
        <v>47.500884368899072</v>
      </c>
      <c r="AU10" s="47">
        <f>SUMIF(r_PartPresses,t_Presses[[PRESS]:[PRESS]],t_Parts[hp2015.12])</f>
        <v>58.424233405483399</v>
      </c>
      <c r="AV10" s="47">
        <f>SUM(t_Presses[[#This Row],[hp2015.01]:[hp2015.12]])</f>
        <v>608.24233405483403</v>
      </c>
      <c r="AW10" s="47">
        <f>SUMIF(r_PartPresses,t_Presses[[PRESS]:[PRESS]],t_Parts[hp2016.01])</f>
        <v>0.59523809523809523</v>
      </c>
      <c r="AX10" s="47">
        <f>SUMIF(r_PartPresses,t_Presses[[PRESS]:[PRESS]],t_Parts[hp2016.02])</f>
        <v>0.5714285714285714</v>
      </c>
      <c r="AY10" s="47">
        <f>SUMIF(r_PartPresses,t_Presses[[PRESS]:[PRESS]],t_Parts[hp2016.03])</f>
        <v>0.80952380952380953</v>
      </c>
      <c r="AZ10" s="47">
        <f>SUMIF(r_PartPresses,t_Presses[[PRESS]:[PRESS]],t_Parts[hp2016.04])</f>
        <v>0.59523809523809523</v>
      </c>
      <c r="BA10" s="47">
        <f>SUMIF(r_PartPresses,t_Presses[[PRESS]:[PRESS]],t_Parts[hp2016.05])</f>
        <v>0.61904761904761907</v>
      </c>
      <c r="BB10" s="47">
        <f>SUMIF(r_PartPresses,t_Presses[[PRESS]:[PRESS]],t_Parts[hp2016.06])</f>
        <v>0.80952380952380953</v>
      </c>
      <c r="BC10" s="47">
        <f>SUMIF(r_PartPresses,t_Presses[[PRESS]:[PRESS]],t_Parts[hp2016.07])</f>
        <v>0.59523809523809523</v>
      </c>
      <c r="BD10" s="47">
        <f>SUMIF(r_PartPresses,t_Presses[[PRESS]:[PRESS]],t_Parts[hp2016.08])</f>
        <v>0.61904761904761907</v>
      </c>
      <c r="BE10" s="47">
        <f>SUMIF(r_PartPresses,t_Presses[[PRESS]:[PRESS]],t_Parts[hp2016.09])</f>
        <v>0.80952380952380953</v>
      </c>
      <c r="BF10" s="47">
        <f>SUMIF(r_PartPresses,t_Presses[[PRESS]:[PRESS]],t_Parts[hp2016.10])</f>
        <v>0.59523809523809523</v>
      </c>
      <c r="BG10" s="47">
        <f>SUMIF(r_PartPresses,t_Presses[[PRESS]:[PRESS]],t_Parts[hp2016.11])</f>
        <v>0.52380952380952384</v>
      </c>
      <c r="BH10" s="47">
        <f>SUMIF(r_PartPresses,t_Presses[[PRESS]:[PRESS]],t_Parts[hp2016.12])</f>
        <v>0.7142857142857143</v>
      </c>
      <c r="BI10" s="47">
        <f>SUMIF(r_PartPresses,t_Presses[[PRESS]:[PRESS]],t_Parts[hp2016.FY])</f>
        <v>7.8571428571428559</v>
      </c>
      <c r="BJ10" s="47">
        <f>SUMIF(r_PartPresses,t_Presses[[PRESS]:[PRESS]],t_Parts[hp2017])</f>
        <v>40.476190476190474</v>
      </c>
      <c r="BK10" s="47">
        <f>SUMIF(r_PartPresses,t_Presses[[PRESS]:[PRESS]],t_Parts[hp2018])</f>
        <v>42.857142857142854</v>
      </c>
      <c r="BL10" s="47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125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47">
        <f>SUMIF(r_PartPresses,t_Presses[[PRESS]:[PRESS]],t_Parts[hp2015.01])</f>
        <v>32.072471033868091</v>
      </c>
      <c r="AK11" s="47">
        <f>SUMIF(r_PartPresses,t_Presses[[PRESS]:[PRESS]],t_Parts[hp2015.02])</f>
        <v>32.915369875222815</v>
      </c>
      <c r="AL11" s="47">
        <f>SUMIF(r_PartPresses,t_Presses[[PRESS]:[PRESS]],t_Parts[hp2015.03])</f>
        <v>39.658560606060604</v>
      </c>
      <c r="AM11" s="47">
        <f>SUMIF(r_PartPresses,t_Presses[[PRESS]:[PRESS]],t_Parts[hp2015.04])</f>
        <v>32.072471033868091</v>
      </c>
      <c r="AN11" s="47">
        <f>SUMIF(r_PartPresses,t_Presses[[PRESS]:[PRESS]],t_Parts[hp2015.05])</f>
        <v>32.915369875222815</v>
      </c>
      <c r="AO11" s="47">
        <f>SUMIF(r_PartPresses,t_Presses[[PRESS]:[PRESS]],t_Parts[hp2015.06])</f>
        <v>39.658560606060604</v>
      </c>
      <c r="AP11" s="47">
        <f>SUMIF(r_PartPresses,t_Presses[[PRESS]:[PRESS]],t_Parts[hp2015.07])</f>
        <v>32.072471033868091</v>
      </c>
      <c r="AQ11" s="47">
        <f>SUMIF(r_PartPresses,t_Presses[[PRESS]:[PRESS]],t_Parts[hp2015.08])</f>
        <v>32.915369875222815</v>
      </c>
      <c r="AR11" s="47">
        <f>SUMIF(r_PartPresses,t_Presses[[PRESS]:[PRESS]],t_Parts[hp2015.09])</f>
        <v>39.658560606060604</v>
      </c>
      <c r="AS11" s="47">
        <f>SUMIF(r_PartPresses,t_Presses[[PRESS]:[PRESS]],t_Parts[hp2015.10])</f>
        <v>32.072471033868091</v>
      </c>
      <c r="AT11" s="47">
        <f>SUMIF(r_PartPresses,t_Presses[[PRESS]:[PRESS]],t_Parts[hp2015.11])</f>
        <v>32.915369875222815</v>
      </c>
      <c r="AU11" s="47">
        <f>SUMIF(r_PartPresses,t_Presses[[PRESS]:[PRESS]],t_Parts[hp2015.12])</f>
        <v>39.658560606060604</v>
      </c>
      <c r="AV11" s="47">
        <f>SUM(t_Presses[[#This Row],[hp2015.01]:[hp2015.12]])</f>
        <v>418.5856060606061</v>
      </c>
      <c r="AW11" s="47">
        <f>SUMIF(r_PartPresses,t_Presses[[PRESS]:[PRESS]],t_Parts[hp2016.01])</f>
        <v>0</v>
      </c>
      <c r="AX11" s="47">
        <f>SUMIF(r_PartPresses,t_Presses[[PRESS]:[PRESS]],t_Parts[hp2016.02])</f>
        <v>0</v>
      </c>
      <c r="AY11" s="47">
        <f>SUMIF(r_PartPresses,t_Presses[[PRESS]:[PRESS]],t_Parts[hp2016.03])</f>
        <v>0</v>
      </c>
      <c r="AZ11" s="47">
        <f>SUMIF(r_PartPresses,t_Presses[[PRESS]:[PRESS]],t_Parts[hp2016.04])</f>
        <v>0</v>
      </c>
      <c r="BA11" s="47">
        <f>SUMIF(r_PartPresses,t_Presses[[PRESS]:[PRESS]],t_Parts[hp2016.05])</f>
        <v>0</v>
      </c>
      <c r="BB11" s="47">
        <f>SUMIF(r_PartPresses,t_Presses[[PRESS]:[PRESS]],t_Parts[hp2016.06])</f>
        <v>0</v>
      </c>
      <c r="BC11" s="47">
        <f>SUMIF(r_PartPresses,t_Presses[[PRESS]:[PRESS]],t_Parts[hp2016.07])</f>
        <v>0</v>
      </c>
      <c r="BD11" s="47">
        <f>SUMIF(r_PartPresses,t_Presses[[PRESS]:[PRESS]],t_Parts[hp2016.08])</f>
        <v>0</v>
      </c>
      <c r="BE11" s="47">
        <f>SUMIF(r_PartPresses,t_Presses[[PRESS]:[PRESS]],t_Parts[hp2016.09])</f>
        <v>0</v>
      </c>
      <c r="BF11" s="47">
        <f>SUMIF(r_PartPresses,t_Presses[[PRESS]:[PRESS]],t_Parts[hp2016.10])</f>
        <v>0</v>
      </c>
      <c r="BG11" s="47">
        <f>SUMIF(r_PartPresses,t_Presses[[PRESS]:[PRESS]],t_Parts[hp2016.11])</f>
        <v>0</v>
      </c>
      <c r="BH11" s="47">
        <f>SUMIF(r_PartPresses,t_Presses[[PRESS]:[PRESS]],t_Parts[hp2016.12])</f>
        <v>0</v>
      </c>
      <c r="BI11" s="47">
        <f>SUMIF(r_PartPresses,t_Presses[[PRESS]:[PRESS]],t_Parts[hp2016.FY])</f>
        <v>0</v>
      </c>
      <c r="BJ11" s="47">
        <f>SUMIF(r_PartPresses,t_Presses[[PRESS]:[PRESS]],t_Parts[hp2017])</f>
        <v>0</v>
      </c>
      <c r="BK11" s="47">
        <f>SUMIF(r_PartPresses,t_Presses[[PRESS]:[PRESS]],t_Parts[hp2018])</f>
        <v>0</v>
      </c>
      <c r="BL11" s="47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126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47">
        <f>SUMIF(r_PartPresses,t_Presses[[PRESS]:[PRESS]],t_Parts[hp2015.01])</f>
        <v>0</v>
      </c>
      <c r="AK12" s="47">
        <f>SUMIF(r_PartPresses,t_Presses[[PRESS]:[PRESS]],t_Parts[hp2015.02])</f>
        <v>0</v>
      </c>
      <c r="AL12" s="47">
        <f>SUMIF(r_PartPresses,t_Presses[[PRESS]:[PRESS]],t_Parts[hp2015.03])</f>
        <v>0</v>
      </c>
      <c r="AM12" s="47">
        <f>SUMIF(r_PartPresses,t_Presses[[PRESS]:[PRESS]],t_Parts[hp2015.04])</f>
        <v>0</v>
      </c>
      <c r="AN12" s="47">
        <f>SUMIF(r_PartPresses,t_Presses[[PRESS]:[PRESS]],t_Parts[hp2015.05])</f>
        <v>0</v>
      </c>
      <c r="AO12" s="47">
        <f>SUMIF(r_PartPresses,t_Presses[[PRESS]:[PRESS]],t_Parts[hp2015.06])</f>
        <v>0</v>
      </c>
      <c r="AP12" s="47">
        <f>SUMIF(r_PartPresses,t_Presses[[PRESS]:[PRESS]],t_Parts[hp2015.07])</f>
        <v>0</v>
      </c>
      <c r="AQ12" s="47">
        <f>SUMIF(r_PartPresses,t_Presses[[PRESS]:[PRESS]],t_Parts[hp2015.08])</f>
        <v>0</v>
      </c>
      <c r="AR12" s="47">
        <f>SUMIF(r_PartPresses,t_Presses[[PRESS]:[PRESS]],t_Parts[hp2015.09])</f>
        <v>0</v>
      </c>
      <c r="AS12" s="47">
        <f>SUMIF(r_PartPresses,t_Presses[[PRESS]:[PRESS]],t_Parts[hp2015.10])</f>
        <v>0</v>
      </c>
      <c r="AT12" s="47">
        <f>SUMIF(r_PartPresses,t_Presses[[PRESS]:[PRESS]],t_Parts[hp2015.11])</f>
        <v>0</v>
      </c>
      <c r="AU12" s="47">
        <f>SUMIF(r_PartPresses,t_Presses[[PRESS]:[PRESS]],t_Parts[hp2015.12])</f>
        <v>0</v>
      </c>
      <c r="AV12" s="47">
        <f>SUM(t_Presses[[#This Row],[hp2015.01]:[hp2015.12]])</f>
        <v>0</v>
      </c>
      <c r="AW12" s="47">
        <f>SUMIF(r_PartPresses,t_Presses[[PRESS]:[PRESS]],t_Parts[hp2016.01])</f>
        <v>0</v>
      </c>
      <c r="AX12" s="47">
        <f>SUMIF(r_PartPresses,t_Presses[[PRESS]:[PRESS]],t_Parts[hp2016.02])</f>
        <v>0</v>
      </c>
      <c r="AY12" s="47">
        <f>SUMIF(r_PartPresses,t_Presses[[PRESS]:[PRESS]],t_Parts[hp2016.03])</f>
        <v>0</v>
      </c>
      <c r="AZ12" s="47">
        <f>SUMIF(r_PartPresses,t_Presses[[PRESS]:[PRESS]],t_Parts[hp2016.04])</f>
        <v>0</v>
      </c>
      <c r="BA12" s="47">
        <f>SUMIF(r_PartPresses,t_Presses[[PRESS]:[PRESS]],t_Parts[hp2016.05])</f>
        <v>0</v>
      </c>
      <c r="BB12" s="47">
        <f>SUMIF(r_PartPresses,t_Presses[[PRESS]:[PRESS]],t_Parts[hp2016.06])</f>
        <v>0</v>
      </c>
      <c r="BC12" s="47">
        <f>SUMIF(r_PartPresses,t_Presses[[PRESS]:[PRESS]],t_Parts[hp2016.07])</f>
        <v>0</v>
      </c>
      <c r="BD12" s="47">
        <f>SUMIF(r_PartPresses,t_Presses[[PRESS]:[PRESS]],t_Parts[hp2016.08])</f>
        <v>0</v>
      </c>
      <c r="BE12" s="47">
        <f>SUMIF(r_PartPresses,t_Presses[[PRESS]:[PRESS]],t_Parts[hp2016.09])</f>
        <v>0</v>
      </c>
      <c r="BF12" s="47">
        <f>SUMIF(r_PartPresses,t_Presses[[PRESS]:[PRESS]],t_Parts[hp2016.10])</f>
        <v>0</v>
      </c>
      <c r="BG12" s="47">
        <f>SUMIF(r_PartPresses,t_Presses[[PRESS]:[PRESS]],t_Parts[hp2016.11])</f>
        <v>0</v>
      </c>
      <c r="BH12" s="47">
        <f>SUMIF(r_PartPresses,t_Presses[[PRESS]:[PRESS]],t_Parts[hp2016.12])</f>
        <v>0</v>
      </c>
      <c r="BI12" s="47">
        <f>SUMIF(r_PartPresses,t_Presses[[PRESS]:[PRESS]],t_Parts[hp2016.FY])</f>
        <v>0</v>
      </c>
      <c r="BJ12" s="47">
        <f>SUMIF(r_PartPresses,t_Presses[[PRESS]:[PRESS]],t_Parts[hp2017])</f>
        <v>0</v>
      </c>
      <c r="BK12" s="47">
        <f>SUMIF(r_PartPresses,t_Presses[[PRESS]:[PRESS]],t_Parts[hp2018])</f>
        <v>0</v>
      </c>
      <c r="BL12" s="47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127</v>
      </c>
      <c r="B13" t="s">
        <v>9</v>
      </c>
      <c r="C13" t="s">
        <v>125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47">
        <f>SUMIF(r_PartPresses,t_Presses[[PRESS]:[PRESS]],t_Parts[hp2015.01])</f>
        <v>125.96899224806202</v>
      </c>
      <c r="AK13" s="47">
        <f>SUMIF(r_PartPresses,t_Presses[[PRESS]:[PRESS]],t_Parts[hp2015.02])</f>
        <v>125.96899224806202</v>
      </c>
      <c r="AL13" s="47">
        <f>SUMIF(r_PartPresses,t_Presses[[PRESS]:[PRESS]],t_Parts[hp2015.03])</f>
        <v>164.72868217054264</v>
      </c>
      <c r="AM13" s="47">
        <f>SUMIF(r_PartPresses,t_Presses[[PRESS]:[PRESS]],t_Parts[hp2015.04])</f>
        <v>125.96899224806202</v>
      </c>
      <c r="AN13" s="47">
        <f>SUMIF(r_PartPresses,t_Presses[[PRESS]:[PRESS]],t_Parts[hp2015.05])</f>
        <v>125.96899224806202</v>
      </c>
      <c r="AO13" s="47">
        <f>SUMIF(r_PartPresses,t_Presses[[PRESS]:[PRESS]],t_Parts[hp2015.06])</f>
        <v>164.72868217054264</v>
      </c>
      <c r="AP13" s="47">
        <f>SUMIF(r_PartPresses,t_Presses[[PRESS]:[PRESS]],t_Parts[hp2015.07])</f>
        <v>125.96899224806202</v>
      </c>
      <c r="AQ13" s="47">
        <f>SUMIF(r_PartPresses,t_Presses[[PRESS]:[PRESS]],t_Parts[hp2015.08])</f>
        <v>125.96899224806202</v>
      </c>
      <c r="AR13" s="47">
        <f>SUMIF(r_PartPresses,t_Presses[[PRESS]:[PRESS]],t_Parts[hp2015.09])</f>
        <v>164.72868217054264</v>
      </c>
      <c r="AS13" s="47">
        <f>SUMIF(r_PartPresses,t_Presses[[PRESS]:[PRESS]],t_Parts[hp2015.10])</f>
        <v>125.96899224806202</v>
      </c>
      <c r="AT13" s="47">
        <f>SUMIF(r_PartPresses,t_Presses[[PRESS]:[PRESS]],t_Parts[hp2015.11])</f>
        <v>125.96899224806202</v>
      </c>
      <c r="AU13" s="47">
        <f>SUMIF(r_PartPresses,t_Presses[[PRESS]:[PRESS]],t_Parts[hp2015.12])</f>
        <v>164.72868217054264</v>
      </c>
      <c r="AV13" s="47">
        <f>SUM(t_Presses[[#This Row],[hp2015.01]:[hp2015.12]])</f>
        <v>1666.666666666667</v>
      </c>
      <c r="AW13" s="47">
        <f>SUMIF(r_PartPresses,t_Presses[[PRESS]:[PRESS]],t_Parts[hp2016.01])</f>
        <v>0</v>
      </c>
      <c r="AX13" s="47">
        <f>SUMIF(r_PartPresses,t_Presses[[PRESS]:[PRESS]],t_Parts[hp2016.02])</f>
        <v>0</v>
      </c>
      <c r="AY13" s="47">
        <f>SUMIF(r_PartPresses,t_Presses[[PRESS]:[PRESS]],t_Parts[hp2016.03])</f>
        <v>0</v>
      </c>
      <c r="AZ13" s="47">
        <f>SUMIF(r_PartPresses,t_Presses[[PRESS]:[PRESS]],t_Parts[hp2016.04])</f>
        <v>0</v>
      </c>
      <c r="BA13" s="47">
        <f>SUMIF(r_PartPresses,t_Presses[[PRESS]:[PRESS]],t_Parts[hp2016.05])</f>
        <v>0</v>
      </c>
      <c r="BB13" s="47">
        <f>SUMIF(r_PartPresses,t_Presses[[PRESS]:[PRESS]],t_Parts[hp2016.06])</f>
        <v>0</v>
      </c>
      <c r="BC13" s="47">
        <f>SUMIF(r_PartPresses,t_Presses[[PRESS]:[PRESS]],t_Parts[hp2016.07])</f>
        <v>0</v>
      </c>
      <c r="BD13" s="47">
        <f>SUMIF(r_PartPresses,t_Presses[[PRESS]:[PRESS]],t_Parts[hp2016.08])</f>
        <v>0</v>
      </c>
      <c r="BE13" s="47">
        <f>SUMIF(r_PartPresses,t_Presses[[PRESS]:[PRESS]],t_Parts[hp2016.09])</f>
        <v>0</v>
      </c>
      <c r="BF13" s="47">
        <f>SUMIF(r_PartPresses,t_Presses[[PRESS]:[PRESS]],t_Parts[hp2016.10])</f>
        <v>0</v>
      </c>
      <c r="BG13" s="47">
        <f>SUMIF(r_PartPresses,t_Presses[[PRESS]:[PRESS]],t_Parts[hp2016.11])</f>
        <v>0</v>
      </c>
      <c r="BH13" s="47">
        <f>SUMIF(r_PartPresses,t_Presses[[PRESS]:[PRESS]],t_Parts[hp2016.12])</f>
        <v>0</v>
      </c>
      <c r="BI13" s="47">
        <f>SUMIF(r_PartPresses,t_Presses[[PRESS]:[PRESS]],t_Parts[hp2016.FY])</f>
        <v>0</v>
      </c>
      <c r="BJ13" s="47">
        <f>SUMIF(r_PartPresses,t_Presses[[PRESS]:[PRESS]],t_Parts[hp2017])</f>
        <v>0</v>
      </c>
      <c r="BK13" s="47">
        <f>SUMIF(r_PartPresses,t_Presses[[PRESS]:[PRESS]],t_Parts[hp2018])</f>
        <v>0</v>
      </c>
      <c r="BL13" s="47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128</v>
      </c>
      <c r="B14" t="s">
        <v>9</v>
      </c>
      <c r="C14" t="s">
        <v>125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47">
        <f>SUMIF(r_PartPresses,t_Presses[[PRESS]:[PRESS]],t_Parts[hp2015.01])</f>
        <v>0</v>
      </c>
      <c r="AK14" s="47">
        <f>SUMIF(r_PartPresses,t_Presses[[PRESS]:[PRESS]],t_Parts[hp2015.02])</f>
        <v>0</v>
      </c>
      <c r="AL14" s="47">
        <f>SUMIF(r_PartPresses,t_Presses[[PRESS]:[PRESS]],t_Parts[hp2015.03])</f>
        <v>0</v>
      </c>
      <c r="AM14" s="47">
        <f>SUMIF(r_PartPresses,t_Presses[[PRESS]:[PRESS]],t_Parts[hp2015.04])</f>
        <v>0</v>
      </c>
      <c r="AN14" s="47">
        <f>SUMIF(r_PartPresses,t_Presses[[PRESS]:[PRESS]],t_Parts[hp2015.05])</f>
        <v>0</v>
      </c>
      <c r="AO14" s="47">
        <f>SUMIF(r_PartPresses,t_Presses[[PRESS]:[PRESS]],t_Parts[hp2015.06])</f>
        <v>0</v>
      </c>
      <c r="AP14" s="47">
        <f>SUMIF(r_PartPresses,t_Presses[[PRESS]:[PRESS]],t_Parts[hp2015.07])</f>
        <v>0</v>
      </c>
      <c r="AQ14" s="47">
        <f>SUMIF(r_PartPresses,t_Presses[[PRESS]:[PRESS]],t_Parts[hp2015.08])</f>
        <v>0</v>
      </c>
      <c r="AR14" s="47">
        <f>SUMIF(r_PartPresses,t_Presses[[PRESS]:[PRESS]],t_Parts[hp2015.09])</f>
        <v>0</v>
      </c>
      <c r="AS14" s="47">
        <f>SUMIF(r_PartPresses,t_Presses[[PRESS]:[PRESS]],t_Parts[hp2015.10])</f>
        <v>0</v>
      </c>
      <c r="AT14" s="47">
        <f>SUMIF(r_PartPresses,t_Presses[[PRESS]:[PRESS]],t_Parts[hp2015.11])</f>
        <v>0</v>
      </c>
      <c r="AU14" s="47">
        <f>SUMIF(r_PartPresses,t_Presses[[PRESS]:[PRESS]],t_Parts[hp2015.12])</f>
        <v>0</v>
      </c>
      <c r="AV14" s="47">
        <f>SUM(t_Presses[[#This Row],[hp2015.01]:[hp2015.12]])</f>
        <v>0</v>
      </c>
      <c r="AW14" s="47">
        <f>SUMIF(r_PartPresses,t_Presses[[PRESS]:[PRESS]],t_Parts[hp2016.01])</f>
        <v>0</v>
      </c>
      <c r="AX14" s="47">
        <f>SUMIF(r_PartPresses,t_Presses[[PRESS]:[PRESS]],t_Parts[hp2016.02])</f>
        <v>0</v>
      </c>
      <c r="AY14" s="47">
        <f>SUMIF(r_PartPresses,t_Presses[[PRESS]:[PRESS]],t_Parts[hp2016.03])</f>
        <v>0</v>
      </c>
      <c r="AZ14" s="47">
        <f>SUMIF(r_PartPresses,t_Presses[[PRESS]:[PRESS]],t_Parts[hp2016.04])</f>
        <v>0</v>
      </c>
      <c r="BA14" s="47">
        <f>SUMIF(r_PartPresses,t_Presses[[PRESS]:[PRESS]],t_Parts[hp2016.05])</f>
        <v>0</v>
      </c>
      <c r="BB14" s="47">
        <f>SUMIF(r_PartPresses,t_Presses[[PRESS]:[PRESS]],t_Parts[hp2016.06])</f>
        <v>0</v>
      </c>
      <c r="BC14" s="47">
        <f>SUMIF(r_PartPresses,t_Presses[[PRESS]:[PRESS]],t_Parts[hp2016.07])</f>
        <v>0</v>
      </c>
      <c r="BD14" s="47">
        <f>SUMIF(r_PartPresses,t_Presses[[PRESS]:[PRESS]],t_Parts[hp2016.08])</f>
        <v>0</v>
      </c>
      <c r="BE14" s="47">
        <f>SUMIF(r_PartPresses,t_Presses[[PRESS]:[PRESS]],t_Parts[hp2016.09])</f>
        <v>0</v>
      </c>
      <c r="BF14" s="47">
        <f>SUMIF(r_PartPresses,t_Presses[[PRESS]:[PRESS]],t_Parts[hp2016.10])</f>
        <v>0</v>
      </c>
      <c r="BG14" s="47">
        <f>SUMIF(r_PartPresses,t_Presses[[PRESS]:[PRESS]],t_Parts[hp2016.11])</f>
        <v>0</v>
      </c>
      <c r="BH14" s="47">
        <f>SUMIF(r_PartPresses,t_Presses[[PRESS]:[PRESS]],t_Parts[hp2016.12])</f>
        <v>0</v>
      </c>
      <c r="BI14" s="47">
        <f>SUMIF(r_PartPresses,t_Presses[[PRESS]:[PRESS]],t_Parts[hp2016.FY])</f>
        <v>0</v>
      </c>
      <c r="BJ14" s="47">
        <f>SUMIF(r_PartPresses,t_Presses[[PRESS]:[PRESS]],t_Parts[hp2017])</f>
        <v>0</v>
      </c>
      <c r="BK14" s="47">
        <f>SUMIF(r_PartPresses,t_Presses[[PRESS]:[PRESS]],t_Parts[hp2018])</f>
        <v>0</v>
      </c>
      <c r="BL14" s="47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129</v>
      </c>
      <c r="B15" t="s">
        <v>9</v>
      </c>
      <c r="C15" t="s">
        <v>125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47">
        <f>SUMIF(r_PartPresses,t_Presses[[PRESS]:[PRESS]],t_Parts[hp2015.01])</f>
        <v>0</v>
      </c>
      <c r="AK15" s="47">
        <f>SUMIF(r_PartPresses,t_Presses[[PRESS]:[PRESS]],t_Parts[hp2015.02])</f>
        <v>0</v>
      </c>
      <c r="AL15" s="47">
        <f>SUMIF(r_PartPresses,t_Presses[[PRESS]:[PRESS]],t_Parts[hp2015.03])</f>
        <v>0</v>
      </c>
      <c r="AM15" s="47">
        <f>SUMIF(r_PartPresses,t_Presses[[PRESS]:[PRESS]],t_Parts[hp2015.04])</f>
        <v>0</v>
      </c>
      <c r="AN15" s="47">
        <f>SUMIF(r_PartPresses,t_Presses[[PRESS]:[PRESS]],t_Parts[hp2015.05])</f>
        <v>0</v>
      </c>
      <c r="AO15" s="47">
        <f>SUMIF(r_PartPresses,t_Presses[[PRESS]:[PRESS]],t_Parts[hp2015.06])</f>
        <v>0</v>
      </c>
      <c r="AP15" s="47">
        <f>SUMIF(r_PartPresses,t_Presses[[PRESS]:[PRESS]],t_Parts[hp2015.07])</f>
        <v>0</v>
      </c>
      <c r="AQ15" s="47">
        <f>SUMIF(r_PartPresses,t_Presses[[PRESS]:[PRESS]],t_Parts[hp2015.08])</f>
        <v>0</v>
      </c>
      <c r="AR15" s="47">
        <f>SUMIF(r_PartPresses,t_Presses[[PRESS]:[PRESS]],t_Parts[hp2015.09])</f>
        <v>0</v>
      </c>
      <c r="AS15" s="47">
        <f>SUMIF(r_PartPresses,t_Presses[[PRESS]:[PRESS]],t_Parts[hp2015.10])</f>
        <v>0</v>
      </c>
      <c r="AT15" s="47">
        <f>SUMIF(r_PartPresses,t_Presses[[PRESS]:[PRESS]],t_Parts[hp2015.11])</f>
        <v>0</v>
      </c>
      <c r="AU15" s="47">
        <f>SUMIF(r_PartPresses,t_Presses[[PRESS]:[PRESS]],t_Parts[hp2015.12])</f>
        <v>0</v>
      </c>
      <c r="AV15" s="47">
        <f>SUM(t_Presses[[#This Row],[hp2015.01]:[hp2015.12]])</f>
        <v>0</v>
      </c>
      <c r="AW15" s="47">
        <f>SUMIF(r_PartPresses,t_Presses[[PRESS]:[PRESS]],t_Parts[hp2016.01])</f>
        <v>0</v>
      </c>
      <c r="AX15" s="47">
        <f>SUMIF(r_PartPresses,t_Presses[[PRESS]:[PRESS]],t_Parts[hp2016.02])</f>
        <v>0</v>
      </c>
      <c r="AY15" s="47">
        <f>SUMIF(r_PartPresses,t_Presses[[PRESS]:[PRESS]],t_Parts[hp2016.03])</f>
        <v>0</v>
      </c>
      <c r="AZ15" s="47">
        <f>SUMIF(r_PartPresses,t_Presses[[PRESS]:[PRESS]],t_Parts[hp2016.04])</f>
        <v>0</v>
      </c>
      <c r="BA15" s="47">
        <f>SUMIF(r_PartPresses,t_Presses[[PRESS]:[PRESS]],t_Parts[hp2016.05])</f>
        <v>0</v>
      </c>
      <c r="BB15" s="47">
        <f>SUMIF(r_PartPresses,t_Presses[[PRESS]:[PRESS]],t_Parts[hp2016.06])</f>
        <v>0</v>
      </c>
      <c r="BC15" s="47">
        <f>SUMIF(r_PartPresses,t_Presses[[PRESS]:[PRESS]],t_Parts[hp2016.07])</f>
        <v>0</v>
      </c>
      <c r="BD15" s="47">
        <f>SUMIF(r_PartPresses,t_Presses[[PRESS]:[PRESS]],t_Parts[hp2016.08])</f>
        <v>0</v>
      </c>
      <c r="BE15" s="47">
        <f>SUMIF(r_PartPresses,t_Presses[[PRESS]:[PRESS]],t_Parts[hp2016.09])</f>
        <v>0</v>
      </c>
      <c r="BF15" s="47">
        <f>SUMIF(r_PartPresses,t_Presses[[PRESS]:[PRESS]],t_Parts[hp2016.10])</f>
        <v>0</v>
      </c>
      <c r="BG15" s="47">
        <f>SUMIF(r_PartPresses,t_Presses[[PRESS]:[PRESS]],t_Parts[hp2016.11])</f>
        <v>0</v>
      </c>
      <c r="BH15" s="47">
        <f>SUMIF(r_PartPresses,t_Presses[[PRESS]:[PRESS]],t_Parts[hp2016.12])</f>
        <v>0</v>
      </c>
      <c r="BI15" s="47">
        <f>SUMIF(r_PartPresses,t_Presses[[PRESS]:[PRESS]],t_Parts[hp2016.FY])</f>
        <v>0</v>
      </c>
      <c r="BJ15" s="47">
        <f>SUMIF(r_PartPresses,t_Presses[[PRESS]:[PRESS]],t_Parts[hp2017])</f>
        <v>0</v>
      </c>
      <c r="BK15" s="47">
        <f>SUMIF(r_PartPresses,t_Presses[[PRESS]:[PRESS]],t_Parts[hp2018])</f>
        <v>0</v>
      </c>
      <c r="BL15" s="47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130</v>
      </c>
      <c r="B16" t="s">
        <v>9</v>
      </c>
      <c r="C16" t="s">
        <v>125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47">
        <f>SUMIF(r_PartPresses,t_Presses[[PRESS]:[PRESS]],t_Parts[hp2015.01])</f>
        <v>0</v>
      </c>
      <c r="AK16" s="47">
        <f>SUMIF(r_PartPresses,t_Presses[[PRESS]:[PRESS]],t_Parts[hp2015.02])</f>
        <v>0</v>
      </c>
      <c r="AL16" s="47">
        <f>SUMIF(r_PartPresses,t_Presses[[PRESS]:[PRESS]],t_Parts[hp2015.03])</f>
        <v>0</v>
      </c>
      <c r="AM16" s="47">
        <f>SUMIF(r_PartPresses,t_Presses[[PRESS]:[PRESS]],t_Parts[hp2015.04])</f>
        <v>0</v>
      </c>
      <c r="AN16" s="47">
        <f>SUMIF(r_PartPresses,t_Presses[[PRESS]:[PRESS]],t_Parts[hp2015.05])</f>
        <v>0</v>
      </c>
      <c r="AO16" s="47">
        <f>SUMIF(r_PartPresses,t_Presses[[PRESS]:[PRESS]],t_Parts[hp2015.06])</f>
        <v>0</v>
      </c>
      <c r="AP16" s="47">
        <f>SUMIF(r_PartPresses,t_Presses[[PRESS]:[PRESS]],t_Parts[hp2015.07])</f>
        <v>0</v>
      </c>
      <c r="AQ16" s="47">
        <f>SUMIF(r_PartPresses,t_Presses[[PRESS]:[PRESS]],t_Parts[hp2015.08])</f>
        <v>0</v>
      </c>
      <c r="AR16" s="47">
        <f>SUMIF(r_PartPresses,t_Presses[[PRESS]:[PRESS]],t_Parts[hp2015.09])</f>
        <v>0</v>
      </c>
      <c r="AS16" s="47">
        <f>SUMIF(r_PartPresses,t_Presses[[PRESS]:[PRESS]],t_Parts[hp2015.10])</f>
        <v>0</v>
      </c>
      <c r="AT16" s="47">
        <f>SUMIF(r_PartPresses,t_Presses[[PRESS]:[PRESS]],t_Parts[hp2015.11])</f>
        <v>0</v>
      </c>
      <c r="AU16" s="47">
        <f>SUMIF(r_PartPresses,t_Presses[[PRESS]:[PRESS]],t_Parts[hp2015.12])</f>
        <v>0</v>
      </c>
      <c r="AV16" s="47">
        <f>SUM(t_Presses[[#This Row],[hp2015.01]:[hp2015.12]])</f>
        <v>0</v>
      </c>
      <c r="AW16" s="47">
        <f>SUMIF(r_PartPresses,t_Presses[[PRESS]:[PRESS]],t_Parts[hp2016.01])</f>
        <v>0</v>
      </c>
      <c r="AX16" s="47">
        <f>SUMIF(r_PartPresses,t_Presses[[PRESS]:[PRESS]],t_Parts[hp2016.02])</f>
        <v>0</v>
      </c>
      <c r="AY16" s="47">
        <f>SUMIF(r_PartPresses,t_Presses[[PRESS]:[PRESS]],t_Parts[hp2016.03])</f>
        <v>0</v>
      </c>
      <c r="AZ16" s="47">
        <f>SUMIF(r_PartPresses,t_Presses[[PRESS]:[PRESS]],t_Parts[hp2016.04])</f>
        <v>0</v>
      </c>
      <c r="BA16" s="47">
        <f>SUMIF(r_PartPresses,t_Presses[[PRESS]:[PRESS]],t_Parts[hp2016.05])</f>
        <v>0</v>
      </c>
      <c r="BB16" s="47">
        <f>SUMIF(r_PartPresses,t_Presses[[PRESS]:[PRESS]],t_Parts[hp2016.06])</f>
        <v>0</v>
      </c>
      <c r="BC16" s="47">
        <f>SUMIF(r_PartPresses,t_Presses[[PRESS]:[PRESS]],t_Parts[hp2016.07])</f>
        <v>0</v>
      </c>
      <c r="BD16" s="47">
        <f>SUMIF(r_PartPresses,t_Presses[[PRESS]:[PRESS]],t_Parts[hp2016.08])</f>
        <v>0</v>
      </c>
      <c r="BE16" s="47">
        <f>SUMIF(r_PartPresses,t_Presses[[PRESS]:[PRESS]],t_Parts[hp2016.09])</f>
        <v>0</v>
      </c>
      <c r="BF16" s="47">
        <f>SUMIF(r_PartPresses,t_Presses[[PRESS]:[PRESS]],t_Parts[hp2016.10])</f>
        <v>0</v>
      </c>
      <c r="BG16" s="47">
        <f>SUMIF(r_PartPresses,t_Presses[[PRESS]:[PRESS]],t_Parts[hp2016.11])</f>
        <v>0</v>
      </c>
      <c r="BH16" s="47">
        <f>SUMIF(r_PartPresses,t_Presses[[PRESS]:[PRESS]],t_Parts[hp2016.12])</f>
        <v>0</v>
      </c>
      <c r="BI16" s="47">
        <f>SUMIF(r_PartPresses,t_Presses[[PRESS]:[PRESS]],t_Parts[hp2016.FY])</f>
        <v>0</v>
      </c>
      <c r="BJ16" s="47">
        <f>SUMIF(r_PartPresses,t_Presses[[PRESS]:[PRESS]],t_Parts[hp2017])</f>
        <v>0</v>
      </c>
      <c r="BK16" s="47">
        <f>SUMIF(r_PartPresses,t_Presses[[PRESS]:[PRESS]],t_Parts[hp2018])</f>
        <v>0</v>
      </c>
      <c r="BL16" s="47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131</v>
      </c>
      <c r="B17" t="s">
        <v>9</v>
      </c>
      <c r="C17" t="s">
        <v>125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47">
        <f>SUMIF(r_PartPresses,t_Presses[[PRESS]:[PRESS]],t_Parts[hp2015.01])</f>
        <v>0</v>
      </c>
      <c r="AK17" s="47">
        <f>SUMIF(r_PartPresses,t_Presses[[PRESS]:[PRESS]],t_Parts[hp2015.02])</f>
        <v>0</v>
      </c>
      <c r="AL17" s="47">
        <f>SUMIF(r_PartPresses,t_Presses[[PRESS]:[PRESS]],t_Parts[hp2015.03])</f>
        <v>0</v>
      </c>
      <c r="AM17" s="47">
        <f>SUMIF(r_PartPresses,t_Presses[[PRESS]:[PRESS]],t_Parts[hp2015.04])</f>
        <v>0</v>
      </c>
      <c r="AN17" s="47">
        <f>SUMIF(r_PartPresses,t_Presses[[PRESS]:[PRESS]],t_Parts[hp2015.05])</f>
        <v>0</v>
      </c>
      <c r="AO17" s="47">
        <f>SUMIF(r_PartPresses,t_Presses[[PRESS]:[PRESS]],t_Parts[hp2015.06])</f>
        <v>0</v>
      </c>
      <c r="AP17" s="47">
        <f>SUMIF(r_PartPresses,t_Presses[[PRESS]:[PRESS]],t_Parts[hp2015.07])</f>
        <v>0</v>
      </c>
      <c r="AQ17" s="47">
        <f>SUMIF(r_PartPresses,t_Presses[[PRESS]:[PRESS]],t_Parts[hp2015.08])</f>
        <v>0</v>
      </c>
      <c r="AR17" s="47">
        <f>SUMIF(r_PartPresses,t_Presses[[PRESS]:[PRESS]],t_Parts[hp2015.09])</f>
        <v>0</v>
      </c>
      <c r="AS17" s="47">
        <f>SUMIF(r_PartPresses,t_Presses[[PRESS]:[PRESS]],t_Parts[hp2015.10])</f>
        <v>0</v>
      </c>
      <c r="AT17" s="47">
        <f>SUMIF(r_PartPresses,t_Presses[[PRESS]:[PRESS]],t_Parts[hp2015.11])</f>
        <v>0</v>
      </c>
      <c r="AU17" s="47">
        <f>SUMIF(r_PartPresses,t_Presses[[PRESS]:[PRESS]],t_Parts[hp2015.12])</f>
        <v>0</v>
      </c>
      <c r="AV17" s="47">
        <f>SUM(t_Presses[[#This Row],[hp2015.01]:[hp2015.12]])</f>
        <v>0</v>
      </c>
      <c r="AW17" s="47">
        <f>SUMIF(r_PartPresses,t_Presses[[PRESS]:[PRESS]],t_Parts[hp2016.01])</f>
        <v>0</v>
      </c>
      <c r="AX17" s="47">
        <f>SUMIF(r_PartPresses,t_Presses[[PRESS]:[PRESS]],t_Parts[hp2016.02])</f>
        <v>0</v>
      </c>
      <c r="AY17" s="47">
        <f>SUMIF(r_PartPresses,t_Presses[[PRESS]:[PRESS]],t_Parts[hp2016.03])</f>
        <v>0</v>
      </c>
      <c r="AZ17" s="47">
        <f>SUMIF(r_PartPresses,t_Presses[[PRESS]:[PRESS]],t_Parts[hp2016.04])</f>
        <v>0</v>
      </c>
      <c r="BA17" s="47">
        <f>SUMIF(r_PartPresses,t_Presses[[PRESS]:[PRESS]],t_Parts[hp2016.05])</f>
        <v>0</v>
      </c>
      <c r="BB17" s="47">
        <f>SUMIF(r_PartPresses,t_Presses[[PRESS]:[PRESS]],t_Parts[hp2016.06])</f>
        <v>0</v>
      </c>
      <c r="BC17" s="47">
        <f>SUMIF(r_PartPresses,t_Presses[[PRESS]:[PRESS]],t_Parts[hp2016.07])</f>
        <v>0</v>
      </c>
      <c r="BD17" s="47">
        <f>SUMIF(r_PartPresses,t_Presses[[PRESS]:[PRESS]],t_Parts[hp2016.08])</f>
        <v>0</v>
      </c>
      <c r="BE17" s="47">
        <f>SUMIF(r_PartPresses,t_Presses[[PRESS]:[PRESS]],t_Parts[hp2016.09])</f>
        <v>0</v>
      </c>
      <c r="BF17" s="47">
        <f>SUMIF(r_PartPresses,t_Presses[[PRESS]:[PRESS]],t_Parts[hp2016.10])</f>
        <v>0</v>
      </c>
      <c r="BG17" s="47">
        <f>SUMIF(r_PartPresses,t_Presses[[PRESS]:[PRESS]],t_Parts[hp2016.11])</f>
        <v>0</v>
      </c>
      <c r="BH17" s="47">
        <f>SUMIF(r_PartPresses,t_Presses[[PRESS]:[PRESS]],t_Parts[hp2016.12])</f>
        <v>0</v>
      </c>
      <c r="BI17" s="47">
        <f>SUMIF(r_PartPresses,t_Presses[[PRESS]:[PRESS]],t_Parts[hp2016.FY])</f>
        <v>0</v>
      </c>
      <c r="BJ17" s="47">
        <f>SUMIF(r_PartPresses,t_Presses[[PRESS]:[PRESS]],t_Parts[hp2017])</f>
        <v>0</v>
      </c>
      <c r="BK17" s="47">
        <f>SUMIF(r_PartPresses,t_Presses[[PRESS]:[PRESS]],t_Parts[hp2018])</f>
        <v>0</v>
      </c>
      <c r="BL17" s="47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132</v>
      </c>
      <c r="B18" t="s">
        <v>9</v>
      </c>
      <c r="C18" t="s">
        <v>125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47">
        <f>SUMIF(r_PartPresses,t_Presses[[PRESS]:[PRESS]],t_Parts[hp2015.01])</f>
        <v>0</v>
      </c>
      <c r="AK18" s="47">
        <f>SUMIF(r_PartPresses,t_Presses[[PRESS]:[PRESS]],t_Parts[hp2015.02])</f>
        <v>0</v>
      </c>
      <c r="AL18" s="47">
        <f>SUMIF(r_PartPresses,t_Presses[[PRESS]:[PRESS]],t_Parts[hp2015.03])</f>
        <v>0</v>
      </c>
      <c r="AM18" s="47">
        <f>SUMIF(r_PartPresses,t_Presses[[PRESS]:[PRESS]],t_Parts[hp2015.04])</f>
        <v>0</v>
      </c>
      <c r="AN18" s="47">
        <f>SUMIF(r_PartPresses,t_Presses[[PRESS]:[PRESS]],t_Parts[hp2015.05])</f>
        <v>0</v>
      </c>
      <c r="AO18" s="47">
        <f>SUMIF(r_PartPresses,t_Presses[[PRESS]:[PRESS]],t_Parts[hp2015.06])</f>
        <v>0</v>
      </c>
      <c r="AP18" s="47">
        <f>SUMIF(r_PartPresses,t_Presses[[PRESS]:[PRESS]],t_Parts[hp2015.07])</f>
        <v>0</v>
      </c>
      <c r="AQ18" s="47">
        <f>SUMIF(r_PartPresses,t_Presses[[PRESS]:[PRESS]],t_Parts[hp2015.08])</f>
        <v>0</v>
      </c>
      <c r="AR18" s="47">
        <f>SUMIF(r_PartPresses,t_Presses[[PRESS]:[PRESS]],t_Parts[hp2015.09])</f>
        <v>0</v>
      </c>
      <c r="AS18" s="47">
        <f>SUMIF(r_PartPresses,t_Presses[[PRESS]:[PRESS]],t_Parts[hp2015.10])</f>
        <v>0</v>
      </c>
      <c r="AT18" s="47">
        <f>SUMIF(r_PartPresses,t_Presses[[PRESS]:[PRESS]],t_Parts[hp2015.11])</f>
        <v>0</v>
      </c>
      <c r="AU18" s="47">
        <f>SUMIF(r_PartPresses,t_Presses[[PRESS]:[PRESS]],t_Parts[hp2015.12])</f>
        <v>0</v>
      </c>
      <c r="AV18" s="47">
        <f>SUM(t_Presses[[#This Row],[hp2015.01]:[hp2015.12]])</f>
        <v>0</v>
      </c>
      <c r="AW18" s="47">
        <f>SUMIF(r_PartPresses,t_Presses[[PRESS]:[PRESS]],t_Parts[hp2016.01])</f>
        <v>0</v>
      </c>
      <c r="AX18" s="47">
        <f>SUMIF(r_PartPresses,t_Presses[[PRESS]:[PRESS]],t_Parts[hp2016.02])</f>
        <v>0</v>
      </c>
      <c r="AY18" s="47">
        <f>SUMIF(r_PartPresses,t_Presses[[PRESS]:[PRESS]],t_Parts[hp2016.03])</f>
        <v>0</v>
      </c>
      <c r="AZ18" s="47">
        <f>SUMIF(r_PartPresses,t_Presses[[PRESS]:[PRESS]],t_Parts[hp2016.04])</f>
        <v>0</v>
      </c>
      <c r="BA18" s="47">
        <f>SUMIF(r_PartPresses,t_Presses[[PRESS]:[PRESS]],t_Parts[hp2016.05])</f>
        <v>0</v>
      </c>
      <c r="BB18" s="47">
        <f>SUMIF(r_PartPresses,t_Presses[[PRESS]:[PRESS]],t_Parts[hp2016.06])</f>
        <v>0</v>
      </c>
      <c r="BC18" s="47">
        <f>SUMIF(r_PartPresses,t_Presses[[PRESS]:[PRESS]],t_Parts[hp2016.07])</f>
        <v>0</v>
      </c>
      <c r="BD18" s="47">
        <f>SUMIF(r_PartPresses,t_Presses[[PRESS]:[PRESS]],t_Parts[hp2016.08])</f>
        <v>0</v>
      </c>
      <c r="BE18" s="47">
        <f>SUMIF(r_PartPresses,t_Presses[[PRESS]:[PRESS]],t_Parts[hp2016.09])</f>
        <v>0</v>
      </c>
      <c r="BF18" s="47">
        <f>SUMIF(r_PartPresses,t_Presses[[PRESS]:[PRESS]],t_Parts[hp2016.10])</f>
        <v>0</v>
      </c>
      <c r="BG18" s="47">
        <f>SUMIF(r_PartPresses,t_Presses[[PRESS]:[PRESS]],t_Parts[hp2016.11])</f>
        <v>0</v>
      </c>
      <c r="BH18" s="47">
        <f>SUMIF(r_PartPresses,t_Presses[[PRESS]:[PRESS]],t_Parts[hp2016.12])</f>
        <v>0</v>
      </c>
      <c r="BI18" s="47">
        <f>SUMIF(r_PartPresses,t_Presses[[PRESS]:[PRESS]],t_Parts[hp2016.FY])</f>
        <v>0</v>
      </c>
      <c r="BJ18" s="47">
        <f>SUMIF(r_PartPresses,t_Presses[[PRESS]:[PRESS]],t_Parts[hp2017])</f>
        <v>0</v>
      </c>
      <c r="BK18" s="47">
        <f>SUMIF(r_PartPresses,t_Presses[[PRESS]:[PRESS]],t_Parts[hp2018])</f>
        <v>0</v>
      </c>
      <c r="BL18" s="47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133</v>
      </c>
      <c r="B19" t="s">
        <v>9</v>
      </c>
      <c r="C19" t="s">
        <v>125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47">
        <f>SUMIF(r_PartPresses,t_Presses[[PRESS]:[PRESS]],t_Parts[hp2015.01])</f>
        <v>0</v>
      </c>
      <c r="AK19" s="47">
        <f>SUMIF(r_PartPresses,t_Presses[[PRESS]:[PRESS]],t_Parts[hp2015.02])</f>
        <v>0</v>
      </c>
      <c r="AL19" s="47">
        <f>SUMIF(r_PartPresses,t_Presses[[PRESS]:[PRESS]],t_Parts[hp2015.03])</f>
        <v>0</v>
      </c>
      <c r="AM19" s="47">
        <f>SUMIF(r_PartPresses,t_Presses[[PRESS]:[PRESS]],t_Parts[hp2015.04])</f>
        <v>0</v>
      </c>
      <c r="AN19" s="47">
        <f>SUMIF(r_PartPresses,t_Presses[[PRESS]:[PRESS]],t_Parts[hp2015.05])</f>
        <v>0</v>
      </c>
      <c r="AO19" s="47">
        <f>SUMIF(r_PartPresses,t_Presses[[PRESS]:[PRESS]],t_Parts[hp2015.06])</f>
        <v>0</v>
      </c>
      <c r="AP19" s="47">
        <f>SUMIF(r_PartPresses,t_Presses[[PRESS]:[PRESS]],t_Parts[hp2015.07])</f>
        <v>0</v>
      </c>
      <c r="AQ19" s="47">
        <f>SUMIF(r_PartPresses,t_Presses[[PRESS]:[PRESS]],t_Parts[hp2015.08])</f>
        <v>0</v>
      </c>
      <c r="AR19" s="47">
        <f>SUMIF(r_PartPresses,t_Presses[[PRESS]:[PRESS]],t_Parts[hp2015.09])</f>
        <v>0</v>
      </c>
      <c r="AS19" s="47">
        <f>SUMIF(r_PartPresses,t_Presses[[PRESS]:[PRESS]],t_Parts[hp2015.10])</f>
        <v>0</v>
      </c>
      <c r="AT19" s="47">
        <f>SUMIF(r_PartPresses,t_Presses[[PRESS]:[PRESS]],t_Parts[hp2015.11])</f>
        <v>0</v>
      </c>
      <c r="AU19" s="47">
        <f>SUMIF(r_PartPresses,t_Presses[[PRESS]:[PRESS]],t_Parts[hp2015.12])</f>
        <v>0</v>
      </c>
      <c r="AV19" s="47">
        <f>SUM(t_Presses[[#This Row],[hp2015.01]:[hp2015.12]])</f>
        <v>0</v>
      </c>
      <c r="AW19" s="47">
        <f>SUMIF(r_PartPresses,t_Presses[[PRESS]:[PRESS]],t_Parts[hp2016.01])</f>
        <v>0</v>
      </c>
      <c r="AX19" s="47">
        <f>SUMIF(r_PartPresses,t_Presses[[PRESS]:[PRESS]],t_Parts[hp2016.02])</f>
        <v>0</v>
      </c>
      <c r="AY19" s="47">
        <f>SUMIF(r_PartPresses,t_Presses[[PRESS]:[PRESS]],t_Parts[hp2016.03])</f>
        <v>0</v>
      </c>
      <c r="AZ19" s="47">
        <f>SUMIF(r_PartPresses,t_Presses[[PRESS]:[PRESS]],t_Parts[hp2016.04])</f>
        <v>0</v>
      </c>
      <c r="BA19" s="47">
        <f>SUMIF(r_PartPresses,t_Presses[[PRESS]:[PRESS]],t_Parts[hp2016.05])</f>
        <v>0</v>
      </c>
      <c r="BB19" s="47">
        <f>SUMIF(r_PartPresses,t_Presses[[PRESS]:[PRESS]],t_Parts[hp2016.06])</f>
        <v>0</v>
      </c>
      <c r="BC19" s="47">
        <f>SUMIF(r_PartPresses,t_Presses[[PRESS]:[PRESS]],t_Parts[hp2016.07])</f>
        <v>0</v>
      </c>
      <c r="BD19" s="47">
        <f>SUMIF(r_PartPresses,t_Presses[[PRESS]:[PRESS]],t_Parts[hp2016.08])</f>
        <v>0</v>
      </c>
      <c r="BE19" s="47">
        <f>SUMIF(r_PartPresses,t_Presses[[PRESS]:[PRESS]],t_Parts[hp2016.09])</f>
        <v>0</v>
      </c>
      <c r="BF19" s="47">
        <f>SUMIF(r_PartPresses,t_Presses[[PRESS]:[PRESS]],t_Parts[hp2016.10])</f>
        <v>0</v>
      </c>
      <c r="BG19" s="47">
        <f>SUMIF(r_PartPresses,t_Presses[[PRESS]:[PRESS]],t_Parts[hp2016.11])</f>
        <v>0</v>
      </c>
      <c r="BH19" s="47">
        <f>SUMIF(r_PartPresses,t_Presses[[PRESS]:[PRESS]],t_Parts[hp2016.12])</f>
        <v>0</v>
      </c>
      <c r="BI19" s="47">
        <f>SUMIF(r_PartPresses,t_Presses[[PRESS]:[PRESS]],t_Parts[hp2016.FY])</f>
        <v>0</v>
      </c>
      <c r="BJ19" s="47">
        <f>SUMIF(r_PartPresses,t_Presses[[PRESS]:[PRESS]],t_Parts[hp2017])</f>
        <v>0</v>
      </c>
      <c r="BK19" s="47">
        <f>SUMIF(r_PartPresses,t_Presses[[PRESS]:[PRESS]],t_Parts[hp2018])</f>
        <v>0</v>
      </c>
      <c r="BL19" s="47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134</v>
      </c>
      <c r="B20" t="s">
        <v>9</v>
      </c>
      <c r="C20" t="s">
        <v>125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47">
        <f>SUMIF(r_PartPresses,t_Presses[[PRESS]:[PRESS]],t_Parts[hp2015.01])</f>
        <v>0</v>
      </c>
      <c r="AK20" s="47">
        <f>SUMIF(r_PartPresses,t_Presses[[PRESS]:[PRESS]],t_Parts[hp2015.02])</f>
        <v>0</v>
      </c>
      <c r="AL20" s="47">
        <f>SUMIF(r_PartPresses,t_Presses[[PRESS]:[PRESS]],t_Parts[hp2015.03])</f>
        <v>0</v>
      </c>
      <c r="AM20" s="47">
        <f>SUMIF(r_PartPresses,t_Presses[[PRESS]:[PRESS]],t_Parts[hp2015.04])</f>
        <v>0</v>
      </c>
      <c r="AN20" s="47">
        <f>SUMIF(r_PartPresses,t_Presses[[PRESS]:[PRESS]],t_Parts[hp2015.05])</f>
        <v>0</v>
      </c>
      <c r="AO20" s="47">
        <f>SUMIF(r_PartPresses,t_Presses[[PRESS]:[PRESS]],t_Parts[hp2015.06])</f>
        <v>0</v>
      </c>
      <c r="AP20" s="47">
        <f>SUMIF(r_PartPresses,t_Presses[[PRESS]:[PRESS]],t_Parts[hp2015.07])</f>
        <v>0</v>
      </c>
      <c r="AQ20" s="47">
        <f>SUMIF(r_PartPresses,t_Presses[[PRESS]:[PRESS]],t_Parts[hp2015.08])</f>
        <v>0</v>
      </c>
      <c r="AR20" s="47">
        <f>SUMIF(r_PartPresses,t_Presses[[PRESS]:[PRESS]],t_Parts[hp2015.09])</f>
        <v>0</v>
      </c>
      <c r="AS20" s="47">
        <f>SUMIF(r_PartPresses,t_Presses[[PRESS]:[PRESS]],t_Parts[hp2015.10])</f>
        <v>0</v>
      </c>
      <c r="AT20" s="47">
        <f>SUMIF(r_PartPresses,t_Presses[[PRESS]:[PRESS]],t_Parts[hp2015.11])</f>
        <v>0</v>
      </c>
      <c r="AU20" s="47">
        <f>SUMIF(r_PartPresses,t_Presses[[PRESS]:[PRESS]],t_Parts[hp2015.12])</f>
        <v>0</v>
      </c>
      <c r="AV20" s="47">
        <f>SUM(t_Presses[[#This Row],[hp2015.01]:[hp2015.12]])</f>
        <v>0</v>
      </c>
      <c r="AW20" s="47">
        <f>SUMIF(r_PartPresses,t_Presses[[PRESS]:[PRESS]],t_Parts[hp2016.01])</f>
        <v>0</v>
      </c>
      <c r="AX20" s="47">
        <f>SUMIF(r_PartPresses,t_Presses[[PRESS]:[PRESS]],t_Parts[hp2016.02])</f>
        <v>0</v>
      </c>
      <c r="AY20" s="47">
        <f>SUMIF(r_PartPresses,t_Presses[[PRESS]:[PRESS]],t_Parts[hp2016.03])</f>
        <v>0</v>
      </c>
      <c r="AZ20" s="47">
        <f>SUMIF(r_PartPresses,t_Presses[[PRESS]:[PRESS]],t_Parts[hp2016.04])</f>
        <v>0</v>
      </c>
      <c r="BA20" s="47">
        <f>SUMIF(r_PartPresses,t_Presses[[PRESS]:[PRESS]],t_Parts[hp2016.05])</f>
        <v>0</v>
      </c>
      <c r="BB20" s="47">
        <f>SUMIF(r_PartPresses,t_Presses[[PRESS]:[PRESS]],t_Parts[hp2016.06])</f>
        <v>0</v>
      </c>
      <c r="BC20" s="47">
        <f>SUMIF(r_PartPresses,t_Presses[[PRESS]:[PRESS]],t_Parts[hp2016.07])</f>
        <v>0</v>
      </c>
      <c r="BD20" s="47">
        <f>SUMIF(r_PartPresses,t_Presses[[PRESS]:[PRESS]],t_Parts[hp2016.08])</f>
        <v>0</v>
      </c>
      <c r="BE20" s="47">
        <f>SUMIF(r_PartPresses,t_Presses[[PRESS]:[PRESS]],t_Parts[hp2016.09])</f>
        <v>0</v>
      </c>
      <c r="BF20" s="47">
        <f>SUMIF(r_PartPresses,t_Presses[[PRESS]:[PRESS]],t_Parts[hp2016.10])</f>
        <v>0</v>
      </c>
      <c r="BG20" s="47">
        <f>SUMIF(r_PartPresses,t_Presses[[PRESS]:[PRESS]],t_Parts[hp2016.11])</f>
        <v>0</v>
      </c>
      <c r="BH20" s="47">
        <f>SUMIF(r_PartPresses,t_Presses[[PRESS]:[PRESS]],t_Parts[hp2016.12])</f>
        <v>0</v>
      </c>
      <c r="BI20" s="47">
        <f>SUMIF(r_PartPresses,t_Presses[[PRESS]:[PRESS]],t_Parts[hp2016.FY])</f>
        <v>0</v>
      </c>
      <c r="BJ20" s="47">
        <f>SUMIF(r_PartPresses,t_Presses[[PRESS]:[PRESS]],t_Parts[hp2017])</f>
        <v>0</v>
      </c>
      <c r="BK20" s="47">
        <f>SUMIF(r_PartPresses,t_Presses[[PRESS]:[PRESS]],t_Parts[hp2018])</f>
        <v>0</v>
      </c>
      <c r="BL20" s="47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135</v>
      </c>
      <c r="B21" t="s">
        <v>9</v>
      </c>
      <c r="C21" t="s">
        <v>125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47">
        <f>SUMIF(r_PartPresses,t_Presses[[PRESS]:[PRESS]],t_Parts[hp2015.01])</f>
        <v>0</v>
      </c>
      <c r="AK21" s="47">
        <f>SUMIF(r_PartPresses,t_Presses[[PRESS]:[PRESS]],t_Parts[hp2015.02])</f>
        <v>0</v>
      </c>
      <c r="AL21" s="47">
        <f>SUMIF(r_PartPresses,t_Presses[[PRESS]:[PRESS]],t_Parts[hp2015.03])</f>
        <v>0</v>
      </c>
      <c r="AM21" s="47">
        <f>SUMIF(r_PartPresses,t_Presses[[PRESS]:[PRESS]],t_Parts[hp2015.04])</f>
        <v>0</v>
      </c>
      <c r="AN21" s="47">
        <f>SUMIF(r_PartPresses,t_Presses[[PRESS]:[PRESS]],t_Parts[hp2015.05])</f>
        <v>0</v>
      </c>
      <c r="AO21" s="47">
        <f>SUMIF(r_PartPresses,t_Presses[[PRESS]:[PRESS]],t_Parts[hp2015.06])</f>
        <v>0</v>
      </c>
      <c r="AP21" s="47">
        <f>SUMIF(r_PartPresses,t_Presses[[PRESS]:[PRESS]],t_Parts[hp2015.07])</f>
        <v>0</v>
      </c>
      <c r="AQ21" s="47">
        <f>SUMIF(r_PartPresses,t_Presses[[PRESS]:[PRESS]],t_Parts[hp2015.08])</f>
        <v>0</v>
      </c>
      <c r="AR21" s="47">
        <f>SUMIF(r_PartPresses,t_Presses[[PRESS]:[PRESS]],t_Parts[hp2015.09])</f>
        <v>0</v>
      </c>
      <c r="AS21" s="47">
        <f>SUMIF(r_PartPresses,t_Presses[[PRESS]:[PRESS]],t_Parts[hp2015.10])</f>
        <v>0</v>
      </c>
      <c r="AT21" s="47">
        <f>SUMIF(r_PartPresses,t_Presses[[PRESS]:[PRESS]],t_Parts[hp2015.11])</f>
        <v>0</v>
      </c>
      <c r="AU21" s="47">
        <f>SUMIF(r_PartPresses,t_Presses[[PRESS]:[PRESS]],t_Parts[hp2015.12])</f>
        <v>0</v>
      </c>
      <c r="AV21" s="47">
        <f>SUM(t_Presses[[#This Row],[hp2015.01]:[hp2015.12]])</f>
        <v>0</v>
      </c>
      <c r="AW21" s="47">
        <f>SUMIF(r_PartPresses,t_Presses[[PRESS]:[PRESS]],t_Parts[hp2016.01])</f>
        <v>0</v>
      </c>
      <c r="AX21" s="47">
        <f>SUMIF(r_PartPresses,t_Presses[[PRESS]:[PRESS]],t_Parts[hp2016.02])</f>
        <v>0</v>
      </c>
      <c r="AY21" s="47">
        <f>SUMIF(r_PartPresses,t_Presses[[PRESS]:[PRESS]],t_Parts[hp2016.03])</f>
        <v>0</v>
      </c>
      <c r="AZ21" s="47">
        <f>SUMIF(r_PartPresses,t_Presses[[PRESS]:[PRESS]],t_Parts[hp2016.04])</f>
        <v>0</v>
      </c>
      <c r="BA21" s="47">
        <f>SUMIF(r_PartPresses,t_Presses[[PRESS]:[PRESS]],t_Parts[hp2016.05])</f>
        <v>0</v>
      </c>
      <c r="BB21" s="47">
        <f>SUMIF(r_PartPresses,t_Presses[[PRESS]:[PRESS]],t_Parts[hp2016.06])</f>
        <v>0</v>
      </c>
      <c r="BC21" s="47">
        <f>SUMIF(r_PartPresses,t_Presses[[PRESS]:[PRESS]],t_Parts[hp2016.07])</f>
        <v>0</v>
      </c>
      <c r="BD21" s="47">
        <f>SUMIF(r_PartPresses,t_Presses[[PRESS]:[PRESS]],t_Parts[hp2016.08])</f>
        <v>0</v>
      </c>
      <c r="BE21" s="47">
        <f>SUMIF(r_PartPresses,t_Presses[[PRESS]:[PRESS]],t_Parts[hp2016.09])</f>
        <v>0</v>
      </c>
      <c r="BF21" s="47">
        <f>SUMIF(r_PartPresses,t_Presses[[PRESS]:[PRESS]],t_Parts[hp2016.10])</f>
        <v>0</v>
      </c>
      <c r="BG21" s="47">
        <f>SUMIF(r_PartPresses,t_Presses[[PRESS]:[PRESS]],t_Parts[hp2016.11])</f>
        <v>0</v>
      </c>
      <c r="BH21" s="47">
        <f>SUMIF(r_PartPresses,t_Presses[[PRESS]:[PRESS]],t_Parts[hp2016.12])</f>
        <v>0</v>
      </c>
      <c r="BI21" s="47">
        <f>SUMIF(r_PartPresses,t_Presses[[PRESS]:[PRESS]],t_Parts[hp2016.FY])</f>
        <v>0</v>
      </c>
      <c r="BJ21" s="47">
        <f>SUMIF(r_PartPresses,t_Presses[[PRESS]:[PRESS]],t_Parts[hp2017])</f>
        <v>0</v>
      </c>
      <c r="BK21" s="47">
        <f>SUMIF(r_PartPresses,t_Presses[[PRESS]:[PRESS]],t_Parts[hp2018])</f>
        <v>0</v>
      </c>
      <c r="BL21" s="47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136</v>
      </c>
      <c r="B22" t="s">
        <v>9</v>
      </c>
      <c r="C22" t="s">
        <v>125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47">
        <f>SUMIF(r_PartPresses,t_Presses[[PRESS]:[PRESS]],t_Parts[hp2015.01])</f>
        <v>0</v>
      </c>
      <c r="AK22" s="47">
        <f>SUMIF(r_PartPresses,t_Presses[[PRESS]:[PRESS]],t_Parts[hp2015.02])</f>
        <v>0</v>
      </c>
      <c r="AL22" s="47">
        <f>SUMIF(r_PartPresses,t_Presses[[PRESS]:[PRESS]],t_Parts[hp2015.03])</f>
        <v>0</v>
      </c>
      <c r="AM22" s="47">
        <f>SUMIF(r_PartPresses,t_Presses[[PRESS]:[PRESS]],t_Parts[hp2015.04])</f>
        <v>0</v>
      </c>
      <c r="AN22" s="47">
        <f>SUMIF(r_PartPresses,t_Presses[[PRESS]:[PRESS]],t_Parts[hp2015.05])</f>
        <v>0</v>
      </c>
      <c r="AO22" s="47">
        <f>SUMIF(r_PartPresses,t_Presses[[PRESS]:[PRESS]],t_Parts[hp2015.06])</f>
        <v>0</v>
      </c>
      <c r="AP22" s="47">
        <f>SUMIF(r_PartPresses,t_Presses[[PRESS]:[PRESS]],t_Parts[hp2015.07])</f>
        <v>0</v>
      </c>
      <c r="AQ22" s="47">
        <f>SUMIF(r_PartPresses,t_Presses[[PRESS]:[PRESS]],t_Parts[hp2015.08])</f>
        <v>0</v>
      </c>
      <c r="AR22" s="47">
        <f>SUMIF(r_PartPresses,t_Presses[[PRESS]:[PRESS]],t_Parts[hp2015.09])</f>
        <v>0</v>
      </c>
      <c r="AS22" s="47">
        <f>SUMIF(r_PartPresses,t_Presses[[PRESS]:[PRESS]],t_Parts[hp2015.10])</f>
        <v>0</v>
      </c>
      <c r="AT22" s="47">
        <f>SUMIF(r_PartPresses,t_Presses[[PRESS]:[PRESS]],t_Parts[hp2015.11])</f>
        <v>0</v>
      </c>
      <c r="AU22" s="47">
        <f>SUMIF(r_PartPresses,t_Presses[[PRESS]:[PRESS]],t_Parts[hp2015.12])</f>
        <v>0</v>
      </c>
      <c r="AV22" s="47">
        <f>SUM(t_Presses[[#This Row],[hp2015.01]:[hp2015.12]])</f>
        <v>0</v>
      </c>
      <c r="AW22" s="47">
        <f>SUMIF(r_PartPresses,t_Presses[[PRESS]:[PRESS]],t_Parts[hp2016.01])</f>
        <v>0</v>
      </c>
      <c r="AX22" s="47">
        <f>SUMIF(r_PartPresses,t_Presses[[PRESS]:[PRESS]],t_Parts[hp2016.02])</f>
        <v>0</v>
      </c>
      <c r="AY22" s="47">
        <f>SUMIF(r_PartPresses,t_Presses[[PRESS]:[PRESS]],t_Parts[hp2016.03])</f>
        <v>0</v>
      </c>
      <c r="AZ22" s="47">
        <f>SUMIF(r_PartPresses,t_Presses[[PRESS]:[PRESS]],t_Parts[hp2016.04])</f>
        <v>0</v>
      </c>
      <c r="BA22" s="47">
        <f>SUMIF(r_PartPresses,t_Presses[[PRESS]:[PRESS]],t_Parts[hp2016.05])</f>
        <v>0</v>
      </c>
      <c r="BB22" s="47">
        <f>SUMIF(r_PartPresses,t_Presses[[PRESS]:[PRESS]],t_Parts[hp2016.06])</f>
        <v>0</v>
      </c>
      <c r="BC22" s="47">
        <f>SUMIF(r_PartPresses,t_Presses[[PRESS]:[PRESS]],t_Parts[hp2016.07])</f>
        <v>0</v>
      </c>
      <c r="BD22" s="47">
        <f>SUMIF(r_PartPresses,t_Presses[[PRESS]:[PRESS]],t_Parts[hp2016.08])</f>
        <v>0</v>
      </c>
      <c r="BE22" s="47">
        <f>SUMIF(r_PartPresses,t_Presses[[PRESS]:[PRESS]],t_Parts[hp2016.09])</f>
        <v>0</v>
      </c>
      <c r="BF22" s="47">
        <f>SUMIF(r_PartPresses,t_Presses[[PRESS]:[PRESS]],t_Parts[hp2016.10])</f>
        <v>0</v>
      </c>
      <c r="BG22" s="47">
        <f>SUMIF(r_PartPresses,t_Presses[[PRESS]:[PRESS]],t_Parts[hp2016.11])</f>
        <v>0</v>
      </c>
      <c r="BH22" s="47">
        <f>SUMIF(r_PartPresses,t_Presses[[PRESS]:[PRESS]],t_Parts[hp2016.12])</f>
        <v>0</v>
      </c>
      <c r="BI22" s="47">
        <f>SUMIF(r_PartPresses,t_Presses[[PRESS]:[PRESS]],t_Parts[hp2016.FY])</f>
        <v>0</v>
      </c>
      <c r="BJ22" s="47">
        <f>SUMIF(r_PartPresses,t_Presses[[PRESS]:[PRESS]],t_Parts[hp2017])</f>
        <v>0</v>
      </c>
      <c r="BK22" s="47">
        <f>SUMIF(r_PartPresses,t_Presses[[PRESS]:[PRESS]],t_Parts[hp2018])</f>
        <v>0</v>
      </c>
      <c r="BL22" s="47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137</v>
      </c>
      <c r="B23" t="s">
        <v>9</v>
      </c>
      <c r="C23" t="s">
        <v>125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47">
        <f>SUMIF(r_PartPresses,t_Presses[[PRESS]:[PRESS]],t_Parts[hp2015.01])</f>
        <v>0</v>
      </c>
      <c r="AK23" s="47">
        <f>SUMIF(r_PartPresses,t_Presses[[PRESS]:[PRESS]],t_Parts[hp2015.02])</f>
        <v>0</v>
      </c>
      <c r="AL23" s="47">
        <f>SUMIF(r_PartPresses,t_Presses[[PRESS]:[PRESS]],t_Parts[hp2015.03])</f>
        <v>0</v>
      </c>
      <c r="AM23" s="47">
        <f>SUMIF(r_PartPresses,t_Presses[[PRESS]:[PRESS]],t_Parts[hp2015.04])</f>
        <v>0</v>
      </c>
      <c r="AN23" s="47">
        <f>SUMIF(r_PartPresses,t_Presses[[PRESS]:[PRESS]],t_Parts[hp2015.05])</f>
        <v>0</v>
      </c>
      <c r="AO23" s="47">
        <f>SUMIF(r_PartPresses,t_Presses[[PRESS]:[PRESS]],t_Parts[hp2015.06])</f>
        <v>0</v>
      </c>
      <c r="AP23" s="47">
        <f>SUMIF(r_PartPresses,t_Presses[[PRESS]:[PRESS]],t_Parts[hp2015.07])</f>
        <v>0</v>
      </c>
      <c r="AQ23" s="47">
        <f>SUMIF(r_PartPresses,t_Presses[[PRESS]:[PRESS]],t_Parts[hp2015.08])</f>
        <v>0</v>
      </c>
      <c r="AR23" s="47">
        <f>SUMIF(r_PartPresses,t_Presses[[PRESS]:[PRESS]],t_Parts[hp2015.09])</f>
        <v>0</v>
      </c>
      <c r="AS23" s="47">
        <f>SUMIF(r_PartPresses,t_Presses[[PRESS]:[PRESS]],t_Parts[hp2015.10])</f>
        <v>0</v>
      </c>
      <c r="AT23" s="47">
        <f>SUMIF(r_PartPresses,t_Presses[[PRESS]:[PRESS]],t_Parts[hp2015.11])</f>
        <v>0</v>
      </c>
      <c r="AU23" s="47">
        <f>SUMIF(r_PartPresses,t_Presses[[PRESS]:[PRESS]],t_Parts[hp2015.12])</f>
        <v>0</v>
      </c>
      <c r="AV23" s="47">
        <f>SUM(t_Presses[[#This Row],[hp2015.01]:[hp2015.12]])</f>
        <v>0</v>
      </c>
      <c r="AW23" s="47">
        <f>SUMIF(r_PartPresses,t_Presses[[PRESS]:[PRESS]],t_Parts[hp2016.01])</f>
        <v>0</v>
      </c>
      <c r="AX23" s="47">
        <f>SUMIF(r_PartPresses,t_Presses[[PRESS]:[PRESS]],t_Parts[hp2016.02])</f>
        <v>0</v>
      </c>
      <c r="AY23" s="47">
        <f>SUMIF(r_PartPresses,t_Presses[[PRESS]:[PRESS]],t_Parts[hp2016.03])</f>
        <v>0</v>
      </c>
      <c r="AZ23" s="47">
        <f>SUMIF(r_PartPresses,t_Presses[[PRESS]:[PRESS]],t_Parts[hp2016.04])</f>
        <v>0</v>
      </c>
      <c r="BA23" s="47">
        <f>SUMIF(r_PartPresses,t_Presses[[PRESS]:[PRESS]],t_Parts[hp2016.05])</f>
        <v>0</v>
      </c>
      <c r="BB23" s="47">
        <f>SUMIF(r_PartPresses,t_Presses[[PRESS]:[PRESS]],t_Parts[hp2016.06])</f>
        <v>0</v>
      </c>
      <c r="BC23" s="47">
        <f>SUMIF(r_PartPresses,t_Presses[[PRESS]:[PRESS]],t_Parts[hp2016.07])</f>
        <v>0</v>
      </c>
      <c r="BD23" s="47">
        <f>SUMIF(r_PartPresses,t_Presses[[PRESS]:[PRESS]],t_Parts[hp2016.08])</f>
        <v>0</v>
      </c>
      <c r="BE23" s="47">
        <f>SUMIF(r_PartPresses,t_Presses[[PRESS]:[PRESS]],t_Parts[hp2016.09])</f>
        <v>0</v>
      </c>
      <c r="BF23" s="47">
        <f>SUMIF(r_PartPresses,t_Presses[[PRESS]:[PRESS]],t_Parts[hp2016.10])</f>
        <v>0</v>
      </c>
      <c r="BG23" s="47">
        <f>SUMIF(r_PartPresses,t_Presses[[PRESS]:[PRESS]],t_Parts[hp2016.11])</f>
        <v>0</v>
      </c>
      <c r="BH23" s="47">
        <f>SUMIF(r_PartPresses,t_Presses[[PRESS]:[PRESS]],t_Parts[hp2016.12])</f>
        <v>0</v>
      </c>
      <c r="BI23" s="47">
        <f>SUMIF(r_PartPresses,t_Presses[[PRESS]:[PRESS]],t_Parts[hp2016.FY])</f>
        <v>0</v>
      </c>
      <c r="BJ23" s="47">
        <f>SUMIF(r_PartPresses,t_Presses[[PRESS]:[PRESS]],t_Parts[hp2017])</f>
        <v>0</v>
      </c>
      <c r="BK23" s="47">
        <f>SUMIF(r_PartPresses,t_Presses[[PRESS]:[PRESS]],t_Parts[hp2018])</f>
        <v>0</v>
      </c>
      <c r="BL23" s="47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138</v>
      </c>
      <c r="B24" t="s">
        <v>9</v>
      </c>
      <c r="C24" t="s">
        <v>125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47">
        <f>SUMIF(r_PartPresses,t_Presses[[PRESS]:[PRESS]],t_Parts[hp2015.01])</f>
        <v>0</v>
      </c>
      <c r="AK24" s="47">
        <f>SUMIF(r_PartPresses,t_Presses[[PRESS]:[PRESS]],t_Parts[hp2015.02])</f>
        <v>0</v>
      </c>
      <c r="AL24" s="47">
        <f>SUMIF(r_PartPresses,t_Presses[[PRESS]:[PRESS]],t_Parts[hp2015.03])</f>
        <v>0</v>
      </c>
      <c r="AM24" s="47">
        <f>SUMIF(r_PartPresses,t_Presses[[PRESS]:[PRESS]],t_Parts[hp2015.04])</f>
        <v>0</v>
      </c>
      <c r="AN24" s="47">
        <f>SUMIF(r_PartPresses,t_Presses[[PRESS]:[PRESS]],t_Parts[hp2015.05])</f>
        <v>0</v>
      </c>
      <c r="AO24" s="47">
        <f>SUMIF(r_PartPresses,t_Presses[[PRESS]:[PRESS]],t_Parts[hp2015.06])</f>
        <v>0</v>
      </c>
      <c r="AP24" s="47">
        <f>SUMIF(r_PartPresses,t_Presses[[PRESS]:[PRESS]],t_Parts[hp2015.07])</f>
        <v>0</v>
      </c>
      <c r="AQ24" s="47">
        <f>SUMIF(r_PartPresses,t_Presses[[PRESS]:[PRESS]],t_Parts[hp2015.08])</f>
        <v>0</v>
      </c>
      <c r="AR24" s="47">
        <f>SUMIF(r_PartPresses,t_Presses[[PRESS]:[PRESS]],t_Parts[hp2015.09])</f>
        <v>0</v>
      </c>
      <c r="AS24" s="47">
        <f>SUMIF(r_PartPresses,t_Presses[[PRESS]:[PRESS]],t_Parts[hp2015.10])</f>
        <v>0</v>
      </c>
      <c r="AT24" s="47">
        <f>SUMIF(r_PartPresses,t_Presses[[PRESS]:[PRESS]],t_Parts[hp2015.11])</f>
        <v>0</v>
      </c>
      <c r="AU24" s="47">
        <f>SUMIF(r_PartPresses,t_Presses[[PRESS]:[PRESS]],t_Parts[hp2015.12])</f>
        <v>0</v>
      </c>
      <c r="AV24" s="47">
        <f>SUM(t_Presses[[#This Row],[hp2015.01]:[hp2015.12]])</f>
        <v>0</v>
      </c>
      <c r="AW24" s="47">
        <f>SUMIF(r_PartPresses,t_Presses[[PRESS]:[PRESS]],t_Parts[hp2016.01])</f>
        <v>0</v>
      </c>
      <c r="AX24" s="47">
        <f>SUMIF(r_PartPresses,t_Presses[[PRESS]:[PRESS]],t_Parts[hp2016.02])</f>
        <v>0</v>
      </c>
      <c r="AY24" s="47">
        <f>SUMIF(r_PartPresses,t_Presses[[PRESS]:[PRESS]],t_Parts[hp2016.03])</f>
        <v>0</v>
      </c>
      <c r="AZ24" s="47">
        <f>SUMIF(r_PartPresses,t_Presses[[PRESS]:[PRESS]],t_Parts[hp2016.04])</f>
        <v>0</v>
      </c>
      <c r="BA24" s="47">
        <f>SUMIF(r_PartPresses,t_Presses[[PRESS]:[PRESS]],t_Parts[hp2016.05])</f>
        <v>0</v>
      </c>
      <c r="BB24" s="47">
        <f>SUMIF(r_PartPresses,t_Presses[[PRESS]:[PRESS]],t_Parts[hp2016.06])</f>
        <v>0</v>
      </c>
      <c r="BC24" s="47">
        <f>SUMIF(r_PartPresses,t_Presses[[PRESS]:[PRESS]],t_Parts[hp2016.07])</f>
        <v>0</v>
      </c>
      <c r="BD24" s="47">
        <f>SUMIF(r_PartPresses,t_Presses[[PRESS]:[PRESS]],t_Parts[hp2016.08])</f>
        <v>0</v>
      </c>
      <c r="BE24" s="47">
        <f>SUMIF(r_PartPresses,t_Presses[[PRESS]:[PRESS]],t_Parts[hp2016.09])</f>
        <v>0</v>
      </c>
      <c r="BF24" s="47">
        <f>SUMIF(r_PartPresses,t_Presses[[PRESS]:[PRESS]],t_Parts[hp2016.10])</f>
        <v>0</v>
      </c>
      <c r="BG24" s="47">
        <f>SUMIF(r_PartPresses,t_Presses[[PRESS]:[PRESS]],t_Parts[hp2016.11])</f>
        <v>0</v>
      </c>
      <c r="BH24" s="47">
        <f>SUMIF(r_PartPresses,t_Presses[[PRESS]:[PRESS]],t_Parts[hp2016.12])</f>
        <v>0</v>
      </c>
      <c r="BI24" s="47">
        <f>SUMIF(r_PartPresses,t_Presses[[PRESS]:[PRESS]],t_Parts[hp2016.FY])</f>
        <v>0</v>
      </c>
      <c r="BJ24" s="47">
        <f>SUMIF(r_PartPresses,t_Presses[[PRESS]:[PRESS]],t_Parts[hp2017])</f>
        <v>0</v>
      </c>
      <c r="BK24" s="47">
        <f>SUMIF(r_PartPresses,t_Presses[[PRESS]:[PRESS]],t_Parts[hp2018])</f>
        <v>0</v>
      </c>
      <c r="BL24" s="47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139</v>
      </c>
      <c r="B25" t="s">
        <v>9</v>
      </c>
      <c r="C25" t="s">
        <v>125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47">
        <f>SUMIF(r_PartPresses,t_Presses[[PRESS]:[PRESS]],t_Parts[hp2015.01])</f>
        <v>0</v>
      </c>
      <c r="AK25" s="47">
        <f>SUMIF(r_PartPresses,t_Presses[[PRESS]:[PRESS]],t_Parts[hp2015.02])</f>
        <v>0</v>
      </c>
      <c r="AL25" s="47">
        <f>SUMIF(r_PartPresses,t_Presses[[PRESS]:[PRESS]],t_Parts[hp2015.03])</f>
        <v>0</v>
      </c>
      <c r="AM25" s="47">
        <f>SUMIF(r_PartPresses,t_Presses[[PRESS]:[PRESS]],t_Parts[hp2015.04])</f>
        <v>0</v>
      </c>
      <c r="AN25" s="47">
        <f>SUMIF(r_PartPresses,t_Presses[[PRESS]:[PRESS]],t_Parts[hp2015.05])</f>
        <v>0</v>
      </c>
      <c r="AO25" s="47">
        <f>SUMIF(r_PartPresses,t_Presses[[PRESS]:[PRESS]],t_Parts[hp2015.06])</f>
        <v>0</v>
      </c>
      <c r="AP25" s="47">
        <f>SUMIF(r_PartPresses,t_Presses[[PRESS]:[PRESS]],t_Parts[hp2015.07])</f>
        <v>0</v>
      </c>
      <c r="AQ25" s="47">
        <f>SUMIF(r_PartPresses,t_Presses[[PRESS]:[PRESS]],t_Parts[hp2015.08])</f>
        <v>0</v>
      </c>
      <c r="AR25" s="47">
        <f>SUMIF(r_PartPresses,t_Presses[[PRESS]:[PRESS]],t_Parts[hp2015.09])</f>
        <v>0</v>
      </c>
      <c r="AS25" s="47">
        <f>SUMIF(r_PartPresses,t_Presses[[PRESS]:[PRESS]],t_Parts[hp2015.10])</f>
        <v>0</v>
      </c>
      <c r="AT25" s="47">
        <f>SUMIF(r_PartPresses,t_Presses[[PRESS]:[PRESS]],t_Parts[hp2015.11])</f>
        <v>0</v>
      </c>
      <c r="AU25" s="47">
        <f>SUMIF(r_PartPresses,t_Presses[[PRESS]:[PRESS]],t_Parts[hp2015.12])</f>
        <v>0</v>
      </c>
      <c r="AV25" s="47">
        <f>SUM(t_Presses[[#This Row],[hp2015.01]:[hp2015.12]])</f>
        <v>0</v>
      </c>
      <c r="AW25" s="47">
        <f>SUMIF(r_PartPresses,t_Presses[[PRESS]:[PRESS]],t_Parts[hp2016.01])</f>
        <v>0</v>
      </c>
      <c r="AX25" s="47">
        <f>SUMIF(r_PartPresses,t_Presses[[PRESS]:[PRESS]],t_Parts[hp2016.02])</f>
        <v>0</v>
      </c>
      <c r="AY25" s="47">
        <f>SUMIF(r_PartPresses,t_Presses[[PRESS]:[PRESS]],t_Parts[hp2016.03])</f>
        <v>0</v>
      </c>
      <c r="AZ25" s="47">
        <f>SUMIF(r_PartPresses,t_Presses[[PRESS]:[PRESS]],t_Parts[hp2016.04])</f>
        <v>0</v>
      </c>
      <c r="BA25" s="47">
        <f>SUMIF(r_PartPresses,t_Presses[[PRESS]:[PRESS]],t_Parts[hp2016.05])</f>
        <v>0</v>
      </c>
      <c r="BB25" s="47">
        <f>SUMIF(r_PartPresses,t_Presses[[PRESS]:[PRESS]],t_Parts[hp2016.06])</f>
        <v>0</v>
      </c>
      <c r="BC25" s="47">
        <f>SUMIF(r_PartPresses,t_Presses[[PRESS]:[PRESS]],t_Parts[hp2016.07])</f>
        <v>0</v>
      </c>
      <c r="BD25" s="47">
        <f>SUMIF(r_PartPresses,t_Presses[[PRESS]:[PRESS]],t_Parts[hp2016.08])</f>
        <v>0</v>
      </c>
      <c r="BE25" s="47">
        <f>SUMIF(r_PartPresses,t_Presses[[PRESS]:[PRESS]],t_Parts[hp2016.09])</f>
        <v>0</v>
      </c>
      <c r="BF25" s="47">
        <f>SUMIF(r_PartPresses,t_Presses[[PRESS]:[PRESS]],t_Parts[hp2016.10])</f>
        <v>0</v>
      </c>
      <c r="BG25" s="47">
        <f>SUMIF(r_PartPresses,t_Presses[[PRESS]:[PRESS]],t_Parts[hp2016.11])</f>
        <v>0</v>
      </c>
      <c r="BH25" s="47">
        <f>SUMIF(r_PartPresses,t_Presses[[PRESS]:[PRESS]],t_Parts[hp2016.12])</f>
        <v>0</v>
      </c>
      <c r="BI25" s="47">
        <f>SUMIF(r_PartPresses,t_Presses[[PRESS]:[PRESS]],t_Parts[hp2016.FY])</f>
        <v>0</v>
      </c>
      <c r="BJ25" s="47">
        <f>SUMIF(r_PartPresses,t_Presses[[PRESS]:[PRESS]],t_Parts[hp2017])</f>
        <v>0</v>
      </c>
      <c r="BK25" s="47">
        <f>SUMIF(r_PartPresses,t_Presses[[PRESS]:[PRESS]],t_Parts[hp2018])</f>
        <v>0</v>
      </c>
      <c r="BL25" s="47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140</v>
      </c>
      <c r="B26" t="s">
        <v>9</v>
      </c>
      <c r="C26" t="s">
        <v>125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47">
        <f>SUMIF(r_PartPresses,t_Presses[[PRESS]:[PRESS]],t_Parts[hp2015.01])</f>
        <v>0</v>
      </c>
      <c r="AK26" s="47">
        <f>SUMIF(r_PartPresses,t_Presses[[PRESS]:[PRESS]],t_Parts[hp2015.02])</f>
        <v>0</v>
      </c>
      <c r="AL26" s="47">
        <f>SUMIF(r_PartPresses,t_Presses[[PRESS]:[PRESS]],t_Parts[hp2015.03])</f>
        <v>0</v>
      </c>
      <c r="AM26" s="47">
        <f>SUMIF(r_PartPresses,t_Presses[[PRESS]:[PRESS]],t_Parts[hp2015.04])</f>
        <v>0</v>
      </c>
      <c r="AN26" s="47">
        <f>SUMIF(r_PartPresses,t_Presses[[PRESS]:[PRESS]],t_Parts[hp2015.05])</f>
        <v>0</v>
      </c>
      <c r="AO26" s="47">
        <f>SUMIF(r_PartPresses,t_Presses[[PRESS]:[PRESS]],t_Parts[hp2015.06])</f>
        <v>0</v>
      </c>
      <c r="AP26" s="47">
        <f>SUMIF(r_PartPresses,t_Presses[[PRESS]:[PRESS]],t_Parts[hp2015.07])</f>
        <v>0</v>
      </c>
      <c r="AQ26" s="47">
        <f>SUMIF(r_PartPresses,t_Presses[[PRESS]:[PRESS]],t_Parts[hp2015.08])</f>
        <v>0</v>
      </c>
      <c r="AR26" s="47">
        <f>SUMIF(r_PartPresses,t_Presses[[PRESS]:[PRESS]],t_Parts[hp2015.09])</f>
        <v>0</v>
      </c>
      <c r="AS26" s="47">
        <f>SUMIF(r_PartPresses,t_Presses[[PRESS]:[PRESS]],t_Parts[hp2015.10])</f>
        <v>0</v>
      </c>
      <c r="AT26" s="47">
        <f>SUMIF(r_PartPresses,t_Presses[[PRESS]:[PRESS]],t_Parts[hp2015.11])</f>
        <v>0</v>
      </c>
      <c r="AU26" s="47">
        <f>SUMIF(r_PartPresses,t_Presses[[PRESS]:[PRESS]],t_Parts[hp2015.12])</f>
        <v>0</v>
      </c>
      <c r="AV26" s="47">
        <f>SUM(t_Presses[[#This Row],[hp2015.01]:[hp2015.12]])</f>
        <v>0</v>
      </c>
      <c r="AW26" s="47">
        <f>SUMIF(r_PartPresses,t_Presses[[PRESS]:[PRESS]],t_Parts[hp2016.01])</f>
        <v>0</v>
      </c>
      <c r="AX26" s="47">
        <f>SUMIF(r_PartPresses,t_Presses[[PRESS]:[PRESS]],t_Parts[hp2016.02])</f>
        <v>0</v>
      </c>
      <c r="AY26" s="47">
        <f>SUMIF(r_PartPresses,t_Presses[[PRESS]:[PRESS]],t_Parts[hp2016.03])</f>
        <v>0</v>
      </c>
      <c r="AZ26" s="47">
        <f>SUMIF(r_PartPresses,t_Presses[[PRESS]:[PRESS]],t_Parts[hp2016.04])</f>
        <v>0</v>
      </c>
      <c r="BA26" s="47">
        <f>SUMIF(r_PartPresses,t_Presses[[PRESS]:[PRESS]],t_Parts[hp2016.05])</f>
        <v>0</v>
      </c>
      <c r="BB26" s="47">
        <f>SUMIF(r_PartPresses,t_Presses[[PRESS]:[PRESS]],t_Parts[hp2016.06])</f>
        <v>0</v>
      </c>
      <c r="BC26" s="47">
        <f>SUMIF(r_PartPresses,t_Presses[[PRESS]:[PRESS]],t_Parts[hp2016.07])</f>
        <v>0</v>
      </c>
      <c r="BD26" s="47">
        <f>SUMIF(r_PartPresses,t_Presses[[PRESS]:[PRESS]],t_Parts[hp2016.08])</f>
        <v>0</v>
      </c>
      <c r="BE26" s="47">
        <f>SUMIF(r_PartPresses,t_Presses[[PRESS]:[PRESS]],t_Parts[hp2016.09])</f>
        <v>0</v>
      </c>
      <c r="BF26" s="47">
        <f>SUMIF(r_PartPresses,t_Presses[[PRESS]:[PRESS]],t_Parts[hp2016.10])</f>
        <v>0</v>
      </c>
      <c r="BG26" s="47">
        <f>SUMIF(r_PartPresses,t_Presses[[PRESS]:[PRESS]],t_Parts[hp2016.11])</f>
        <v>0</v>
      </c>
      <c r="BH26" s="47">
        <f>SUMIF(r_PartPresses,t_Presses[[PRESS]:[PRESS]],t_Parts[hp2016.12])</f>
        <v>0</v>
      </c>
      <c r="BI26" s="47">
        <f>SUMIF(r_PartPresses,t_Presses[[PRESS]:[PRESS]],t_Parts[hp2016.FY])</f>
        <v>0</v>
      </c>
      <c r="BJ26" s="47">
        <f>SUMIF(r_PartPresses,t_Presses[[PRESS]:[PRESS]],t_Parts[hp2017])</f>
        <v>0</v>
      </c>
      <c r="BK26" s="47">
        <f>SUMIF(r_PartPresses,t_Presses[[PRESS]:[PRESS]],t_Parts[hp2018])</f>
        <v>0</v>
      </c>
      <c r="BL26" s="47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141</v>
      </c>
      <c r="B27" t="s">
        <v>9</v>
      </c>
      <c r="C27" t="s">
        <v>125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47">
        <f>SUMIF(r_PartPresses,t_Presses[[PRESS]:[PRESS]],t_Parts[hp2015.01])</f>
        <v>0</v>
      </c>
      <c r="AK27" s="47">
        <f>SUMIF(r_PartPresses,t_Presses[[PRESS]:[PRESS]],t_Parts[hp2015.02])</f>
        <v>0</v>
      </c>
      <c r="AL27" s="47">
        <f>SUMIF(r_PartPresses,t_Presses[[PRESS]:[PRESS]],t_Parts[hp2015.03])</f>
        <v>0</v>
      </c>
      <c r="AM27" s="47">
        <f>SUMIF(r_PartPresses,t_Presses[[PRESS]:[PRESS]],t_Parts[hp2015.04])</f>
        <v>0</v>
      </c>
      <c r="AN27" s="47">
        <f>SUMIF(r_PartPresses,t_Presses[[PRESS]:[PRESS]],t_Parts[hp2015.05])</f>
        <v>0</v>
      </c>
      <c r="AO27" s="47">
        <f>SUMIF(r_PartPresses,t_Presses[[PRESS]:[PRESS]],t_Parts[hp2015.06])</f>
        <v>0</v>
      </c>
      <c r="AP27" s="47">
        <f>SUMIF(r_PartPresses,t_Presses[[PRESS]:[PRESS]],t_Parts[hp2015.07])</f>
        <v>0</v>
      </c>
      <c r="AQ27" s="47">
        <f>SUMIF(r_PartPresses,t_Presses[[PRESS]:[PRESS]],t_Parts[hp2015.08])</f>
        <v>0</v>
      </c>
      <c r="AR27" s="47">
        <f>SUMIF(r_PartPresses,t_Presses[[PRESS]:[PRESS]],t_Parts[hp2015.09])</f>
        <v>0</v>
      </c>
      <c r="AS27" s="47">
        <f>SUMIF(r_PartPresses,t_Presses[[PRESS]:[PRESS]],t_Parts[hp2015.10])</f>
        <v>0</v>
      </c>
      <c r="AT27" s="47">
        <f>SUMIF(r_PartPresses,t_Presses[[PRESS]:[PRESS]],t_Parts[hp2015.11])</f>
        <v>0</v>
      </c>
      <c r="AU27" s="47">
        <f>SUMIF(r_PartPresses,t_Presses[[PRESS]:[PRESS]],t_Parts[hp2015.12])</f>
        <v>0</v>
      </c>
      <c r="AV27" s="47">
        <f>SUM(t_Presses[[#This Row],[hp2015.01]:[hp2015.12]])</f>
        <v>0</v>
      </c>
      <c r="AW27" s="47">
        <f>SUMIF(r_PartPresses,t_Presses[[PRESS]:[PRESS]],t_Parts[hp2016.01])</f>
        <v>0</v>
      </c>
      <c r="AX27" s="47">
        <f>SUMIF(r_PartPresses,t_Presses[[PRESS]:[PRESS]],t_Parts[hp2016.02])</f>
        <v>0</v>
      </c>
      <c r="AY27" s="47">
        <f>SUMIF(r_PartPresses,t_Presses[[PRESS]:[PRESS]],t_Parts[hp2016.03])</f>
        <v>0</v>
      </c>
      <c r="AZ27" s="47">
        <f>SUMIF(r_PartPresses,t_Presses[[PRESS]:[PRESS]],t_Parts[hp2016.04])</f>
        <v>0</v>
      </c>
      <c r="BA27" s="47">
        <f>SUMIF(r_PartPresses,t_Presses[[PRESS]:[PRESS]],t_Parts[hp2016.05])</f>
        <v>0</v>
      </c>
      <c r="BB27" s="47">
        <f>SUMIF(r_PartPresses,t_Presses[[PRESS]:[PRESS]],t_Parts[hp2016.06])</f>
        <v>0</v>
      </c>
      <c r="BC27" s="47">
        <f>SUMIF(r_PartPresses,t_Presses[[PRESS]:[PRESS]],t_Parts[hp2016.07])</f>
        <v>0</v>
      </c>
      <c r="BD27" s="47">
        <f>SUMIF(r_PartPresses,t_Presses[[PRESS]:[PRESS]],t_Parts[hp2016.08])</f>
        <v>0</v>
      </c>
      <c r="BE27" s="47">
        <f>SUMIF(r_PartPresses,t_Presses[[PRESS]:[PRESS]],t_Parts[hp2016.09])</f>
        <v>0</v>
      </c>
      <c r="BF27" s="47">
        <f>SUMIF(r_PartPresses,t_Presses[[PRESS]:[PRESS]],t_Parts[hp2016.10])</f>
        <v>0</v>
      </c>
      <c r="BG27" s="47">
        <f>SUMIF(r_PartPresses,t_Presses[[PRESS]:[PRESS]],t_Parts[hp2016.11])</f>
        <v>0</v>
      </c>
      <c r="BH27" s="47">
        <f>SUMIF(r_PartPresses,t_Presses[[PRESS]:[PRESS]],t_Parts[hp2016.12])</f>
        <v>0</v>
      </c>
      <c r="BI27" s="47">
        <f>SUMIF(r_PartPresses,t_Presses[[PRESS]:[PRESS]],t_Parts[hp2016.FY])</f>
        <v>0</v>
      </c>
      <c r="BJ27" s="47">
        <f>SUMIF(r_PartPresses,t_Presses[[PRESS]:[PRESS]],t_Parts[hp2017])</f>
        <v>0</v>
      </c>
      <c r="BK27" s="47">
        <f>SUMIF(r_PartPresses,t_Presses[[PRESS]:[PRESS]],t_Parts[hp2018])</f>
        <v>0</v>
      </c>
      <c r="BL27" s="47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142</v>
      </c>
      <c r="B28" t="s">
        <v>9</v>
      </c>
      <c r="C28" t="s">
        <v>126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47">
        <f>SUMIF(r_PartPresses,t_Presses[[PRESS]:[PRESS]],t_Parts[hp2015.01])</f>
        <v>0</v>
      </c>
      <c r="AK28" s="47">
        <f>SUMIF(r_PartPresses,t_Presses[[PRESS]:[PRESS]],t_Parts[hp2015.02])</f>
        <v>0</v>
      </c>
      <c r="AL28" s="47">
        <f>SUMIF(r_PartPresses,t_Presses[[PRESS]:[PRESS]],t_Parts[hp2015.03])</f>
        <v>0</v>
      </c>
      <c r="AM28" s="47">
        <f>SUMIF(r_PartPresses,t_Presses[[PRESS]:[PRESS]],t_Parts[hp2015.04])</f>
        <v>0</v>
      </c>
      <c r="AN28" s="47">
        <f>SUMIF(r_PartPresses,t_Presses[[PRESS]:[PRESS]],t_Parts[hp2015.05])</f>
        <v>0</v>
      </c>
      <c r="AO28" s="47">
        <f>SUMIF(r_PartPresses,t_Presses[[PRESS]:[PRESS]],t_Parts[hp2015.06])</f>
        <v>0</v>
      </c>
      <c r="AP28" s="47">
        <f>SUMIF(r_PartPresses,t_Presses[[PRESS]:[PRESS]],t_Parts[hp2015.07])</f>
        <v>0</v>
      </c>
      <c r="AQ28" s="47">
        <f>SUMIF(r_PartPresses,t_Presses[[PRESS]:[PRESS]],t_Parts[hp2015.08])</f>
        <v>0</v>
      </c>
      <c r="AR28" s="47">
        <f>SUMIF(r_PartPresses,t_Presses[[PRESS]:[PRESS]],t_Parts[hp2015.09])</f>
        <v>0</v>
      </c>
      <c r="AS28" s="47">
        <f>SUMIF(r_PartPresses,t_Presses[[PRESS]:[PRESS]],t_Parts[hp2015.10])</f>
        <v>0</v>
      </c>
      <c r="AT28" s="47">
        <f>SUMIF(r_PartPresses,t_Presses[[PRESS]:[PRESS]],t_Parts[hp2015.11])</f>
        <v>0</v>
      </c>
      <c r="AU28" s="47">
        <f>SUMIF(r_PartPresses,t_Presses[[PRESS]:[PRESS]],t_Parts[hp2015.12])</f>
        <v>0</v>
      </c>
      <c r="AV28" s="47">
        <f>SUM(t_Presses[[#This Row],[hp2015.01]:[hp2015.12]])</f>
        <v>0</v>
      </c>
      <c r="AW28" s="47">
        <f>SUMIF(r_PartPresses,t_Presses[[PRESS]:[PRESS]],t_Parts[hp2016.01])</f>
        <v>0</v>
      </c>
      <c r="AX28" s="47">
        <f>SUMIF(r_PartPresses,t_Presses[[PRESS]:[PRESS]],t_Parts[hp2016.02])</f>
        <v>0</v>
      </c>
      <c r="AY28" s="47">
        <f>SUMIF(r_PartPresses,t_Presses[[PRESS]:[PRESS]],t_Parts[hp2016.03])</f>
        <v>0</v>
      </c>
      <c r="AZ28" s="47">
        <f>SUMIF(r_PartPresses,t_Presses[[PRESS]:[PRESS]],t_Parts[hp2016.04])</f>
        <v>0</v>
      </c>
      <c r="BA28" s="47">
        <f>SUMIF(r_PartPresses,t_Presses[[PRESS]:[PRESS]],t_Parts[hp2016.05])</f>
        <v>0</v>
      </c>
      <c r="BB28" s="47">
        <f>SUMIF(r_PartPresses,t_Presses[[PRESS]:[PRESS]],t_Parts[hp2016.06])</f>
        <v>0</v>
      </c>
      <c r="BC28" s="47">
        <f>SUMIF(r_PartPresses,t_Presses[[PRESS]:[PRESS]],t_Parts[hp2016.07])</f>
        <v>0</v>
      </c>
      <c r="BD28" s="47">
        <f>SUMIF(r_PartPresses,t_Presses[[PRESS]:[PRESS]],t_Parts[hp2016.08])</f>
        <v>0</v>
      </c>
      <c r="BE28" s="47">
        <f>SUMIF(r_PartPresses,t_Presses[[PRESS]:[PRESS]],t_Parts[hp2016.09])</f>
        <v>0</v>
      </c>
      <c r="BF28" s="47">
        <f>SUMIF(r_PartPresses,t_Presses[[PRESS]:[PRESS]],t_Parts[hp2016.10])</f>
        <v>0</v>
      </c>
      <c r="BG28" s="47">
        <f>SUMIF(r_PartPresses,t_Presses[[PRESS]:[PRESS]],t_Parts[hp2016.11])</f>
        <v>0</v>
      </c>
      <c r="BH28" s="47">
        <f>SUMIF(r_PartPresses,t_Presses[[PRESS]:[PRESS]],t_Parts[hp2016.12])</f>
        <v>0</v>
      </c>
      <c r="BI28" s="47">
        <f>SUMIF(r_PartPresses,t_Presses[[PRESS]:[PRESS]],t_Parts[hp2016.FY])</f>
        <v>0</v>
      </c>
      <c r="BJ28" s="47">
        <f>SUMIF(r_PartPresses,t_Presses[[PRESS]:[PRESS]],t_Parts[hp2017])</f>
        <v>0</v>
      </c>
      <c r="BK28" s="47">
        <f>SUMIF(r_PartPresses,t_Presses[[PRESS]:[PRESS]],t_Parts[hp2018])</f>
        <v>0</v>
      </c>
      <c r="BL28" s="47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143</v>
      </c>
      <c r="B29" t="s">
        <v>9</v>
      </c>
      <c r="C29" t="s">
        <v>126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47">
        <f>SUMIF(r_PartPresses,t_Presses[[PRESS]:[PRESS]],t_Parts[hp2015.01])</f>
        <v>0</v>
      </c>
      <c r="AK29" s="47">
        <f>SUMIF(r_PartPresses,t_Presses[[PRESS]:[PRESS]],t_Parts[hp2015.02])</f>
        <v>0</v>
      </c>
      <c r="AL29" s="47">
        <f>SUMIF(r_PartPresses,t_Presses[[PRESS]:[PRESS]],t_Parts[hp2015.03])</f>
        <v>0</v>
      </c>
      <c r="AM29" s="47">
        <f>SUMIF(r_PartPresses,t_Presses[[PRESS]:[PRESS]],t_Parts[hp2015.04])</f>
        <v>0</v>
      </c>
      <c r="AN29" s="47">
        <f>SUMIF(r_PartPresses,t_Presses[[PRESS]:[PRESS]],t_Parts[hp2015.05])</f>
        <v>0</v>
      </c>
      <c r="AO29" s="47">
        <f>SUMIF(r_PartPresses,t_Presses[[PRESS]:[PRESS]],t_Parts[hp2015.06])</f>
        <v>0</v>
      </c>
      <c r="AP29" s="47">
        <f>SUMIF(r_PartPresses,t_Presses[[PRESS]:[PRESS]],t_Parts[hp2015.07])</f>
        <v>0</v>
      </c>
      <c r="AQ29" s="47">
        <f>SUMIF(r_PartPresses,t_Presses[[PRESS]:[PRESS]],t_Parts[hp2015.08])</f>
        <v>0</v>
      </c>
      <c r="AR29" s="47">
        <f>SUMIF(r_PartPresses,t_Presses[[PRESS]:[PRESS]],t_Parts[hp2015.09])</f>
        <v>0</v>
      </c>
      <c r="AS29" s="47">
        <f>SUMIF(r_PartPresses,t_Presses[[PRESS]:[PRESS]],t_Parts[hp2015.10])</f>
        <v>0</v>
      </c>
      <c r="AT29" s="47">
        <f>SUMIF(r_PartPresses,t_Presses[[PRESS]:[PRESS]],t_Parts[hp2015.11])</f>
        <v>0</v>
      </c>
      <c r="AU29" s="47">
        <f>SUMIF(r_PartPresses,t_Presses[[PRESS]:[PRESS]],t_Parts[hp2015.12])</f>
        <v>0</v>
      </c>
      <c r="AV29" s="47">
        <f>SUM(t_Presses[[#This Row],[hp2015.01]:[hp2015.12]])</f>
        <v>0</v>
      </c>
      <c r="AW29" s="47">
        <f>SUMIF(r_PartPresses,t_Presses[[PRESS]:[PRESS]],t_Parts[hp2016.01])</f>
        <v>0</v>
      </c>
      <c r="AX29" s="47">
        <f>SUMIF(r_PartPresses,t_Presses[[PRESS]:[PRESS]],t_Parts[hp2016.02])</f>
        <v>0</v>
      </c>
      <c r="AY29" s="47">
        <f>SUMIF(r_PartPresses,t_Presses[[PRESS]:[PRESS]],t_Parts[hp2016.03])</f>
        <v>0</v>
      </c>
      <c r="AZ29" s="47">
        <f>SUMIF(r_PartPresses,t_Presses[[PRESS]:[PRESS]],t_Parts[hp2016.04])</f>
        <v>0</v>
      </c>
      <c r="BA29" s="47">
        <f>SUMIF(r_PartPresses,t_Presses[[PRESS]:[PRESS]],t_Parts[hp2016.05])</f>
        <v>0</v>
      </c>
      <c r="BB29" s="47">
        <f>SUMIF(r_PartPresses,t_Presses[[PRESS]:[PRESS]],t_Parts[hp2016.06])</f>
        <v>0</v>
      </c>
      <c r="BC29" s="47">
        <f>SUMIF(r_PartPresses,t_Presses[[PRESS]:[PRESS]],t_Parts[hp2016.07])</f>
        <v>0</v>
      </c>
      <c r="BD29" s="47">
        <f>SUMIF(r_PartPresses,t_Presses[[PRESS]:[PRESS]],t_Parts[hp2016.08])</f>
        <v>0</v>
      </c>
      <c r="BE29" s="47">
        <f>SUMIF(r_PartPresses,t_Presses[[PRESS]:[PRESS]],t_Parts[hp2016.09])</f>
        <v>0</v>
      </c>
      <c r="BF29" s="47">
        <f>SUMIF(r_PartPresses,t_Presses[[PRESS]:[PRESS]],t_Parts[hp2016.10])</f>
        <v>0</v>
      </c>
      <c r="BG29" s="47">
        <f>SUMIF(r_PartPresses,t_Presses[[PRESS]:[PRESS]],t_Parts[hp2016.11])</f>
        <v>0</v>
      </c>
      <c r="BH29" s="47">
        <f>SUMIF(r_PartPresses,t_Presses[[PRESS]:[PRESS]],t_Parts[hp2016.12])</f>
        <v>0</v>
      </c>
      <c r="BI29" s="47">
        <f>SUMIF(r_PartPresses,t_Presses[[PRESS]:[PRESS]],t_Parts[hp2016.FY])</f>
        <v>0</v>
      </c>
      <c r="BJ29" s="47">
        <f>SUMIF(r_PartPresses,t_Presses[[PRESS]:[PRESS]],t_Parts[hp2017])</f>
        <v>0</v>
      </c>
      <c r="BK29" s="47">
        <f>SUMIF(r_PartPresses,t_Presses[[PRESS]:[PRESS]],t_Parts[hp2018])</f>
        <v>0</v>
      </c>
      <c r="BL29" s="47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144</v>
      </c>
      <c r="B30" t="s">
        <v>9</v>
      </c>
      <c r="C30" t="s">
        <v>126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47">
        <f>SUMIF(r_PartPresses,t_Presses[[PRESS]:[PRESS]],t_Parts[hp2015.01])</f>
        <v>0</v>
      </c>
      <c r="AK30" s="47">
        <f>SUMIF(r_PartPresses,t_Presses[[PRESS]:[PRESS]],t_Parts[hp2015.02])</f>
        <v>0</v>
      </c>
      <c r="AL30" s="47">
        <f>SUMIF(r_PartPresses,t_Presses[[PRESS]:[PRESS]],t_Parts[hp2015.03])</f>
        <v>0</v>
      </c>
      <c r="AM30" s="47">
        <f>SUMIF(r_PartPresses,t_Presses[[PRESS]:[PRESS]],t_Parts[hp2015.04])</f>
        <v>0</v>
      </c>
      <c r="AN30" s="47">
        <f>SUMIF(r_PartPresses,t_Presses[[PRESS]:[PRESS]],t_Parts[hp2015.05])</f>
        <v>0</v>
      </c>
      <c r="AO30" s="47">
        <f>SUMIF(r_PartPresses,t_Presses[[PRESS]:[PRESS]],t_Parts[hp2015.06])</f>
        <v>0</v>
      </c>
      <c r="AP30" s="47">
        <f>SUMIF(r_PartPresses,t_Presses[[PRESS]:[PRESS]],t_Parts[hp2015.07])</f>
        <v>0</v>
      </c>
      <c r="AQ30" s="47">
        <f>SUMIF(r_PartPresses,t_Presses[[PRESS]:[PRESS]],t_Parts[hp2015.08])</f>
        <v>0</v>
      </c>
      <c r="AR30" s="47">
        <f>SUMIF(r_PartPresses,t_Presses[[PRESS]:[PRESS]],t_Parts[hp2015.09])</f>
        <v>0</v>
      </c>
      <c r="AS30" s="47">
        <f>SUMIF(r_PartPresses,t_Presses[[PRESS]:[PRESS]],t_Parts[hp2015.10])</f>
        <v>0</v>
      </c>
      <c r="AT30" s="47">
        <f>SUMIF(r_PartPresses,t_Presses[[PRESS]:[PRESS]],t_Parts[hp2015.11])</f>
        <v>0</v>
      </c>
      <c r="AU30" s="47">
        <f>SUMIF(r_PartPresses,t_Presses[[PRESS]:[PRESS]],t_Parts[hp2015.12])</f>
        <v>0</v>
      </c>
      <c r="AV30" s="47">
        <f>SUM(t_Presses[[#This Row],[hp2015.01]:[hp2015.12]])</f>
        <v>0</v>
      </c>
      <c r="AW30" s="47">
        <f>SUMIF(r_PartPresses,t_Presses[[PRESS]:[PRESS]],t_Parts[hp2016.01])</f>
        <v>0</v>
      </c>
      <c r="AX30" s="47">
        <f>SUMIF(r_PartPresses,t_Presses[[PRESS]:[PRESS]],t_Parts[hp2016.02])</f>
        <v>0</v>
      </c>
      <c r="AY30" s="47">
        <f>SUMIF(r_PartPresses,t_Presses[[PRESS]:[PRESS]],t_Parts[hp2016.03])</f>
        <v>0</v>
      </c>
      <c r="AZ30" s="47">
        <f>SUMIF(r_PartPresses,t_Presses[[PRESS]:[PRESS]],t_Parts[hp2016.04])</f>
        <v>0</v>
      </c>
      <c r="BA30" s="47">
        <f>SUMIF(r_PartPresses,t_Presses[[PRESS]:[PRESS]],t_Parts[hp2016.05])</f>
        <v>0</v>
      </c>
      <c r="BB30" s="47">
        <f>SUMIF(r_PartPresses,t_Presses[[PRESS]:[PRESS]],t_Parts[hp2016.06])</f>
        <v>0</v>
      </c>
      <c r="BC30" s="47">
        <f>SUMIF(r_PartPresses,t_Presses[[PRESS]:[PRESS]],t_Parts[hp2016.07])</f>
        <v>0</v>
      </c>
      <c r="BD30" s="47">
        <f>SUMIF(r_PartPresses,t_Presses[[PRESS]:[PRESS]],t_Parts[hp2016.08])</f>
        <v>0</v>
      </c>
      <c r="BE30" s="47">
        <f>SUMIF(r_PartPresses,t_Presses[[PRESS]:[PRESS]],t_Parts[hp2016.09])</f>
        <v>0</v>
      </c>
      <c r="BF30" s="47">
        <f>SUMIF(r_PartPresses,t_Presses[[PRESS]:[PRESS]],t_Parts[hp2016.10])</f>
        <v>0</v>
      </c>
      <c r="BG30" s="47">
        <f>SUMIF(r_PartPresses,t_Presses[[PRESS]:[PRESS]],t_Parts[hp2016.11])</f>
        <v>0</v>
      </c>
      <c r="BH30" s="47">
        <f>SUMIF(r_PartPresses,t_Presses[[PRESS]:[PRESS]],t_Parts[hp2016.12])</f>
        <v>0</v>
      </c>
      <c r="BI30" s="47">
        <f>SUMIF(r_PartPresses,t_Presses[[PRESS]:[PRESS]],t_Parts[hp2016.FY])</f>
        <v>0</v>
      </c>
      <c r="BJ30" s="47">
        <f>SUMIF(r_PartPresses,t_Presses[[PRESS]:[PRESS]],t_Parts[hp2017])</f>
        <v>0</v>
      </c>
      <c r="BK30" s="47">
        <f>SUMIF(r_PartPresses,t_Presses[[PRESS]:[PRESS]],t_Parts[hp2018])</f>
        <v>0</v>
      </c>
      <c r="BL30" s="47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145</v>
      </c>
      <c r="B31" t="s">
        <v>12</v>
      </c>
      <c r="C31" t="s">
        <v>125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7">
        <f>SUMIF(r_PartPresses,t_Presses[[PRESS]:[PRESS]],t_Parts[hp2015.01])</f>
        <v>0</v>
      </c>
      <c r="AK31" s="47">
        <f>SUMIF(r_PartPresses,t_Presses[[PRESS]:[PRESS]],t_Parts[hp2015.02])</f>
        <v>0</v>
      </c>
      <c r="AL31" s="47">
        <f>SUMIF(r_PartPresses,t_Presses[[PRESS]:[PRESS]],t_Parts[hp2015.03])</f>
        <v>0</v>
      </c>
      <c r="AM31" s="47">
        <f>SUMIF(r_PartPresses,t_Presses[[PRESS]:[PRESS]],t_Parts[hp2015.04])</f>
        <v>0</v>
      </c>
      <c r="AN31" s="47">
        <f>SUMIF(r_PartPresses,t_Presses[[PRESS]:[PRESS]],t_Parts[hp2015.05])</f>
        <v>0</v>
      </c>
      <c r="AO31" s="47">
        <f>SUMIF(r_PartPresses,t_Presses[[PRESS]:[PRESS]],t_Parts[hp2015.06])</f>
        <v>0</v>
      </c>
      <c r="AP31" s="47">
        <f>SUMIF(r_PartPresses,t_Presses[[PRESS]:[PRESS]],t_Parts[hp2015.07])</f>
        <v>0</v>
      </c>
      <c r="AQ31" s="47">
        <f>SUMIF(r_PartPresses,t_Presses[[PRESS]:[PRESS]],t_Parts[hp2015.08])</f>
        <v>0</v>
      </c>
      <c r="AR31" s="47">
        <f>SUMIF(r_PartPresses,t_Presses[[PRESS]:[PRESS]],t_Parts[hp2015.09])</f>
        <v>0</v>
      </c>
      <c r="AS31" s="47">
        <f>SUMIF(r_PartPresses,t_Presses[[PRESS]:[PRESS]],t_Parts[hp2015.10])</f>
        <v>0</v>
      </c>
      <c r="AT31" s="47">
        <f>SUMIF(r_PartPresses,t_Presses[[PRESS]:[PRESS]],t_Parts[hp2015.11])</f>
        <v>0</v>
      </c>
      <c r="AU31" s="47">
        <f>SUMIF(r_PartPresses,t_Presses[[PRESS]:[PRESS]],t_Parts[hp2015.12])</f>
        <v>0</v>
      </c>
      <c r="AV31" s="47">
        <f>SUM(t_Presses[[#This Row],[hp2015.01]:[hp2015.12]])</f>
        <v>0</v>
      </c>
      <c r="AW31" s="47">
        <f>SUMIF(r_PartPresses,t_Presses[[PRESS]:[PRESS]],t_Parts[hp2016.01])</f>
        <v>0</v>
      </c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x14ac:dyDescent="0.25">
      <c r="A32" s="16" t="s">
        <v>146</v>
      </c>
      <c r="B32" t="s">
        <v>12</v>
      </c>
      <c r="C32" t="s">
        <v>125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7">
        <f>SUMIF(r_PartPresses,t_Presses[[PRESS]:[PRESS]],t_Parts[hp2015.01])</f>
        <v>0</v>
      </c>
      <c r="AK32" s="47">
        <f>SUMIF(r_PartPresses,t_Presses[[PRESS]:[PRESS]],t_Parts[hp2015.02])</f>
        <v>0</v>
      </c>
      <c r="AL32" s="47">
        <f>SUMIF(r_PartPresses,t_Presses[[PRESS]:[PRESS]],t_Parts[hp2015.03])</f>
        <v>0</v>
      </c>
      <c r="AM32" s="47">
        <f>SUMIF(r_PartPresses,t_Presses[[PRESS]:[PRESS]],t_Parts[hp2015.04])</f>
        <v>0</v>
      </c>
      <c r="AN32" s="47">
        <f>SUMIF(r_PartPresses,t_Presses[[PRESS]:[PRESS]],t_Parts[hp2015.05])</f>
        <v>0</v>
      </c>
      <c r="AO32" s="47">
        <f>SUMIF(r_PartPresses,t_Presses[[PRESS]:[PRESS]],t_Parts[hp2015.06])</f>
        <v>0</v>
      </c>
      <c r="AP32" s="47">
        <f>SUMIF(r_PartPresses,t_Presses[[PRESS]:[PRESS]],t_Parts[hp2015.07])</f>
        <v>0</v>
      </c>
      <c r="AQ32" s="47">
        <f>SUMIF(r_PartPresses,t_Presses[[PRESS]:[PRESS]],t_Parts[hp2015.08])</f>
        <v>0</v>
      </c>
      <c r="AR32" s="47">
        <f>SUMIF(r_PartPresses,t_Presses[[PRESS]:[PRESS]],t_Parts[hp2015.09])</f>
        <v>0</v>
      </c>
      <c r="AS32" s="47">
        <f>SUMIF(r_PartPresses,t_Presses[[PRESS]:[PRESS]],t_Parts[hp2015.10])</f>
        <v>0</v>
      </c>
      <c r="AT32" s="47">
        <f>SUMIF(r_PartPresses,t_Presses[[PRESS]:[PRESS]],t_Parts[hp2015.11])</f>
        <v>0</v>
      </c>
      <c r="AU32" s="47">
        <f>SUMIF(r_PartPresses,t_Presses[[PRESS]:[PRESS]],t_Parts[hp2015.12])</f>
        <v>0</v>
      </c>
      <c r="AV32" s="47">
        <f>SUM(t_Presses[[#This Row],[hp2015.01]:[hp2015.12]])</f>
        <v>0</v>
      </c>
      <c r="AW32" s="47">
        <f>SUMIF(r_PartPresses,t_Presses[[PRESS]:[PRESS]],t_Parts[hp2016.01])</f>
        <v>0</v>
      </c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x14ac:dyDescent="0.25">
      <c r="A33" s="16" t="s">
        <v>147</v>
      </c>
      <c r="B33" t="s">
        <v>12</v>
      </c>
      <c r="C33" t="s">
        <v>125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7">
        <f>SUMIF(r_PartPresses,t_Presses[[PRESS]:[PRESS]],t_Parts[hp2015.01])</f>
        <v>0</v>
      </c>
      <c r="AK33" s="47">
        <f>SUMIF(r_PartPresses,t_Presses[[PRESS]:[PRESS]],t_Parts[hp2015.02])</f>
        <v>0</v>
      </c>
      <c r="AL33" s="47">
        <f>SUMIF(r_PartPresses,t_Presses[[PRESS]:[PRESS]],t_Parts[hp2015.03])</f>
        <v>0</v>
      </c>
      <c r="AM33" s="47">
        <f>SUMIF(r_PartPresses,t_Presses[[PRESS]:[PRESS]],t_Parts[hp2015.04])</f>
        <v>0</v>
      </c>
      <c r="AN33" s="47">
        <f>SUMIF(r_PartPresses,t_Presses[[PRESS]:[PRESS]],t_Parts[hp2015.05])</f>
        <v>0</v>
      </c>
      <c r="AO33" s="47">
        <f>SUMIF(r_PartPresses,t_Presses[[PRESS]:[PRESS]],t_Parts[hp2015.06])</f>
        <v>0</v>
      </c>
      <c r="AP33" s="47">
        <f>SUMIF(r_PartPresses,t_Presses[[PRESS]:[PRESS]],t_Parts[hp2015.07])</f>
        <v>0</v>
      </c>
      <c r="AQ33" s="47">
        <f>SUMIF(r_PartPresses,t_Presses[[PRESS]:[PRESS]],t_Parts[hp2015.08])</f>
        <v>0</v>
      </c>
      <c r="AR33" s="47">
        <f>SUMIF(r_PartPresses,t_Presses[[PRESS]:[PRESS]],t_Parts[hp2015.09])</f>
        <v>0</v>
      </c>
      <c r="AS33" s="47">
        <f>SUMIF(r_PartPresses,t_Presses[[PRESS]:[PRESS]],t_Parts[hp2015.10])</f>
        <v>0</v>
      </c>
      <c r="AT33" s="47">
        <f>SUMIF(r_PartPresses,t_Presses[[PRESS]:[PRESS]],t_Parts[hp2015.11])</f>
        <v>0</v>
      </c>
      <c r="AU33" s="47">
        <f>SUMIF(r_PartPresses,t_Presses[[PRESS]:[PRESS]],t_Parts[hp2015.12])</f>
        <v>0</v>
      </c>
      <c r="AV33" s="47">
        <f>SUM(t_Presses[[#This Row],[hp2015.01]:[hp2015.12]])</f>
        <v>0</v>
      </c>
      <c r="AW33" s="47">
        <f>SUMIF(r_PartPresses,t_Presses[[PRESS]:[PRESS]],t_Parts[hp2016.01])</f>
        <v>0</v>
      </c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x14ac:dyDescent="0.25">
      <c r="A34" s="16" t="s">
        <v>148</v>
      </c>
      <c r="B34" t="s">
        <v>12</v>
      </c>
      <c r="C34" t="s">
        <v>125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7">
        <f>SUMIF(r_PartPresses,t_Presses[[PRESS]:[PRESS]],t_Parts[hp2015.01])</f>
        <v>0</v>
      </c>
      <c r="AK34" s="47">
        <f>SUMIF(r_PartPresses,t_Presses[[PRESS]:[PRESS]],t_Parts[hp2015.02])</f>
        <v>0</v>
      </c>
      <c r="AL34" s="47">
        <f>SUMIF(r_PartPresses,t_Presses[[PRESS]:[PRESS]],t_Parts[hp2015.03])</f>
        <v>0</v>
      </c>
      <c r="AM34" s="47">
        <f>SUMIF(r_PartPresses,t_Presses[[PRESS]:[PRESS]],t_Parts[hp2015.04])</f>
        <v>0</v>
      </c>
      <c r="AN34" s="47">
        <f>SUMIF(r_PartPresses,t_Presses[[PRESS]:[PRESS]],t_Parts[hp2015.05])</f>
        <v>0</v>
      </c>
      <c r="AO34" s="47">
        <f>SUMIF(r_PartPresses,t_Presses[[PRESS]:[PRESS]],t_Parts[hp2015.06])</f>
        <v>0</v>
      </c>
      <c r="AP34" s="47">
        <f>SUMIF(r_PartPresses,t_Presses[[PRESS]:[PRESS]],t_Parts[hp2015.07])</f>
        <v>0</v>
      </c>
      <c r="AQ34" s="47">
        <f>SUMIF(r_PartPresses,t_Presses[[PRESS]:[PRESS]],t_Parts[hp2015.08])</f>
        <v>0</v>
      </c>
      <c r="AR34" s="47">
        <f>SUMIF(r_PartPresses,t_Presses[[PRESS]:[PRESS]],t_Parts[hp2015.09])</f>
        <v>0</v>
      </c>
      <c r="AS34" s="47">
        <f>SUMIF(r_PartPresses,t_Presses[[PRESS]:[PRESS]],t_Parts[hp2015.10])</f>
        <v>0</v>
      </c>
      <c r="AT34" s="47">
        <f>SUMIF(r_PartPresses,t_Presses[[PRESS]:[PRESS]],t_Parts[hp2015.11])</f>
        <v>0</v>
      </c>
      <c r="AU34" s="47">
        <f>SUMIF(r_PartPresses,t_Presses[[PRESS]:[PRESS]],t_Parts[hp2015.12])</f>
        <v>0</v>
      </c>
      <c r="AV34" s="47">
        <f>SUM(t_Presses[[#This Row],[hp2015.01]:[hp2015.12]])</f>
        <v>0</v>
      </c>
      <c r="AW34" s="47">
        <f>SUMIF(r_PartPresses,t_Presses[[PRESS]:[PRESS]],t_Parts[hp2016.01])</f>
        <v>0</v>
      </c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x14ac:dyDescent="0.25">
      <c r="A35" s="16" t="s">
        <v>149</v>
      </c>
      <c r="B35" t="s">
        <v>12</v>
      </c>
      <c r="C35" t="s">
        <v>125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7">
        <f>SUMIF(r_PartPresses,t_Presses[[PRESS]:[PRESS]],t_Parts[hp2015.01])</f>
        <v>0</v>
      </c>
      <c r="AK35" s="47">
        <f>SUMIF(r_PartPresses,t_Presses[[PRESS]:[PRESS]],t_Parts[hp2015.02])</f>
        <v>0</v>
      </c>
      <c r="AL35" s="47">
        <f>SUMIF(r_PartPresses,t_Presses[[PRESS]:[PRESS]],t_Parts[hp2015.03])</f>
        <v>0</v>
      </c>
      <c r="AM35" s="47">
        <f>SUMIF(r_PartPresses,t_Presses[[PRESS]:[PRESS]],t_Parts[hp2015.04])</f>
        <v>0</v>
      </c>
      <c r="AN35" s="47">
        <f>SUMIF(r_PartPresses,t_Presses[[PRESS]:[PRESS]],t_Parts[hp2015.05])</f>
        <v>0</v>
      </c>
      <c r="AO35" s="47">
        <f>SUMIF(r_PartPresses,t_Presses[[PRESS]:[PRESS]],t_Parts[hp2015.06])</f>
        <v>0</v>
      </c>
      <c r="AP35" s="47">
        <f>SUMIF(r_PartPresses,t_Presses[[PRESS]:[PRESS]],t_Parts[hp2015.07])</f>
        <v>0</v>
      </c>
      <c r="AQ35" s="47">
        <f>SUMIF(r_PartPresses,t_Presses[[PRESS]:[PRESS]],t_Parts[hp2015.08])</f>
        <v>0</v>
      </c>
      <c r="AR35" s="47">
        <f>SUMIF(r_PartPresses,t_Presses[[PRESS]:[PRESS]],t_Parts[hp2015.09])</f>
        <v>0</v>
      </c>
      <c r="AS35" s="47">
        <f>SUMIF(r_PartPresses,t_Presses[[PRESS]:[PRESS]],t_Parts[hp2015.10])</f>
        <v>0</v>
      </c>
      <c r="AT35" s="47">
        <f>SUMIF(r_PartPresses,t_Presses[[PRESS]:[PRESS]],t_Parts[hp2015.11])</f>
        <v>0</v>
      </c>
      <c r="AU35" s="47">
        <f>SUMIF(r_PartPresses,t_Presses[[PRESS]:[PRESS]],t_Parts[hp2015.12])</f>
        <v>0</v>
      </c>
      <c r="AV35" s="47">
        <f>SUM(t_Presses[[#This Row],[hp2015.01]:[hp2015.12]])</f>
        <v>0</v>
      </c>
      <c r="AW35" s="47">
        <f>SUMIF(r_PartPresses,t_Presses[[PRESS]:[PRESS]],t_Parts[hp2016.01])</f>
        <v>0</v>
      </c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x14ac:dyDescent="0.25">
      <c r="A36" s="16" t="s">
        <v>150</v>
      </c>
      <c r="B36" t="s">
        <v>12</v>
      </c>
      <c r="C36" t="s">
        <v>125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7">
        <f>SUMIF(r_PartPresses,t_Presses[[PRESS]:[PRESS]],t_Parts[hp2015.01])</f>
        <v>0</v>
      </c>
      <c r="AK36" s="47">
        <f>SUMIF(r_PartPresses,t_Presses[[PRESS]:[PRESS]],t_Parts[hp2015.02])</f>
        <v>0</v>
      </c>
      <c r="AL36" s="47">
        <f>SUMIF(r_PartPresses,t_Presses[[PRESS]:[PRESS]],t_Parts[hp2015.03])</f>
        <v>0</v>
      </c>
      <c r="AM36" s="47">
        <f>SUMIF(r_PartPresses,t_Presses[[PRESS]:[PRESS]],t_Parts[hp2015.04])</f>
        <v>0</v>
      </c>
      <c r="AN36" s="47">
        <f>SUMIF(r_PartPresses,t_Presses[[PRESS]:[PRESS]],t_Parts[hp2015.05])</f>
        <v>0</v>
      </c>
      <c r="AO36" s="47">
        <f>SUMIF(r_PartPresses,t_Presses[[PRESS]:[PRESS]],t_Parts[hp2015.06])</f>
        <v>0</v>
      </c>
      <c r="AP36" s="47">
        <f>SUMIF(r_PartPresses,t_Presses[[PRESS]:[PRESS]],t_Parts[hp2015.07])</f>
        <v>0</v>
      </c>
      <c r="AQ36" s="47">
        <f>SUMIF(r_PartPresses,t_Presses[[PRESS]:[PRESS]],t_Parts[hp2015.08])</f>
        <v>0</v>
      </c>
      <c r="AR36" s="47">
        <f>SUMIF(r_PartPresses,t_Presses[[PRESS]:[PRESS]],t_Parts[hp2015.09])</f>
        <v>0</v>
      </c>
      <c r="AS36" s="47">
        <f>SUMIF(r_PartPresses,t_Presses[[PRESS]:[PRESS]],t_Parts[hp2015.10])</f>
        <v>0</v>
      </c>
      <c r="AT36" s="47">
        <f>SUMIF(r_PartPresses,t_Presses[[PRESS]:[PRESS]],t_Parts[hp2015.11])</f>
        <v>0</v>
      </c>
      <c r="AU36" s="47">
        <f>SUMIF(r_PartPresses,t_Presses[[PRESS]:[PRESS]],t_Parts[hp2015.12])</f>
        <v>0</v>
      </c>
      <c r="AV36" s="47">
        <f>SUM(t_Presses[[#This Row],[hp2015.01]:[hp2015.12]])</f>
        <v>0</v>
      </c>
      <c r="AW36" s="47">
        <f>SUMIF(r_PartPresses,t_Presses[[PRESS]:[PRESS]],t_Parts[hp2016.01])</f>
        <v>0</v>
      </c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x14ac:dyDescent="0.25">
      <c r="A37" s="16" t="s">
        <v>151</v>
      </c>
      <c r="B37" t="s">
        <v>12</v>
      </c>
      <c r="C37" t="s">
        <v>125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7">
        <f>SUMIF(r_PartPresses,t_Presses[[PRESS]:[PRESS]],t_Parts[hp2015.01])</f>
        <v>0</v>
      </c>
      <c r="AK37" s="47">
        <f>SUMIF(r_PartPresses,t_Presses[[PRESS]:[PRESS]],t_Parts[hp2015.02])</f>
        <v>0</v>
      </c>
      <c r="AL37" s="47">
        <f>SUMIF(r_PartPresses,t_Presses[[PRESS]:[PRESS]],t_Parts[hp2015.03])</f>
        <v>0</v>
      </c>
      <c r="AM37" s="47">
        <f>SUMIF(r_PartPresses,t_Presses[[PRESS]:[PRESS]],t_Parts[hp2015.04])</f>
        <v>0</v>
      </c>
      <c r="AN37" s="47">
        <f>SUMIF(r_PartPresses,t_Presses[[PRESS]:[PRESS]],t_Parts[hp2015.05])</f>
        <v>0</v>
      </c>
      <c r="AO37" s="47">
        <f>SUMIF(r_PartPresses,t_Presses[[PRESS]:[PRESS]],t_Parts[hp2015.06])</f>
        <v>0</v>
      </c>
      <c r="AP37" s="47">
        <f>SUMIF(r_PartPresses,t_Presses[[PRESS]:[PRESS]],t_Parts[hp2015.07])</f>
        <v>0</v>
      </c>
      <c r="AQ37" s="47">
        <f>SUMIF(r_PartPresses,t_Presses[[PRESS]:[PRESS]],t_Parts[hp2015.08])</f>
        <v>0</v>
      </c>
      <c r="AR37" s="47">
        <f>SUMIF(r_PartPresses,t_Presses[[PRESS]:[PRESS]],t_Parts[hp2015.09])</f>
        <v>0</v>
      </c>
      <c r="AS37" s="47">
        <f>SUMIF(r_PartPresses,t_Presses[[PRESS]:[PRESS]],t_Parts[hp2015.10])</f>
        <v>0</v>
      </c>
      <c r="AT37" s="47">
        <f>SUMIF(r_PartPresses,t_Presses[[PRESS]:[PRESS]],t_Parts[hp2015.11])</f>
        <v>0</v>
      </c>
      <c r="AU37" s="47">
        <f>SUMIF(r_PartPresses,t_Presses[[PRESS]:[PRESS]],t_Parts[hp2015.12])</f>
        <v>0</v>
      </c>
      <c r="AV37" s="47">
        <f>SUM(t_Presses[[#This Row],[hp2015.01]:[hp2015.12]])</f>
        <v>0</v>
      </c>
      <c r="AW37" s="47">
        <f>SUMIF(r_PartPresses,t_Presses[[PRESS]:[PRESS]],t_Parts[hp2016.01])</f>
        <v>0</v>
      </c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x14ac:dyDescent="0.25">
      <c r="A38" s="16" t="s">
        <v>152</v>
      </c>
      <c r="B38" t="s">
        <v>12</v>
      </c>
      <c r="C38" t="s">
        <v>125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7">
        <f>SUMIF(r_PartPresses,t_Presses[[PRESS]:[PRESS]],t_Parts[hp2015.01])</f>
        <v>0</v>
      </c>
      <c r="AK38" s="47">
        <f>SUMIF(r_PartPresses,t_Presses[[PRESS]:[PRESS]],t_Parts[hp2015.02])</f>
        <v>0</v>
      </c>
      <c r="AL38" s="47">
        <f>SUMIF(r_PartPresses,t_Presses[[PRESS]:[PRESS]],t_Parts[hp2015.03])</f>
        <v>0</v>
      </c>
      <c r="AM38" s="47">
        <f>SUMIF(r_PartPresses,t_Presses[[PRESS]:[PRESS]],t_Parts[hp2015.04])</f>
        <v>0</v>
      </c>
      <c r="AN38" s="47">
        <f>SUMIF(r_PartPresses,t_Presses[[PRESS]:[PRESS]],t_Parts[hp2015.05])</f>
        <v>0</v>
      </c>
      <c r="AO38" s="47">
        <f>SUMIF(r_PartPresses,t_Presses[[PRESS]:[PRESS]],t_Parts[hp2015.06])</f>
        <v>0</v>
      </c>
      <c r="AP38" s="47">
        <f>SUMIF(r_PartPresses,t_Presses[[PRESS]:[PRESS]],t_Parts[hp2015.07])</f>
        <v>0</v>
      </c>
      <c r="AQ38" s="47">
        <f>SUMIF(r_PartPresses,t_Presses[[PRESS]:[PRESS]],t_Parts[hp2015.08])</f>
        <v>0</v>
      </c>
      <c r="AR38" s="47">
        <f>SUMIF(r_PartPresses,t_Presses[[PRESS]:[PRESS]],t_Parts[hp2015.09])</f>
        <v>0</v>
      </c>
      <c r="AS38" s="47">
        <f>SUMIF(r_PartPresses,t_Presses[[PRESS]:[PRESS]],t_Parts[hp2015.10])</f>
        <v>0</v>
      </c>
      <c r="AT38" s="47">
        <f>SUMIF(r_PartPresses,t_Presses[[PRESS]:[PRESS]],t_Parts[hp2015.11])</f>
        <v>0</v>
      </c>
      <c r="AU38" s="47">
        <f>SUMIF(r_PartPresses,t_Presses[[PRESS]:[PRESS]],t_Parts[hp2015.12])</f>
        <v>0</v>
      </c>
      <c r="AV38" s="47">
        <f>SUM(t_Presses[[#This Row],[hp2015.01]:[hp2015.12]])</f>
        <v>0</v>
      </c>
      <c r="AW38" s="47">
        <f>SUMIF(r_PartPresses,t_Presses[[PRESS]:[PRESS]],t_Parts[hp2016.01])</f>
        <v>0</v>
      </c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x14ac:dyDescent="0.25">
      <c r="A39" s="16" t="s">
        <v>153</v>
      </c>
      <c r="B39" t="s">
        <v>12</v>
      </c>
      <c r="C39" t="s">
        <v>125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7">
        <f>SUMIF(r_PartPresses,t_Presses[[PRESS]:[PRESS]],t_Parts[hp2015.01])</f>
        <v>0</v>
      </c>
      <c r="AK39" s="47">
        <f>SUMIF(r_PartPresses,t_Presses[[PRESS]:[PRESS]],t_Parts[hp2015.02])</f>
        <v>0</v>
      </c>
      <c r="AL39" s="47">
        <f>SUMIF(r_PartPresses,t_Presses[[PRESS]:[PRESS]],t_Parts[hp2015.03])</f>
        <v>0</v>
      </c>
      <c r="AM39" s="47">
        <f>SUMIF(r_PartPresses,t_Presses[[PRESS]:[PRESS]],t_Parts[hp2015.04])</f>
        <v>0</v>
      </c>
      <c r="AN39" s="47">
        <f>SUMIF(r_PartPresses,t_Presses[[PRESS]:[PRESS]],t_Parts[hp2015.05])</f>
        <v>0</v>
      </c>
      <c r="AO39" s="47">
        <f>SUMIF(r_PartPresses,t_Presses[[PRESS]:[PRESS]],t_Parts[hp2015.06])</f>
        <v>0</v>
      </c>
      <c r="AP39" s="47">
        <f>SUMIF(r_PartPresses,t_Presses[[PRESS]:[PRESS]],t_Parts[hp2015.07])</f>
        <v>0</v>
      </c>
      <c r="AQ39" s="47">
        <f>SUMIF(r_PartPresses,t_Presses[[PRESS]:[PRESS]],t_Parts[hp2015.08])</f>
        <v>0</v>
      </c>
      <c r="AR39" s="47">
        <f>SUMIF(r_PartPresses,t_Presses[[PRESS]:[PRESS]],t_Parts[hp2015.09])</f>
        <v>0</v>
      </c>
      <c r="AS39" s="47">
        <f>SUMIF(r_PartPresses,t_Presses[[PRESS]:[PRESS]],t_Parts[hp2015.10])</f>
        <v>0</v>
      </c>
      <c r="AT39" s="47">
        <f>SUMIF(r_PartPresses,t_Presses[[PRESS]:[PRESS]],t_Parts[hp2015.11])</f>
        <v>0</v>
      </c>
      <c r="AU39" s="47">
        <f>SUMIF(r_PartPresses,t_Presses[[PRESS]:[PRESS]],t_Parts[hp2015.12])</f>
        <v>0</v>
      </c>
      <c r="AV39" s="47">
        <f>SUM(t_Presses[[#This Row],[hp2015.01]:[hp2015.12]])</f>
        <v>0</v>
      </c>
      <c r="AW39" s="47">
        <f>SUMIF(r_PartPresses,t_Presses[[PRESS]:[PRESS]],t_Parts[hp2016.01])</f>
        <v>0</v>
      </c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x14ac:dyDescent="0.25">
      <c r="A40" s="16" t="s">
        <v>154</v>
      </c>
      <c r="B40" t="s">
        <v>12</v>
      </c>
      <c r="C40" t="s">
        <v>125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7">
        <f>SUMIF(r_PartPresses,t_Presses[[PRESS]:[PRESS]],t_Parts[hp2015.01])</f>
        <v>0</v>
      </c>
      <c r="AK40" s="47">
        <f>SUMIF(r_PartPresses,t_Presses[[PRESS]:[PRESS]],t_Parts[hp2015.02])</f>
        <v>0</v>
      </c>
      <c r="AL40" s="47">
        <f>SUMIF(r_PartPresses,t_Presses[[PRESS]:[PRESS]],t_Parts[hp2015.03])</f>
        <v>0</v>
      </c>
      <c r="AM40" s="47">
        <f>SUMIF(r_PartPresses,t_Presses[[PRESS]:[PRESS]],t_Parts[hp2015.04])</f>
        <v>0</v>
      </c>
      <c r="AN40" s="47">
        <f>SUMIF(r_PartPresses,t_Presses[[PRESS]:[PRESS]],t_Parts[hp2015.05])</f>
        <v>0</v>
      </c>
      <c r="AO40" s="47">
        <f>SUMIF(r_PartPresses,t_Presses[[PRESS]:[PRESS]],t_Parts[hp2015.06])</f>
        <v>0</v>
      </c>
      <c r="AP40" s="47">
        <f>SUMIF(r_PartPresses,t_Presses[[PRESS]:[PRESS]],t_Parts[hp2015.07])</f>
        <v>0</v>
      </c>
      <c r="AQ40" s="47">
        <f>SUMIF(r_PartPresses,t_Presses[[PRESS]:[PRESS]],t_Parts[hp2015.08])</f>
        <v>0</v>
      </c>
      <c r="AR40" s="47">
        <f>SUMIF(r_PartPresses,t_Presses[[PRESS]:[PRESS]],t_Parts[hp2015.09])</f>
        <v>0</v>
      </c>
      <c r="AS40" s="47">
        <f>SUMIF(r_PartPresses,t_Presses[[PRESS]:[PRESS]],t_Parts[hp2015.10])</f>
        <v>0</v>
      </c>
      <c r="AT40" s="47">
        <f>SUMIF(r_PartPresses,t_Presses[[PRESS]:[PRESS]],t_Parts[hp2015.11])</f>
        <v>0</v>
      </c>
      <c r="AU40" s="47">
        <f>SUMIF(r_PartPresses,t_Presses[[PRESS]:[PRESS]],t_Parts[hp2015.12])</f>
        <v>0</v>
      </c>
      <c r="AV40" s="47">
        <f>SUM(t_Presses[[#This Row],[hp2015.01]:[hp2015.12]])</f>
        <v>0</v>
      </c>
      <c r="AW40" s="47">
        <f>SUMIF(r_PartPresses,t_Presses[[PRESS]:[PRESS]],t_Parts[hp2016.01])</f>
        <v>0</v>
      </c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x14ac:dyDescent="0.25">
      <c r="A41" s="16" t="s">
        <v>155</v>
      </c>
      <c r="B41" t="s">
        <v>12</v>
      </c>
      <c r="C41" t="s">
        <v>125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7">
        <f>SUMIF(r_PartPresses,t_Presses[[PRESS]:[PRESS]],t_Parts[hp2015.01])</f>
        <v>0</v>
      </c>
      <c r="AK41" s="47">
        <f>SUMIF(r_PartPresses,t_Presses[[PRESS]:[PRESS]],t_Parts[hp2015.02])</f>
        <v>0</v>
      </c>
      <c r="AL41" s="47">
        <f>SUMIF(r_PartPresses,t_Presses[[PRESS]:[PRESS]],t_Parts[hp2015.03])</f>
        <v>0</v>
      </c>
      <c r="AM41" s="47">
        <f>SUMIF(r_PartPresses,t_Presses[[PRESS]:[PRESS]],t_Parts[hp2015.04])</f>
        <v>0</v>
      </c>
      <c r="AN41" s="47">
        <f>SUMIF(r_PartPresses,t_Presses[[PRESS]:[PRESS]],t_Parts[hp2015.05])</f>
        <v>0</v>
      </c>
      <c r="AO41" s="47">
        <f>SUMIF(r_PartPresses,t_Presses[[PRESS]:[PRESS]],t_Parts[hp2015.06])</f>
        <v>0</v>
      </c>
      <c r="AP41" s="47">
        <f>SUMIF(r_PartPresses,t_Presses[[PRESS]:[PRESS]],t_Parts[hp2015.07])</f>
        <v>0</v>
      </c>
      <c r="AQ41" s="47">
        <f>SUMIF(r_PartPresses,t_Presses[[PRESS]:[PRESS]],t_Parts[hp2015.08])</f>
        <v>0</v>
      </c>
      <c r="AR41" s="47">
        <f>SUMIF(r_PartPresses,t_Presses[[PRESS]:[PRESS]],t_Parts[hp2015.09])</f>
        <v>0</v>
      </c>
      <c r="AS41" s="47">
        <f>SUMIF(r_PartPresses,t_Presses[[PRESS]:[PRESS]],t_Parts[hp2015.10])</f>
        <v>0</v>
      </c>
      <c r="AT41" s="47">
        <f>SUMIF(r_PartPresses,t_Presses[[PRESS]:[PRESS]],t_Parts[hp2015.11])</f>
        <v>0</v>
      </c>
      <c r="AU41" s="47">
        <f>SUMIF(r_PartPresses,t_Presses[[PRESS]:[PRESS]],t_Parts[hp2015.12])</f>
        <v>0</v>
      </c>
      <c r="AV41" s="47">
        <f>SUM(t_Presses[[#This Row],[hp2015.01]:[hp2015.12]])</f>
        <v>0</v>
      </c>
      <c r="AW41" s="47">
        <f>SUMIF(r_PartPresses,t_Presses[[PRESS]:[PRESS]],t_Parts[hp2016.01])</f>
        <v>0</v>
      </c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x14ac:dyDescent="0.25">
      <c r="A42" s="16" t="s">
        <v>156</v>
      </c>
      <c r="B42" t="s">
        <v>12</v>
      </c>
      <c r="C42" t="s">
        <v>125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7">
        <f>SUMIF(r_PartPresses,t_Presses[[PRESS]:[PRESS]],t_Parts[hp2015.01])</f>
        <v>0</v>
      </c>
      <c r="AK42" s="47">
        <f>SUMIF(r_PartPresses,t_Presses[[PRESS]:[PRESS]],t_Parts[hp2015.02])</f>
        <v>0</v>
      </c>
      <c r="AL42" s="47">
        <f>SUMIF(r_PartPresses,t_Presses[[PRESS]:[PRESS]],t_Parts[hp2015.03])</f>
        <v>0</v>
      </c>
      <c r="AM42" s="47">
        <f>SUMIF(r_PartPresses,t_Presses[[PRESS]:[PRESS]],t_Parts[hp2015.04])</f>
        <v>0</v>
      </c>
      <c r="AN42" s="47">
        <f>SUMIF(r_PartPresses,t_Presses[[PRESS]:[PRESS]],t_Parts[hp2015.05])</f>
        <v>0</v>
      </c>
      <c r="AO42" s="47">
        <f>SUMIF(r_PartPresses,t_Presses[[PRESS]:[PRESS]],t_Parts[hp2015.06])</f>
        <v>0</v>
      </c>
      <c r="AP42" s="47">
        <f>SUMIF(r_PartPresses,t_Presses[[PRESS]:[PRESS]],t_Parts[hp2015.07])</f>
        <v>0</v>
      </c>
      <c r="AQ42" s="47">
        <f>SUMIF(r_PartPresses,t_Presses[[PRESS]:[PRESS]],t_Parts[hp2015.08])</f>
        <v>0</v>
      </c>
      <c r="AR42" s="47">
        <f>SUMIF(r_PartPresses,t_Presses[[PRESS]:[PRESS]],t_Parts[hp2015.09])</f>
        <v>0</v>
      </c>
      <c r="AS42" s="47">
        <f>SUMIF(r_PartPresses,t_Presses[[PRESS]:[PRESS]],t_Parts[hp2015.10])</f>
        <v>0</v>
      </c>
      <c r="AT42" s="47">
        <f>SUMIF(r_PartPresses,t_Presses[[PRESS]:[PRESS]],t_Parts[hp2015.11])</f>
        <v>0</v>
      </c>
      <c r="AU42" s="47">
        <f>SUMIF(r_PartPresses,t_Presses[[PRESS]:[PRESS]],t_Parts[hp2015.12])</f>
        <v>0</v>
      </c>
      <c r="AV42" s="47">
        <f>SUM(t_Presses[[#This Row],[hp2015.01]:[hp2015.12]])</f>
        <v>0</v>
      </c>
      <c r="AW42" s="47">
        <f>SUMIF(r_PartPresses,t_Presses[[PRESS]:[PRESS]],t_Parts[hp2016.01])</f>
        <v>0</v>
      </c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x14ac:dyDescent="0.25">
      <c r="A43" s="16" t="s">
        <v>157</v>
      </c>
      <c r="B43" t="s">
        <v>12</v>
      </c>
      <c r="C43" t="s">
        <v>126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7">
        <f>SUMIF(r_PartPresses,t_Presses[[PRESS]:[PRESS]],t_Parts[hp2015.01])</f>
        <v>0</v>
      </c>
      <c r="AK43" s="47">
        <f>SUMIF(r_PartPresses,t_Presses[[PRESS]:[PRESS]],t_Parts[hp2015.02])</f>
        <v>0</v>
      </c>
      <c r="AL43" s="47">
        <f>SUMIF(r_PartPresses,t_Presses[[PRESS]:[PRESS]],t_Parts[hp2015.03])</f>
        <v>0</v>
      </c>
      <c r="AM43" s="47">
        <f>SUMIF(r_PartPresses,t_Presses[[PRESS]:[PRESS]],t_Parts[hp2015.04])</f>
        <v>0</v>
      </c>
      <c r="AN43" s="47">
        <f>SUMIF(r_PartPresses,t_Presses[[PRESS]:[PRESS]],t_Parts[hp2015.05])</f>
        <v>0</v>
      </c>
      <c r="AO43" s="47">
        <f>SUMIF(r_PartPresses,t_Presses[[PRESS]:[PRESS]],t_Parts[hp2015.06])</f>
        <v>0</v>
      </c>
      <c r="AP43" s="47">
        <f>SUMIF(r_PartPresses,t_Presses[[PRESS]:[PRESS]],t_Parts[hp2015.07])</f>
        <v>0</v>
      </c>
      <c r="AQ43" s="47">
        <f>SUMIF(r_PartPresses,t_Presses[[PRESS]:[PRESS]],t_Parts[hp2015.08])</f>
        <v>0</v>
      </c>
      <c r="AR43" s="47">
        <f>SUMIF(r_PartPresses,t_Presses[[PRESS]:[PRESS]],t_Parts[hp2015.09])</f>
        <v>0</v>
      </c>
      <c r="AS43" s="47">
        <f>SUMIF(r_PartPresses,t_Presses[[PRESS]:[PRESS]],t_Parts[hp2015.10])</f>
        <v>0</v>
      </c>
      <c r="AT43" s="47">
        <f>SUMIF(r_PartPresses,t_Presses[[PRESS]:[PRESS]],t_Parts[hp2015.11])</f>
        <v>0</v>
      </c>
      <c r="AU43" s="47">
        <f>SUMIF(r_PartPresses,t_Presses[[PRESS]:[PRESS]],t_Parts[hp2015.12])</f>
        <v>0</v>
      </c>
      <c r="AV43" s="47">
        <f>SUM(t_Presses[[#This Row],[hp2015.01]:[hp2015.12]])</f>
        <v>0</v>
      </c>
      <c r="AW43" s="47">
        <f>SUMIF(r_PartPresses,t_Presses[[PRESS]:[PRESS]],t_Parts[hp2016.01])</f>
        <v>0</v>
      </c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x14ac:dyDescent="0.25">
      <c r="A44" s="16" t="s">
        <v>158</v>
      </c>
      <c r="B44" t="s">
        <v>12</v>
      </c>
      <c r="C44" t="s">
        <v>125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7">
        <f>SUMIF(r_PartPresses,t_Presses[[PRESS]:[PRESS]],t_Parts[hp2015.01])</f>
        <v>0</v>
      </c>
      <c r="AK44" s="47">
        <f>SUMIF(r_PartPresses,t_Presses[[PRESS]:[PRESS]],t_Parts[hp2015.02])</f>
        <v>0</v>
      </c>
      <c r="AL44" s="47">
        <f>SUMIF(r_PartPresses,t_Presses[[PRESS]:[PRESS]],t_Parts[hp2015.03])</f>
        <v>0</v>
      </c>
      <c r="AM44" s="47">
        <f>SUMIF(r_PartPresses,t_Presses[[PRESS]:[PRESS]],t_Parts[hp2015.04])</f>
        <v>0</v>
      </c>
      <c r="AN44" s="47">
        <f>SUMIF(r_PartPresses,t_Presses[[PRESS]:[PRESS]],t_Parts[hp2015.05])</f>
        <v>0</v>
      </c>
      <c r="AO44" s="47">
        <f>SUMIF(r_PartPresses,t_Presses[[PRESS]:[PRESS]],t_Parts[hp2015.06])</f>
        <v>0</v>
      </c>
      <c r="AP44" s="47">
        <f>SUMIF(r_PartPresses,t_Presses[[PRESS]:[PRESS]],t_Parts[hp2015.07])</f>
        <v>0</v>
      </c>
      <c r="AQ44" s="47">
        <f>SUMIF(r_PartPresses,t_Presses[[PRESS]:[PRESS]],t_Parts[hp2015.08])</f>
        <v>0</v>
      </c>
      <c r="AR44" s="47">
        <f>SUMIF(r_PartPresses,t_Presses[[PRESS]:[PRESS]],t_Parts[hp2015.09])</f>
        <v>0</v>
      </c>
      <c r="AS44" s="47">
        <f>SUMIF(r_PartPresses,t_Presses[[PRESS]:[PRESS]],t_Parts[hp2015.10])</f>
        <v>0</v>
      </c>
      <c r="AT44" s="47">
        <f>SUMIF(r_PartPresses,t_Presses[[PRESS]:[PRESS]],t_Parts[hp2015.11])</f>
        <v>0</v>
      </c>
      <c r="AU44" s="47">
        <f>SUMIF(r_PartPresses,t_Presses[[PRESS]:[PRESS]],t_Parts[hp2015.12])</f>
        <v>0</v>
      </c>
      <c r="AV44" s="47">
        <f>SUM(t_Presses[[#This Row],[hp2015.01]:[hp2015.12]])</f>
        <v>0</v>
      </c>
      <c r="AW44" s="47">
        <f>SUMIF(r_PartPresses,t_Presses[[PRESS]:[PRESS]],t_Parts[hp2016.01])</f>
        <v>0</v>
      </c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x14ac:dyDescent="0.25">
      <c r="A45" s="16" t="s">
        <v>159</v>
      </c>
      <c r="B45" t="s">
        <v>11</v>
      </c>
      <c r="C45" t="s">
        <v>125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7">
        <f>SUMIF(r_PartPresses,t_Presses[[PRESS]:[PRESS]],t_Parts[hp2015.01])</f>
        <v>0</v>
      </c>
      <c r="AK45" s="47">
        <f>SUMIF(r_PartPresses,t_Presses[[PRESS]:[PRESS]],t_Parts[hp2015.02])</f>
        <v>0</v>
      </c>
      <c r="AL45" s="47">
        <f>SUMIF(r_PartPresses,t_Presses[[PRESS]:[PRESS]],t_Parts[hp2015.03])</f>
        <v>0</v>
      </c>
      <c r="AM45" s="47">
        <f>SUMIF(r_PartPresses,t_Presses[[PRESS]:[PRESS]],t_Parts[hp2015.04])</f>
        <v>0</v>
      </c>
      <c r="AN45" s="47">
        <f>SUMIF(r_PartPresses,t_Presses[[PRESS]:[PRESS]],t_Parts[hp2015.05])</f>
        <v>0</v>
      </c>
      <c r="AO45" s="47">
        <f>SUMIF(r_PartPresses,t_Presses[[PRESS]:[PRESS]],t_Parts[hp2015.06])</f>
        <v>0</v>
      </c>
      <c r="AP45" s="47">
        <f>SUMIF(r_PartPresses,t_Presses[[PRESS]:[PRESS]],t_Parts[hp2015.07])</f>
        <v>0</v>
      </c>
      <c r="AQ45" s="47">
        <f>SUMIF(r_PartPresses,t_Presses[[PRESS]:[PRESS]],t_Parts[hp2015.08])</f>
        <v>0</v>
      </c>
      <c r="AR45" s="47">
        <f>SUMIF(r_PartPresses,t_Presses[[PRESS]:[PRESS]],t_Parts[hp2015.09])</f>
        <v>0</v>
      </c>
      <c r="AS45" s="47">
        <f>SUMIF(r_PartPresses,t_Presses[[PRESS]:[PRESS]],t_Parts[hp2015.10])</f>
        <v>0</v>
      </c>
      <c r="AT45" s="47">
        <f>SUMIF(r_PartPresses,t_Presses[[PRESS]:[PRESS]],t_Parts[hp2015.11])</f>
        <v>0</v>
      </c>
      <c r="AU45" s="47">
        <f>SUMIF(r_PartPresses,t_Presses[[PRESS]:[PRESS]],t_Parts[hp2015.12])</f>
        <v>0</v>
      </c>
      <c r="AV45" s="47">
        <f>SUM(t_Presses[[#This Row],[hp2015.01]:[hp2015.12]])</f>
        <v>0</v>
      </c>
      <c r="AW45" s="47">
        <f>SUMIF(r_PartPresses,t_Presses[[PRESS]:[PRESS]],t_Parts[hp2016.01])</f>
        <v>0</v>
      </c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x14ac:dyDescent="0.25">
      <c r="A46" s="16" t="s">
        <v>160</v>
      </c>
      <c r="B46" t="s">
        <v>11</v>
      </c>
      <c r="C46" t="s">
        <v>125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7">
        <f>SUMIF(r_PartPresses,t_Presses[[PRESS]:[PRESS]],t_Parts[hp2015.01])</f>
        <v>0</v>
      </c>
      <c r="AK46" s="47">
        <f>SUMIF(r_PartPresses,t_Presses[[PRESS]:[PRESS]],t_Parts[hp2015.02])</f>
        <v>0</v>
      </c>
      <c r="AL46" s="47">
        <f>SUMIF(r_PartPresses,t_Presses[[PRESS]:[PRESS]],t_Parts[hp2015.03])</f>
        <v>0</v>
      </c>
      <c r="AM46" s="47">
        <f>SUMIF(r_PartPresses,t_Presses[[PRESS]:[PRESS]],t_Parts[hp2015.04])</f>
        <v>0</v>
      </c>
      <c r="AN46" s="47">
        <f>SUMIF(r_PartPresses,t_Presses[[PRESS]:[PRESS]],t_Parts[hp2015.05])</f>
        <v>0</v>
      </c>
      <c r="AO46" s="47">
        <f>SUMIF(r_PartPresses,t_Presses[[PRESS]:[PRESS]],t_Parts[hp2015.06])</f>
        <v>0</v>
      </c>
      <c r="AP46" s="47">
        <f>SUMIF(r_PartPresses,t_Presses[[PRESS]:[PRESS]],t_Parts[hp2015.07])</f>
        <v>0</v>
      </c>
      <c r="AQ46" s="47">
        <f>SUMIF(r_PartPresses,t_Presses[[PRESS]:[PRESS]],t_Parts[hp2015.08])</f>
        <v>0</v>
      </c>
      <c r="AR46" s="47">
        <f>SUMIF(r_PartPresses,t_Presses[[PRESS]:[PRESS]],t_Parts[hp2015.09])</f>
        <v>0</v>
      </c>
      <c r="AS46" s="47">
        <f>SUMIF(r_PartPresses,t_Presses[[PRESS]:[PRESS]],t_Parts[hp2015.10])</f>
        <v>0</v>
      </c>
      <c r="AT46" s="47">
        <f>SUMIF(r_PartPresses,t_Presses[[PRESS]:[PRESS]],t_Parts[hp2015.11])</f>
        <v>0</v>
      </c>
      <c r="AU46" s="47">
        <f>SUMIF(r_PartPresses,t_Presses[[PRESS]:[PRESS]],t_Parts[hp2015.12])</f>
        <v>0</v>
      </c>
      <c r="AV46" s="47">
        <f>SUM(t_Presses[[#This Row],[hp2015.01]:[hp2015.12]])</f>
        <v>0</v>
      </c>
      <c r="AW46" s="47">
        <f>SUMIF(r_PartPresses,t_Presses[[PRESS]:[PRESS]],t_Parts[hp2016.01])</f>
        <v>0</v>
      </c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x14ac:dyDescent="0.25">
      <c r="A47" s="16" t="s">
        <v>161</v>
      </c>
      <c r="B47" t="s">
        <v>11</v>
      </c>
      <c r="C47" t="s">
        <v>125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7">
        <f>SUMIF(r_PartPresses,t_Presses[[PRESS]:[PRESS]],t_Parts[hp2015.01])</f>
        <v>0</v>
      </c>
      <c r="AK47" s="47">
        <f>SUMIF(r_PartPresses,t_Presses[[PRESS]:[PRESS]],t_Parts[hp2015.02])</f>
        <v>0</v>
      </c>
      <c r="AL47" s="47">
        <f>SUMIF(r_PartPresses,t_Presses[[PRESS]:[PRESS]],t_Parts[hp2015.03])</f>
        <v>0</v>
      </c>
      <c r="AM47" s="47">
        <f>SUMIF(r_PartPresses,t_Presses[[PRESS]:[PRESS]],t_Parts[hp2015.04])</f>
        <v>0</v>
      </c>
      <c r="AN47" s="47">
        <f>SUMIF(r_PartPresses,t_Presses[[PRESS]:[PRESS]],t_Parts[hp2015.05])</f>
        <v>0</v>
      </c>
      <c r="AO47" s="47">
        <f>SUMIF(r_PartPresses,t_Presses[[PRESS]:[PRESS]],t_Parts[hp2015.06])</f>
        <v>0</v>
      </c>
      <c r="AP47" s="47">
        <f>SUMIF(r_PartPresses,t_Presses[[PRESS]:[PRESS]],t_Parts[hp2015.07])</f>
        <v>0</v>
      </c>
      <c r="AQ47" s="47">
        <f>SUMIF(r_PartPresses,t_Presses[[PRESS]:[PRESS]],t_Parts[hp2015.08])</f>
        <v>0</v>
      </c>
      <c r="AR47" s="47">
        <f>SUMIF(r_PartPresses,t_Presses[[PRESS]:[PRESS]],t_Parts[hp2015.09])</f>
        <v>0</v>
      </c>
      <c r="AS47" s="47">
        <f>SUMIF(r_PartPresses,t_Presses[[PRESS]:[PRESS]],t_Parts[hp2015.10])</f>
        <v>0</v>
      </c>
      <c r="AT47" s="47">
        <f>SUMIF(r_PartPresses,t_Presses[[PRESS]:[PRESS]],t_Parts[hp2015.11])</f>
        <v>0</v>
      </c>
      <c r="AU47" s="47">
        <f>SUMIF(r_PartPresses,t_Presses[[PRESS]:[PRESS]],t_Parts[hp2015.12])</f>
        <v>0</v>
      </c>
      <c r="AV47" s="47">
        <f>SUM(t_Presses[[#This Row],[hp2015.01]:[hp2015.12]])</f>
        <v>0</v>
      </c>
      <c r="AW47" s="47">
        <f>SUMIF(r_PartPresses,t_Presses[[PRESS]:[PRESS]],t_Parts[hp2016.01])</f>
        <v>0</v>
      </c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x14ac:dyDescent="0.25">
      <c r="A48" s="16" t="s">
        <v>162</v>
      </c>
      <c r="B48" t="s">
        <v>11</v>
      </c>
      <c r="C48" t="s">
        <v>126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7">
        <f>SUMIF(r_PartPresses,t_Presses[[PRESS]:[PRESS]],t_Parts[hp2015.01])</f>
        <v>0</v>
      </c>
      <c r="AK48" s="47">
        <f>SUMIF(r_PartPresses,t_Presses[[PRESS]:[PRESS]],t_Parts[hp2015.02])</f>
        <v>0</v>
      </c>
      <c r="AL48" s="47">
        <f>SUMIF(r_PartPresses,t_Presses[[PRESS]:[PRESS]],t_Parts[hp2015.03])</f>
        <v>0</v>
      </c>
      <c r="AM48" s="47">
        <f>SUMIF(r_PartPresses,t_Presses[[PRESS]:[PRESS]],t_Parts[hp2015.04])</f>
        <v>0</v>
      </c>
      <c r="AN48" s="47">
        <f>SUMIF(r_PartPresses,t_Presses[[PRESS]:[PRESS]],t_Parts[hp2015.05])</f>
        <v>0</v>
      </c>
      <c r="AO48" s="47">
        <f>SUMIF(r_PartPresses,t_Presses[[PRESS]:[PRESS]],t_Parts[hp2015.06])</f>
        <v>0</v>
      </c>
      <c r="AP48" s="47">
        <f>SUMIF(r_PartPresses,t_Presses[[PRESS]:[PRESS]],t_Parts[hp2015.07])</f>
        <v>0</v>
      </c>
      <c r="AQ48" s="47">
        <f>SUMIF(r_PartPresses,t_Presses[[PRESS]:[PRESS]],t_Parts[hp2015.08])</f>
        <v>0</v>
      </c>
      <c r="AR48" s="47">
        <f>SUMIF(r_PartPresses,t_Presses[[PRESS]:[PRESS]],t_Parts[hp2015.09])</f>
        <v>0</v>
      </c>
      <c r="AS48" s="47">
        <f>SUMIF(r_PartPresses,t_Presses[[PRESS]:[PRESS]],t_Parts[hp2015.10])</f>
        <v>0</v>
      </c>
      <c r="AT48" s="47">
        <f>SUMIF(r_PartPresses,t_Presses[[PRESS]:[PRESS]],t_Parts[hp2015.11])</f>
        <v>0</v>
      </c>
      <c r="AU48" s="47">
        <f>SUMIF(r_PartPresses,t_Presses[[PRESS]:[PRESS]],t_Parts[hp2015.12])</f>
        <v>0</v>
      </c>
      <c r="AV48" s="47">
        <f>SUM(t_Presses[[#This Row],[hp2015.01]:[hp2015.12]])</f>
        <v>0</v>
      </c>
      <c r="AW48" s="47">
        <f>SUMIF(r_PartPresses,t_Presses[[PRESS]:[PRESS]],t_Parts[hp2016.01])</f>
        <v>0</v>
      </c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x14ac:dyDescent="0.25">
      <c r="A49" s="16" t="s">
        <v>163</v>
      </c>
      <c r="B49" t="s">
        <v>11</v>
      </c>
      <c r="C49" t="s">
        <v>126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7">
        <f>SUMIF(r_PartPresses,t_Presses[[PRESS]:[PRESS]],t_Parts[hp2015.01])</f>
        <v>0</v>
      </c>
      <c r="AK49" s="47">
        <f>SUMIF(r_PartPresses,t_Presses[[PRESS]:[PRESS]],t_Parts[hp2015.02])</f>
        <v>0</v>
      </c>
      <c r="AL49" s="47">
        <f>SUMIF(r_PartPresses,t_Presses[[PRESS]:[PRESS]],t_Parts[hp2015.03])</f>
        <v>0</v>
      </c>
      <c r="AM49" s="47">
        <f>SUMIF(r_PartPresses,t_Presses[[PRESS]:[PRESS]],t_Parts[hp2015.04])</f>
        <v>0</v>
      </c>
      <c r="AN49" s="47">
        <f>SUMIF(r_PartPresses,t_Presses[[PRESS]:[PRESS]],t_Parts[hp2015.05])</f>
        <v>0</v>
      </c>
      <c r="AO49" s="47">
        <f>SUMIF(r_PartPresses,t_Presses[[PRESS]:[PRESS]],t_Parts[hp2015.06])</f>
        <v>0</v>
      </c>
      <c r="AP49" s="47">
        <f>SUMIF(r_PartPresses,t_Presses[[PRESS]:[PRESS]],t_Parts[hp2015.07])</f>
        <v>0</v>
      </c>
      <c r="AQ49" s="47">
        <f>SUMIF(r_PartPresses,t_Presses[[PRESS]:[PRESS]],t_Parts[hp2015.08])</f>
        <v>0</v>
      </c>
      <c r="AR49" s="47">
        <f>SUMIF(r_PartPresses,t_Presses[[PRESS]:[PRESS]],t_Parts[hp2015.09])</f>
        <v>0</v>
      </c>
      <c r="AS49" s="47">
        <f>SUMIF(r_PartPresses,t_Presses[[PRESS]:[PRESS]],t_Parts[hp2015.10])</f>
        <v>0</v>
      </c>
      <c r="AT49" s="47">
        <f>SUMIF(r_PartPresses,t_Presses[[PRESS]:[PRESS]],t_Parts[hp2015.11])</f>
        <v>0</v>
      </c>
      <c r="AU49" s="47">
        <f>SUMIF(r_PartPresses,t_Presses[[PRESS]:[PRESS]],t_Parts[hp2015.12])</f>
        <v>0</v>
      </c>
      <c r="AV49" s="47">
        <f>SUM(t_Presses[[#This Row],[hp2015.01]:[hp2015.12]])</f>
        <v>0</v>
      </c>
      <c r="AW49" s="47">
        <f>SUMIF(r_PartPresses,t_Presses[[PRESS]:[PRESS]],t_Parts[hp2016.01])</f>
        <v>0</v>
      </c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64" priority="1" stopIfTrue="1" operator="greaterThan">
      <formula>v_uRed</formula>
    </cfRule>
    <cfRule type="cellIs" dxfId="263" priority="2" stopIfTrue="1" operator="greaterThan">
      <formula>v_uYel</formula>
    </cfRule>
    <cfRule type="cellIs" dxfId="262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S2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B16" sqref="B16"/>
    </sheetView>
  </sheetViews>
  <sheetFormatPr defaultRowHeight="15" x14ac:dyDescent="0.25"/>
  <cols>
    <col min="1" max="1" width="15.140625" style="16" customWidth="1"/>
    <col min="2" max="2" width="9.140625" customWidth="1"/>
    <col min="3" max="3" width="15.85546875" customWidth="1"/>
    <col min="4" max="4" width="13.85546875" customWidth="1"/>
    <col min="5" max="8" width="9.140625" customWidth="1"/>
    <col min="9" max="13" width="11.7109375" customWidth="1"/>
    <col min="14" max="14" width="8.42578125" customWidth="1"/>
    <col min="15" max="15" width="8.28515625" customWidth="1"/>
    <col min="16" max="17" width="12.28515625" customWidth="1"/>
    <col min="18" max="18" width="13.7109375" customWidth="1"/>
    <col min="19" max="19" width="9.7109375" customWidth="1"/>
    <col min="20" max="20" width="10.42578125" customWidth="1"/>
    <col min="21" max="21" width="10.85546875" customWidth="1"/>
    <col min="22" max="22" width="10.140625" customWidth="1"/>
    <col min="23" max="23" width="11.42578125" customWidth="1"/>
    <col min="24" max="24" width="10.5703125" customWidth="1"/>
    <col min="25" max="28" width="9.140625" customWidth="1"/>
    <col min="29" max="29" width="11" customWidth="1"/>
    <col min="30" max="30" width="13.42578125" customWidth="1"/>
    <col min="31" max="56" width="11.7109375" customWidth="1"/>
    <col min="57" max="76" width="11.85546875" customWidth="1"/>
    <col min="77" max="77" width="9.140625" customWidth="1"/>
    <col min="78" max="105" width="11.85546875" customWidth="1"/>
    <col min="106" max="106" width="9.140625" customWidth="1"/>
    <col min="107" max="115" width="11.85546875" customWidth="1"/>
    <col min="116" max="144" width="12" customWidth="1"/>
    <col min="145" max="146" width="9.7109375" customWidth="1"/>
    <col min="147" max="175" width="11.7109375" customWidth="1"/>
  </cols>
  <sheetData>
    <row r="1" spans="1:175" s="73" customFormat="1" ht="17.25" hidden="1" customHeight="1" x14ac:dyDescent="0.25">
      <c r="A1" s="75"/>
    </row>
    <row r="2" spans="1:175" s="35" customFormat="1" ht="42" customHeight="1" x14ac:dyDescent="0.25">
      <c r="A2" s="76" t="s">
        <v>471</v>
      </c>
    </row>
    <row r="3" spans="1:175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101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6" t="s">
        <v>190</v>
      </c>
      <c r="W3" s="22"/>
      <c r="X3" s="22"/>
      <c r="Y3" s="22"/>
      <c r="Z3" s="22"/>
      <c r="AA3" s="22"/>
      <c r="AB3" s="22"/>
      <c r="AC3" s="22"/>
      <c r="AD3" s="6" t="s">
        <v>122</v>
      </c>
      <c r="AE3" s="23">
        <v>2015.01</v>
      </c>
      <c r="AF3" s="23">
        <v>2015.02</v>
      </c>
      <c r="AG3" s="23">
        <v>2015.03</v>
      </c>
      <c r="AH3" s="23">
        <v>2015.04</v>
      </c>
      <c r="AI3" s="23">
        <v>2015.05</v>
      </c>
      <c r="AJ3" s="23">
        <v>2015.06</v>
      </c>
      <c r="AK3" s="23">
        <v>2015.07</v>
      </c>
      <c r="AL3" s="23">
        <v>2015.08</v>
      </c>
      <c r="AM3" s="23">
        <v>2015.09</v>
      </c>
      <c r="AN3" s="23">
        <v>2015.1</v>
      </c>
      <c r="AO3" s="23">
        <v>2015.11</v>
      </c>
      <c r="AP3" s="23">
        <v>2015.12</v>
      </c>
      <c r="AQ3" s="23">
        <v>2015.13</v>
      </c>
      <c r="AR3" s="23">
        <v>2016.01</v>
      </c>
      <c r="AS3" s="23">
        <v>2016.02</v>
      </c>
      <c r="AT3" s="23">
        <v>2016.03</v>
      </c>
      <c r="AU3" s="23">
        <v>2016.04</v>
      </c>
      <c r="AV3" s="23">
        <v>2016.05</v>
      </c>
      <c r="AW3" s="23">
        <v>2016.06</v>
      </c>
      <c r="AX3" s="23">
        <v>2016.07</v>
      </c>
      <c r="AY3" s="23">
        <v>2016.08</v>
      </c>
      <c r="AZ3" s="23">
        <v>2016.09</v>
      </c>
      <c r="BA3" s="23">
        <v>2016.1</v>
      </c>
      <c r="BB3" s="23">
        <v>2016.11</v>
      </c>
      <c r="BC3" s="23">
        <v>2016.12</v>
      </c>
      <c r="BD3" s="23">
        <v>2016.13</v>
      </c>
      <c r="BE3" s="23">
        <v>2017</v>
      </c>
      <c r="BF3" s="23">
        <v>2018</v>
      </c>
      <c r="BG3" s="23">
        <v>2019</v>
      </c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2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59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2" t="s">
        <v>7</v>
      </c>
      <c r="DO3" s="46"/>
      <c r="DP3" s="46"/>
      <c r="DQ3" s="45" t="s">
        <v>5</v>
      </c>
      <c r="DR3" s="46"/>
      <c r="DS3" s="46"/>
      <c r="DT3" s="46"/>
      <c r="DU3" s="46"/>
      <c r="DV3" s="46"/>
      <c r="DW3" s="46"/>
      <c r="DX3" s="46"/>
      <c r="DY3" s="46"/>
      <c r="DZ3" s="2" t="s">
        <v>120</v>
      </c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60" t="s">
        <v>435</v>
      </c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3" t="s">
        <v>435</v>
      </c>
    </row>
    <row r="4" spans="1:175" x14ac:dyDescent="0.25">
      <c r="A4" s="21"/>
      <c r="B4" s="6"/>
      <c r="C4" s="6"/>
      <c r="D4" s="6"/>
      <c r="E4" s="6"/>
      <c r="F4" s="6"/>
      <c r="G4" s="6" t="s">
        <v>449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 t="s">
        <v>404</v>
      </c>
      <c r="AE4" s="11" t="s">
        <v>121</v>
      </c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55" t="s">
        <v>123</v>
      </c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24" t="s">
        <v>123</v>
      </c>
      <c r="BH4" s="31" t="s">
        <v>3</v>
      </c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2" t="s">
        <v>54</v>
      </c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59" t="s">
        <v>54</v>
      </c>
      <c r="CK4" s="19" t="s">
        <v>68</v>
      </c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34" t="s">
        <v>99</v>
      </c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 t="s">
        <v>99</v>
      </c>
      <c r="DN4" s="2"/>
      <c r="DO4" s="2"/>
      <c r="DP4" s="2"/>
      <c r="DQ4" s="45"/>
      <c r="DR4" s="2"/>
      <c r="DS4" s="2"/>
      <c r="DT4" s="2"/>
      <c r="DU4" s="2"/>
      <c r="DV4" s="2"/>
      <c r="DW4" s="2"/>
      <c r="DX4" s="2"/>
      <c r="DY4" s="2"/>
      <c r="DZ4" s="2" t="s">
        <v>102</v>
      </c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</row>
    <row r="5" spans="1:175" x14ac:dyDescent="0.25">
      <c r="A5" s="37" t="s">
        <v>405</v>
      </c>
      <c r="B5" s="7" t="s">
        <v>37</v>
      </c>
      <c r="C5" s="7" t="s">
        <v>106</v>
      </c>
      <c r="D5" s="7" t="s">
        <v>103</v>
      </c>
      <c r="E5" s="7" t="s">
        <v>104</v>
      </c>
      <c r="F5" s="7" t="s">
        <v>105</v>
      </c>
      <c r="G5" s="7" t="s">
        <v>96</v>
      </c>
      <c r="H5" s="7" t="s">
        <v>97</v>
      </c>
      <c r="I5" s="29" t="s">
        <v>366</v>
      </c>
      <c r="J5" s="29" t="s">
        <v>367</v>
      </c>
      <c r="K5" s="29" t="s">
        <v>368</v>
      </c>
      <c r="L5" s="29" t="s">
        <v>369</v>
      </c>
      <c r="M5" s="29" t="s">
        <v>370</v>
      </c>
      <c r="N5" s="7" t="s">
        <v>117</v>
      </c>
      <c r="O5" s="7" t="s">
        <v>118</v>
      </c>
      <c r="P5" s="7" t="s">
        <v>119</v>
      </c>
      <c r="Q5" s="7" t="s">
        <v>478</v>
      </c>
      <c r="R5" s="7" t="s">
        <v>109</v>
      </c>
      <c r="S5" s="7" t="s">
        <v>110</v>
      </c>
      <c r="T5" s="7" t="s">
        <v>111</v>
      </c>
      <c r="U5" s="7" t="s">
        <v>112</v>
      </c>
      <c r="V5" s="7" t="s">
        <v>113</v>
      </c>
      <c r="W5" s="5" t="s">
        <v>38</v>
      </c>
      <c r="X5" s="5" t="s">
        <v>39</v>
      </c>
      <c r="Y5" s="5" t="s">
        <v>57</v>
      </c>
      <c r="Z5" s="5" t="s">
        <v>30</v>
      </c>
      <c r="AA5" s="7" t="s">
        <v>56</v>
      </c>
      <c r="AB5" s="5" t="s">
        <v>95</v>
      </c>
      <c r="AC5" s="5" t="s">
        <v>108</v>
      </c>
      <c r="AD5" s="5" t="s">
        <v>107</v>
      </c>
      <c r="AE5" s="11" t="s">
        <v>40</v>
      </c>
      <c r="AF5" s="11" t="s">
        <v>41</v>
      </c>
      <c r="AG5" s="11" t="s">
        <v>42</v>
      </c>
      <c r="AH5" s="11" t="s">
        <v>58</v>
      </c>
      <c r="AI5" s="11" t="s">
        <v>59</v>
      </c>
      <c r="AJ5" s="11" t="s">
        <v>60</v>
      </c>
      <c r="AK5" s="11" t="s">
        <v>61</v>
      </c>
      <c r="AL5" s="11" t="s">
        <v>62</v>
      </c>
      <c r="AM5" s="11" t="s">
        <v>63</v>
      </c>
      <c r="AN5" s="11" t="s">
        <v>64</v>
      </c>
      <c r="AO5" s="11" t="s">
        <v>65</v>
      </c>
      <c r="AP5" s="11" t="s">
        <v>66</v>
      </c>
      <c r="AQ5" s="11" t="s">
        <v>67</v>
      </c>
      <c r="AR5" s="11" t="s">
        <v>191</v>
      </c>
      <c r="AS5" s="11" t="s">
        <v>192</v>
      </c>
      <c r="AT5" s="11" t="s">
        <v>193</v>
      </c>
      <c r="AU5" s="11" t="s">
        <v>194</v>
      </c>
      <c r="AV5" s="11" t="s">
        <v>195</v>
      </c>
      <c r="AW5" s="11" t="s">
        <v>196</v>
      </c>
      <c r="AX5" s="11" t="s">
        <v>197</v>
      </c>
      <c r="AY5" s="11" t="s">
        <v>198</v>
      </c>
      <c r="AZ5" s="11" t="s">
        <v>199</v>
      </c>
      <c r="BA5" s="11" t="s">
        <v>200</v>
      </c>
      <c r="BB5" s="11" t="s">
        <v>201</v>
      </c>
      <c r="BC5" s="11" t="s">
        <v>202</v>
      </c>
      <c r="BD5" s="11" t="s">
        <v>203</v>
      </c>
      <c r="BE5" s="11" t="s">
        <v>204</v>
      </c>
      <c r="BF5" s="11" t="s">
        <v>205</v>
      </c>
      <c r="BG5" s="11" t="s">
        <v>206</v>
      </c>
      <c r="BH5" s="31" t="s">
        <v>14</v>
      </c>
      <c r="BI5" s="31" t="s">
        <v>13</v>
      </c>
      <c r="BJ5" s="31" t="s">
        <v>15</v>
      </c>
      <c r="BK5" s="31" t="s">
        <v>43</v>
      </c>
      <c r="BL5" s="31" t="s">
        <v>44</v>
      </c>
      <c r="BM5" s="31" t="s">
        <v>45</v>
      </c>
      <c r="BN5" s="31" t="s">
        <v>46</v>
      </c>
      <c r="BO5" s="31" t="s">
        <v>47</v>
      </c>
      <c r="BP5" s="31" t="s">
        <v>48</v>
      </c>
      <c r="BQ5" s="31" t="s">
        <v>49</v>
      </c>
      <c r="BR5" s="31" t="s">
        <v>50</v>
      </c>
      <c r="BS5" s="31" t="s">
        <v>51</v>
      </c>
      <c r="BT5" s="31" t="s">
        <v>52</v>
      </c>
      <c r="BU5" s="31" t="s">
        <v>372</v>
      </c>
      <c r="BV5" s="31" t="s">
        <v>373</v>
      </c>
      <c r="BW5" s="31" t="s">
        <v>374</v>
      </c>
      <c r="BX5" s="31" t="s">
        <v>375</v>
      </c>
      <c r="BY5" s="31" t="s">
        <v>376</v>
      </c>
      <c r="BZ5" s="31" t="s">
        <v>377</v>
      </c>
      <c r="CA5" s="31" t="s">
        <v>378</v>
      </c>
      <c r="CB5" s="31" t="s">
        <v>379</v>
      </c>
      <c r="CC5" s="31" t="s">
        <v>380</v>
      </c>
      <c r="CD5" s="31" t="s">
        <v>381</v>
      </c>
      <c r="CE5" s="31" t="s">
        <v>382</v>
      </c>
      <c r="CF5" s="31" t="s">
        <v>383</v>
      </c>
      <c r="CG5" s="31" t="s">
        <v>384</v>
      </c>
      <c r="CH5" s="31" t="s">
        <v>385</v>
      </c>
      <c r="CI5" s="31" t="s">
        <v>386</v>
      </c>
      <c r="CJ5" s="31" t="s">
        <v>403</v>
      </c>
      <c r="CK5" s="19" t="s">
        <v>69</v>
      </c>
      <c r="CL5" s="19" t="s">
        <v>70</v>
      </c>
      <c r="CM5" s="19" t="s">
        <v>71</v>
      </c>
      <c r="CN5" s="19" t="s">
        <v>72</v>
      </c>
      <c r="CO5" s="19" t="s">
        <v>73</v>
      </c>
      <c r="CP5" s="19" t="s">
        <v>74</v>
      </c>
      <c r="CQ5" s="19" t="s">
        <v>75</v>
      </c>
      <c r="CR5" s="19" t="s">
        <v>76</v>
      </c>
      <c r="CS5" s="19" t="s">
        <v>77</v>
      </c>
      <c r="CT5" s="19" t="s">
        <v>78</v>
      </c>
      <c r="CU5" s="19" t="s">
        <v>79</v>
      </c>
      <c r="CV5" s="19" t="s">
        <v>80</v>
      </c>
      <c r="CW5" s="19" t="s">
        <v>81</v>
      </c>
      <c r="CX5" s="19" t="s">
        <v>387</v>
      </c>
      <c r="CY5" s="19" t="s">
        <v>388</v>
      </c>
      <c r="CZ5" s="19" t="s">
        <v>389</v>
      </c>
      <c r="DA5" s="19" t="s">
        <v>390</v>
      </c>
      <c r="DB5" s="19" t="s">
        <v>391</v>
      </c>
      <c r="DC5" s="19" t="s">
        <v>392</v>
      </c>
      <c r="DD5" s="19" t="s">
        <v>393</v>
      </c>
      <c r="DE5" s="19" t="s">
        <v>394</v>
      </c>
      <c r="DF5" s="19" t="s">
        <v>395</v>
      </c>
      <c r="DG5" s="19" t="s">
        <v>396</v>
      </c>
      <c r="DH5" s="19" t="s">
        <v>397</v>
      </c>
      <c r="DI5" s="19" t="s">
        <v>398</v>
      </c>
      <c r="DJ5" s="19" t="s">
        <v>399</v>
      </c>
      <c r="DK5" s="19" t="s">
        <v>400</v>
      </c>
      <c r="DL5" s="19" t="s">
        <v>401</v>
      </c>
      <c r="DM5" s="19" t="s">
        <v>402</v>
      </c>
      <c r="DN5" s="2" t="s">
        <v>16</v>
      </c>
      <c r="DO5" s="2" t="s">
        <v>17</v>
      </c>
      <c r="DP5" s="2" t="s">
        <v>18</v>
      </c>
      <c r="DQ5" s="2" t="s">
        <v>86</v>
      </c>
      <c r="DR5" s="2" t="s">
        <v>87</v>
      </c>
      <c r="DS5" s="2" t="s">
        <v>88</v>
      </c>
      <c r="DT5" s="2" t="s">
        <v>89</v>
      </c>
      <c r="DU5" s="2" t="s">
        <v>90</v>
      </c>
      <c r="DV5" s="2" t="s">
        <v>91</v>
      </c>
      <c r="DW5" s="2" t="s">
        <v>92</v>
      </c>
      <c r="DX5" s="2" t="s">
        <v>93</v>
      </c>
      <c r="DY5" s="2" t="s">
        <v>94</v>
      </c>
      <c r="DZ5" s="2" t="s">
        <v>82</v>
      </c>
      <c r="EA5" s="2" t="s">
        <v>337</v>
      </c>
      <c r="EB5" s="2" t="s">
        <v>338</v>
      </c>
      <c r="EC5" s="2" t="s">
        <v>339</v>
      </c>
      <c r="ED5" s="2" t="s">
        <v>340</v>
      </c>
      <c r="EE5" s="2" t="s">
        <v>341</v>
      </c>
      <c r="EF5" s="2" t="s">
        <v>342</v>
      </c>
      <c r="EG5" s="2" t="s">
        <v>343</v>
      </c>
      <c r="EH5" s="2" t="s">
        <v>344</v>
      </c>
      <c r="EI5" s="2" t="s">
        <v>345</v>
      </c>
      <c r="EJ5" s="2" t="s">
        <v>346</v>
      </c>
      <c r="EK5" s="2" t="s">
        <v>347</v>
      </c>
      <c r="EL5" s="2" t="s">
        <v>348</v>
      </c>
      <c r="EM5" s="2" t="s">
        <v>349</v>
      </c>
      <c r="EN5" s="2" t="s">
        <v>83</v>
      </c>
      <c r="EO5" s="2" t="s">
        <v>84</v>
      </c>
      <c r="EP5" s="2" t="s">
        <v>85</v>
      </c>
      <c r="EQ5" s="61" t="s">
        <v>406</v>
      </c>
      <c r="ER5" s="61" t="s">
        <v>407</v>
      </c>
      <c r="ES5" s="61" t="s">
        <v>408</v>
      </c>
      <c r="ET5" s="61" t="s">
        <v>409</v>
      </c>
      <c r="EU5" s="61" t="s">
        <v>410</v>
      </c>
      <c r="EV5" s="61" t="s">
        <v>411</v>
      </c>
      <c r="EW5" s="61" t="s">
        <v>412</v>
      </c>
      <c r="EX5" s="61" t="s">
        <v>413</v>
      </c>
      <c r="EY5" s="61" t="s">
        <v>414</v>
      </c>
      <c r="EZ5" s="61" t="s">
        <v>415</v>
      </c>
      <c r="FA5" s="61" t="s">
        <v>416</v>
      </c>
      <c r="FB5" s="61" t="s">
        <v>417</v>
      </c>
      <c r="FC5" s="61" t="s">
        <v>418</v>
      </c>
      <c r="FD5" s="61" t="s">
        <v>419</v>
      </c>
      <c r="FE5" s="61" t="s">
        <v>420</v>
      </c>
      <c r="FF5" s="61" t="s">
        <v>421</v>
      </c>
      <c r="FG5" s="61" t="s">
        <v>422</v>
      </c>
      <c r="FH5" s="61" t="s">
        <v>423</v>
      </c>
      <c r="FI5" s="61" t="s">
        <v>424</v>
      </c>
      <c r="FJ5" s="61" t="s">
        <v>425</v>
      </c>
      <c r="FK5" s="61" t="s">
        <v>426</v>
      </c>
      <c r="FL5" s="61" t="s">
        <v>427</v>
      </c>
      <c r="FM5" s="61" t="s">
        <v>428</v>
      </c>
      <c r="FN5" s="61" t="s">
        <v>429</v>
      </c>
      <c r="FO5" s="61" t="s">
        <v>430</v>
      </c>
      <c r="FP5" s="61" t="s">
        <v>431</v>
      </c>
      <c r="FQ5" s="61" t="s">
        <v>432</v>
      </c>
      <c r="FR5" s="61" t="s">
        <v>433</v>
      </c>
      <c r="FS5" s="61" t="s">
        <v>434</v>
      </c>
    </row>
    <row r="6" spans="1:175" s="14" customFormat="1" x14ac:dyDescent="0.25">
      <c r="A6" s="78">
        <v>29203</v>
      </c>
      <c r="B6" s="78">
        <v>21013</v>
      </c>
      <c r="C6" s="79">
        <v>1</v>
      </c>
      <c r="D6" s="77">
        <v>4200</v>
      </c>
      <c r="E6" s="80">
        <v>1</v>
      </c>
      <c r="F6" s="81">
        <v>0</v>
      </c>
      <c r="G6" s="79" t="s">
        <v>16</v>
      </c>
      <c r="H6" s="79" t="s">
        <v>85</v>
      </c>
      <c r="I6" s="77">
        <v>340000</v>
      </c>
      <c r="J6" s="77">
        <v>33000</v>
      </c>
      <c r="K6" s="77">
        <v>170000</v>
      </c>
      <c r="L6" s="77">
        <v>180000</v>
      </c>
      <c r="M6" s="77">
        <v>190000</v>
      </c>
      <c r="N6" s="77"/>
      <c r="O6" s="77"/>
      <c r="P6" s="80"/>
      <c r="Q6" s="80"/>
      <c r="R6" s="77"/>
      <c r="S6" s="81"/>
      <c r="T6" s="78"/>
      <c r="U6" s="82">
        <v>1.0620000000000001</v>
      </c>
      <c r="V6" s="79" t="s">
        <v>114</v>
      </c>
      <c r="W6" s="14" t="str">
        <f>VLOOKUP(t_Parts[[#This Row],[Press]],t_Presses[],Press!B$1,FALSE)</f>
        <v>Plainfield</v>
      </c>
      <c r="X6" s="14" t="str">
        <f>VLOOKUP(t_Parts[[#This Row],[Press]],t_Presses[],Press!E$1,FALSE)</f>
        <v>0-299</v>
      </c>
      <c r="Y6" s="51">
        <f>VLOOKUP(t_Parts[[#This Row],[Plant]],t_Plants[],Plants!C$1,FALSE)</f>
        <v>0.55000000000000004</v>
      </c>
      <c r="Z6" s="51">
        <f>VLOOKUP(t_Parts[[#This Row],[Press]],t_Presses[],Press!F$1,FALSE)</f>
        <v>0</v>
      </c>
      <c r="AA6" s="88">
        <v>1</v>
      </c>
      <c r="AB6" s="51">
        <f>IF(ISBLANK(t_Parts[[#This Row],[PartOEE]])=FALSE,t_Parts[[#This Row],[PartOEE]], IF(t_Parts[[#This Row],[PressOEE]]&gt;0, t_Parts[[#This Row],[PressOEE]], t_Parts[[#This Row],[PlantOEE]] ))</f>
        <v>1</v>
      </c>
      <c r="AC6" s="74">
        <f>t_Parts[[#This Row],[SetupsPerMo]]*t_Parts[[#This Row],[SetupHrs]]</f>
        <v>0</v>
      </c>
      <c r="AD6" s="43">
        <f>(t_Parts[[#This Row],[UnitsPerCycle]]*t_Parts[[#This Row],[CyclesPerHr]])*t_Parts[[#This Row],[UseOEE]]</f>
        <v>4200</v>
      </c>
      <c r="AE6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25000</v>
      </c>
      <c r="AF6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26000</v>
      </c>
      <c r="AG6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34000</v>
      </c>
      <c r="AH6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25000</v>
      </c>
      <c r="AI6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26000</v>
      </c>
      <c r="AJ6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34000</v>
      </c>
      <c r="AK6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25000</v>
      </c>
      <c r="AL6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26000</v>
      </c>
      <c r="AM6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34000</v>
      </c>
      <c r="AN6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25000</v>
      </c>
      <c r="AO6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26000</v>
      </c>
      <c r="AP6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34000</v>
      </c>
      <c r="AQ6" s="43">
        <f>SUM(t_Parts[[#This Row],[pv2015.01]:[pv2015.12]])</f>
        <v>340000</v>
      </c>
      <c r="AR6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2500</v>
      </c>
      <c r="AS6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2400</v>
      </c>
      <c r="AT6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3400</v>
      </c>
      <c r="AU6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2500</v>
      </c>
      <c r="AV6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2600</v>
      </c>
      <c r="AW6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3400</v>
      </c>
      <c r="AX6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2500</v>
      </c>
      <c r="AY6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2600</v>
      </c>
      <c r="AZ6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3400</v>
      </c>
      <c r="BA6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2500</v>
      </c>
      <c r="BB6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2200</v>
      </c>
      <c r="BC6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3000</v>
      </c>
      <c r="BD6" s="43">
        <f>SUM(t_Parts[[#This Row],[pv2016.01]:[pv2016.12]])</f>
        <v>33000</v>
      </c>
      <c r="BE6" s="43">
        <f>t_Parts[[#This Row],[2017vol]]</f>
        <v>170000</v>
      </c>
      <c r="BF6" s="43">
        <f>t_Parts[[#This Row],[2018vol]]</f>
        <v>180000</v>
      </c>
      <c r="BG6" s="43">
        <f>t_Parts[[#This Row],[2019vol]]</f>
        <v>190000</v>
      </c>
      <c r="BH6" s="14">
        <f>VLOOKUP(t_Parts[[Plant]:[Plant]],t_Plants[],Plants!CM$1,FALSE)</f>
        <v>250</v>
      </c>
      <c r="BI6" s="14">
        <f>VLOOKUP(t_Parts[[Plant]:[Plant]],t_Plants[],Plants!CN$1,FALSE)</f>
        <v>260</v>
      </c>
      <c r="BJ6" s="14">
        <f>VLOOKUP(t_Parts[[Plant]:[Plant]],t_Plants[],Plants!CO$1,FALSE)</f>
        <v>340</v>
      </c>
      <c r="BK6" s="14">
        <f>VLOOKUP(t_Parts[[Plant]:[Plant]],t_Plants[],Plants!CP$1,FALSE)</f>
        <v>250</v>
      </c>
      <c r="BL6" s="14">
        <f>VLOOKUP(t_Parts[[Plant]:[Plant]],t_Plants[],Plants!CQ$1,FALSE)</f>
        <v>260</v>
      </c>
      <c r="BM6" s="14">
        <f>VLOOKUP(t_Parts[[Plant]:[Plant]],t_Plants[],Plants!CR$1,FALSE)</f>
        <v>340</v>
      </c>
      <c r="BN6" s="14">
        <f>VLOOKUP(t_Parts[[Plant]:[Plant]],t_Plants[],Plants!CS$1,FALSE)</f>
        <v>250</v>
      </c>
      <c r="BO6" s="14">
        <f>VLOOKUP(t_Parts[[Plant]:[Plant]],t_Plants[],Plants!CT$1,FALSE)</f>
        <v>260</v>
      </c>
      <c r="BP6" s="14">
        <f>VLOOKUP(t_Parts[[Plant]:[Plant]],t_Plants[],Plants!CU$1,FALSE)</f>
        <v>340</v>
      </c>
      <c r="BQ6" s="14">
        <f>VLOOKUP(t_Parts[[Plant]:[Plant]],t_Plants[],Plants!CV$1,FALSE)</f>
        <v>250</v>
      </c>
      <c r="BR6" s="14">
        <f>VLOOKUP(t_Parts[[Plant]:[Plant]],t_Plants[],Plants!CW$1,FALSE)</f>
        <v>260</v>
      </c>
      <c r="BS6" s="14">
        <f>VLOOKUP(t_Parts[[Plant]:[Plant]],t_Plants[],Plants!CX$1,FALSE)</f>
        <v>340</v>
      </c>
      <c r="BT6" s="14">
        <f>SUM(t_Parts[[#This Row],[ha2015.01]:[ha2015.12]])</f>
        <v>3400</v>
      </c>
      <c r="BU6" s="14">
        <f>VLOOKUP(t_Parts[[Plant]:[Plant]],t_Plants[],Plants!CZ$1,FALSE)</f>
        <v>250</v>
      </c>
      <c r="BV6" s="14">
        <f>VLOOKUP(t_Parts[[Plant]:[Plant]],t_Plants[],Plants!DA$1,FALSE)</f>
        <v>240</v>
      </c>
      <c r="BW6" s="14">
        <f>VLOOKUP(t_Parts[[Plant]:[Plant]],t_Plants[],Plants!DB$1,FALSE)</f>
        <v>340</v>
      </c>
      <c r="BX6" s="14">
        <f>VLOOKUP(t_Parts[[Plant]:[Plant]],t_Plants[],Plants!DC$1,FALSE)</f>
        <v>250</v>
      </c>
      <c r="BY6" s="14">
        <f>VLOOKUP(t_Parts[[Plant]:[Plant]],t_Plants[],Plants!DD$1,FALSE)</f>
        <v>260</v>
      </c>
      <c r="BZ6" s="14">
        <f>VLOOKUP(t_Parts[[Plant]:[Plant]],t_Plants[],Plants!DE$1,FALSE)</f>
        <v>340</v>
      </c>
      <c r="CA6" s="14">
        <f>VLOOKUP(t_Parts[[Plant]:[Plant]],t_Plants[],Plants!DF$1,FALSE)</f>
        <v>250</v>
      </c>
      <c r="CB6" s="14">
        <f>VLOOKUP(t_Parts[[Plant]:[Plant]],t_Plants[],Plants!DG$1,FALSE)</f>
        <v>260</v>
      </c>
      <c r="CC6" s="14">
        <f>VLOOKUP(t_Parts[[Plant]:[Plant]],t_Plants[],Plants!DH$1,FALSE)</f>
        <v>340</v>
      </c>
      <c r="CD6" s="14">
        <f>VLOOKUP(t_Parts[[Plant]:[Plant]],t_Plants[],Plants!DI$1,FALSE)</f>
        <v>250</v>
      </c>
      <c r="CE6" s="14">
        <f>VLOOKUP(t_Parts[[Plant]:[Plant]],t_Plants[],Plants!DJ$1,FALSE)</f>
        <v>220</v>
      </c>
      <c r="CF6" s="14">
        <f>VLOOKUP(t_Parts[[Plant]:[Plant]],t_Plants[],Plants!DK$1,FALSE)</f>
        <v>300</v>
      </c>
      <c r="CG6" s="14">
        <f>VLOOKUP(t_Parts[[Plant]:[Plant]],t_Plants[],Plants!DL$1,FALSE)</f>
        <v>3300</v>
      </c>
      <c r="CH6" s="14">
        <f>VLOOKUP(t_Parts[[Plant]:[Plant]],t_Plants[],Plants!DM$1,FALSE)</f>
        <v>3300</v>
      </c>
      <c r="CI6" s="14">
        <f>VLOOKUP(t_Parts[[Plant]:[Plant]],t_Plants[],Plants!DN$1,FALSE)</f>
        <v>3300</v>
      </c>
      <c r="CJ6" s="14">
        <f>VLOOKUP(t_Parts[[Plant]:[Plant]],t_Plants[],Plants!DO$1,FALSE)</f>
        <v>3300</v>
      </c>
      <c r="CK6" s="43">
        <f>IF(AND(AE$3&gt;=VALUE(t_Parts[[SOP]:[SOP]]),AE$3&lt;=VALUE(t_Parts[[EOP]:[EOP]])), t_Parts[[SetupHrsPerMo]:[SetupHrsPerMo]]+(t_Parts[[#This Row],[pv2015.01]]/t_Parts[[NetPPH]:[NetPPH]]),0)</f>
        <v>5.9523809523809526</v>
      </c>
      <c r="CL6" s="43">
        <f>IF(AND(AF$3&gt;=VALUE(t_Parts[[SOP]:[SOP]]),AF$3&lt;=VALUE(t_Parts[[EOP]:[EOP]])), t_Parts[[SetupHrsPerMo]:[SetupHrsPerMo]]+(t_Parts[[#This Row],[pv2015.02]]/t_Parts[[NetPPH]:[NetPPH]]),0)</f>
        <v>6.1904761904761907</v>
      </c>
      <c r="CM6" s="43">
        <f>IF(AND(AG$3&gt;=VALUE(t_Parts[[SOP]:[SOP]]),AG$3&lt;=VALUE(t_Parts[[EOP]:[EOP]])), t_Parts[[SetupHrsPerMo]:[SetupHrsPerMo]]+(t_Parts[[#This Row],[pv2015.03]]/t_Parts[[NetPPH]:[NetPPH]]),0)</f>
        <v>8.0952380952380949</v>
      </c>
      <c r="CN6" s="43">
        <f>IF(AND(AH$3&gt;=VALUE(t_Parts[[SOP]:[SOP]]),AH$3&lt;=VALUE(t_Parts[[EOP]:[EOP]])), t_Parts[[SetupHrsPerMo]:[SetupHrsPerMo]]+(t_Parts[[#This Row],[pv2015.04]]/t_Parts[[NetPPH]:[NetPPH]]),0)</f>
        <v>5.9523809523809526</v>
      </c>
      <c r="CO6" s="43">
        <f>IF(AND(AI$3&gt;=VALUE(t_Parts[[SOP]:[SOP]]),AI$3&lt;=VALUE(t_Parts[[EOP]:[EOP]])), t_Parts[[SetupHrsPerMo]:[SetupHrsPerMo]]+(t_Parts[[#This Row],[pv2015.05]]/t_Parts[[NetPPH]:[NetPPH]]),0)</f>
        <v>6.1904761904761907</v>
      </c>
      <c r="CP6" s="43">
        <f>IF(AND(AJ$3&gt;=VALUE(t_Parts[[SOP]:[SOP]]),AJ$3&lt;=VALUE(t_Parts[[EOP]:[EOP]])), t_Parts[[SetupHrsPerMo]:[SetupHrsPerMo]]+(t_Parts[[#This Row],[pv2015.06]]/t_Parts[[NetPPH]:[NetPPH]]),0)</f>
        <v>8.0952380952380949</v>
      </c>
      <c r="CQ6" s="43">
        <f>IF(AND(AK$3&gt;=VALUE(t_Parts[[SOP]:[SOP]]),AK$3&lt;=VALUE(t_Parts[[EOP]:[EOP]])), t_Parts[[SetupHrsPerMo]:[SetupHrsPerMo]]+(t_Parts[[#This Row],[pv2015.07]]/t_Parts[[NetPPH]:[NetPPH]]),0)</f>
        <v>5.9523809523809526</v>
      </c>
      <c r="CR6" s="43">
        <f>IF(AND(AL$3&gt;=VALUE(t_Parts[[SOP]:[SOP]]),AL$3&lt;=VALUE(t_Parts[[EOP]:[EOP]])), t_Parts[[SetupHrsPerMo]:[SetupHrsPerMo]]+(t_Parts[[#This Row],[pv2015.08]]/t_Parts[[NetPPH]:[NetPPH]]),0)</f>
        <v>6.1904761904761907</v>
      </c>
      <c r="CS6" s="43">
        <f>IF(AND(AM$3&gt;=VALUE(t_Parts[[SOP]:[SOP]]),AM$3&lt;=VALUE(t_Parts[[EOP]:[EOP]])), t_Parts[[SetupHrsPerMo]:[SetupHrsPerMo]]+(t_Parts[[#This Row],[pv2015.09]]/t_Parts[[NetPPH]:[NetPPH]]),0)</f>
        <v>8.0952380952380949</v>
      </c>
      <c r="CT6" s="43">
        <f>IF(AND(AN$3&gt;=VALUE(t_Parts[[SOP]:[SOP]]),AN$3&lt;=VALUE(t_Parts[[EOP]:[EOP]])), t_Parts[[SetupHrsPerMo]:[SetupHrsPerMo]]+(t_Parts[[#This Row],[pv2015.10]]/t_Parts[[NetPPH]:[NetPPH]]),0)</f>
        <v>5.9523809523809526</v>
      </c>
      <c r="CU6" s="43">
        <f>IF(AND(AO$3&gt;=VALUE(t_Parts[[SOP]:[SOP]]),AO$3&lt;=VALUE(t_Parts[[EOP]:[EOP]])), t_Parts[[SetupHrsPerMo]:[SetupHrsPerMo]]+(t_Parts[[#This Row],[pv2015.11]]/t_Parts[[NetPPH]:[NetPPH]]),0)</f>
        <v>6.1904761904761907</v>
      </c>
      <c r="CV6" s="43">
        <f>IF(AND(AP$3&gt;=VALUE(t_Parts[[SOP]:[SOP]]),AP$3&lt;=VALUE(t_Parts[[EOP]:[EOP]])), t_Parts[[SetupHrsPerMo]:[SetupHrsPerMo]]+(t_Parts[[#This Row],[pv2015.12]]/t_Parts[[NetPPH]:[NetPPH]]),0)</f>
        <v>8.0952380952380949</v>
      </c>
      <c r="CW6" s="43">
        <f>SUM(t_Parts[[#This Row],[hp2015.01]:[hp2015.12]])</f>
        <v>80.952380952380963</v>
      </c>
      <c r="CX6" s="43">
        <f>IF(AND(AR$3&gt;=VALUE(t_Parts[[SOP]:[SOP]]),AR$3&lt;=VALUE(t_Parts[[EOP]:[EOP]])), t_Parts[[SetupHrsPerMo]:[SetupHrsPerMo]]+(t_Parts[[#This Row],[pv2016.01]]/t_Parts[[NetPPH]:[NetPPH]]),0)</f>
        <v>0.59523809523809523</v>
      </c>
      <c r="CY6" s="43">
        <f>IF(AND(AS$3&gt;=VALUE(t_Parts[[SOP]:[SOP]]),AS$3&lt;=VALUE(t_Parts[[EOP]:[EOP]])), t_Parts[[SetupHrsPerMo]:[SetupHrsPerMo]]+(t_Parts[[#This Row],[pv2016.02]]/t_Parts[[NetPPH]:[NetPPH]]),0)</f>
        <v>0.5714285714285714</v>
      </c>
      <c r="CZ6" s="43">
        <f>IF(AND(AT$3&gt;=VALUE(t_Parts[[SOP]:[SOP]]),AT$3&lt;=VALUE(t_Parts[[EOP]:[EOP]])), t_Parts[[SetupHrsPerMo]:[SetupHrsPerMo]]+(t_Parts[[#This Row],[pv2016.03]]/t_Parts[[NetPPH]:[NetPPH]]),0)</f>
        <v>0.80952380952380953</v>
      </c>
      <c r="DA6" s="43">
        <f>IF(AND(AU$3&gt;=VALUE(t_Parts[[SOP]:[SOP]]),AU$3&lt;=VALUE(t_Parts[[EOP]:[EOP]])), t_Parts[[SetupHrsPerMo]:[SetupHrsPerMo]]+(t_Parts[[#This Row],[pv2016.04]]/t_Parts[[NetPPH]:[NetPPH]]),0)</f>
        <v>0.59523809523809523</v>
      </c>
      <c r="DB6" s="43">
        <f>IF(AND(AV$3&gt;=VALUE(t_Parts[[SOP]:[SOP]]),AV$3&lt;=VALUE(t_Parts[[EOP]:[EOP]])), t_Parts[[SetupHrsPerMo]:[SetupHrsPerMo]]+(t_Parts[[#This Row],[pv2016.05]]/t_Parts[[NetPPH]:[NetPPH]]),0)</f>
        <v>0.61904761904761907</v>
      </c>
      <c r="DC6" s="43">
        <f>IF(AND(AW$3&gt;=VALUE(t_Parts[[SOP]:[SOP]]),AW$3&lt;=VALUE(t_Parts[[EOP]:[EOP]])), t_Parts[[SetupHrsPerMo]:[SetupHrsPerMo]]+(t_Parts[[#This Row],[pv2016.06]]/t_Parts[[NetPPH]:[NetPPH]]),0)</f>
        <v>0.80952380952380953</v>
      </c>
      <c r="DD6" s="43">
        <f>IF(AND(AX$3&gt;=VALUE(t_Parts[[SOP]:[SOP]]),AX$3&lt;=VALUE(t_Parts[[EOP]:[EOP]])), t_Parts[[SetupHrsPerMo]:[SetupHrsPerMo]]+(t_Parts[[#This Row],[pv2016.07]]/t_Parts[[NetPPH]:[NetPPH]]),0)</f>
        <v>0.59523809523809523</v>
      </c>
      <c r="DE6" s="43">
        <f>IF(AND(AY$3&gt;=VALUE(t_Parts[[SOP]:[SOP]]),AY$3&lt;=VALUE(t_Parts[[EOP]:[EOP]])), t_Parts[[SetupHrsPerMo]:[SetupHrsPerMo]]+(t_Parts[[#This Row],[pv2016.08]]/t_Parts[[NetPPH]:[NetPPH]]),0)</f>
        <v>0.61904761904761907</v>
      </c>
      <c r="DF6" s="43">
        <f>IF(AND(AZ$3&gt;=VALUE(t_Parts[[SOP]:[SOP]]),AZ$3&lt;=VALUE(t_Parts[[EOP]:[EOP]])), t_Parts[[SetupHrsPerMo]:[SetupHrsPerMo]]+(t_Parts[[#This Row],[pv2016.09]]/t_Parts[[NetPPH]:[NetPPH]]),0)</f>
        <v>0.80952380952380953</v>
      </c>
      <c r="DG6" s="43">
        <f>IF(AND(BA$3&gt;=VALUE(t_Parts[[SOP]:[SOP]]),BA$3&lt;=VALUE(t_Parts[[EOP]:[EOP]])), t_Parts[[SetupHrsPerMo]:[SetupHrsPerMo]]+(t_Parts[[#This Row],[pv2016.10]]/t_Parts[[NetPPH]:[NetPPH]]),0)</f>
        <v>0.59523809523809523</v>
      </c>
      <c r="DH6" s="43">
        <f>IF(AND(BB$3&gt;=VALUE(t_Parts[[SOP]:[SOP]]),BB$3&lt;=VALUE(t_Parts[[EOP]:[EOP]])), t_Parts[[SetupHrsPerMo]:[SetupHrsPerMo]]+(t_Parts[[#This Row],[pv2016.11]]/t_Parts[[NetPPH]:[NetPPH]]),0)</f>
        <v>0.52380952380952384</v>
      </c>
      <c r="DI6" s="43">
        <f>IF(AND(BC$3&gt;=VALUE(t_Parts[[SOP]:[SOP]]),BC$3&lt;=VALUE(t_Parts[[EOP]:[EOP]])), t_Parts[[SetupHrsPerMo]:[SetupHrsPerMo]]+(t_Parts[[#This Row],[pv2016.12]]/t_Parts[[NetPPH]:[NetPPH]]),0)</f>
        <v>0.7142857142857143</v>
      </c>
      <c r="DJ6" s="43">
        <f>SUM(t_Parts[[#This Row],[hp2016.01]:[hp2016.12]])</f>
        <v>7.8571428571428559</v>
      </c>
      <c r="DK6" s="43">
        <f>IF(AND(BE$3&gt;=VALUE(t_Parts[[SOP]:[SOP]]),BE$3&lt;=VALUE(t_Parts[[EOP]:[EOP]])), 12*t_Parts[[SetupHrsPerMo]:[SetupHrsPerMo]]+(t_Parts[[#This Row],[pv2017]]/t_Parts[[NetPPH]:[NetPPH]]),0)</f>
        <v>40.476190476190474</v>
      </c>
      <c r="DL6" s="43">
        <f>IF(AND(BF$3&gt;=VALUE(t_Parts[[SOP]:[SOP]]),BF$3&lt;=VALUE(t_Parts[[EOP]:[EOP]])), 12*t_Parts[[SetupHrsPerMo]:[SetupHrsPerMo]]+(t_Parts[[#This Row],[pv2018]]/t_Parts[[NetPPH]:[NetPPH]]),0)</f>
        <v>42.857142857142854</v>
      </c>
      <c r="DM6" s="43">
        <f>IF(AND(BG$3&gt;=VALUE(t_Parts[[SOP]:[SOP]]),BG$3&lt;=VALUE(t_Parts[[EOP]:[EOP]])), 12*t_Parts[[SetupHrsPerMo]:[SetupHrsPerMo]]+(t_Parts[[#This Row],[pv2019]]/t_Parts[[NetPPH]:[NetPPH]]),0)</f>
        <v>45.238095238095241</v>
      </c>
      <c r="DN6" s="51">
        <f>t_Parts[[#This Row],[hp2015.01]]/t_Parts[[#This Row],[ha2015.01]]</f>
        <v>2.3809523809523812E-2</v>
      </c>
      <c r="DO6" s="51">
        <f>t_Parts[[#This Row],[hp2015.02]]/t_Parts[[#This Row],[ha2015.02]]</f>
        <v>2.3809523809523812E-2</v>
      </c>
      <c r="DP6" s="51">
        <f>t_Parts[[#This Row],[hp2015.03]]/t_Parts[[#This Row],[ha2015.03]]</f>
        <v>2.3809523809523808E-2</v>
      </c>
      <c r="DQ6" s="51">
        <f>t_Parts[[#This Row],[hp2015.04]]/t_Parts[[#This Row],[ha2015.04]]</f>
        <v>2.3809523809523812E-2</v>
      </c>
      <c r="DR6" s="51">
        <f>t_Parts[[#This Row],[hp2015.05]]/t_Parts[[#This Row],[ha2015.05]]</f>
        <v>2.3809523809523812E-2</v>
      </c>
      <c r="DS6" s="51">
        <f>t_Parts[[#This Row],[hp2015.06]]/t_Parts[[#This Row],[ha2015.06]]</f>
        <v>2.3809523809523808E-2</v>
      </c>
      <c r="DT6" s="51">
        <f>t_Parts[[#This Row],[hp2015.07]]/t_Parts[[#This Row],[ha2015.07]]</f>
        <v>2.3809523809523812E-2</v>
      </c>
      <c r="DU6" s="51">
        <f>t_Parts[[#This Row],[hp2015.08]]/t_Parts[[#This Row],[ha2015.08]]</f>
        <v>2.3809523809523812E-2</v>
      </c>
      <c r="DV6" s="51">
        <f>t_Parts[[#This Row],[hp2015.09]]/t_Parts[[#This Row],[ha2015.09]]</f>
        <v>2.3809523809523808E-2</v>
      </c>
      <c r="DW6" s="51">
        <f>t_Parts[[#This Row],[hp2015.10]]/t_Parts[[#This Row],[ha2015.10]]</f>
        <v>2.3809523809523812E-2</v>
      </c>
      <c r="DX6" s="51">
        <f>t_Parts[[#This Row],[hp2015.11]]/t_Parts[[#This Row],[ha2015.11]]</f>
        <v>2.3809523809523812E-2</v>
      </c>
      <c r="DY6" s="51">
        <f>t_Parts[[#This Row],[hp2015.12]]/t_Parts[[#This Row],[ha2015.12]]</f>
        <v>2.3809523809523808E-2</v>
      </c>
      <c r="DZ6" s="51">
        <f>t_Parts[[#This Row],[hp2015.FY]]/t_Parts[[#This Row],[ha2015.FY]]</f>
        <v>2.3809523809523812E-2</v>
      </c>
      <c r="EA6" s="51">
        <f>t_Parts[[#This Row],[hp2016.01]]/t_Parts[[#This Row],[ha2016.01]]</f>
        <v>2.3809523809523807E-3</v>
      </c>
      <c r="EB6" s="51">
        <f>t_Parts[[#This Row],[hp2016.02]]/t_Parts[[#This Row],[ha2016.02]]</f>
        <v>2.3809523809523807E-3</v>
      </c>
      <c r="EC6" s="51">
        <f>t_Parts[[#This Row],[hp2016.03]]/t_Parts[[#This Row],[ha2016.03]]</f>
        <v>2.3809523809523812E-3</v>
      </c>
      <c r="ED6" s="51">
        <f>t_Parts[[#This Row],[hp2016.04]]/t_Parts[[#This Row],[ha2016.04]]</f>
        <v>2.3809523809523807E-3</v>
      </c>
      <c r="EE6" s="51">
        <f>t_Parts[[#This Row],[hp2016.05]]/t_Parts[[#This Row],[ha2016.05]]</f>
        <v>2.3809523809523812E-3</v>
      </c>
      <c r="EF6" s="51">
        <f>t_Parts[[#This Row],[hp2016.06]]/t_Parts[[#This Row],[ha2016.06]]</f>
        <v>2.3809523809523812E-3</v>
      </c>
      <c r="EG6" s="51">
        <f>t_Parts[[#This Row],[hp2016.07]]/t_Parts[[#This Row],[ha2016.07]]</f>
        <v>2.3809523809523807E-3</v>
      </c>
      <c r="EH6" s="51">
        <f>t_Parts[[#This Row],[hp2016.08]]/t_Parts[[#This Row],[ha2016.08]]</f>
        <v>2.3809523809523812E-3</v>
      </c>
      <c r="EI6" s="51">
        <f>t_Parts[[#This Row],[hp2016.09]]/t_Parts[[#This Row],[ha2016.09]]</f>
        <v>2.3809523809523812E-3</v>
      </c>
      <c r="EJ6" s="51">
        <f>t_Parts[[#This Row],[hp2016.10]]/t_Parts[[#This Row],[ha2016.10]]</f>
        <v>2.3809523809523807E-3</v>
      </c>
      <c r="EK6" s="51">
        <f>t_Parts[[#This Row],[hp2016.11]]/t_Parts[[#This Row],[ha2016.11]]</f>
        <v>2.3809523809523812E-3</v>
      </c>
      <c r="EL6" s="51">
        <f>t_Parts[[#This Row],[hp2016.12]]/t_Parts[[#This Row],[ha2016.12]]</f>
        <v>2.3809523809523812E-3</v>
      </c>
      <c r="EM6" s="51">
        <f>t_Parts[[#This Row],[hp2016.FY]]/t_Parts[[#This Row],[ha2016.FY]]</f>
        <v>2.3809523809523807E-3</v>
      </c>
      <c r="EN6" s="51">
        <f>t_Parts[[#This Row],[hp2017]]/t_Parts[[#This Row],[ha2017]]</f>
        <v>1.2265512265512264E-2</v>
      </c>
      <c r="EO6" s="51">
        <f>t_Parts[[#This Row],[hp2018]]/t_Parts[[#This Row],[ha2018]]</f>
        <v>1.2987012987012986E-2</v>
      </c>
      <c r="EP6" s="51">
        <f>t_Parts[[#This Row],[hp2019]]/t_Parts[[#This Row],[hp2015.01]]</f>
        <v>7.6000000000000005</v>
      </c>
      <c r="EQ6" s="62">
        <f>(t_Parts[[#This Row],[ha2015.01]]-t_Parts[[#This Row],[hp2015.01]])*t_Parts[[NetPPH]:[NetPPH]]</f>
        <v>1025000</v>
      </c>
      <c r="ER6" s="62">
        <f>(t_Parts[[#This Row],[ha2015.02]]-t_Parts[[#This Row],[hp2015.02]])*t_Parts[[NetPPH]:[NetPPH]]</f>
        <v>1066000</v>
      </c>
      <c r="ES6" s="62">
        <f>(t_Parts[[#This Row],[ha2015.03]]-t_Parts[[#This Row],[hp2015.03]])*t_Parts[[NetPPH]:[NetPPH]]</f>
        <v>1394000</v>
      </c>
      <c r="ET6" s="62">
        <f>(t_Parts[[#This Row],[ha2015.04]]-t_Parts[[#This Row],[hp2015.04]])*t_Parts[[NetPPH]:[NetPPH]]</f>
        <v>1025000</v>
      </c>
      <c r="EU6" s="62">
        <f>(t_Parts[[#This Row],[ha2015.05]]-t_Parts[[#This Row],[hp2015.05]])*t_Parts[[NetPPH]:[NetPPH]]</f>
        <v>1066000</v>
      </c>
      <c r="EV6" s="62">
        <f>(t_Parts[[#This Row],[ha2015.06]]-t_Parts[[#This Row],[hp2015.06]])*t_Parts[[NetPPH]:[NetPPH]]</f>
        <v>1394000</v>
      </c>
      <c r="EW6" s="62">
        <f>(t_Parts[[#This Row],[ha2015.07]]-t_Parts[[#This Row],[hp2015.07]])*t_Parts[[NetPPH]:[NetPPH]]</f>
        <v>1025000</v>
      </c>
      <c r="EX6" s="62">
        <f>(t_Parts[[#This Row],[ha2015.08]]-t_Parts[[#This Row],[hp2015.08]])*t_Parts[[NetPPH]:[NetPPH]]</f>
        <v>1066000</v>
      </c>
      <c r="EY6" s="62">
        <f>(t_Parts[[#This Row],[ha2015.09]]-t_Parts[[#This Row],[hp2015.09]])*t_Parts[[NetPPH]:[NetPPH]]</f>
        <v>1394000</v>
      </c>
      <c r="EZ6" s="62">
        <f>(t_Parts[[#This Row],[ha2015.10]]-t_Parts[[#This Row],[hp2015.10]])*t_Parts[[NetPPH]:[NetPPH]]</f>
        <v>1025000</v>
      </c>
      <c r="FA6" s="62">
        <f>(t_Parts[[#This Row],[ha2015.11]]-t_Parts[[#This Row],[hp2015.11]])*t_Parts[[NetPPH]:[NetPPH]]</f>
        <v>1066000</v>
      </c>
      <c r="FB6" s="62">
        <f>(t_Parts[[#This Row],[ha2015.12]]-t_Parts[[#This Row],[hp2015.12]])*t_Parts[[NetPPH]:[NetPPH]]</f>
        <v>1394000</v>
      </c>
      <c r="FC6" s="62">
        <f>(t_Parts[[#This Row],[ha2015.FY]]-t_Parts[[#This Row],[hp2015.FY]])*t_Parts[[NetPPH]:[NetPPH]]</f>
        <v>13940000</v>
      </c>
      <c r="FD6" s="62">
        <f>(t_Parts[[#This Row],[ha2016.01]]-t_Parts[[#This Row],[hp2016.01]])*t_Parts[[NetPPH]:[NetPPH]]</f>
        <v>1047500</v>
      </c>
      <c r="FE6" s="62">
        <f>(t_Parts[[#This Row],[ha2016.02]]-t_Parts[[#This Row],[hp2016.02]])*t_Parts[[NetPPH]:[NetPPH]]</f>
        <v>1005600</v>
      </c>
      <c r="FF6" s="62">
        <f>(t_Parts[[#This Row],[ha2016.03]]-t_Parts[[#This Row],[hp2016.03]])*t_Parts[[NetPPH]:[NetPPH]]</f>
        <v>1424600</v>
      </c>
      <c r="FG6" s="62">
        <f>(t_Parts[[#This Row],[ha2016.04]]-t_Parts[[#This Row],[hp2016.04]])*t_Parts[[NetPPH]:[NetPPH]]</f>
        <v>1047500</v>
      </c>
      <c r="FH6" s="62">
        <f>(t_Parts[[#This Row],[ha2016.05]]-t_Parts[[#This Row],[hp2016.05]])*t_Parts[[NetPPH]:[NetPPH]]</f>
        <v>1089400</v>
      </c>
      <c r="FI6" s="62">
        <f>(t_Parts[[#This Row],[ha2016.06]]-t_Parts[[#This Row],[hp2016.06]])*t_Parts[[NetPPH]:[NetPPH]]</f>
        <v>1424600</v>
      </c>
      <c r="FJ6" s="62">
        <f>(t_Parts[[#This Row],[ha2016.07]]-t_Parts[[#This Row],[hp2016.07]])*t_Parts[[NetPPH]:[NetPPH]]</f>
        <v>1047500</v>
      </c>
      <c r="FK6" s="62">
        <f>(t_Parts[[#This Row],[ha2016.08]]-t_Parts[[#This Row],[hp2016.08]])*t_Parts[[NetPPH]:[NetPPH]]</f>
        <v>1089400</v>
      </c>
      <c r="FL6" s="62">
        <f>(t_Parts[[#This Row],[ha2016.09]]-t_Parts[[#This Row],[hp2016.09]])*t_Parts[[NetPPH]:[NetPPH]]</f>
        <v>1424600</v>
      </c>
      <c r="FM6" s="62">
        <f>(t_Parts[[#This Row],[ha2016.10]]-t_Parts[[#This Row],[hp2016.10]])*t_Parts[[NetPPH]:[NetPPH]]</f>
        <v>1047500</v>
      </c>
      <c r="FN6" s="62">
        <f>(t_Parts[[#This Row],[ha2016.11]]-t_Parts[[#This Row],[hp2016.11]])*t_Parts[[NetPPH]:[NetPPH]]</f>
        <v>921800</v>
      </c>
      <c r="FO6" s="62">
        <f>(t_Parts[[#This Row],[ha2016.12]]-t_Parts[[#This Row],[hp2016.12]])*t_Parts[[NetPPH]:[NetPPH]]</f>
        <v>1257000</v>
      </c>
      <c r="FP6" s="62">
        <f>(t_Parts[[#This Row],[ha2016.FY]]-t_Parts[[#This Row],[hp2016.FY]])*t_Parts[[NetPPH]:[NetPPH]]</f>
        <v>13827000</v>
      </c>
      <c r="FQ6" s="62">
        <f>(t_Parts[[#This Row],[ha2017]]-t_Parts[[#This Row],[hp2017]])*t_Parts[[NetPPH]:[NetPPH]]</f>
        <v>13690000</v>
      </c>
      <c r="FR6" s="62">
        <f>(t_Parts[[#This Row],[ha2018]]-t_Parts[[#This Row],[hp2018]])*t_Parts[[NetPPH]:[NetPPH]]</f>
        <v>13680000</v>
      </c>
      <c r="FS6" s="62">
        <f>(t_Parts[[#This Row],[ha2019]]-t_Parts[[#This Row],[hp2019]])*t_Parts[[NetPPH]:[NetPPH]]</f>
        <v>13670000</v>
      </c>
    </row>
    <row r="7" spans="1:175" s="14" customFormat="1" x14ac:dyDescent="0.25">
      <c r="A7" s="78" t="s">
        <v>165</v>
      </c>
      <c r="B7" s="78">
        <v>21014</v>
      </c>
      <c r="C7" s="79">
        <v>2</v>
      </c>
      <c r="D7" s="77">
        <v>2400</v>
      </c>
      <c r="E7" s="80">
        <v>1</v>
      </c>
      <c r="F7" s="81">
        <v>4</v>
      </c>
      <c r="G7" s="79" t="s">
        <v>16</v>
      </c>
      <c r="H7" s="79" t="s">
        <v>94</v>
      </c>
      <c r="I7" s="77">
        <v>70848</v>
      </c>
      <c r="J7" s="77"/>
      <c r="K7" s="77"/>
      <c r="L7" s="77"/>
      <c r="M7" s="77"/>
      <c r="N7" s="77"/>
      <c r="O7" s="77"/>
      <c r="P7" s="80"/>
      <c r="Q7" s="80"/>
      <c r="R7" s="77"/>
      <c r="S7" s="81"/>
      <c r="T7" s="78"/>
      <c r="U7" s="82"/>
      <c r="V7" s="79" t="s">
        <v>115</v>
      </c>
      <c r="W7" s="14" t="str">
        <f>VLOOKUP(t_Parts[[#This Row],[Press]],t_Presses[],Press!B$1,FALSE)</f>
        <v>Plainfield</v>
      </c>
      <c r="X7" s="14" t="str">
        <f>VLOOKUP(t_Parts[[#This Row],[Press]],t_Presses[],Press!E$1,FALSE)</f>
        <v>300-599</v>
      </c>
      <c r="Y7" s="51">
        <f>VLOOKUP(t_Parts[[#This Row],[Plant]],t_Plants[],Plants!C$1,FALSE)</f>
        <v>0.55000000000000004</v>
      </c>
      <c r="Z7" s="51">
        <f>VLOOKUP(t_Parts[[#This Row],[Press]],t_Presses[],Press!F$1,FALSE)</f>
        <v>0</v>
      </c>
      <c r="AA7" s="88"/>
      <c r="AB7" s="51">
        <f>IF(ISBLANK(t_Parts[[#This Row],[PartOEE]])=FALSE,t_Parts[[#This Row],[PartOEE]], IF(t_Parts[[#This Row],[PressOEE]]&gt;0, t_Parts[[#This Row],[PressOEE]], t_Parts[[#This Row],[PlantOEE]] ))</f>
        <v>0.55000000000000004</v>
      </c>
      <c r="AC7" s="74">
        <f>t_Parts[[#This Row],[SetupsPerMo]]*t_Parts[[#This Row],[SetupHrs]]</f>
        <v>4</v>
      </c>
      <c r="AD7" s="43">
        <f>(t_Parts[[#This Row],[UnitsPerCycle]]*t_Parts[[#This Row],[CyclesPerHr]])*t_Parts[[#This Row],[UseOEE]]</f>
        <v>2640</v>
      </c>
      <c r="AE7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5209.411764705882</v>
      </c>
      <c r="AF7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5417.7882352941178</v>
      </c>
      <c r="AG7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7084.8</v>
      </c>
      <c r="AH7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5209.411764705882</v>
      </c>
      <c r="AI7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5417.7882352941178</v>
      </c>
      <c r="AJ7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7084.8</v>
      </c>
      <c r="AK7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5209.411764705882</v>
      </c>
      <c r="AL7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5417.7882352941178</v>
      </c>
      <c r="AM7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7084.8</v>
      </c>
      <c r="AN7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5209.411764705882</v>
      </c>
      <c r="AO7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5417.7882352941178</v>
      </c>
      <c r="AP7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7084.8</v>
      </c>
      <c r="AQ7" s="43">
        <f>SUM(t_Parts[[#This Row],[pv2015.01]:[pv2015.12]])</f>
        <v>70848</v>
      </c>
      <c r="AR7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7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7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7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7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7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7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7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7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7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7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7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7" s="43">
        <f>SUM(t_Parts[[#This Row],[pv2016.01]:[pv2016.12]])</f>
        <v>0</v>
      </c>
      <c r="BE7" s="43">
        <f>t_Parts[[#This Row],[2017vol]]</f>
        <v>0</v>
      </c>
      <c r="BF7" s="43">
        <f>t_Parts[[#This Row],[2018vol]]</f>
        <v>0</v>
      </c>
      <c r="BG7" s="43">
        <f>t_Parts[[#This Row],[2019vol]]</f>
        <v>0</v>
      </c>
      <c r="BH7" s="14">
        <f>VLOOKUP(t_Parts[[Plant]:[Plant]],t_Plants[],Plants!CM$1,FALSE)</f>
        <v>250</v>
      </c>
      <c r="BI7" s="14">
        <f>VLOOKUP(t_Parts[[Plant]:[Plant]],t_Plants[],Plants!CN$1,FALSE)</f>
        <v>260</v>
      </c>
      <c r="BJ7" s="14">
        <f>VLOOKUP(t_Parts[[Plant]:[Plant]],t_Plants[],Plants!CO$1,FALSE)</f>
        <v>340</v>
      </c>
      <c r="BK7" s="14">
        <f>VLOOKUP(t_Parts[[Plant]:[Plant]],t_Plants[],Plants!CP$1,FALSE)</f>
        <v>250</v>
      </c>
      <c r="BL7" s="14">
        <f>VLOOKUP(t_Parts[[Plant]:[Plant]],t_Plants[],Plants!CQ$1,FALSE)</f>
        <v>260</v>
      </c>
      <c r="BM7" s="14">
        <f>VLOOKUP(t_Parts[[Plant]:[Plant]],t_Plants[],Plants!CR$1,FALSE)</f>
        <v>340</v>
      </c>
      <c r="BN7" s="14">
        <f>VLOOKUP(t_Parts[[Plant]:[Plant]],t_Plants[],Plants!CS$1,FALSE)</f>
        <v>250</v>
      </c>
      <c r="BO7" s="14">
        <f>VLOOKUP(t_Parts[[Plant]:[Plant]],t_Plants[],Plants!CT$1,FALSE)</f>
        <v>260</v>
      </c>
      <c r="BP7" s="14">
        <f>VLOOKUP(t_Parts[[Plant]:[Plant]],t_Plants[],Plants!CU$1,FALSE)</f>
        <v>340</v>
      </c>
      <c r="BQ7" s="14">
        <f>VLOOKUP(t_Parts[[Plant]:[Plant]],t_Plants[],Plants!CV$1,FALSE)</f>
        <v>250</v>
      </c>
      <c r="BR7" s="14">
        <f>VLOOKUP(t_Parts[[Plant]:[Plant]],t_Plants[],Plants!CW$1,FALSE)</f>
        <v>260</v>
      </c>
      <c r="BS7" s="14">
        <f>VLOOKUP(t_Parts[[Plant]:[Plant]],t_Plants[],Plants!CX$1,FALSE)</f>
        <v>340</v>
      </c>
      <c r="BT7" s="14">
        <f>SUM(t_Parts[[#This Row],[ha2015.01]:[ha2015.12]])</f>
        <v>3400</v>
      </c>
      <c r="BU7" s="14">
        <f>VLOOKUP(t_Parts[[Plant]:[Plant]],t_Plants[],Plants!CZ$1,FALSE)</f>
        <v>250</v>
      </c>
      <c r="BV7" s="14">
        <f>VLOOKUP(t_Parts[[Plant]:[Plant]],t_Plants[],Plants!DA$1,FALSE)</f>
        <v>240</v>
      </c>
      <c r="BW7" s="14">
        <f>VLOOKUP(t_Parts[[Plant]:[Plant]],t_Plants[],Plants!DB$1,FALSE)</f>
        <v>340</v>
      </c>
      <c r="BX7" s="14">
        <f>VLOOKUP(t_Parts[[Plant]:[Plant]],t_Plants[],Plants!DC$1,FALSE)</f>
        <v>250</v>
      </c>
      <c r="BY7" s="14">
        <f>VLOOKUP(t_Parts[[Plant]:[Plant]],t_Plants[],Plants!DD$1,FALSE)</f>
        <v>260</v>
      </c>
      <c r="BZ7" s="14">
        <f>VLOOKUP(t_Parts[[Plant]:[Plant]],t_Plants[],Plants!DE$1,FALSE)</f>
        <v>340</v>
      </c>
      <c r="CA7" s="14">
        <f>VLOOKUP(t_Parts[[Plant]:[Plant]],t_Plants[],Plants!DF$1,FALSE)</f>
        <v>250</v>
      </c>
      <c r="CB7" s="14">
        <f>VLOOKUP(t_Parts[[Plant]:[Plant]],t_Plants[],Plants!DG$1,FALSE)</f>
        <v>260</v>
      </c>
      <c r="CC7" s="14">
        <f>VLOOKUP(t_Parts[[Plant]:[Plant]],t_Plants[],Plants!DH$1,FALSE)</f>
        <v>340</v>
      </c>
      <c r="CD7" s="14">
        <f>VLOOKUP(t_Parts[[Plant]:[Plant]],t_Plants[],Plants!DI$1,FALSE)</f>
        <v>250</v>
      </c>
      <c r="CE7" s="14">
        <f>VLOOKUP(t_Parts[[Plant]:[Plant]],t_Plants[],Plants!DJ$1,FALSE)</f>
        <v>220</v>
      </c>
      <c r="CF7" s="14">
        <f>VLOOKUP(t_Parts[[Plant]:[Plant]],t_Plants[],Plants!DK$1,FALSE)</f>
        <v>300</v>
      </c>
      <c r="CG7" s="14">
        <f>VLOOKUP(t_Parts[[Plant]:[Plant]],t_Plants[],Plants!DL$1,FALSE)</f>
        <v>3300</v>
      </c>
      <c r="CH7" s="14">
        <f>VLOOKUP(t_Parts[[Plant]:[Plant]],t_Plants[],Plants!DM$1,FALSE)</f>
        <v>3300</v>
      </c>
      <c r="CI7" s="14">
        <f>VLOOKUP(t_Parts[[Plant]:[Plant]],t_Plants[],Plants!DN$1,FALSE)</f>
        <v>3300</v>
      </c>
      <c r="CJ7" s="14">
        <f>VLOOKUP(t_Parts[[Plant]:[Plant]],t_Plants[],Plants!DO$1,FALSE)</f>
        <v>3300</v>
      </c>
      <c r="CK7" s="43">
        <f>IF(AND(AE$3&gt;=VALUE(t_Parts[[SOP]:[SOP]]),AE$3&lt;=VALUE(t_Parts[[EOP]:[EOP]])), t_Parts[[SetupHrsPerMo]:[SetupHrsPerMo]]+(t_Parts[[#This Row],[pv2015.01]]/t_Parts[[NetPPH]:[NetPPH]]),0)</f>
        <v>5.9732620320855609</v>
      </c>
      <c r="CL7" s="43">
        <f>IF(AND(AF$3&gt;=VALUE(t_Parts[[SOP]:[SOP]]),AF$3&lt;=VALUE(t_Parts[[EOP]:[EOP]])), t_Parts[[SetupHrsPerMo]:[SetupHrsPerMo]]+(t_Parts[[#This Row],[pv2015.02]]/t_Parts[[NetPPH]:[NetPPH]]),0)</f>
        <v>6.0521925133689845</v>
      </c>
      <c r="CM7" s="43">
        <f>IF(AND(AG$3&gt;=VALUE(t_Parts[[SOP]:[SOP]]),AG$3&lt;=VALUE(t_Parts[[EOP]:[EOP]])), t_Parts[[SetupHrsPerMo]:[SetupHrsPerMo]]+(t_Parts[[#This Row],[pv2015.03]]/t_Parts[[NetPPH]:[NetPPH]]),0)</f>
        <v>6.6836363636363636</v>
      </c>
      <c r="CN7" s="43">
        <f>IF(AND(AH$3&gt;=VALUE(t_Parts[[SOP]:[SOP]]),AH$3&lt;=VALUE(t_Parts[[EOP]:[EOP]])), t_Parts[[SetupHrsPerMo]:[SetupHrsPerMo]]+(t_Parts[[#This Row],[pv2015.04]]/t_Parts[[NetPPH]:[NetPPH]]),0)</f>
        <v>5.9732620320855609</v>
      </c>
      <c r="CO7" s="43">
        <f>IF(AND(AI$3&gt;=VALUE(t_Parts[[SOP]:[SOP]]),AI$3&lt;=VALUE(t_Parts[[EOP]:[EOP]])), t_Parts[[SetupHrsPerMo]:[SetupHrsPerMo]]+(t_Parts[[#This Row],[pv2015.05]]/t_Parts[[NetPPH]:[NetPPH]]),0)</f>
        <v>6.0521925133689845</v>
      </c>
      <c r="CP7" s="43">
        <f>IF(AND(AJ$3&gt;=VALUE(t_Parts[[SOP]:[SOP]]),AJ$3&lt;=VALUE(t_Parts[[EOP]:[EOP]])), t_Parts[[SetupHrsPerMo]:[SetupHrsPerMo]]+(t_Parts[[#This Row],[pv2015.06]]/t_Parts[[NetPPH]:[NetPPH]]),0)</f>
        <v>6.6836363636363636</v>
      </c>
      <c r="CQ7" s="43">
        <f>IF(AND(AK$3&gt;=VALUE(t_Parts[[SOP]:[SOP]]),AK$3&lt;=VALUE(t_Parts[[EOP]:[EOP]])), t_Parts[[SetupHrsPerMo]:[SetupHrsPerMo]]+(t_Parts[[#This Row],[pv2015.07]]/t_Parts[[NetPPH]:[NetPPH]]),0)</f>
        <v>5.9732620320855609</v>
      </c>
      <c r="CR7" s="43">
        <f>IF(AND(AL$3&gt;=VALUE(t_Parts[[SOP]:[SOP]]),AL$3&lt;=VALUE(t_Parts[[EOP]:[EOP]])), t_Parts[[SetupHrsPerMo]:[SetupHrsPerMo]]+(t_Parts[[#This Row],[pv2015.08]]/t_Parts[[NetPPH]:[NetPPH]]),0)</f>
        <v>6.0521925133689845</v>
      </c>
      <c r="CS7" s="43">
        <f>IF(AND(AM$3&gt;=VALUE(t_Parts[[SOP]:[SOP]]),AM$3&lt;=VALUE(t_Parts[[EOP]:[EOP]])), t_Parts[[SetupHrsPerMo]:[SetupHrsPerMo]]+(t_Parts[[#This Row],[pv2015.09]]/t_Parts[[NetPPH]:[NetPPH]]),0)</f>
        <v>6.6836363636363636</v>
      </c>
      <c r="CT7" s="43">
        <f>IF(AND(AN$3&gt;=VALUE(t_Parts[[SOP]:[SOP]]),AN$3&lt;=VALUE(t_Parts[[EOP]:[EOP]])), t_Parts[[SetupHrsPerMo]:[SetupHrsPerMo]]+(t_Parts[[#This Row],[pv2015.10]]/t_Parts[[NetPPH]:[NetPPH]]),0)</f>
        <v>5.9732620320855609</v>
      </c>
      <c r="CU7" s="43">
        <f>IF(AND(AO$3&gt;=VALUE(t_Parts[[SOP]:[SOP]]),AO$3&lt;=VALUE(t_Parts[[EOP]:[EOP]])), t_Parts[[SetupHrsPerMo]:[SetupHrsPerMo]]+(t_Parts[[#This Row],[pv2015.11]]/t_Parts[[NetPPH]:[NetPPH]]),0)</f>
        <v>6.0521925133689845</v>
      </c>
      <c r="CV7" s="43">
        <f>IF(AND(AP$3&gt;=VALUE(t_Parts[[SOP]:[SOP]]),AP$3&lt;=VALUE(t_Parts[[EOP]:[EOP]])), t_Parts[[SetupHrsPerMo]:[SetupHrsPerMo]]+(t_Parts[[#This Row],[pv2015.12]]/t_Parts[[NetPPH]:[NetPPH]]),0)</f>
        <v>6.6836363636363636</v>
      </c>
      <c r="CW7" s="43">
        <f>SUM(t_Parts[[#This Row],[hp2015.01]:[hp2015.12]])</f>
        <v>74.836363636363629</v>
      </c>
      <c r="CX7" s="43">
        <f>IF(AND(AR$3&gt;=VALUE(t_Parts[[SOP]:[SOP]]),AR$3&lt;=VALUE(t_Parts[[EOP]:[EOP]])), t_Parts[[SetupHrsPerMo]:[SetupHrsPerMo]]+(t_Parts[[#This Row],[pv2016.01]]/t_Parts[[NetPPH]:[NetPPH]]),0)</f>
        <v>0</v>
      </c>
      <c r="CY7" s="43">
        <f>IF(AND(AS$3&gt;=VALUE(t_Parts[[SOP]:[SOP]]),AS$3&lt;=VALUE(t_Parts[[EOP]:[EOP]])), t_Parts[[SetupHrsPerMo]:[SetupHrsPerMo]]+(t_Parts[[#This Row],[pv2016.02]]/t_Parts[[NetPPH]:[NetPPH]]),0)</f>
        <v>0</v>
      </c>
      <c r="CZ7" s="43">
        <f>IF(AND(AT$3&gt;=VALUE(t_Parts[[SOP]:[SOP]]),AT$3&lt;=VALUE(t_Parts[[EOP]:[EOP]])), t_Parts[[SetupHrsPerMo]:[SetupHrsPerMo]]+(t_Parts[[#This Row],[pv2016.03]]/t_Parts[[NetPPH]:[NetPPH]]),0)</f>
        <v>0</v>
      </c>
      <c r="DA7" s="43">
        <f>IF(AND(AU$3&gt;=VALUE(t_Parts[[SOP]:[SOP]]),AU$3&lt;=VALUE(t_Parts[[EOP]:[EOP]])), t_Parts[[SetupHrsPerMo]:[SetupHrsPerMo]]+(t_Parts[[#This Row],[pv2016.04]]/t_Parts[[NetPPH]:[NetPPH]]),0)</f>
        <v>0</v>
      </c>
      <c r="DB7" s="43">
        <f>IF(AND(AV$3&gt;=VALUE(t_Parts[[SOP]:[SOP]]),AV$3&lt;=VALUE(t_Parts[[EOP]:[EOP]])), t_Parts[[SetupHrsPerMo]:[SetupHrsPerMo]]+(t_Parts[[#This Row],[pv2016.05]]/t_Parts[[NetPPH]:[NetPPH]]),0)</f>
        <v>0</v>
      </c>
      <c r="DC7" s="43">
        <f>IF(AND(AW$3&gt;=VALUE(t_Parts[[SOP]:[SOP]]),AW$3&lt;=VALUE(t_Parts[[EOP]:[EOP]])), t_Parts[[SetupHrsPerMo]:[SetupHrsPerMo]]+(t_Parts[[#This Row],[pv2016.06]]/t_Parts[[NetPPH]:[NetPPH]]),0)</f>
        <v>0</v>
      </c>
      <c r="DD7" s="43">
        <f>IF(AND(AX$3&gt;=VALUE(t_Parts[[SOP]:[SOP]]),AX$3&lt;=VALUE(t_Parts[[EOP]:[EOP]])), t_Parts[[SetupHrsPerMo]:[SetupHrsPerMo]]+(t_Parts[[#This Row],[pv2016.07]]/t_Parts[[NetPPH]:[NetPPH]]),0)</f>
        <v>0</v>
      </c>
      <c r="DE7" s="43">
        <f>IF(AND(AY$3&gt;=VALUE(t_Parts[[SOP]:[SOP]]),AY$3&lt;=VALUE(t_Parts[[EOP]:[EOP]])), t_Parts[[SetupHrsPerMo]:[SetupHrsPerMo]]+(t_Parts[[#This Row],[pv2016.08]]/t_Parts[[NetPPH]:[NetPPH]]),0)</f>
        <v>0</v>
      </c>
      <c r="DF7" s="43">
        <f>IF(AND(AZ$3&gt;=VALUE(t_Parts[[SOP]:[SOP]]),AZ$3&lt;=VALUE(t_Parts[[EOP]:[EOP]])), t_Parts[[SetupHrsPerMo]:[SetupHrsPerMo]]+(t_Parts[[#This Row],[pv2016.09]]/t_Parts[[NetPPH]:[NetPPH]]),0)</f>
        <v>0</v>
      </c>
      <c r="DG7" s="43">
        <f>IF(AND(BA$3&gt;=VALUE(t_Parts[[SOP]:[SOP]]),BA$3&lt;=VALUE(t_Parts[[EOP]:[EOP]])), t_Parts[[SetupHrsPerMo]:[SetupHrsPerMo]]+(t_Parts[[#This Row],[pv2016.10]]/t_Parts[[NetPPH]:[NetPPH]]),0)</f>
        <v>0</v>
      </c>
      <c r="DH7" s="43">
        <f>IF(AND(BB$3&gt;=VALUE(t_Parts[[SOP]:[SOP]]),BB$3&lt;=VALUE(t_Parts[[EOP]:[EOP]])), t_Parts[[SetupHrsPerMo]:[SetupHrsPerMo]]+(t_Parts[[#This Row],[pv2016.11]]/t_Parts[[NetPPH]:[NetPPH]]),0)</f>
        <v>0</v>
      </c>
      <c r="DI7" s="43">
        <f>IF(AND(BC$3&gt;=VALUE(t_Parts[[SOP]:[SOP]]),BC$3&lt;=VALUE(t_Parts[[EOP]:[EOP]])), t_Parts[[SetupHrsPerMo]:[SetupHrsPerMo]]+(t_Parts[[#This Row],[pv2016.12]]/t_Parts[[NetPPH]:[NetPPH]]),0)</f>
        <v>0</v>
      </c>
      <c r="DJ7" s="43">
        <f>SUM(t_Parts[[#This Row],[hp2016.01]:[hp2016.12]])</f>
        <v>0</v>
      </c>
      <c r="DK7" s="43">
        <f>IF(AND(BE$3&gt;=VALUE(t_Parts[[SOP]:[SOP]]),BE$3&lt;=VALUE(t_Parts[[EOP]:[EOP]])), 12*t_Parts[[SetupHrsPerMo]:[SetupHrsPerMo]]+(t_Parts[[#This Row],[pv2017]]/t_Parts[[NetPPH]:[NetPPH]]),0)</f>
        <v>0</v>
      </c>
      <c r="DL7" s="43">
        <f>IF(AND(BF$3&gt;=VALUE(t_Parts[[SOP]:[SOP]]),BF$3&lt;=VALUE(t_Parts[[EOP]:[EOP]])), 12*t_Parts[[SetupHrsPerMo]:[SetupHrsPerMo]]+(t_Parts[[#This Row],[pv2018]]/t_Parts[[NetPPH]:[NetPPH]]),0)</f>
        <v>0</v>
      </c>
      <c r="DM7" s="43">
        <f>IF(AND(BG$3&gt;=VALUE(t_Parts[[SOP]:[SOP]]),BG$3&lt;=VALUE(t_Parts[[EOP]:[EOP]])), 12*t_Parts[[SetupHrsPerMo]:[SetupHrsPerMo]]+(t_Parts[[#This Row],[pv2019]]/t_Parts[[NetPPH]:[NetPPH]]),0)</f>
        <v>0</v>
      </c>
      <c r="DN7" s="51">
        <f>t_Parts[[#This Row],[hp2015.01]]/t_Parts[[#This Row],[ha2015.01]]</f>
        <v>2.3893048128342243E-2</v>
      </c>
      <c r="DO7" s="51">
        <f>t_Parts[[#This Row],[hp2015.02]]/t_Parts[[#This Row],[ha2015.02]]</f>
        <v>2.3277663512957632E-2</v>
      </c>
      <c r="DP7" s="51">
        <f>t_Parts[[#This Row],[hp2015.03]]/t_Parts[[#This Row],[ha2015.03]]</f>
        <v>1.9657754010695187E-2</v>
      </c>
      <c r="DQ7" s="51">
        <f>t_Parts[[#This Row],[hp2015.04]]/t_Parts[[#This Row],[ha2015.04]]</f>
        <v>2.3893048128342243E-2</v>
      </c>
      <c r="DR7" s="51">
        <f>t_Parts[[#This Row],[hp2015.05]]/t_Parts[[#This Row],[ha2015.05]]</f>
        <v>2.3277663512957632E-2</v>
      </c>
      <c r="DS7" s="51">
        <f>t_Parts[[#This Row],[hp2015.06]]/t_Parts[[#This Row],[ha2015.06]]</f>
        <v>1.9657754010695187E-2</v>
      </c>
      <c r="DT7" s="51">
        <f>t_Parts[[#This Row],[hp2015.07]]/t_Parts[[#This Row],[ha2015.07]]</f>
        <v>2.3893048128342243E-2</v>
      </c>
      <c r="DU7" s="51">
        <f>t_Parts[[#This Row],[hp2015.08]]/t_Parts[[#This Row],[ha2015.08]]</f>
        <v>2.3277663512957632E-2</v>
      </c>
      <c r="DV7" s="51">
        <f>t_Parts[[#This Row],[hp2015.09]]/t_Parts[[#This Row],[ha2015.09]]</f>
        <v>1.9657754010695187E-2</v>
      </c>
      <c r="DW7" s="51">
        <f>t_Parts[[#This Row],[hp2015.10]]/t_Parts[[#This Row],[ha2015.10]]</f>
        <v>2.3893048128342243E-2</v>
      </c>
      <c r="DX7" s="51">
        <f>t_Parts[[#This Row],[hp2015.11]]/t_Parts[[#This Row],[ha2015.11]]</f>
        <v>2.3277663512957632E-2</v>
      </c>
      <c r="DY7" s="51">
        <f>t_Parts[[#This Row],[hp2015.12]]/t_Parts[[#This Row],[ha2015.12]]</f>
        <v>1.9657754010695187E-2</v>
      </c>
      <c r="DZ7" s="51">
        <f>t_Parts[[#This Row],[hp2015.FY]]/t_Parts[[#This Row],[ha2015.FY]]</f>
        <v>2.2010695187165773E-2</v>
      </c>
      <c r="EA7" s="51">
        <f>t_Parts[[#This Row],[hp2016.01]]/t_Parts[[#This Row],[ha2016.01]]</f>
        <v>0</v>
      </c>
      <c r="EB7" s="51">
        <f>t_Parts[[#This Row],[hp2016.02]]/t_Parts[[#This Row],[ha2016.02]]</f>
        <v>0</v>
      </c>
      <c r="EC7" s="51">
        <f>t_Parts[[#This Row],[hp2016.03]]/t_Parts[[#This Row],[ha2016.03]]</f>
        <v>0</v>
      </c>
      <c r="ED7" s="51">
        <f>t_Parts[[#This Row],[hp2016.04]]/t_Parts[[#This Row],[ha2016.04]]</f>
        <v>0</v>
      </c>
      <c r="EE7" s="51">
        <f>t_Parts[[#This Row],[hp2016.05]]/t_Parts[[#This Row],[ha2016.05]]</f>
        <v>0</v>
      </c>
      <c r="EF7" s="51">
        <f>t_Parts[[#This Row],[hp2016.06]]/t_Parts[[#This Row],[ha2016.06]]</f>
        <v>0</v>
      </c>
      <c r="EG7" s="51">
        <f>t_Parts[[#This Row],[hp2016.07]]/t_Parts[[#This Row],[ha2016.07]]</f>
        <v>0</v>
      </c>
      <c r="EH7" s="51">
        <f>t_Parts[[#This Row],[hp2016.08]]/t_Parts[[#This Row],[ha2016.08]]</f>
        <v>0</v>
      </c>
      <c r="EI7" s="51">
        <f>t_Parts[[#This Row],[hp2016.09]]/t_Parts[[#This Row],[ha2016.09]]</f>
        <v>0</v>
      </c>
      <c r="EJ7" s="51">
        <f>t_Parts[[#This Row],[hp2016.10]]/t_Parts[[#This Row],[ha2016.10]]</f>
        <v>0</v>
      </c>
      <c r="EK7" s="51">
        <f>t_Parts[[#This Row],[hp2016.11]]/t_Parts[[#This Row],[ha2016.11]]</f>
        <v>0</v>
      </c>
      <c r="EL7" s="51">
        <f>t_Parts[[#This Row],[hp2016.12]]/t_Parts[[#This Row],[ha2016.12]]</f>
        <v>0</v>
      </c>
      <c r="EM7" s="51">
        <f>t_Parts[[#This Row],[hp2016.FY]]/t_Parts[[#This Row],[ha2016.FY]]</f>
        <v>0</v>
      </c>
      <c r="EN7" s="51">
        <f>t_Parts[[#This Row],[hp2017]]/t_Parts[[#This Row],[ha2017]]</f>
        <v>0</v>
      </c>
      <c r="EO7" s="51">
        <f>t_Parts[[#This Row],[hp2018]]/t_Parts[[#This Row],[ha2018]]</f>
        <v>0</v>
      </c>
      <c r="EP7" s="51">
        <f>t_Parts[[#This Row],[hp2019]]/t_Parts[[#This Row],[hp2015.01]]</f>
        <v>0</v>
      </c>
      <c r="EQ7" s="62">
        <f>(t_Parts[[#This Row],[ha2015.01]]-t_Parts[[#This Row],[hp2015.01]])*t_Parts[[NetPPH]:[NetPPH]]</f>
        <v>644230.5882352941</v>
      </c>
      <c r="ER7" s="62">
        <f>(t_Parts[[#This Row],[ha2015.02]]-t_Parts[[#This Row],[hp2015.02]])*t_Parts[[NetPPH]:[NetPPH]]</f>
        <v>670422.21176470583</v>
      </c>
      <c r="ES7" s="62">
        <f>(t_Parts[[#This Row],[ha2015.03]]-t_Parts[[#This Row],[hp2015.03]])*t_Parts[[NetPPH]:[NetPPH]]</f>
        <v>879955.2</v>
      </c>
      <c r="ET7" s="62">
        <f>(t_Parts[[#This Row],[ha2015.04]]-t_Parts[[#This Row],[hp2015.04]])*t_Parts[[NetPPH]:[NetPPH]]</f>
        <v>644230.5882352941</v>
      </c>
      <c r="EU7" s="62">
        <f>(t_Parts[[#This Row],[ha2015.05]]-t_Parts[[#This Row],[hp2015.05]])*t_Parts[[NetPPH]:[NetPPH]]</f>
        <v>670422.21176470583</v>
      </c>
      <c r="EV7" s="62">
        <f>(t_Parts[[#This Row],[ha2015.06]]-t_Parts[[#This Row],[hp2015.06]])*t_Parts[[NetPPH]:[NetPPH]]</f>
        <v>879955.2</v>
      </c>
      <c r="EW7" s="62">
        <f>(t_Parts[[#This Row],[ha2015.07]]-t_Parts[[#This Row],[hp2015.07]])*t_Parts[[NetPPH]:[NetPPH]]</f>
        <v>644230.5882352941</v>
      </c>
      <c r="EX7" s="62">
        <f>(t_Parts[[#This Row],[ha2015.08]]-t_Parts[[#This Row],[hp2015.08]])*t_Parts[[NetPPH]:[NetPPH]]</f>
        <v>670422.21176470583</v>
      </c>
      <c r="EY7" s="62">
        <f>(t_Parts[[#This Row],[ha2015.09]]-t_Parts[[#This Row],[hp2015.09]])*t_Parts[[NetPPH]:[NetPPH]]</f>
        <v>879955.2</v>
      </c>
      <c r="EZ7" s="62">
        <f>(t_Parts[[#This Row],[ha2015.10]]-t_Parts[[#This Row],[hp2015.10]])*t_Parts[[NetPPH]:[NetPPH]]</f>
        <v>644230.5882352941</v>
      </c>
      <c r="FA7" s="62">
        <f>(t_Parts[[#This Row],[ha2015.11]]-t_Parts[[#This Row],[hp2015.11]])*t_Parts[[NetPPH]:[NetPPH]]</f>
        <v>670422.21176470583</v>
      </c>
      <c r="FB7" s="62">
        <f>(t_Parts[[#This Row],[ha2015.12]]-t_Parts[[#This Row],[hp2015.12]])*t_Parts[[NetPPH]:[NetPPH]]</f>
        <v>879955.2</v>
      </c>
      <c r="FC7" s="62">
        <f>(t_Parts[[#This Row],[ha2015.FY]]-t_Parts[[#This Row],[hp2015.FY]])*t_Parts[[NetPPH]:[NetPPH]]</f>
        <v>8778432</v>
      </c>
      <c r="FD7" s="62">
        <f>(t_Parts[[#This Row],[ha2016.01]]-t_Parts[[#This Row],[hp2016.01]])*t_Parts[[NetPPH]:[NetPPH]]</f>
        <v>660000</v>
      </c>
      <c r="FE7" s="62">
        <f>(t_Parts[[#This Row],[ha2016.02]]-t_Parts[[#This Row],[hp2016.02]])*t_Parts[[NetPPH]:[NetPPH]]</f>
        <v>633600</v>
      </c>
      <c r="FF7" s="62">
        <f>(t_Parts[[#This Row],[ha2016.03]]-t_Parts[[#This Row],[hp2016.03]])*t_Parts[[NetPPH]:[NetPPH]]</f>
        <v>897600</v>
      </c>
      <c r="FG7" s="62">
        <f>(t_Parts[[#This Row],[ha2016.04]]-t_Parts[[#This Row],[hp2016.04]])*t_Parts[[NetPPH]:[NetPPH]]</f>
        <v>660000</v>
      </c>
      <c r="FH7" s="62">
        <f>(t_Parts[[#This Row],[ha2016.05]]-t_Parts[[#This Row],[hp2016.05]])*t_Parts[[NetPPH]:[NetPPH]]</f>
        <v>686400</v>
      </c>
      <c r="FI7" s="62">
        <f>(t_Parts[[#This Row],[ha2016.06]]-t_Parts[[#This Row],[hp2016.06]])*t_Parts[[NetPPH]:[NetPPH]]</f>
        <v>897600</v>
      </c>
      <c r="FJ7" s="62">
        <f>(t_Parts[[#This Row],[ha2016.07]]-t_Parts[[#This Row],[hp2016.07]])*t_Parts[[NetPPH]:[NetPPH]]</f>
        <v>660000</v>
      </c>
      <c r="FK7" s="62">
        <f>(t_Parts[[#This Row],[ha2016.08]]-t_Parts[[#This Row],[hp2016.08]])*t_Parts[[NetPPH]:[NetPPH]]</f>
        <v>686400</v>
      </c>
      <c r="FL7" s="62">
        <f>(t_Parts[[#This Row],[ha2016.09]]-t_Parts[[#This Row],[hp2016.09]])*t_Parts[[NetPPH]:[NetPPH]]</f>
        <v>897600</v>
      </c>
      <c r="FM7" s="62">
        <f>(t_Parts[[#This Row],[ha2016.10]]-t_Parts[[#This Row],[hp2016.10]])*t_Parts[[NetPPH]:[NetPPH]]</f>
        <v>660000</v>
      </c>
      <c r="FN7" s="62">
        <f>(t_Parts[[#This Row],[ha2016.11]]-t_Parts[[#This Row],[hp2016.11]])*t_Parts[[NetPPH]:[NetPPH]]</f>
        <v>580800</v>
      </c>
      <c r="FO7" s="62">
        <f>(t_Parts[[#This Row],[ha2016.12]]-t_Parts[[#This Row],[hp2016.12]])*t_Parts[[NetPPH]:[NetPPH]]</f>
        <v>792000</v>
      </c>
      <c r="FP7" s="62">
        <f>(t_Parts[[#This Row],[ha2016.FY]]-t_Parts[[#This Row],[hp2016.FY]])*t_Parts[[NetPPH]:[NetPPH]]</f>
        <v>8712000</v>
      </c>
      <c r="FQ7" s="62">
        <f>(t_Parts[[#This Row],[ha2017]]-t_Parts[[#This Row],[hp2017]])*t_Parts[[NetPPH]:[NetPPH]]</f>
        <v>8712000</v>
      </c>
      <c r="FR7" s="62">
        <f>(t_Parts[[#This Row],[ha2018]]-t_Parts[[#This Row],[hp2018]])*t_Parts[[NetPPH]:[NetPPH]]</f>
        <v>8712000</v>
      </c>
      <c r="FS7" s="62">
        <f>(t_Parts[[#This Row],[ha2019]]-t_Parts[[#This Row],[hp2019]])*t_Parts[[NetPPH]:[NetPPH]]</f>
        <v>8712000</v>
      </c>
    </row>
    <row r="8" spans="1:175" s="14" customFormat="1" x14ac:dyDescent="0.25">
      <c r="A8" s="78" t="s">
        <v>166</v>
      </c>
      <c r="B8" s="78">
        <v>21014</v>
      </c>
      <c r="C8" s="79">
        <v>1</v>
      </c>
      <c r="D8" s="77">
        <v>2400</v>
      </c>
      <c r="E8" s="80">
        <v>1</v>
      </c>
      <c r="F8" s="81">
        <v>4</v>
      </c>
      <c r="G8" s="79" t="s">
        <v>16</v>
      </c>
      <c r="H8" s="79" t="s">
        <v>94</v>
      </c>
      <c r="I8" s="77">
        <v>161929</v>
      </c>
      <c r="J8" s="77"/>
      <c r="K8" s="77"/>
      <c r="L8" s="77"/>
      <c r="M8" s="77"/>
      <c r="N8" s="77"/>
      <c r="O8" s="77"/>
      <c r="P8" s="80"/>
      <c r="Q8" s="80"/>
      <c r="R8" s="77"/>
      <c r="S8" s="81"/>
      <c r="T8" s="78"/>
      <c r="U8" s="82"/>
      <c r="V8" s="79" t="s">
        <v>115</v>
      </c>
      <c r="W8" s="14" t="str">
        <f>VLOOKUP(t_Parts[[#This Row],[Press]],t_Presses[],Press!B$1,FALSE)</f>
        <v>Plainfield</v>
      </c>
      <c r="X8" s="14" t="str">
        <f>VLOOKUP(t_Parts[[#This Row],[Press]],t_Presses[],Press!E$1,FALSE)</f>
        <v>300-599</v>
      </c>
      <c r="Y8" s="51">
        <f>VLOOKUP(t_Parts[[#This Row],[Plant]],t_Plants[],Plants!C$1,FALSE)</f>
        <v>0.55000000000000004</v>
      </c>
      <c r="Z8" s="51">
        <f>VLOOKUP(t_Parts[[#This Row],[Press]],t_Presses[],Press!F$1,FALSE)</f>
        <v>0</v>
      </c>
      <c r="AA8" s="88"/>
      <c r="AB8" s="51">
        <f>IF(ISBLANK(t_Parts[[#This Row],[PartOEE]])=FALSE,t_Parts[[#This Row],[PartOEE]], IF(t_Parts[[#This Row],[PressOEE]]&gt;0, t_Parts[[#This Row],[PressOEE]], t_Parts[[#This Row],[PlantOEE]] ))</f>
        <v>0.55000000000000004</v>
      </c>
      <c r="AC8" s="74">
        <f>t_Parts[[#This Row],[SetupsPerMo]]*t_Parts[[#This Row],[SetupHrs]]</f>
        <v>4</v>
      </c>
      <c r="AD8" s="43">
        <f>(t_Parts[[#This Row],[UnitsPerCycle]]*t_Parts[[#This Row],[CyclesPerHr]])*t_Parts[[#This Row],[UseOEE]]</f>
        <v>1320</v>
      </c>
      <c r="AE8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11906.544117647059</v>
      </c>
      <c r="AF8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12382.805882352941</v>
      </c>
      <c r="AG8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16192.9</v>
      </c>
      <c r="AH8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11906.544117647059</v>
      </c>
      <c r="AI8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12382.805882352941</v>
      </c>
      <c r="AJ8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16192.9</v>
      </c>
      <c r="AK8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11906.544117647059</v>
      </c>
      <c r="AL8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12382.805882352941</v>
      </c>
      <c r="AM8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16192.9</v>
      </c>
      <c r="AN8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11906.544117647059</v>
      </c>
      <c r="AO8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12382.805882352941</v>
      </c>
      <c r="AP8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16192.9</v>
      </c>
      <c r="AQ8" s="43">
        <f>SUM(t_Parts[[#This Row],[pv2015.01]:[pv2015.12]])</f>
        <v>161928.99999999997</v>
      </c>
      <c r="AR8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8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8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8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8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8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8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8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8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8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8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8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8" s="43">
        <f>SUM(t_Parts[[#This Row],[pv2016.01]:[pv2016.12]])</f>
        <v>0</v>
      </c>
      <c r="BE8" s="43">
        <f>t_Parts[[#This Row],[2017vol]]</f>
        <v>0</v>
      </c>
      <c r="BF8" s="43">
        <f>t_Parts[[#This Row],[2018vol]]</f>
        <v>0</v>
      </c>
      <c r="BG8" s="43">
        <f>t_Parts[[#This Row],[2019vol]]</f>
        <v>0</v>
      </c>
      <c r="BH8" s="14">
        <f>VLOOKUP(t_Parts[[Plant]:[Plant]],t_Plants[],Plants!CM$1,FALSE)</f>
        <v>250</v>
      </c>
      <c r="BI8" s="14">
        <f>VLOOKUP(t_Parts[[Plant]:[Plant]],t_Plants[],Plants!CN$1,FALSE)</f>
        <v>260</v>
      </c>
      <c r="BJ8" s="14">
        <f>VLOOKUP(t_Parts[[Plant]:[Plant]],t_Plants[],Plants!CO$1,FALSE)</f>
        <v>340</v>
      </c>
      <c r="BK8" s="14">
        <f>VLOOKUP(t_Parts[[Plant]:[Plant]],t_Plants[],Plants!CP$1,FALSE)</f>
        <v>250</v>
      </c>
      <c r="BL8" s="14">
        <f>VLOOKUP(t_Parts[[Plant]:[Plant]],t_Plants[],Plants!CQ$1,FALSE)</f>
        <v>260</v>
      </c>
      <c r="BM8" s="14">
        <f>VLOOKUP(t_Parts[[Plant]:[Plant]],t_Plants[],Plants!CR$1,FALSE)</f>
        <v>340</v>
      </c>
      <c r="BN8" s="14">
        <f>VLOOKUP(t_Parts[[Plant]:[Plant]],t_Plants[],Plants!CS$1,FALSE)</f>
        <v>250</v>
      </c>
      <c r="BO8" s="14">
        <f>VLOOKUP(t_Parts[[Plant]:[Plant]],t_Plants[],Plants!CT$1,FALSE)</f>
        <v>260</v>
      </c>
      <c r="BP8" s="14">
        <f>VLOOKUP(t_Parts[[Plant]:[Plant]],t_Plants[],Plants!CU$1,FALSE)</f>
        <v>340</v>
      </c>
      <c r="BQ8" s="14">
        <f>VLOOKUP(t_Parts[[Plant]:[Plant]],t_Plants[],Plants!CV$1,FALSE)</f>
        <v>250</v>
      </c>
      <c r="BR8" s="14">
        <f>VLOOKUP(t_Parts[[Plant]:[Plant]],t_Plants[],Plants!CW$1,FALSE)</f>
        <v>260</v>
      </c>
      <c r="BS8" s="14">
        <f>VLOOKUP(t_Parts[[Plant]:[Plant]],t_Plants[],Plants!CX$1,FALSE)</f>
        <v>340</v>
      </c>
      <c r="BT8" s="14">
        <f>SUM(t_Parts[[#This Row],[ha2015.01]:[ha2015.12]])</f>
        <v>3400</v>
      </c>
      <c r="BU8" s="14">
        <f>VLOOKUP(t_Parts[[Plant]:[Plant]],t_Plants[],Plants!CZ$1,FALSE)</f>
        <v>250</v>
      </c>
      <c r="BV8" s="14">
        <f>VLOOKUP(t_Parts[[Plant]:[Plant]],t_Plants[],Plants!DA$1,FALSE)</f>
        <v>240</v>
      </c>
      <c r="BW8" s="14">
        <f>VLOOKUP(t_Parts[[Plant]:[Plant]],t_Plants[],Plants!DB$1,FALSE)</f>
        <v>340</v>
      </c>
      <c r="BX8" s="14">
        <f>VLOOKUP(t_Parts[[Plant]:[Plant]],t_Plants[],Plants!DC$1,FALSE)</f>
        <v>250</v>
      </c>
      <c r="BY8" s="14">
        <f>VLOOKUP(t_Parts[[Plant]:[Plant]],t_Plants[],Plants!DD$1,FALSE)</f>
        <v>260</v>
      </c>
      <c r="BZ8" s="14">
        <f>VLOOKUP(t_Parts[[Plant]:[Plant]],t_Plants[],Plants!DE$1,FALSE)</f>
        <v>340</v>
      </c>
      <c r="CA8" s="14">
        <f>VLOOKUP(t_Parts[[Plant]:[Plant]],t_Plants[],Plants!DF$1,FALSE)</f>
        <v>250</v>
      </c>
      <c r="CB8" s="14">
        <f>VLOOKUP(t_Parts[[Plant]:[Plant]],t_Plants[],Plants!DG$1,FALSE)</f>
        <v>260</v>
      </c>
      <c r="CC8" s="14">
        <f>VLOOKUP(t_Parts[[Plant]:[Plant]],t_Plants[],Plants!DH$1,FALSE)</f>
        <v>340</v>
      </c>
      <c r="CD8" s="14">
        <f>VLOOKUP(t_Parts[[Plant]:[Plant]],t_Plants[],Plants!DI$1,FALSE)</f>
        <v>250</v>
      </c>
      <c r="CE8" s="14">
        <f>VLOOKUP(t_Parts[[Plant]:[Plant]],t_Plants[],Plants!DJ$1,FALSE)</f>
        <v>220</v>
      </c>
      <c r="CF8" s="14">
        <f>VLOOKUP(t_Parts[[Plant]:[Plant]],t_Plants[],Plants!DK$1,FALSE)</f>
        <v>300</v>
      </c>
      <c r="CG8" s="14">
        <f>VLOOKUP(t_Parts[[Plant]:[Plant]],t_Plants[],Plants!DL$1,FALSE)</f>
        <v>3300</v>
      </c>
      <c r="CH8" s="14">
        <f>VLOOKUP(t_Parts[[Plant]:[Plant]],t_Plants[],Plants!DM$1,FALSE)</f>
        <v>3300</v>
      </c>
      <c r="CI8" s="14">
        <f>VLOOKUP(t_Parts[[Plant]:[Plant]],t_Plants[],Plants!DN$1,FALSE)</f>
        <v>3300</v>
      </c>
      <c r="CJ8" s="14">
        <f>VLOOKUP(t_Parts[[Plant]:[Plant]],t_Plants[],Plants!DO$1,FALSE)</f>
        <v>3300</v>
      </c>
      <c r="CK8" s="43">
        <f>IF(AND(AE$3&gt;=VALUE(t_Parts[[SOP]:[SOP]]),AE$3&lt;=VALUE(t_Parts[[EOP]:[EOP]])), t_Parts[[SetupHrsPerMo]:[SetupHrsPerMo]]+(t_Parts[[#This Row],[pv2015.01]]/t_Parts[[NetPPH]:[NetPPH]]),0)</f>
        <v>13.020109180035652</v>
      </c>
      <c r="CL8" s="43">
        <f>IF(AND(AF$3&gt;=VALUE(t_Parts[[SOP]:[SOP]]),AF$3&lt;=VALUE(t_Parts[[EOP]:[EOP]])), t_Parts[[SetupHrsPerMo]:[SetupHrsPerMo]]+(t_Parts[[#This Row],[pv2015.02]]/t_Parts[[NetPPH]:[NetPPH]]),0)</f>
        <v>13.380913547237077</v>
      </c>
      <c r="CM8" s="43">
        <f>IF(AND(AG$3&gt;=VALUE(t_Parts[[SOP]:[SOP]]),AG$3&lt;=VALUE(t_Parts[[EOP]:[EOP]])), t_Parts[[SetupHrsPerMo]:[SetupHrsPerMo]]+(t_Parts[[#This Row],[pv2015.03]]/t_Parts[[NetPPH]:[NetPPH]]),0)</f>
        <v>16.267348484848483</v>
      </c>
      <c r="CN8" s="43">
        <f>IF(AND(AH$3&gt;=VALUE(t_Parts[[SOP]:[SOP]]),AH$3&lt;=VALUE(t_Parts[[EOP]:[EOP]])), t_Parts[[SetupHrsPerMo]:[SetupHrsPerMo]]+(t_Parts[[#This Row],[pv2015.04]]/t_Parts[[NetPPH]:[NetPPH]]),0)</f>
        <v>13.020109180035652</v>
      </c>
      <c r="CO8" s="43">
        <f>IF(AND(AI$3&gt;=VALUE(t_Parts[[SOP]:[SOP]]),AI$3&lt;=VALUE(t_Parts[[EOP]:[EOP]])), t_Parts[[SetupHrsPerMo]:[SetupHrsPerMo]]+(t_Parts[[#This Row],[pv2015.05]]/t_Parts[[NetPPH]:[NetPPH]]),0)</f>
        <v>13.380913547237077</v>
      </c>
      <c r="CP8" s="43">
        <f>IF(AND(AJ$3&gt;=VALUE(t_Parts[[SOP]:[SOP]]),AJ$3&lt;=VALUE(t_Parts[[EOP]:[EOP]])), t_Parts[[SetupHrsPerMo]:[SetupHrsPerMo]]+(t_Parts[[#This Row],[pv2015.06]]/t_Parts[[NetPPH]:[NetPPH]]),0)</f>
        <v>16.267348484848483</v>
      </c>
      <c r="CQ8" s="43">
        <f>IF(AND(AK$3&gt;=VALUE(t_Parts[[SOP]:[SOP]]),AK$3&lt;=VALUE(t_Parts[[EOP]:[EOP]])), t_Parts[[SetupHrsPerMo]:[SetupHrsPerMo]]+(t_Parts[[#This Row],[pv2015.07]]/t_Parts[[NetPPH]:[NetPPH]]),0)</f>
        <v>13.020109180035652</v>
      </c>
      <c r="CR8" s="43">
        <f>IF(AND(AL$3&gt;=VALUE(t_Parts[[SOP]:[SOP]]),AL$3&lt;=VALUE(t_Parts[[EOP]:[EOP]])), t_Parts[[SetupHrsPerMo]:[SetupHrsPerMo]]+(t_Parts[[#This Row],[pv2015.08]]/t_Parts[[NetPPH]:[NetPPH]]),0)</f>
        <v>13.380913547237077</v>
      </c>
      <c r="CS8" s="43">
        <f>IF(AND(AM$3&gt;=VALUE(t_Parts[[SOP]:[SOP]]),AM$3&lt;=VALUE(t_Parts[[EOP]:[EOP]])), t_Parts[[SetupHrsPerMo]:[SetupHrsPerMo]]+(t_Parts[[#This Row],[pv2015.09]]/t_Parts[[NetPPH]:[NetPPH]]),0)</f>
        <v>16.267348484848483</v>
      </c>
      <c r="CT8" s="43">
        <f>IF(AND(AN$3&gt;=VALUE(t_Parts[[SOP]:[SOP]]),AN$3&lt;=VALUE(t_Parts[[EOP]:[EOP]])), t_Parts[[SetupHrsPerMo]:[SetupHrsPerMo]]+(t_Parts[[#This Row],[pv2015.10]]/t_Parts[[NetPPH]:[NetPPH]]),0)</f>
        <v>13.020109180035652</v>
      </c>
      <c r="CU8" s="43">
        <f>IF(AND(AO$3&gt;=VALUE(t_Parts[[SOP]:[SOP]]),AO$3&lt;=VALUE(t_Parts[[EOP]:[EOP]])), t_Parts[[SetupHrsPerMo]:[SetupHrsPerMo]]+(t_Parts[[#This Row],[pv2015.11]]/t_Parts[[NetPPH]:[NetPPH]]),0)</f>
        <v>13.380913547237077</v>
      </c>
      <c r="CV8" s="43">
        <f>IF(AND(AP$3&gt;=VALUE(t_Parts[[SOP]:[SOP]]),AP$3&lt;=VALUE(t_Parts[[EOP]:[EOP]])), t_Parts[[SetupHrsPerMo]:[SetupHrsPerMo]]+(t_Parts[[#This Row],[pv2015.12]]/t_Parts[[NetPPH]:[NetPPH]]),0)</f>
        <v>16.267348484848483</v>
      </c>
      <c r="CW8" s="43">
        <f>SUM(t_Parts[[#This Row],[hp2015.01]:[hp2015.12]])</f>
        <v>170.67348484848486</v>
      </c>
      <c r="CX8" s="43">
        <f>IF(AND(AR$3&gt;=VALUE(t_Parts[[SOP]:[SOP]]),AR$3&lt;=VALUE(t_Parts[[EOP]:[EOP]])), t_Parts[[SetupHrsPerMo]:[SetupHrsPerMo]]+(t_Parts[[#This Row],[pv2016.01]]/t_Parts[[NetPPH]:[NetPPH]]),0)</f>
        <v>0</v>
      </c>
      <c r="CY8" s="43">
        <f>IF(AND(AS$3&gt;=VALUE(t_Parts[[SOP]:[SOP]]),AS$3&lt;=VALUE(t_Parts[[EOP]:[EOP]])), t_Parts[[SetupHrsPerMo]:[SetupHrsPerMo]]+(t_Parts[[#This Row],[pv2016.02]]/t_Parts[[NetPPH]:[NetPPH]]),0)</f>
        <v>0</v>
      </c>
      <c r="CZ8" s="43">
        <f>IF(AND(AT$3&gt;=VALUE(t_Parts[[SOP]:[SOP]]),AT$3&lt;=VALUE(t_Parts[[EOP]:[EOP]])), t_Parts[[SetupHrsPerMo]:[SetupHrsPerMo]]+(t_Parts[[#This Row],[pv2016.03]]/t_Parts[[NetPPH]:[NetPPH]]),0)</f>
        <v>0</v>
      </c>
      <c r="DA8" s="43">
        <f>IF(AND(AU$3&gt;=VALUE(t_Parts[[SOP]:[SOP]]),AU$3&lt;=VALUE(t_Parts[[EOP]:[EOP]])), t_Parts[[SetupHrsPerMo]:[SetupHrsPerMo]]+(t_Parts[[#This Row],[pv2016.04]]/t_Parts[[NetPPH]:[NetPPH]]),0)</f>
        <v>0</v>
      </c>
      <c r="DB8" s="43">
        <f>IF(AND(AV$3&gt;=VALUE(t_Parts[[SOP]:[SOP]]),AV$3&lt;=VALUE(t_Parts[[EOP]:[EOP]])), t_Parts[[SetupHrsPerMo]:[SetupHrsPerMo]]+(t_Parts[[#This Row],[pv2016.05]]/t_Parts[[NetPPH]:[NetPPH]]),0)</f>
        <v>0</v>
      </c>
      <c r="DC8" s="43">
        <f>IF(AND(AW$3&gt;=VALUE(t_Parts[[SOP]:[SOP]]),AW$3&lt;=VALUE(t_Parts[[EOP]:[EOP]])), t_Parts[[SetupHrsPerMo]:[SetupHrsPerMo]]+(t_Parts[[#This Row],[pv2016.06]]/t_Parts[[NetPPH]:[NetPPH]]),0)</f>
        <v>0</v>
      </c>
      <c r="DD8" s="43">
        <f>IF(AND(AX$3&gt;=VALUE(t_Parts[[SOP]:[SOP]]),AX$3&lt;=VALUE(t_Parts[[EOP]:[EOP]])), t_Parts[[SetupHrsPerMo]:[SetupHrsPerMo]]+(t_Parts[[#This Row],[pv2016.07]]/t_Parts[[NetPPH]:[NetPPH]]),0)</f>
        <v>0</v>
      </c>
      <c r="DE8" s="43">
        <f>IF(AND(AY$3&gt;=VALUE(t_Parts[[SOP]:[SOP]]),AY$3&lt;=VALUE(t_Parts[[EOP]:[EOP]])), t_Parts[[SetupHrsPerMo]:[SetupHrsPerMo]]+(t_Parts[[#This Row],[pv2016.08]]/t_Parts[[NetPPH]:[NetPPH]]),0)</f>
        <v>0</v>
      </c>
      <c r="DF8" s="43">
        <f>IF(AND(AZ$3&gt;=VALUE(t_Parts[[SOP]:[SOP]]),AZ$3&lt;=VALUE(t_Parts[[EOP]:[EOP]])), t_Parts[[SetupHrsPerMo]:[SetupHrsPerMo]]+(t_Parts[[#This Row],[pv2016.09]]/t_Parts[[NetPPH]:[NetPPH]]),0)</f>
        <v>0</v>
      </c>
      <c r="DG8" s="43">
        <f>IF(AND(BA$3&gt;=VALUE(t_Parts[[SOP]:[SOP]]),BA$3&lt;=VALUE(t_Parts[[EOP]:[EOP]])), t_Parts[[SetupHrsPerMo]:[SetupHrsPerMo]]+(t_Parts[[#This Row],[pv2016.10]]/t_Parts[[NetPPH]:[NetPPH]]),0)</f>
        <v>0</v>
      </c>
      <c r="DH8" s="43">
        <f>IF(AND(BB$3&gt;=VALUE(t_Parts[[SOP]:[SOP]]),BB$3&lt;=VALUE(t_Parts[[EOP]:[EOP]])), t_Parts[[SetupHrsPerMo]:[SetupHrsPerMo]]+(t_Parts[[#This Row],[pv2016.11]]/t_Parts[[NetPPH]:[NetPPH]]),0)</f>
        <v>0</v>
      </c>
      <c r="DI8" s="43">
        <f>IF(AND(BC$3&gt;=VALUE(t_Parts[[SOP]:[SOP]]),BC$3&lt;=VALUE(t_Parts[[EOP]:[EOP]])), t_Parts[[SetupHrsPerMo]:[SetupHrsPerMo]]+(t_Parts[[#This Row],[pv2016.12]]/t_Parts[[NetPPH]:[NetPPH]]),0)</f>
        <v>0</v>
      </c>
      <c r="DJ8" s="43">
        <f>SUM(t_Parts[[#This Row],[hp2016.01]:[hp2016.12]])</f>
        <v>0</v>
      </c>
      <c r="DK8" s="43">
        <f>IF(AND(BE$3&gt;=VALUE(t_Parts[[SOP]:[SOP]]),BE$3&lt;=VALUE(t_Parts[[EOP]:[EOP]])), 12*t_Parts[[SetupHrsPerMo]:[SetupHrsPerMo]]+(t_Parts[[#This Row],[pv2017]]/t_Parts[[NetPPH]:[NetPPH]]),0)</f>
        <v>0</v>
      </c>
      <c r="DL8" s="43">
        <f>IF(AND(BF$3&gt;=VALUE(t_Parts[[SOP]:[SOP]]),BF$3&lt;=VALUE(t_Parts[[EOP]:[EOP]])), 12*t_Parts[[SetupHrsPerMo]:[SetupHrsPerMo]]+(t_Parts[[#This Row],[pv2018]]/t_Parts[[NetPPH]:[NetPPH]]),0)</f>
        <v>0</v>
      </c>
      <c r="DM8" s="43">
        <f>IF(AND(BG$3&gt;=VALUE(t_Parts[[SOP]:[SOP]]),BG$3&lt;=VALUE(t_Parts[[EOP]:[EOP]])), 12*t_Parts[[SetupHrsPerMo]:[SetupHrsPerMo]]+(t_Parts[[#This Row],[pv2019]]/t_Parts[[NetPPH]:[NetPPH]]),0)</f>
        <v>0</v>
      </c>
      <c r="DN8" s="51">
        <f>t_Parts[[#This Row],[hp2015.01]]/t_Parts[[#This Row],[ha2015.01]]</f>
        <v>5.2080436720142606E-2</v>
      </c>
      <c r="DO8" s="51">
        <f>t_Parts[[#This Row],[hp2015.02]]/t_Parts[[#This Row],[ha2015.02]]</f>
        <v>5.1465052104757984E-2</v>
      </c>
      <c r="DP8" s="51">
        <f>t_Parts[[#This Row],[hp2015.03]]/t_Parts[[#This Row],[ha2015.03]]</f>
        <v>4.784514260249554E-2</v>
      </c>
      <c r="DQ8" s="51">
        <f>t_Parts[[#This Row],[hp2015.04]]/t_Parts[[#This Row],[ha2015.04]]</f>
        <v>5.2080436720142606E-2</v>
      </c>
      <c r="DR8" s="51">
        <f>t_Parts[[#This Row],[hp2015.05]]/t_Parts[[#This Row],[ha2015.05]]</f>
        <v>5.1465052104757984E-2</v>
      </c>
      <c r="DS8" s="51">
        <f>t_Parts[[#This Row],[hp2015.06]]/t_Parts[[#This Row],[ha2015.06]]</f>
        <v>4.784514260249554E-2</v>
      </c>
      <c r="DT8" s="51">
        <f>t_Parts[[#This Row],[hp2015.07]]/t_Parts[[#This Row],[ha2015.07]]</f>
        <v>5.2080436720142606E-2</v>
      </c>
      <c r="DU8" s="51">
        <f>t_Parts[[#This Row],[hp2015.08]]/t_Parts[[#This Row],[ha2015.08]]</f>
        <v>5.1465052104757984E-2</v>
      </c>
      <c r="DV8" s="51">
        <f>t_Parts[[#This Row],[hp2015.09]]/t_Parts[[#This Row],[ha2015.09]]</f>
        <v>4.784514260249554E-2</v>
      </c>
      <c r="DW8" s="51">
        <f>t_Parts[[#This Row],[hp2015.10]]/t_Parts[[#This Row],[ha2015.10]]</f>
        <v>5.2080436720142606E-2</v>
      </c>
      <c r="DX8" s="51">
        <f>t_Parts[[#This Row],[hp2015.11]]/t_Parts[[#This Row],[ha2015.11]]</f>
        <v>5.1465052104757984E-2</v>
      </c>
      <c r="DY8" s="51">
        <f>t_Parts[[#This Row],[hp2015.12]]/t_Parts[[#This Row],[ha2015.12]]</f>
        <v>4.784514260249554E-2</v>
      </c>
      <c r="DZ8" s="51">
        <f>t_Parts[[#This Row],[hp2015.FY]]/t_Parts[[#This Row],[ha2015.FY]]</f>
        <v>5.0198083778966139E-2</v>
      </c>
      <c r="EA8" s="51">
        <f>t_Parts[[#This Row],[hp2016.01]]/t_Parts[[#This Row],[ha2016.01]]</f>
        <v>0</v>
      </c>
      <c r="EB8" s="51">
        <f>t_Parts[[#This Row],[hp2016.02]]/t_Parts[[#This Row],[ha2016.02]]</f>
        <v>0</v>
      </c>
      <c r="EC8" s="51">
        <f>t_Parts[[#This Row],[hp2016.03]]/t_Parts[[#This Row],[ha2016.03]]</f>
        <v>0</v>
      </c>
      <c r="ED8" s="51">
        <f>t_Parts[[#This Row],[hp2016.04]]/t_Parts[[#This Row],[ha2016.04]]</f>
        <v>0</v>
      </c>
      <c r="EE8" s="51">
        <f>t_Parts[[#This Row],[hp2016.05]]/t_Parts[[#This Row],[ha2016.05]]</f>
        <v>0</v>
      </c>
      <c r="EF8" s="51">
        <f>t_Parts[[#This Row],[hp2016.06]]/t_Parts[[#This Row],[ha2016.06]]</f>
        <v>0</v>
      </c>
      <c r="EG8" s="51">
        <f>t_Parts[[#This Row],[hp2016.07]]/t_Parts[[#This Row],[ha2016.07]]</f>
        <v>0</v>
      </c>
      <c r="EH8" s="51">
        <f>t_Parts[[#This Row],[hp2016.08]]/t_Parts[[#This Row],[ha2016.08]]</f>
        <v>0</v>
      </c>
      <c r="EI8" s="51">
        <f>t_Parts[[#This Row],[hp2016.09]]/t_Parts[[#This Row],[ha2016.09]]</f>
        <v>0</v>
      </c>
      <c r="EJ8" s="51">
        <f>t_Parts[[#This Row],[hp2016.10]]/t_Parts[[#This Row],[ha2016.10]]</f>
        <v>0</v>
      </c>
      <c r="EK8" s="51">
        <f>t_Parts[[#This Row],[hp2016.11]]/t_Parts[[#This Row],[ha2016.11]]</f>
        <v>0</v>
      </c>
      <c r="EL8" s="51">
        <f>t_Parts[[#This Row],[hp2016.12]]/t_Parts[[#This Row],[ha2016.12]]</f>
        <v>0</v>
      </c>
      <c r="EM8" s="51">
        <f>t_Parts[[#This Row],[hp2016.FY]]/t_Parts[[#This Row],[ha2016.FY]]</f>
        <v>0</v>
      </c>
      <c r="EN8" s="51">
        <f>t_Parts[[#This Row],[hp2017]]/t_Parts[[#This Row],[ha2017]]</f>
        <v>0</v>
      </c>
      <c r="EO8" s="51">
        <f>t_Parts[[#This Row],[hp2018]]/t_Parts[[#This Row],[ha2018]]</f>
        <v>0</v>
      </c>
      <c r="EP8" s="51">
        <f>t_Parts[[#This Row],[hp2019]]/t_Parts[[#This Row],[hp2015.01]]</f>
        <v>0</v>
      </c>
      <c r="EQ8" s="62">
        <f>(t_Parts[[#This Row],[ha2015.01]]-t_Parts[[#This Row],[hp2015.01]])*t_Parts[[NetPPH]:[NetPPH]]</f>
        <v>312813.45588235295</v>
      </c>
      <c r="ER8" s="62">
        <f>(t_Parts[[#This Row],[ha2015.02]]-t_Parts[[#This Row],[hp2015.02]])*t_Parts[[NetPPH]:[NetPPH]]</f>
        <v>325537.19411764707</v>
      </c>
      <c r="ES8" s="62">
        <f>(t_Parts[[#This Row],[ha2015.03]]-t_Parts[[#This Row],[hp2015.03]])*t_Parts[[NetPPH]:[NetPPH]]</f>
        <v>427327.10000000003</v>
      </c>
      <c r="ET8" s="62">
        <f>(t_Parts[[#This Row],[ha2015.04]]-t_Parts[[#This Row],[hp2015.04]])*t_Parts[[NetPPH]:[NetPPH]]</f>
        <v>312813.45588235295</v>
      </c>
      <c r="EU8" s="62">
        <f>(t_Parts[[#This Row],[ha2015.05]]-t_Parts[[#This Row],[hp2015.05]])*t_Parts[[NetPPH]:[NetPPH]]</f>
        <v>325537.19411764707</v>
      </c>
      <c r="EV8" s="62">
        <f>(t_Parts[[#This Row],[ha2015.06]]-t_Parts[[#This Row],[hp2015.06]])*t_Parts[[NetPPH]:[NetPPH]]</f>
        <v>427327.10000000003</v>
      </c>
      <c r="EW8" s="62">
        <f>(t_Parts[[#This Row],[ha2015.07]]-t_Parts[[#This Row],[hp2015.07]])*t_Parts[[NetPPH]:[NetPPH]]</f>
        <v>312813.45588235295</v>
      </c>
      <c r="EX8" s="62">
        <f>(t_Parts[[#This Row],[ha2015.08]]-t_Parts[[#This Row],[hp2015.08]])*t_Parts[[NetPPH]:[NetPPH]]</f>
        <v>325537.19411764707</v>
      </c>
      <c r="EY8" s="62">
        <f>(t_Parts[[#This Row],[ha2015.09]]-t_Parts[[#This Row],[hp2015.09]])*t_Parts[[NetPPH]:[NetPPH]]</f>
        <v>427327.10000000003</v>
      </c>
      <c r="EZ8" s="62">
        <f>(t_Parts[[#This Row],[ha2015.10]]-t_Parts[[#This Row],[hp2015.10]])*t_Parts[[NetPPH]:[NetPPH]]</f>
        <v>312813.45588235295</v>
      </c>
      <c r="FA8" s="62">
        <f>(t_Parts[[#This Row],[ha2015.11]]-t_Parts[[#This Row],[hp2015.11]])*t_Parts[[NetPPH]:[NetPPH]]</f>
        <v>325537.19411764707</v>
      </c>
      <c r="FB8" s="62">
        <f>(t_Parts[[#This Row],[ha2015.12]]-t_Parts[[#This Row],[hp2015.12]])*t_Parts[[NetPPH]:[NetPPH]]</f>
        <v>427327.10000000003</v>
      </c>
      <c r="FC8" s="62">
        <f>(t_Parts[[#This Row],[ha2015.FY]]-t_Parts[[#This Row],[hp2015.FY]])*t_Parts[[NetPPH]:[NetPPH]]</f>
        <v>4262711</v>
      </c>
      <c r="FD8" s="62">
        <f>(t_Parts[[#This Row],[ha2016.01]]-t_Parts[[#This Row],[hp2016.01]])*t_Parts[[NetPPH]:[NetPPH]]</f>
        <v>330000</v>
      </c>
      <c r="FE8" s="62">
        <f>(t_Parts[[#This Row],[ha2016.02]]-t_Parts[[#This Row],[hp2016.02]])*t_Parts[[NetPPH]:[NetPPH]]</f>
        <v>316800</v>
      </c>
      <c r="FF8" s="62">
        <f>(t_Parts[[#This Row],[ha2016.03]]-t_Parts[[#This Row],[hp2016.03]])*t_Parts[[NetPPH]:[NetPPH]]</f>
        <v>448800</v>
      </c>
      <c r="FG8" s="62">
        <f>(t_Parts[[#This Row],[ha2016.04]]-t_Parts[[#This Row],[hp2016.04]])*t_Parts[[NetPPH]:[NetPPH]]</f>
        <v>330000</v>
      </c>
      <c r="FH8" s="62">
        <f>(t_Parts[[#This Row],[ha2016.05]]-t_Parts[[#This Row],[hp2016.05]])*t_Parts[[NetPPH]:[NetPPH]]</f>
        <v>343200</v>
      </c>
      <c r="FI8" s="62">
        <f>(t_Parts[[#This Row],[ha2016.06]]-t_Parts[[#This Row],[hp2016.06]])*t_Parts[[NetPPH]:[NetPPH]]</f>
        <v>448800</v>
      </c>
      <c r="FJ8" s="62">
        <f>(t_Parts[[#This Row],[ha2016.07]]-t_Parts[[#This Row],[hp2016.07]])*t_Parts[[NetPPH]:[NetPPH]]</f>
        <v>330000</v>
      </c>
      <c r="FK8" s="62">
        <f>(t_Parts[[#This Row],[ha2016.08]]-t_Parts[[#This Row],[hp2016.08]])*t_Parts[[NetPPH]:[NetPPH]]</f>
        <v>343200</v>
      </c>
      <c r="FL8" s="62">
        <f>(t_Parts[[#This Row],[ha2016.09]]-t_Parts[[#This Row],[hp2016.09]])*t_Parts[[NetPPH]:[NetPPH]]</f>
        <v>448800</v>
      </c>
      <c r="FM8" s="62">
        <f>(t_Parts[[#This Row],[ha2016.10]]-t_Parts[[#This Row],[hp2016.10]])*t_Parts[[NetPPH]:[NetPPH]]</f>
        <v>330000</v>
      </c>
      <c r="FN8" s="62">
        <f>(t_Parts[[#This Row],[ha2016.11]]-t_Parts[[#This Row],[hp2016.11]])*t_Parts[[NetPPH]:[NetPPH]]</f>
        <v>290400</v>
      </c>
      <c r="FO8" s="62">
        <f>(t_Parts[[#This Row],[ha2016.12]]-t_Parts[[#This Row],[hp2016.12]])*t_Parts[[NetPPH]:[NetPPH]]</f>
        <v>396000</v>
      </c>
      <c r="FP8" s="62">
        <f>(t_Parts[[#This Row],[ha2016.FY]]-t_Parts[[#This Row],[hp2016.FY]])*t_Parts[[NetPPH]:[NetPPH]]</f>
        <v>4356000</v>
      </c>
      <c r="FQ8" s="62">
        <f>(t_Parts[[#This Row],[ha2017]]-t_Parts[[#This Row],[hp2017]])*t_Parts[[NetPPH]:[NetPPH]]</f>
        <v>4356000</v>
      </c>
      <c r="FR8" s="62">
        <f>(t_Parts[[#This Row],[ha2018]]-t_Parts[[#This Row],[hp2018]])*t_Parts[[NetPPH]:[NetPPH]]</f>
        <v>4356000</v>
      </c>
      <c r="FS8" s="62">
        <f>(t_Parts[[#This Row],[ha2019]]-t_Parts[[#This Row],[hp2019]])*t_Parts[[NetPPH]:[NetPPH]]</f>
        <v>4356000</v>
      </c>
    </row>
    <row r="9" spans="1:175" s="14" customFormat="1" x14ac:dyDescent="0.25">
      <c r="A9" s="78" t="s">
        <v>169</v>
      </c>
      <c r="B9" s="78">
        <v>21013</v>
      </c>
      <c r="C9" s="79">
        <v>1</v>
      </c>
      <c r="D9" s="77">
        <v>2400</v>
      </c>
      <c r="E9" s="80">
        <v>1</v>
      </c>
      <c r="F9" s="81">
        <v>1</v>
      </c>
      <c r="G9" s="79" t="s">
        <v>16</v>
      </c>
      <c r="H9" s="79" t="s">
        <v>94</v>
      </c>
      <c r="I9" s="77">
        <v>225006</v>
      </c>
      <c r="J9" s="77"/>
      <c r="K9" s="77"/>
      <c r="L9" s="77"/>
      <c r="M9" s="77"/>
      <c r="N9" s="77"/>
      <c r="O9" s="77"/>
      <c r="P9" s="80"/>
      <c r="Q9" s="80"/>
      <c r="R9" s="77"/>
      <c r="S9" s="81"/>
      <c r="T9" s="78"/>
      <c r="U9" s="82"/>
      <c r="V9" s="79" t="s">
        <v>114</v>
      </c>
      <c r="W9" s="14" t="str">
        <f>VLOOKUP(t_Parts[[#This Row],[Press]],t_Presses[],Press!B$1,FALSE)</f>
        <v>Plainfield</v>
      </c>
      <c r="X9" s="14" t="str">
        <f>VLOOKUP(t_Parts[[#This Row],[Press]],t_Presses[],Press!E$1,FALSE)</f>
        <v>0-299</v>
      </c>
      <c r="Y9" s="51">
        <f>VLOOKUP(t_Parts[[#This Row],[Plant]],t_Plants[],Plants!C$1,FALSE)</f>
        <v>0.55000000000000004</v>
      </c>
      <c r="Z9" s="51">
        <f>VLOOKUP(t_Parts[[#This Row],[Press]],t_Presses[],Press!F$1,FALSE)</f>
        <v>0</v>
      </c>
      <c r="AA9" s="88"/>
      <c r="AB9" s="51">
        <f>IF(ISBLANK(t_Parts[[#This Row],[PartOEE]])=FALSE,t_Parts[[#This Row],[PartOEE]], IF(t_Parts[[#This Row],[PressOEE]]&gt;0, t_Parts[[#This Row],[PressOEE]], t_Parts[[#This Row],[PlantOEE]] ))</f>
        <v>0.55000000000000004</v>
      </c>
      <c r="AC9" s="74">
        <f>t_Parts[[#This Row],[SetupsPerMo]]*t_Parts[[#This Row],[SetupHrs]]</f>
        <v>1</v>
      </c>
      <c r="AD9" s="43">
        <f>(t_Parts[[#This Row],[UnitsPerCycle]]*t_Parts[[#This Row],[CyclesPerHr]])*t_Parts[[#This Row],[UseOEE]]</f>
        <v>1320</v>
      </c>
      <c r="AE9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16544.558823529413</v>
      </c>
      <c r="AF9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17206.341176470589</v>
      </c>
      <c r="AG9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22500.6</v>
      </c>
      <c r="AH9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16544.558823529413</v>
      </c>
      <c r="AI9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17206.341176470589</v>
      </c>
      <c r="AJ9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22500.6</v>
      </c>
      <c r="AK9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16544.558823529413</v>
      </c>
      <c r="AL9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17206.341176470589</v>
      </c>
      <c r="AM9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22500.6</v>
      </c>
      <c r="AN9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16544.558823529413</v>
      </c>
      <c r="AO9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17206.341176470589</v>
      </c>
      <c r="AP9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22500.6</v>
      </c>
      <c r="AQ9" s="43">
        <f>SUM(t_Parts[[#This Row],[pv2015.01]:[pv2015.12]])</f>
        <v>225006</v>
      </c>
      <c r="AR9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9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9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9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9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9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9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9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9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9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9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9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9" s="43">
        <f>SUM(t_Parts[[#This Row],[pv2016.01]:[pv2016.12]])</f>
        <v>0</v>
      </c>
      <c r="BE9" s="43">
        <f>t_Parts[[#This Row],[2017vol]]</f>
        <v>0</v>
      </c>
      <c r="BF9" s="43">
        <f>t_Parts[[#This Row],[2018vol]]</f>
        <v>0</v>
      </c>
      <c r="BG9" s="43">
        <f>t_Parts[[#This Row],[2019vol]]</f>
        <v>0</v>
      </c>
      <c r="BH9" s="14">
        <f>VLOOKUP(t_Parts[[Plant]:[Plant]],t_Plants[],Plants!CM$1,FALSE)</f>
        <v>250</v>
      </c>
      <c r="BI9" s="14">
        <f>VLOOKUP(t_Parts[[Plant]:[Plant]],t_Plants[],Plants!CN$1,FALSE)</f>
        <v>260</v>
      </c>
      <c r="BJ9" s="14">
        <f>VLOOKUP(t_Parts[[Plant]:[Plant]],t_Plants[],Plants!CO$1,FALSE)</f>
        <v>340</v>
      </c>
      <c r="BK9" s="14">
        <f>VLOOKUP(t_Parts[[Plant]:[Plant]],t_Plants[],Plants!CP$1,FALSE)</f>
        <v>250</v>
      </c>
      <c r="BL9" s="14">
        <f>VLOOKUP(t_Parts[[Plant]:[Plant]],t_Plants[],Plants!CQ$1,FALSE)</f>
        <v>260</v>
      </c>
      <c r="BM9" s="14">
        <f>VLOOKUP(t_Parts[[Plant]:[Plant]],t_Plants[],Plants!CR$1,FALSE)</f>
        <v>340</v>
      </c>
      <c r="BN9" s="14">
        <f>VLOOKUP(t_Parts[[Plant]:[Plant]],t_Plants[],Plants!CS$1,FALSE)</f>
        <v>250</v>
      </c>
      <c r="BO9" s="14">
        <f>VLOOKUP(t_Parts[[Plant]:[Plant]],t_Plants[],Plants!CT$1,FALSE)</f>
        <v>260</v>
      </c>
      <c r="BP9" s="14">
        <f>VLOOKUP(t_Parts[[Plant]:[Plant]],t_Plants[],Plants!CU$1,FALSE)</f>
        <v>340</v>
      </c>
      <c r="BQ9" s="14">
        <f>VLOOKUP(t_Parts[[Plant]:[Plant]],t_Plants[],Plants!CV$1,FALSE)</f>
        <v>250</v>
      </c>
      <c r="BR9" s="14">
        <f>VLOOKUP(t_Parts[[Plant]:[Plant]],t_Plants[],Plants!CW$1,FALSE)</f>
        <v>260</v>
      </c>
      <c r="BS9" s="14">
        <f>VLOOKUP(t_Parts[[Plant]:[Plant]],t_Plants[],Plants!CX$1,FALSE)</f>
        <v>340</v>
      </c>
      <c r="BT9" s="14">
        <f>SUM(t_Parts[[#This Row],[ha2015.01]:[ha2015.12]])</f>
        <v>3400</v>
      </c>
      <c r="BU9" s="14">
        <f>VLOOKUP(t_Parts[[Plant]:[Plant]],t_Plants[],Plants!CZ$1,FALSE)</f>
        <v>250</v>
      </c>
      <c r="BV9" s="14">
        <f>VLOOKUP(t_Parts[[Plant]:[Plant]],t_Plants[],Plants!DA$1,FALSE)</f>
        <v>240</v>
      </c>
      <c r="BW9" s="14">
        <f>VLOOKUP(t_Parts[[Plant]:[Plant]],t_Plants[],Plants!DB$1,FALSE)</f>
        <v>340</v>
      </c>
      <c r="BX9" s="14">
        <f>VLOOKUP(t_Parts[[Plant]:[Plant]],t_Plants[],Plants!DC$1,FALSE)</f>
        <v>250</v>
      </c>
      <c r="BY9" s="14">
        <f>VLOOKUP(t_Parts[[Plant]:[Plant]],t_Plants[],Plants!DD$1,FALSE)</f>
        <v>260</v>
      </c>
      <c r="BZ9" s="14">
        <f>VLOOKUP(t_Parts[[Plant]:[Plant]],t_Plants[],Plants!DE$1,FALSE)</f>
        <v>340</v>
      </c>
      <c r="CA9" s="14">
        <f>VLOOKUP(t_Parts[[Plant]:[Plant]],t_Plants[],Plants!DF$1,FALSE)</f>
        <v>250</v>
      </c>
      <c r="CB9" s="14">
        <f>VLOOKUP(t_Parts[[Plant]:[Plant]],t_Plants[],Plants!DG$1,FALSE)</f>
        <v>260</v>
      </c>
      <c r="CC9" s="14">
        <f>VLOOKUP(t_Parts[[Plant]:[Plant]],t_Plants[],Plants!DH$1,FALSE)</f>
        <v>340</v>
      </c>
      <c r="CD9" s="14">
        <f>VLOOKUP(t_Parts[[Plant]:[Plant]],t_Plants[],Plants!DI$1,FALSE)</f>
        <v>250</v>
      </c>
      <c r="CE9" s="14">
        <f>VLOOKUP(t_Parts[[Plant]:[Plant]],t_Plants[],Plants!DJ$1,FALSE)</f>
        <v>220</v>
      </c>
      <c r="CF9" s="14">
        <f>VLOOKUP(t_Parts[[Plant]:[Plant]],t_Plants[],Plants!DK$1,FALSE)</f>
        <v>300</v>
      </c>
      <c r="CG9" s="14">
        <f>VLOOKUP(t_Parts[[Plant]:[Plant]],t_Plants[],Plants!DL$1,FALSE)</f>
        <v>3300</v>
      </c>
      <c r="CH9" s="14">
        <f>VLOOKUP(t_Parts[[Plant]:[Plant]],t_Plants[],Plants!DM$1,FALSE)</f>
        <v>3300</v>
      </c>
      <c r="CI9" s="14">
        <f>VLOOKUP(t_Parts[[Plant]:[Plant]],t_Plants[],Plants!DN$1,FALSE)</f>
        <v>3300</v>
      </c>
      <c r="CJ9" s="14">
        <f>VLOOKUP(t_Parts[[Plant]:[Plant]],t_Plants[],Plants!DO$1,FALSE)</f>
        <v>3300</v>
      </c>
      <c r="CK9" s="43">
        <f>IF(AND(AE$3&gt;=VALUE(t_Parts[[SOP]:[SOP]]),AE$3&lt;=VALUE(t_Parts[[EOP]:[EOP]])), t_Parts[[SetupHrsPerMo]:[SetupHrsPerMo]]+(t_Parts[[#This Row],[pv2015.01]]/t_Parts[[NetPPH]:[NetPPH]]),0)</f>
        <v>13.53375668449198</v>
      </c>
      <c r="CL9" s="43">
        <f>IF(AND(AF$3&gt;=VALUE(t_Parts[[SOP]:[SOP]]),AF$3&lt;=VALUE(t_Parts[[EOP]:[EOP]])), t_Parts[[SetupHrsPerMo]:[SetupHrsPerMo]]+(t_Parts[[#This Row],[pv2015.02]]/t_Parts[[NetPPH]:[NetPPH]]),0)</f>
        <v>14.035106951871658</v>
      </c>
      <c r="CM9" s="43">
        <f>IF(AND(AG$3&gt;=VALUE(t_Parts[[SOP]:[SOP]]),AG$3&lt;=VALUE(t_Parts[[EOP]:[EOP]])), t_Parts[[SetupHrsPerMo]:[SetupHrsPerMo]]+(t_Parts[[#This Row],[pv2015.03]]/t_Parts[[NetPPH]:[NetPPH]]),0)</f>
        <v>18.045909090909088</v>
      </c>
      <c r="CN9" s="43">
        <f>IF(AND(AH$3&gt;=VALUE(t_Parts[[SOP]:[SOP]]),AH$3&lt;=VALUE(t_Parts[[EOP]:[EOP]])), t_Parts[[SetupHrsPerMo]:[SetupHrsPerMo]]+(t_Parts[[#This Row],[pv2015.04]]/t_Parts[[NetPPH]:[NetPPH]]),0)</f>
        <v>13.53375668449198</v>
      </c>
      <c r="CO9" s="43">
        <f>IF(AND(AI$3&gt;=VALUE(t_Parts[[SOP]:[SOP]]),AI$3&lt;=VALUE(t_Parts[[EOP]:[EOP]])), t_Parts[[SetupHrsPerMo]:[SetupHrsPerMo]]+(t_Parts[[#This Row],[pv2015.05]]/t_Parts[[NetPPH]:[NetPPH]]),0)</f>
        <v>14.035106951871658</v>
      </c>
      <c r="CP9" s="43">
        <f>IF(AND(AJ$3&gt;=VALUE(t_Parts[[SOP]:[SOP]]),AJ$3&lt;=VALUE(t_Parts[[EOP]:[EOP]])), t_Parts[[SetupHrsPerMo]:[SetupHrsPerMo]]+(t_Parts[[#This Row],[pv2015.06]]/t_Parts[[NetPPH]:[NetPPH]]),0)</f>
        <v>18.045909090909088</v>
      </c>
      <c r="CQ9" s="43">
        <f>IF(AND(AK$3&gt;=VALUE(t_Parts[[SOP]:[SOP]]),AK$3&lt;=VALUE(t_Parts[[EOP]:[EOP]])), t_Parts[[SetupHrsPerMo]:[SetupHrsPerMo]]+(t_Parts[[#This Row],[pv2015.07]]/t_Parts[[NetPPH]:[NetPPH]]),0)</f>
        <v>13.53375668449198</v>
      </c>
      <c r="CR9" s="43">
        <f>IF(AND(AL$3&gt;=VALUE(t_Parts[[SOP]:[SOP]]),AL$3&lt;=VALUE(t_Parts[[EOP]:[EOP]])), t_Parts[[SetupHrsPerMo]:[SetupHrsPerMo]]+(t_Parts[[#This Row],[pv2015.08]]/t_Parts[[NetPPH]:[NetPPH]]),0)</f>
        <v>14.035106951871658</v>
      </c>
      <c r="CS9" s="43">
        <f>IF(AND(AM$3&gt;=VALUE(t_Parts[[SOP]:[SOP]]),AM$3&lt;=VALUE(t_Parts[[EOP]:[EOP]])), t_Parts[[SetupHrsPerMo]:[SetupHrsPerMo]]+(t_Parts[[#This Row],[pv2015.09]]/t_Parts[[NetPPH]:[NetPPH]]),0)</f>
        <v>18.045909090909088</v>
      </c>
      <c r="CT9" s="43">
        <f>IF(AND(AN$3&gt;=VALUE(t_Parts[[SOP]:[SOP]]),AN$3&lt;=VALUE(t_Parts[[EOP]:[EOP]])), t_Parts[[SetupHrsPerMo]:[SetupHrsPerMo]]+(t_Parts[[#This Row],[pv2015.10]]/t_Parts[[NetPPH]:[NetPPH]]),0)</f>
        <v>13.53375668449198</v>
      </c>
      <c r="CU9" s="43">
        <f>IF(AND(AO$3&gt;=VALUE(t_Parts[[SOP]:[SOP]]),AO$3&lt;=VALUE(t_Parts[[EOP]:[EOP]])), t_Parts[[SetupHrsPerMo]:[SetupHrsPerMo]]+(t_Parts[[#This Row],[pv2015.11]]/t_Parts[[NetPPH]:[NetPPH]]),0)</f>
        <v>14.035106951871658</v>
      </c>
      <c r="CV9" s="43">
        <f>IF(AND(AP$3&gt;=VALUE(t_Parts[[SOP]:[SOP]]),AP$3&lt;=VALUE(t_Parts[[EOP]:[EOP]])), t_Parts[[SetupHrsPerMo]:[SetupHrsPerMo]]+(t_Parts[[#This Row],[pv2015.12]]/t_Parts[[NetPPH]:[NetPPH]]),0)</f>
        <v>18.045909090909088</v>
      </c>
      <c r="CW9" s="43">
        <f>SUM(t_Parts[[#This Row],[hp2015.01]:[hp2015.12]])</f>
        <v>182.45909090909086</v>
      </c>
      <c r="CX9" s="43">
        <f>IF(AND(AR$3&gt;=VALUE(t_Parts[[SOP]:[SOP]]),AR$3&lt;=VALUE(t_Parts[[EOP]:[EOP]])), t_Parts[[SetupHrsPerMo]:[SetupHrsPerMo]]+(t_Parts[[#This Row],[pv2016.01]]/t_Parts[[NetPPH]:[NetPPH]]),0)</f>
        <v>0</v>
      </c>
      <c r="CY9" s="43">
        <f>IF(AND(AS$3&gt;=VALUE(t_Parts[[SOP]:[SOP]]),AS$3&lt;=VALUE(t_Parts[[EOP]:[EOP]])), t_Parts[[SetupHrsPerMo]:[SetupHrsPerMo]]+(t_Parts[[#This Row],[pv2016.02]]/t_Parts[[NetPPH]:[NetPPH]]),0)</f>
        <v>0</v>
      </c>
      <c r="CZ9" s="43">
        <f>IF(AND(AT$3&gt;=VALUE(t_Parts[[SOP]:[SOP]]),AT$3&lt;=VALUE(t_Parts[[EOP]:[EOP]])), t_Parts[[SetupHrsPerMo]:[SetupHrsPerMo]]+(t_Parts[[#This Row],[pv2016.03]]/t_Parts[[NetPPH]:[NetPPH]]),0)</f>
        <v>0</v>
      </c>
      <c r="DA9" s="43">
        <f>IF(AND(AU$3&gt;=VALUE(t_Parts[[SOP]:[SOP]]),AU$3&lt;=VALUE(t_Parts[[EOP]:[EOP]])), t_Parts[[SetupHrsPerMo]:[SetupHrsPerMo]]+(t_Parts[[#This Row],[pv2016.04]]/t_Parts[[NetPPH]:[NetPPH]]),0)</f>
        <v>0</v>
      </c>
      <c r="DB9" s="43">
        <f>IF(AND(AV$3&gt;=VALUE(t_Parts[[SOP]:[SOP]]),AV$3&lt;=VALUE(t_Parts[[EOP]:[EOP]])), t_Parts[[SetupHrsPerMo]:[SetupHrsPerMo]]+(t_Parts[[#This Row],[pv2016.05]]/t_Parts[[NetPPH]:[NetPPH]]),0)</f>
        <v>0</v>
      </c>
      <c r="DC9" s="43">
        <f>IF(AND(AW$3&gt;=VALUE(t_Parts[[SOP]:[SOP]]),AW$3&lt;=VALUE(t_Parts[[EOP]:[EOP]])), t_Parts[[SetupHrsPerMo]:[SetupHrsPerMo]]+(t_Parts[[#This Row],[pv2016.06]]/t_Parts[[NetPPH]:[NetPPH]]),0)</f>
        <v>0</v>
      </c>
      <c r="DD9" s="43">
        <f>IF(AND(AX$3&gt;=VALUE(t_Parts[[SOP]:[SOP]]),AX$3&lt;=VALUE(t_Parts[[EOP]:[EOP]])), t_Parts[[SetupHrsPerMo]:[SetupHrsPerMo]]+(t_Parts[[#This Row],[pv2016.07]]/t_Parts[[NetPPH]:[NetPPH]]),0)</f>
        <v>0</v>
      </c>
      <c r="DE9" s="43">
        <f>IF(AND(AY$3&gt;=VALUE(t_Parts[[SOP]:[SOP]]),AY$3&lt;=VALUE(t_Parts[[EOP]:[EOP]])), t_Parts[[SetupHrsPerMo]:[SetupHrsPerMo]]+(t_Parts[[#This Row],[pv2016.08]]/t_Parts[[NetPPH]:[NetPPH]]),0)</f>
        <v>0</v>
      </c>
      <c r="DF9" s="43">
        <f>IF(AND(AZ$3&gt;=VALUE(t_Parts[[SOP]:[SOP]]),AZ$3&lt;=VALUE(t_Parts[[EOP]:[EOP]])), t_Parts[[SetupHrsPerMo]:[SetupHrsPerMo]]+(t_Parts[[#This Row],[pv2016.09]]/t_Parts[[NetPPH]:[NetPPH]]),0)</f>
        <v>0</v>
      </c>
      <c r="DG9" s="43">
        <f>IF(AND(BA$3&gt;=VALUE(t_Parts[[SOP]:[SOP]]),BA$3&lt;=VALUE(t_Parts[[EOP]:[EOP]])), t_Parts[[SetupHrsPerMo]:[SetupHrsPerMo]]+(t_Parts[[#This Row],[pv2016.10]]/t_Parts[[NetPPH]:[NetPPH]]),0)</f>
        <v>0</v>
      </c>
      <c r="DH9" s="43">
        <f>IF(AND(BB$3&gt;=VALUE(t_Parts[[SOP]:[SOP]]),BB$3&lt;=VALUE(t_Parts[[EOP]:[EOP]])), t_Parts[[SetupHrsPerMo]:[SetupHrsPerMo]]+(t_Parts[[#This Row],[pv2016.11]]/t_Parts[[NetPPH]:[NetPPH]]),0)</f>
        <v>0</v>
      </c>
      <c r="DI9" s="43">
        <f>IF(AND(BC$3&gt;=VALUE(t_Parts[[SOP]:[SOP]]),BC$3&lt;=VALUE(t_Parts[[EOP]:[EOP]])), t_Parts[[SetupHrsPerMo]:[SetupHrsPerMo]]+(t_Parts[[#This Row],[pv2016.12]]/t_Parts[[NetPPH]:[NetPPH]]),0)</f>
        <v>0</v>
      </c>
      <c r="DJ9" s="43">
        <f>SUM(t_Parts[[#This Row],[hp2016.01]:[hp2016.12]])</f>
        <v>0</v>
      </c>
      <c r="DK9" s="43">
        <f>IF(AND(BE$3&gt;=VALUE(t_Parts[[SOP]:[SOP]]),BE$3&lt;=VALUE(t_Parts[[EOP]:[EOP]])), 12*t_Parts[[SetupHrsPerMo]:[SetupHrsPerMo]]+(t_Parts[[#This Row],[pv2017]]/t_Parts[[NetPPH]:[NetPPH]]),0)</f>
        <v>0</v>
      </c>
      <c r="DL9" s="43">
        <f>IF(AND(BF$3&gt;=VALUE(t_Parts[[SOP]:[SOP]]),BF$3&lt;=VALUE(t_Parts[[EOP]:[EOP]])), 12*t_Parts[[SetupHrsPerMo]:[SetupHrsPerMo]]+(t_Parts[[#This Row],[pv2018]]/t_Parts[[NetPPH]:[NetPPH]]),0)</f>
        <v>0</v>
      </c>
      <c r="DM9" s="43">
        <f>IF(AND(BG$3&gt;=VALUE(t_Parts[[SOP]:[SOP]]),BG$3&lt;=VALUE(t_Parts[[EOP]:[EOP]])), 12*t_Parts[[SetupHrsPerMo]:[SetupHrsPerMo]]+(t_Parts[[#This Row],[pv2019]]/t_Parts[[NetPPH]:[NetPPH]]),0)</f>
        <v>0</v>
      </c>
      <c r="DN9" s="51">
        <f>t_Parts[[#This Row],[hp2015.01]]/t_Parts[[#This Row],[ha2015.01]]</f>
        <v>5.4135026737967919E-2</v>
      </c>
      <c r="DO9" s="51">
        <f>t_Parts[[#This Row],[hp2015.02]]/t_Parts[[#This Row],[ha2015.02]]</f>
        <v>5.3981180584121762E-2</v>
      </c>
      <c r="DP9" s="51">
        <f>t_Parts[[#This Row],[hp2015.03]]/t_Parts[[#This Row],[ha2015.03]]</f>
        <v>5.307620320855614E-2</v>
      </c>
      <c r="DQ9" s="51">
        <f>t_Parts[[#This Row],[hp2015.04]]/t_Parts[[#This Row],[ha2015.04]]</f>
        <v>5.4135026737967919E-2</v>
      </c>
      <c r="DR9" s="51">
        <f>t_Parts[[#This Row],[hp2015.05]]/t_Parts[[#This Row],[ha2015.05]]</f>
        <v>5.3981180584121762E-2</v>
      </c>
      <c r="DS9" s="51">
        <f>t_Parts[[#This Row],[hp2015.06]]/t_Parts[[#This Row],[ha2015.06]]</f>
        <v>5.307620320855614E-2</v>
      </c>
      <c r="DT9" s="51">
        <f>t_Parts[[#This Row],[hp2015.07]]/t_Parts[[#This Row],[ha2015.07]]</f>
        <v>5.4135026737967919E-2</v>
      </c>
      <c r="DU9" s="51">
        <f>t_Parts[[#This Row],[hp2015.08]]/t_Parts[[#This Row],[ha2015.08]]</f>
        <v>5.3981180584121762E-2</v>
      </c>
      <c r="DV9" s="51">
        <f>t_Parts[[#This Row],[hp2015.09]]/t_Parts[[#This Row],[ha2015.09]]</f>
        <v>5.307620320855614E-2</v>
      </c>
      <c r="DW9" s="51">
        <f>t_Parts[[#This Row],[hp2015.10]]/t_Parts[[#This Row],[ha2015.10]]</f>
        <v>5.4135026737967919E-2</v>
      </c>
      <c r="DX9" s="51">
        <f>t_Parts[[#This Row],[hp2015.11]]/t_Parts[[#This Row],[ha2015.11]]</f>
        <v>5.3981180584121762E-2</v>
      </c>
      <c r="DY9" s="51">
        <f>t_Parts[[#This Row],[hp2015.12]]/t_Parts[[#This Row],[ha2015.12]]</f>
        <v>5.307620320855614E-2</v>
      </c>
      <c r="DZ9" s="51">
        <f>t_Parts[[#This Row],[hp2015.FY]]/t_Parts[[#This Row],[ha2015.FY]]</f>
        <v>5.3664438502673779E-2</v>
      </c>
      <c r="EA9" s="51">
        <f>t_Parts[[#This Row],[hp2016.01]]/t_Parts[[#This Row],[ha2016.01]]</f>
        <v>0</v>
      </c>
      <c r="EB9" s="51">
        <f>t_Parts[[#This Row],[hp2016.02]]/t_Parts[[#This Row],[ha2016.02]]</f>
        <v>0</v>
      </c>
      <c r="EC9" s="51">
        <f>t_Parts[[#This Row],[hp2016.03]]/t_Parts[[#This Row],[ha2016.03]]</f>
        <v>0</v>
      </c>
      <c r="ED9" s="51">
        <f>t_Parts[[#This Row],[hp2016.04]]/t_Parts[[#This Row],[ha2016.04]]</f>
        <v>0</v>
      </c>
      <c r="EE9" s="51">
        <f>t_Parts[[#This Row],[hp2016.05]]/t_Parts[[#This Row],[ha2016.05]]</f>
        <v>0</v>
      </c>
      <c r="EF9" s="51">
        <f>t_Parts[[#This Row],[hp2016.06]]/t_Parts[[#This Row],[ha2016.06]]</f>
        <v>0</v>
      </c>
      <c r="EG9" s="51">
        <f>t_Parts[[#This Row],[hp2016.07]]/t_Parts[[#This Row],[ha2016.07]]</f>
        <v>0</v>
      </c>
      <c r="EH9" s="51">
        <f>t_Parts[[#This Row],[hp2016.08]]/t_Parts[[#This Row],[ha2016.08]]</f>
        <v>0</v>
      </c>
      <c r="EI9" s="51">
        <f>t_Parts[[#This Row],[hp2016.09]]/t_Parts[[#This Row],[ha2016.09]]</f>
        <v>0</v>
      </c>
      <c r="EJ9" s="51">
        <f>t_Parts[[#This Row],[hp2016.10]]/t_Parts[[#This Row],[ha2016.10]]</f>
        <v>0</v>
      </c>
      <c r="EK9" s="51">
        <f>t_Parts[[#This Row],[hp2016.11]]/t_Parts[[#This Row],[ha2016.11]]</f>
        <v>0</v>
      </c>
      <c r="EL9" s="51">
        <f>t_Parts[[#This Row],[hp2016.12]]/t_Parts[[#This Row],[ha2016.12]]</f>
        <v>0</v>
      </c>
      <c r="EM9" s="51">
        <f>t_Parts[[#This Row],[hp2016.FY]]/t_Parts[[#This Row],[ha2016.FY]]</f>
        <v>0</v>
      </c>
      <c r="EN9" s="51">
        <f>t_Parts[[#This Row],[hp2017]]/t_Parts[[#This Row],[ha2017]]</f>
        <v>0</v>
      </c>
      <c r="EO9" s="51">
        <f>t_Parts[[#This Row],[hp2018]]/t_Parts[[#This Row],[ha2018]]</f>
        <v>0</v>
      </c>
      <c r="EP9" s="51">
        <f>t_Parts[[#This Row],[hp2019]]/t_Parts[[#This Row],[hp2015.01]]</f>
        <v>0</v>
      </c>
      <c r="EQ9" s="62">
        <f>(t_Parts[[#This Row],[ha2015.01]]-t_Parts[[#This Row],[hp2015.01]])*t_Parts[[NetPPH]:[NetPPH]]</f>
        <v>312135.4411764706</v>
      </c>
      <c r="ER9" s="62">
        <f>(t_Parts[[#This Row],[ha2015.02]]-t_Parts[[#This Row],[hp2015.02]])*t_Parts[[NetPPH]:[NetPPH]]</f>
        <v>324673.65882352943</v>
      </c>
      <c r="ES9" s="62">
        <f>(t_Parts[[#This Row],[ha2015.03]]-t_Parts[[#This Row],[hp2015.03]])*t_Parts[[NetPPH]:[NetPPH]]</f>
        <v>424979.39999999997</v>
      </c>
      <c r="ET9" s="62">
        <f>(t_Parts[[#This Row],[ha2015.04]]-t_Parts[[#This Row],[hp2015.04]])*t_Parts[[NetPPH]:[NetPPH]]</f>
        <v>312135.4411764706</v>
      </c>
      <c r="EU9" s="62">
        <f>(t_Parts[[#This Row],[ha2015.05]]-t_Parts[[#This Row],[hp2015.05]])*t_Parts[[NetPPH]:[NetPPH]]</f>
        <v>324673.65882352943</v>
      </c>
      <c r="EV9" s="62">
        <f>(t_Parts[[#This Row],[ha2015.06]]-t_Parts[[#This Row],[hp2015.06]])*t_Parts[[NetPPH]:[NetPPH]]</f>
        <v>424979.39999999997</v>
      </c>
      <c r="EW9" s="62">
        <f>(t_Parts[[#This Row],[ha2015.07]]-t_Parts[[#This Row],[hp2015.07]])*t_Parts[[NetPPH]:[NetPPH]]</f>
        <v>312135.4411764706</v>
      </c>
      <c r="EX9" s="62">
        <f>(t_Parts[[#This Row],[ha2015.08]]-t_Parts[[#This Row],[hp2015.08]])*t_Parts[[NetPPH]:[NetPPH]]</f>
        <v>324673.65882352943</v>
      </c>
      <c r="EY9" s="62">
        <f>(t_Parts[[#This Row],[ha2015.09]]-t_Parts[[#This Row],[hp2015.09]])*t_Parts[[NetPPH]:[NetPPH]]</f>
        <v>424979.39999999997</v>
      </c>
      <c r="EZ9" s="62">
        <f>(t_Parts[[#This Row],[ha2015.10]]-t_Parts[[#This Row],[hp2015.10]])*t_Parts[[NetPPH]:[NetPPH]]</f>
        <v>312135.4411764706</v>
      </c>
      <c r="FA9" s="62">
        <f>(t_Parts[[#This Row],[ha2015.11]]-t_Parts[[#This Row],[hp2015.11]])*t_Parts[[NetPPH]:[NetPPH]]</f>
        <v>324673.65882352943</v>
      </c>
      <c r="FB9" s="62">
        <f>(t_Parts[[#This Row],[ha2015.12]]-t_Parts[[#This Row],[hp2015.12]])*t_Parts[[NetPPH]:[NetPPH]]</f>
        <v>424979.39999999997</v>
      </c>
      <c r="FC9" s="62">
        <f>(t_Parts[[#This Row],[ha2015.FY]]-t_Parts[[#This Row],[hp2015.FY]])*t_Parts[[NetPPH]:[NetPPH]]</f>
        <v>4247154</v>
      </c>
      <c r="FD9" s="62">
        <f>(t_Parts[[#This Row],[ha2016.01]]-t_Parts[[#This Row],[hp2016.01]])*t_Parts[[NetPPH]:[NetPPH]]</f>
        <v>330000</v>
      </c>
      <c r="FE9" s="62">
        <f>(t_Parts[[#This Row],[ha2016.02]]-t_Parts[[#This Row],[hp2016.02]])*t_Parts[[NetPPH]:[NetPPH]]</f>
        <v>316800</v>
      </c>
      <c r="FF9" s="62">
        <f>(t_Parts[[#This Row],[ha2016.03]]-t_Parts[[#This Row],[hp2016.03]])*t_Parts[[NetPPH]:[NetPPH]]</f>
        <v>448800</v>
      </c>
      <c r="FG9" s="62">
        <f>(t_Parts[[#This Row],[ha2016.04]]-t_Parts[[#This Row],[hp2016.04]])*t_Parts[[NetPPH]:[NetPPH]]</f>
        <v>330000</v>
      </c>
      <c r="FH9" s="62">
        <f>(t_Parts[[#This Row],[ha2016.05]]-t_Parts[[#This Row],[hp2016.05]])*t_Parts[[NetPPH]:[NetPPH]]</f>
        <v>343200</v>
      </c>
      <c r="FI9" s="62">
        <f>(t_Parts[[#This Row],[ha2016.06]]-t_Parts[[#This Row],[hp2016.06]])*t_Parts[[NetPPH]:[NetPPH]]</f>
        <v>448800</v>
      </c>
      <c r="FJ9" s="62">
        <f>(t_Parts[[#This Row],[ha2016.07]]-t_Parts[[#This Row],[hp2016.07]])*t_Parts[[NetPPH]:[NetPPH]]</f>
        <v>330000</v>
      </c>
      <c r="FK9" s="62">
        <f>(t_Parts[[#This Row],[ha2016.08]]-t_Parts[[#This Row],[hp2016.08]])*t_Parts[[NetPPH]:[NetPPH]]</f>
        <v>343200</v>
      </c>
      <c r="FL9" s="62">
        <f>(t_Parts[[#This Row],[ha2016.09]]-t_Parts[[#This Row],[hp2016.09]])*t_Parts[[NetPPH]:[NetPPH]]</f>
        <v>448800</v>
      </c>
      <c r="FM9" s="62">
        <f>(t_Parts[[#This Row],[ha2016.10]]-t_Parts[[#This Row],[hp2016.10]])*t_Parts[[NetPPH]:[NetPPH]]</f>
        <v>330000</v>
      </c>
      <c r="FN9" s="62">
        <f>(t_Parts[[#This Row],[ha2016.11]]-t_Parts[[#This Row],[hp2016.11]])*t_Parts[[NetPPH]:[NetPPH]]</f>
        <v>290400</v>
      </c>
      <c r="FO9" s="62">
        <f>(t_Parts[[#This Row],[ha2016.12]]-t_Parts[[#This Row],[hp2016.12]])*t_Parts[[NetPPH]:[NetPPH]]</f>
        <v>396000</v>
      </c>
      <c r="FP9" s="62">
        <f>(t_Parts[[#This Row],[ha2016.FY]]-t_Parts[[#This Row],[hp2016.FY]])*t_Parts[[NetPPH]:[NetPPH]]</f>
        <v>4356000</v>
      </c>
      <c r="FQ9" s="62">
        <f>(t_Parts[[#This Row],[ha2017]]-t_Parts[[#This Row],[hp2017]])*t_Parts[[NetPPH]:[NetPPH]]</f>
        <v>4356000</v>
      </c>
      <c r="FR9" s="62">
        <f>(t_Parts[[#This Row],[ha2018]]-t_Parts[[#This Row],[hp2018]])*t_Parts[[NetPPH]:[NetPPH]]</f>
        <v>4356000</v>
      </c>
      <c r="FS9" s="62">
        <f>(t_Parts[[#This Row],[ha2019]]-t_Parts[[#This Row],[hp2019]])*t_Parts[[NetPPH]:[NetPPH]]</f>
        <v>4356000</v>
      </c>
    </row>
    <row r="10" spans="1:175" s="14" customFormat="1" x14ac:dyDescent="0.25">
      <c r="A10" s="78" t="s">
        <v>172</v>
      </c>
      <c r="B10" s="78">
        <v>21013</v>
      </c>
      <c r="C10" s="79">
        <v>1</v>
      </c>
      <c r="D10" s="77">
        <v>2700</v>
      </c>
      <c r="E10" s="80">
        <v>1</v>
      </c>
      <c r="F10" s="81">
        <v>4</v>
      </c>
      <c r="G10" s="79" t="s">
        <v>16</v>
      </c>
      <c r="H10" s="79" t="s">
        <v>94</v>
      </c>
      <c r="I10" s="77">
        <v>107997</v>
      </c>
      <c r="J10" s="77"/>
      <c r="K10" s="77"/>
      <c r="L10" s="77"/>
      <c r="M10" s="77"/>
      <c r="N10" s="77"/>
      <c r="O10" s="77"/>
      <c r="P10" s="80"/>
      <c r="Q10" s="80"/>
      <c r="R10" s="77"/>
      <c r="S10" s="81"/>
      <c r="T10" s="78"/>
      <c r="U10" s="82"/>
      <c r="V10" s="79" t="s">
        <v>114</v>
      </c>
      <c r="W10" s="14" t="str">
        <f>VLOOKUP(t_Parts[[#This Row],[Press]],t_Presses[],Press!B$1,FALSE)</f>
        <v>Plainfield</v>
      </c>
      <c r="X10" s="14" t="str">
        <f>VLOOKUP(t_Parts[[#This Row],[Press]],t_Presses[],Press!E$1,FALSE)</f>
        <v>0-299</v>
      </c>
      <c r="Y10" s="51">
        <f>VLOOKUP(t_Parts[[#This Row],[Plant]],t_Plants[],Plants!C$1,FALSE)</f>
        <v>0.55000000000000004</v>
      </c>
      <c r="Z10" s="51">
        <f>VLOOKUP(t_Parts[[#This Row],[Press]],t_Presses[],Press!F$1,FALSE)</f>
        <v>0</v>
      </c>
      <c r="AA10" s="88"/>
      <c r="AB10" s="51">
        <f>IF(ISBLANK(t_Parts[[#This Row],[PartOEE]])=FALSE,t_Parts[[#This Row],[PartOEE]], IF(t_Parts[[#This Row],[PressOEE]]&gt;0, t_Parts[[#This Row],[PressOEE]], t_Parts[[#This Row],[PlantOEE]] ))</f>
        <v>0.55000000000000004</v>
      </c>
      <c r="AC10" s="74">
        <f>t_Parts[[#This Row],[SetupsPerMo]]*t_Parts[[#This Row],[SetupHrs]]</f>
        <v>4</v>
      </c>
      <c r="AD10" s="43">
        <f>(t_Parts[[#This Row],[UnitsPerCycle]]*t_Parts[[#This Row],[CyclesPerHr]])*t_Parts[[#This Row],[UseOEE]]</f>
        <v>1485.0000000000002</v>
      </c>
      <c r="AE10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7940.9558823529405</v>
      </c>
      <c r="AF10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8258.5941176470587</v>
      </c>
      <c r="AG10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10799.699999999999</v>
      </c>
      <c r="AH10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7940.9558823529405</v>
      </c>
      <c r="AI10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8258.5941176470587</v>
      </c>
      <c r="AJ10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10799.699999999999</v>
      </c>
      <c r="AK10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7940.9558823529405</v>
      </c>
      <c r="AL10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8258.5941176470587</v>
      </c>
      <c r="AM10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10799.699999999999</v>
      </c>
      <c r="AN10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7940.9558823529405</v>
      </c>
      <c r="AO10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8258.5941176470587</v>
      </c>
      <c r="AP10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10799.699999999999</v>
      </c>
      <c r="AQ10" s="43">
        <f>SUM(t_Parts[[#This Row],[pv2015.01]:[pv2015.12]])</f>
        <v>107996.99999999999</v>
      </c>
      <c r="AR10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0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0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0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0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0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0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0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0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0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0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0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0" s="43">
        <f>SUM(t_Parts[[#This Row],[pv2016.01]:[pv2016.12]])</f>
        <v>0</v>
      </c>
      <c r="BE10" s="43">
        <f>t_Parts[[#This Row],[2017vol]]</f>
        <v>0</v>
      </c>
      <c r="BF10" s="43">
        <f>t_Parts[[#This Row],[2018vol]]</f>
        <v>0</v>
      </c>
      <c r="BG10" s="43">
        <f>t_Parts[[#This Row],[2019vol]]</f>
        <v>0</v>
      </c>
      <c r="BH10" s="14">
        <f>VLOOKUP(t_Parts[[Plant]:[Plant]],t_Plants[],Plants!CM$1,FALSE)</f>
        <v>250</v>
      </c>
      <c r="BI10" s="14">
        <f>VLOOKUP(t_Parts[[Plant]:[Plant]],t_Plants[],Plants!CN$1,FALSE)</f>
        <v>260</v>
      </c>
      <c r="BJ10" s="14">
        <f>VLOOKUP(t_Parts[[Plant]:[Plant]],t_Plants[],Plants!CO$1,FALSE)</f>
        <v>340</v>
      </c>
      <c r="BK10" s="14">
        <f>VLOOKUP(t_Parts[[Plant]:[Plant]],t_Plants[],Plants!CP$1,FALSE)</f>
        <v>250</v>
      </c>
      <c r="BL10" s="14">
        <f>VLOOKUP(t_Parts[[Plant]:[Plant]],t_Plants[],Plants!CQ$1,FALSE)</f>
        <v>260</v>
      </c>
      <c r="BM10" s="14">
        <f>VLOOKUP(t_Parts[[Plant]:[Plant]],t_Plants[],Plants!CR$1,FALSE)</f>
        <v>340</v>
      </c>
      <c r="BN10" s="14">
        <f>VLOOKUP(t_Parts[[Plant]:[Plant]],t_Plants[],Plants!CS$1,FALSE)</f>
        <v>250</v>
      </c>
      <c r="BO10" s="14">
        <f>VLOOKUP(t_Parts[[Plant]:[Plant]],t_Plants[],Plants!CT$1,FALSE)</f>
        <v>260</v>
      </c>
      <c r="BP10" s="14">
        <f>VLOOKUP(t_Parts[[Plant]:[Plant]],t_Plants[],Plants!CU$1,FALSE)</f>
        <v>340</v>
      </c>
      <c r="BQ10" s="14">
        <f>VLOOKUP(t_Parts[[Plant]:[Plant]],t_Plants[],Plants!CV$1,FALSE)</f>
        <v>250</v>
      </c>
      <c r="BR10" s="14">
        <f>VLOOKUP(t_Parts[[Plant]:[Plant]],t_Plants[],Plants!CW$1,FALSE)</f>
        <v>260</v>
      </c>
      <c r="BS10" s="14">
        <f>VLOOKUP(t_Parts[[Plant]:[Plant]],t_Plants[],Plants!CX$1,FALSE)</f>
        <v>340</v>
      </c>
      <c r="BT10" s="14">
        <f>SUM(t_Parts[[#This Row],[ha2015.01]:[ha2015.12]])</f>
        <v>3400</v>
      </c>
      <c r="BU10" s="14">
        <f>VLOOKUP(t_Parts[[Plant]:[Plant]],t_Plants[],Plants!CZ$1,FALSE)</f>
        <v>250</v>
      </c>
      <c r="BV10" s="14">
        <f>VLOOKUP(t_Parts[[Plant]:[Plant]],t_Plants[],Plants!DA$1,FALSE)</f>
        <v>240</v>
      </c>
      <c r="BW10" s="14">
        <f>VLOOKUP(t_Parts[[Plant]:[Plant]],t_Plants[],Plants!DB$1,FALSE)</f>
        <v>340</v>
      </c>
      <c r="BX10" s="14">
        <f>VLOOKUP(t_Parts[[Plant]:[Plant]],t_Plants[],Plants!DC$1,FALSE)</f>
        <v>250</v>
      </c>
      <c r="BY10" s="14">
        <f>VLOOKUP(t_Parts[[Plant]:[Plant]],t_Plants[],Plants!DD$1,FALSE)</f>
        <v>260</v>
      </c>
      <c r="BZ10" s="14">
        <f>VLOOKUP(t_Parts[[Plant]:[Plant]],t_Plants[],Plants!DE$1,FALSE)</f>
        <v>340</v>
      </c>
      <c r="CA10" s="14">
        <f>VLOOKUP(t_Parts[[Plant]:[Plant]],t_Plants[],Plants!DF$1,FALSE)</f>
        <v>250</v>
      </c>
      <c r="CB10" s="14">
        <f>VLOOKUP(t_Parts[[Plant]:[Plant]],t_Plants[],Plants!DG$1,FALSE)</f>
        <v>260</v>
      </c>
      <c r="CC10" s="14">
        <f>VLOOKUP(t_Parts[[Plant]:[Plant]],t_Plants[],Plants!DH$1,FALSE)</f>
        <v>340</v>
      </c>
      <c r="CD10" s="14">
        <f>VLOOKUP(t_Parts[[Plant]:[Plant]],t_Plants[],Plants!DI$1,FALSE)</f>
        <v>250</v>
      </c>
      <c r="CE10" s="14">
        <f>VLOOKUP(t_Parts[[Plant]:[Plant]],t_Plants[],Plants!DJ$1,FALSE)</f>
        <v>220</v>
      </c>
      <c r="CF10" s="14">
        <f>VLOOKUP(t_Parts[[Plant]:[Plant]],t_Plants[],Plants!DK$1,FALSE)</f>
        <v>300</v>
      </c>
      <c r="CG10" s="14">
        <f>VLOOKUP(t_Parts[[Plant]:[Plant]],t_Plants[],Plants!DL$1,FALSE)</f>
        <v>3300</v>
      </c>
      <c r="CH10" s="14">
        <f>VLOOKUP(t_Parts[[Plant]:[Plant]],t_Plants[],Plants!DM$1,FALSE)</f>
        <v>3300</v>
      </c>
      <c r="CI10" s="14">
        <f>VLOOKUP(t_Parts[[Plant]:[Plant]],t_Plants[],Plants!DN$1,FALSE)</f>
        <v>3300</v>
      </c>
      <c r="CJ10" s="14">
        <f>VLOOKUP(t_Parts[[Plant]:[Plant]],t_Plants[],Plants!DO$1,FALSE)</f>
        <v>3300</v>
      </c>
      <c r="CK10" s="43">
        <f>IF(AND(AE$3&gt;=VALUE(t_Parts[[SOP]:[SOP]]),AE$3&lt;=VALUE(t_Parts[[EOP]:[EOP]])), t_Parts[[SetupHrsPerMo]:[SetupHrsPerMo]]+(t_Parts[[#This Row],[pv2015.01]]/t_Parts[[NetPPH]:[NetPPH]]),0)</f>
        <v>9.3474450386215082</v>
      </c>
      <c r="CL10" s="43">
        <f>IF(AND(AF$3&gt;=VALUE(t_Parts[[SOP]:[SOP]]),AF$3&lt;=VALUE(t_Parts[[EOP]:[EOP]])), t_Parts[[SetupHrsPerMo]:[SetupHrsPerMo]]+(t_Parts[[#This Row],[pv2015.02]]/t_Parts[[NetPPH]:[NetPPH]]),0)</f>
        <v>9.5613428401663683</v>
      </c>
      <c r="CM10" s="43">
        <f>IF(AND(AG$3&gt;=VALUE(t_Parts[[SOP]:[SOP]]),AG$3&lt;=VALUE(t_Parts[[EOP]:[EOP]])), t_Parts[[SetupHrsPerMo]:[SetupHrsPerMo]]+(t_Parts[[#This Row],[pv2015.03]]/t_Parts[[NetPPH]:[NetPPH]]),0)</f>
        <v>11.27252525252525</v>
      </c>
      <c r="CN10" s="43">
        <f>IF(AND(AH$3&gt;=VALUE(t_Parts[[SOP]:[SOP]]),AH$3&lt;=VALUE(t_Parts[[EOP]:[EOP]])), t_Parts[[SetupHrsPerMo]:[SetupHrsPerMo]]+(t_Parts[[#This Row],[pv2015.04]]/t_Parts[[NetPPH]:[NetPPH]]),0)</f>
        <v>9.3474450386215082</v>
      </c>
      <c r="CO10" s="43">
        <f>IF(AND(AI$3&gt;=VALUE(t_Parts[[SOP]:[SOP]]),AI$3&lt;=VALUE(t_Parts[[EOP]:[EOP]])), t_Parts[[SetupHrsPerMo]:[SetupHrsPerMo]]+(t_Parts[[#This Row],[pv2015.05]]/t_Parts[[NetPPH]:[NetPPH]]),0)</f>
        <v>9.5613428401663683</v>
      </c>
      <c r="CP10" s="43">
        <f>IF(AND(AJ$3&gt;=VALUE(t_Parts[[SOP]:[SOP]]),AJ$3&lt;=VALUE(t_Parts[[EOP]:[EOP]])), t_Parts[[SetupHrsPerMo]:[SetupHrsPerMo]]+(t_Parts[[#This Row],[pv2015.06]]/t_Parts[[NetPPH]:[NetPPH]]),0)</f>
        <v>11.27252525252525</v>
      </c>
      <c r="CQ10" s="43">
        <f>IF(AND(AK$3&gt;=VALUE(t_Parts[[SOP]:[SOP]]),AK$3&lt;=VALUE(t_Parts[[EOP]:[EOP]])), t_Parts[[SetupHrsPerMo]:[SetupHrsPerMo]]+(t_Parts[[#This Row],[pv2015.07]]/t_Parts[[NetPPH]:[NetPPH]]),0)</f>
        <v>9.3474450386215082</v>
      </c>
      <c r="CR10" s="43">
        <f>IF(AND(AL$3&gt;=VALUE(t_Parts[[SOP]:[SOP]]),AL$3&lt;=VALUE(t_Parts[[EOP]:[EOP]])), t_Parts[[SetupHrsPerMo]:[SetupHrsPerMo]]+(t_Parts[[#This Row],[pv2015.08]]/t_Parts[[NetPPH]:[NetPPH]]),0)</f>
        <v>9.5613428401663683</v>
      </c>
      <c r="CS10" s="43">
        <f>IF(AND(AM$3&gt;=VALUE(t_Parts[[SOP]:[SOP]]),AM$3&lt;=VALUE(t_Parts[[EOP]:[EOP]])), t_Parts[[SetupHrsPerMo]:[SetupHrsPerMo]]+(t_Parts[[#This Row],[pv2015.09]]/t_Parts[[NetPPH]:[NetPPH]]),0)</f>
        <v>11.27252525252525</v>
      </c>
      <c r="CT10" s="43">
        <f>IF(AND(AN$3&gt;=VALUE(t_Parts[[SOP]:[SOP]]),AN$3&lt;=VALUE(t_Parts[[EOP]:[EOP]])), t_Parts[[SetupHrsPerMo]:[SetupHrsPerMo]]+(t_Parts[[#This Row],[pv2015.10]]/t_Parts[[NetPPH]:[NetPPH]]),0)</f>
        <v>9.3474450386215082</v>
      </c>
      <c r="CU10" s="43">
        <f>IF(AND(AO$3&gt;=VALUE(t_Parts[[SOP]:[SOP]]),AO$3&lt;=VALUE(t_Parts[[EOP]:[EOP]])), t_Parts[[SetupHrsPerMo]:[SetupHrsPerMo]]+(t_Parts[[#This Row],[pv2015.11]]/t_Parts[[NetPPH]:[NetPPH]]),0)</f>
        <v>9.5613428401663683</v>
      </c>
      <c r="CV10" s="43">
        <f>IF(AND(AP$3&gt;=VALUE(t_Parts[[SOP]:[SOP]]),AP$3&lt;=VALUE(t_Parts[[EOP]:[EOP]])), t_Parts[[SetupHrsPerMo]:[SetupHrsPerMo]]+(t_Parts[[#This Row],[pv2015.12]]/t_Parts[[NetPPH]:[NetPPH]]),0)</f>
        <v>11.27252525252525</v>
      </c>
      <c r="CW10" s="43">
        <f>SUM(t_Parts[[#This Row],[hp2015.01]:[hp2015.12]])</f>
        <v>120.72525252525249</v>
      </c>
      <c r="CX10" s="43">
        <f>IF(AND(AR$3&gt;=VALUE(t_Parts[[SOP]:[SOP]]),AR$3&lt;=VALUE(t_Parts[[EOP]:[EOP]])), t_Parts[[SetupHrsPerMo]:[SetupHrsPerMo]]+(t_Parts[[#This Row],[pv2016.01]]/t_Parts[[NetPPH]:[NetPPH]]),0)</f>
        <v>0</v>
      </c>
      <c r="CY10" s="43">
        <f>IF(AND(AS$3&gt;=VALUE(t_Parts[[SOP]:[SOP]]),AS$3&lt;=VALUE(t_Parts[[EOP]:[EOP]])), t_Parts[[SetupHrsPerMo]:[SetupHrsPerMo]]+(t_Parts[[#This Row],[pv2016.02]]/t_Parts[[NetPPH]:[NetPPH]]),0)</f>
        <v>0</v>
      </c>
      <c r="CZ10" s="43">
        <f>IF(AND(AT$3&gt;=VALUE(t_Parts[[SOP]:[SOP]]),AT$3&lt;=VALUE(t_Parts[[EOP]:[EOP]])), t_Parts[[SetupHrsPerMo]:[SetupHrsPerMo]]+(t_Parts[[#This Row],[pv2016.03]]/t_Parts[[NetPPH]:[NetPPH]]),0)</f>
        <v>0</v>
      </c>
      <c r="DA10" s="43">
        <f>IF(AND(AU$3&gt;=VALUE(t_Parts[[SOP]:[SOP]]),AU$3&lt;=VALUE(t_Parts[[EOP]:[EOP]])), t_Parts[[SetupHrsPerMo]:[SetupHrsPerMo]]+(t_Parts[[#This Row],[pv2016.04]]/t_Parts[[NetPPH]:[NetPPH]]),0)</f>
        <v>0</v>
      </c>
      <c r="DB10" s="43">
        <f>IF(AND(AV$3&gt;=VALUE(t_Parts[[SOP]:[SOP]]),AV$3&lt;=VALUE(t_Parts[[EOP]:[EOP]])), t_Parts[[SetupHrsPerMo]:[SetupHrsPerMo]]+(t_Parts[[#This Row],[pv2016.05]]/t_Parts[[NetPPH]:[NetPPH]]),0)</f>
        <v>0</v>
      </c>
      <c r="DC10" s="43">
        <f>IF(AND(AW$3&gt;=VALUE(t_Parts[[SOP]:[SOP]]),AW$3&lt;=VALUE(t_Parts[[EOP]:[EOP]])), t_Parts[[SetupHrsPerMo]:[SetupHrsPerMo]]+(t_Parts[[#This Row],[pv2016.06]]/t_Parts[[NetPPH]:[NetPPH]]),0)</f>
        <v>0</v>
      </c>
      <c r="DD10" s="43">
        <f>IF(AND(AX$3&gt;=VALUE(t_Parts[[SOP]:[SOP]]),AX$3&lt;=VALUE(t_Parts[[EOP]:[EOP]])), t_Parts[[SetupHrsPerMo]:[SetupHrsPerMo]]+(t_Parts[[#This Row],[pv2016.07]]/t_Parts[[NetPPH]:[NetPPH]]),0)</f>
        <v>0</v>
      </c>
      <c r="DE10" s="43">
        <f>IF(AND(AY$3&gt;=VALUE(t_Parts[[SOP]:[SOP]]),AY$3&lt;=VALUE(t_Parts[[EOP]:[EOP]])), t_Parts[[SetupHrsPerMo]:[SetupHrsPerMo]]+(t_Parts[[#This Row],[pv2016.08]]/t_Parts[[NetPPH]:[NetPPH]]),0)</f>
        <v>0</v>
      </c>
      <c r="DF10" s="43">
        <f>IF(AND(AZ$3&gt;=VALUE(t_Parts[[SOP]:[SOP]]),AZ$3&lt;=VALUE(t_Parts[[EOP]:[EOP]])), t_Parts[[SetupHrsPerMo]:[SetupHrsPerMo]]+(t_Parts[[#This Row],[pv2016.09]]/t_Parts[[NetPPH]:[NetPPH]]),0)</f>
        <v>0</v>
      </c>
      <c r="DG10" s="43">
        <f>IF(AND(BA$3&gt;=VALUE(t_Parts[[SOP]:[SOP]]),BA$3&lt;=VALUE(t_Parts[[EOP]:[EOP]])), t_Parts[[SetupHrsPerMo]:[SetupHrsPerMo]]+(t_Parts[[#This Row],[pv2016.10]]/t_Parts[[NetPPH]:[NetPPH]]),0)</f>
        <v>0</v>
      </c>
      <c r="DH10" s="43">
        <f>IF(AND(BB$3&gt;=VALUE(t_Parts[[SOP]:[SOP]]),BB$3&lt;=VALUE(t_Parts[[EOP]:[EOP]])), t_Parts[[SetupHrsPerMo]:[SetupHrsPerMo]]+(t_Parts[[#This Row],[pv2016.11]]/t_Parts[[NetPPH]:[NetPPH]]),0)</f>
        <v>0</v>
      </c>
      <c r="DI10" s="43">
        <f>IF(AND(BC$3&gt;=VALUE(t_Parts[[SOP]:[SOP]]),BC$3&lt;=VALUE(t_Parts[[EOP]:[EOP]])), t_Parts[[SetupHrsPerMo]:[SetupHrsPerMo]]+(t_Parts[[#This Row],[pv2016.12]]/t_Parts[[NetPPH]:[NetPPH]]),0)</f>
        <v>0</v>
      </c>
      <c r="DJ10" s="43">
        <f>SUM(t_Parts[[#This Row],[hp2016.01]:[hp2016.12]])</f>
        <v>0</v>
      </c>
      <c r="DK10" s="43">
        <f>IF(AND(BE$3&gt;=VALUE(t_Parts[[SOP]:[SOP]]),BE$3&lt;=VALUE(t_Parts[[EOP]:[EOP]])), 12*t_Parts[[SetupHrsPerMo]:[SetupHrsPerMo]]+(t_Parts[[#This Row],[pv2017]]/t_Parts[[NetPPH]:[NetPPH]]),0)</f>
        <v>0</v>
      </c>
      <c r="DL10" s="43">
        <f>IF(AND(BF$3&gt;=VALUE(t_Parts[[SOP]:[SOP]]),BF$3&lt;=VALUE(t_Parts[[EOP]:[EOP]])), 12*t_Parts[[SetupHrsPerMo]:[SetupHrsPerMo]]+(t_Parts[[#This Row],[pv2018]]/t_Parts[[NetPPH]:[NetPPH]]),0)</f>
        <v>0</v>
      </c>
      <c r="DM10" s="43">
        <f>IF(AND(BG$3&gt;=VALUE(t_Parts[[SOP]:[SOP]]),BG$3&lt;=VALUE(t_Parts[[EOP]:[EOP]])), 12*t_Parts[[SetupHrsPerMo]:[SetupHrsPerMo]]+(t_Parts[[#This Row],[pv2019]]/t_Parts[[NetPPH]:[NetPPH]]),0)</f>
        <v>0</v>
      </c>
      <c r="DN10" s="51">
        <f>t_Parts[[#This Row],[hp2015.01]]/t_Parts[[#This Row],[ha2015.01]]</f>
        <v>3.7389780154486033E-2</v>
      </c>
      <c r="DO10" s="51">
        <f>t_Parts[[#This Row],[hp2015.02]]/t_Parts[[#This Row],[ha2015.02]]</f>
        <v>3.6774395539101418E-2</v>
      </c>
      <c r="DP10" s="51">
        <f>t_Parts[[#This Row],[hp2015.03]]/t_Parts[[#This Row],[ha2015.03]]</f>
        <v>3.3154486036838973E-2</v>
      </c>
      <c r="DQ10" s="51">
        <f>t_Parts[[#This Row],[hp2015.04]]/t_Parts[[#This Row],[ha2015.04]]</f>
        <v>3.7389780154486033E-2</v>
      </c>
      <c r="DR10" s="51">
        <f>t_Parts[[#This Row],[hp2015.05]]/t_Parts[[#This Row],[ha2015.05]]</f>
        <v>3.6774395539101418E-2</v>
      </c>
      <c r="DS10" s="51">
        <f>t_Parts[[#This Row],[hp2015.06]]/t_Parts[[#This Row],[ha2015.06]]</f>
        <v>3.3154486036838973E-2</v>
      </c>
      <c r="DT10" s="51">
        <f>t_Parts[[#This Row],[hp2015.07]]/t_Parts[[#This Row],[ha2015.07]]</f>
        <v>3.7389780154486033E-2</v>
      </c>
      <c r="DU10" s="51">
        <f>t_Parts[[#This Row],[hp2015.08]]/t_Parts[[#This Row],[ha2015.08]]</f>
        <v>3.6774395539101418E-2</v>
      </c>
      <c r="DV10" s="51">
        <f>t_Parts[[#This Row],[hp2015.09]]/t_Parts[[#This Row],[ha2015.09]]</f>
        <v>3.3154486036838973E-2</v>
      </c>
      <c r="DW10" s="51">
        <f>t_Parts[[#This Row],[hp2015.10]]/t_Parts[[#This Row],[ha2015.10]]</f>
        <v>3.7389780154486033E-2</v>
      </c>
      <c r="DX10" s="51">
        <f>t_Parts[[#This Row],[hp2015.11]]/t_Parts[[#This Row],[ha2015.11]]</f>
        <v>3.6774395539101418E-2</v>
      </c>
      <c r="DY10" s="51">
        <f>t_Parts[[#This Row],[hp2015.12]]/t_Parts[[#This Row],[ha2015.12]]</f>
        <v>3.3154486036838973E-2</v>
      </c>
      <c r="DZ10" s="51">
        <f>t_Parts[[#This Row],[hp2015.FY]]/t_Parts[[#This Row],[ha2015.FY]]</f>
        <v>3.5507427213309552E-2</v>
      </c>
      <c r="EA10" s="51">
        <f>t_Parts[[#This Row],[hp2016.01]]/t_Parts[[#This Row],[ha2016.01]]</f>
        <v>0</v>
      </c>
      <c r="EB10" s="51">
        <f>t_Parts[[#This Row],[hp2016.02]]/t_Parts[[#This Row],[ha2016.02]]</f>
        <v>0</v>
      </c>
      <c r="EC10" s="51">
        <f>t_Parts[[#This Row],[hp2016.03]]/t_Parts[[#This Row],[ha2016.03]]</f>
        <v>0</v>
      </c>
      <c r="ED10" s="51">
        <f>t_Parts[[#This Row],[hp2016.04]]/t_Parts[[#This Row],[ha2016.04]]</f>
        <v>0</v>
      </c>
      <c r="EE10" s="51">
        <f>t_Parts[[#This Row],[hp2016.05]]/t_Parts[[#This Row],[ha2016.05]]</f>
        <v>0</v>
      </c>
      <c r="EF10" s="51">
        <f>t_Parts[[#This Row],[hp2016.06]]/t_Parts[[#This Row],[ha2016.06]]</f>
        <v>0</v>
      </c>
      <c r="EG10" s="51">
        <f>t_Parts[[#This Row],[hp2016.07]]/t_Parts[[#This Row],[ha2016.07]]</f>
        <v>0</v>
      </c>
      <c r="EH10" s="51">
        <f>t_Parts[[#This Row],[hp2016.08]]/t_Parts[[#This Row],[ha2016.08]]</f>
        <v>0</v>
      </c>
      <c r="EI10" s="51">
        <f>t_Parts[[#This Row],[hp2016.09]]/t_Parts[[#This Row],[ha2016.09]]</f>
        <v>0</v>
      </c>
      <c r="EJ10" s="51">
        <f>t_Parts[[#This Row],[hp2016.10]]/t_Parts[[#This Row],[ha2016.10]]</f>
        <v>0</v>
      </c>
      <c r="EK10" s="51">
        <f>t_Parts[[#This Row],[hp2016.11]]/t_Parts[[#This Row],[ha2016.11]]</f>
        <v>0</v>
      </c>
      <c r="EL10" s="51">
        <f>t_Parts[[#This Row],[hp2016.12]]/t_Parts[[#This Row],[ha2016.12]]</f>
        <v>0</v>
      </c>
      <c r="EM10" s="51">
        <f>t_Parts[[#This Row],[hp2016.FY]]/t_Parts[[#This Row],[ha2016.FY]]</f>
        <v>0</v>
      </c>
      <c r="EN10" s="51">
        <f>t_Parts[[#This Row],[hp2017]]/t_Parts[[#This Row],[ha2017]]</f>
        <v>0</v>
      </c>
      <c r="EO10" s="51">
        <f>t_Parts[[#This Row],[hp2018]]/t_Parts[[#This Row],[ha2018]]</f>
        <v>0</v>
      </c>
      <c r="EP10" s="51">
        <f>t_Parts[[#This Row],[hp2019]]/t_Parts[[#This Row],[hp2015.01]]</f>
        <v>0</v>
      </c>
      <c r="EQ10" s="62">
        <f>(t_Parts[[#This Row],[ha2015.01]]-t_Parts[[#This Row],[hp2015.01]])*t_Parts[[NetPPH]:[NetPPH]]</f>
        <v>357369.04411764711</v>
      </c>
      <c r="ER10" s="62">
        <f>(t_Parts[[#This Row],[ha2015.02]]-t_Parts[[#This Row],[hp2015.02]])*t_Parts[[NetPPH]:[NetPPH]]</f>
        <v>371901.40588235302</v>
      </c>
      <c r="ES10" s="62">
        <f>(t_Parts[[#This Row],[ha2015.03]]-t_Parts[[#This Row],[hp2015.03]])*t_Parts[[NetPPH]:[NetPPH]]</f>
        <v>488160.30000000005</v>
      </c>
      <c r="ET10" s="62">
        <f>(t_Parts[[#This Row],[ha2015.04]]-t_Parts[[#This Row],[hp2015.04]])*t_Parts[[NetPPH]:[NetPPH]]</f>
        <v>357369.04411764711</v>
      </c>
      <c r="EU10" s="62">
        <f>(t_Parts[[#This Row],[ha2015.05]]-t_Parts[[#This Row],[hp2015.05]])*t_Parts[[NetPPH]:[NetPPH]]</f>
        <v>371901.40588235302</v>
      </c>
      <c r="EV10" s="62">
        <f>(t_Parts[[#This Row],[ha2015.06]]-t_Parts[[#This Row],[hp2015.06]])*t_Parts[[NetPPH]:[NetPPH]]</f>
        <v>488160.30000000005</v>
      </c>
      <c r="EW10" s="62">
        <f>(t_Parts[[#This Row],[ha2015.07]]-t_Parts[[#This Row],[hp2015.07]])*t_Parts[[NetPPH]:[NetPPH]]</f>
        <v>357369.04411764711</v>
      </c>
      <c r="EX10" s="62">
        <f>(t_Parts[[#This Row],[ha2015.08]]-t_Parts[[#This Row],[hp2015.08]])*t_Parts[[NetPPH]:[NetPPH]]</f>
        <v>371901.40588235302</v>
      </c>
      <c r="EY10" s="62">
        <f>(t_Parts[[#This Row],[ha2015.09]]-t_Parts[[#This Row],[hp2015.09]])*t_Parts[[NetPPH]:[NetPPH]]</f>
        <v>488160.30000000005</v>
      </c>
      <c r="EZ10" s="62">
        <f>(t_Parts[[#This Row],[ha2015.10]]-t_Parts[[#This Row],[hp2015.10]])*t_Parts[[NetPPH]:[NetPPH]]</f>
        <v>357369.04411764711</v>
      </c>
      <c r="FA10" s="62">
        <f>(t_Parts[[#This Row],[ha2015.11]]-t_Parts[[#This Row],[hp2015.11]])*t_Parts[[NetPPH]:[NetPPH]]</f>
        <v>371901.40588235302</v>
      </c>
      <c r="FB10" s="62">
        <f>(t_Parts[[#This Row],[ha2015.12]]-t_Parts[[#This Row],[hp2015.12]])*t_Parts[[NetPPH]:[NetPPH]]</f>
        <v>488160.30000000005</v>
      </c>
      <c r="FC10" s="62">
        <f>(t_Parts[[#This Row],[ha2015.FY]]-t_Parts[[#This Row],[hp2015.FY]])*t_Parts[[NetPPH]:[NetPPH]]</f>
        <v>4869723.0000000009</v>
      </c>
      <c r="FD10" s="62">
        <f>(t_Parts[[#This Row],[ha2016.01]]-t_Parts[[#This Row],[hp2016.01]])*t_Parts[[NetPPH]:[NetPPH]]</f>
        <v>371250.00000000006</v>
      </c>
      <c r="FE10" s="62">
        <f>(t_Parts[[#This Row],[ha2016.02]]-t_Parts[[#This Row],[hp2016.02]])*t_Parts[[NetPPH]:[NetPPH]]</f>
        <v>356400.00000000006</v>
      </c>
      <c r="FF10" s="62">
        <f>(t_Parts[[#This Row],[ha2016.03]]-t_Parts[[#This Row],[hp2016.03]])*t_Parts[[NetPPH]:[NetPPH]]</f>
        <v>504900.00000000006</v>
      </c>
      <c r="FG10" s="62">
        <f>(t_Parts[[#This Row],[ha2016.04]]-t_Parts[[#This Row],[hp2016.04]])*t_Parts[[NetPPH]:[NetPPH]]</f>
        <v>371250.00000000006</v>
      </c>
      <c r="FH10" s="62">
        <f>(t_Parts[[#This Row],[ha2016.05]]-t_Parts[[#This Row],[hp2016.05]])*t_Parts[[NetPPH]:[NetPPH]]</f>
        <v>386100.00000000006</v>
      </c>
      <c r="FI10" s="62">
        <f>(t_Parts[[#This Row],[ha2016.06]]-t_Parts[[#This Row],[hp2016.06]])*t_Parts[[NetPPH]:[NetPPH]]</f>
        <v>504900.00000000006</v>
      </c>
      <c r="FJ10" s="62">
        <f>(t_Parts[[#This Row],[ha2016.07]]-t_Parts[[#This Row],[hp2016.07]])*t_Parts[[NetPPH]:[NetPPH]]</f>
        <v>371250.00000000006</v>
      </c>
      <c r="FK10" s="62">
        <f>(t_Parts[[#This Row],[ha2016.08]]-t_Parts[[#This Row],[hp2016.08]])*t_Parts[[NetPPH]:[NetPPH]]</f>
        <v>386100.00000000006</v>
      </c>
      <c r="FL10" s="62">
        <f>(t_Parts[[#This Row],[ha2016.09]]-t_Parts[[#This Row],[hp2016.09]])*t_Parts[[NetPPH]:[NetPPH]]</f>
        <v>504900.00000000006</v>
      </c>
      <c r="FM10" s="62">
        <f>(t_Parts[[#This Row],[ha2016.10]]-t_Parts[[#This Row],[hp2016.10]])*t_Parts[[NetPPH]:[NetPPH]]</f>
        <v>371250.00000000006</v>
      </c>
      <c r="FN10" s="62">
        <f>(t_Parts[[#This Row],[ha2016.11]]-t_Parts[[#This Row],[hp2016.11]])*t_Parts[[NetPPH]:[NetPPH]]</f>
        <v>326700.00000000006</v>
      </c>
      <c r="FO10" s="62">
        <f>(t_Parts[[#This Row],[ha2016.12]]-t_Parts[[#This Row],[hp2016.12]])*t_Parts[[NetPPH]:[NetPPH]]</f>
        <v>445500.00000000006</v>
      </c>
      <c r="FP10" s="62">
        <f>(t_Parts[[#This Row],[ha2016.FY]]-t_Parts[[#This Row],[hp2016.FY]])*t_Parts[[NetPPH]:[NetPPH]]</f>
        <v>4900500.0000000009</v>
      </c>
      <c r="FQ10" s="62">
        <f>(t_Parts[[#This Row],[ha2017]]-t_Parts[[#This Row],[hp2017]])*t_Parts[[NetPPH]:[NetPPH]]</f>
        <v>4900500.0000000009</v>
      </c>
      <c r="FR10" s="62">
        <f>(t_Parts[[#This Row],[ha2018]]-t_Parts[[#This Row],[hp2018]])*t_Parts[[NetPPH]:[NetPPH]]</f>
        <v>4900500.0000000009</v>
      </c>
      <c r="FS10" s="62">
        <f>(t_Parts[[#This Row],[ha2019]]-t_Parts[[#This Row],[hp2019]])*t_Parts[[NetPPH]:[NetPPH]]</f>
        <v>4900500.0000000009</v>
      </c>
    </row>
    <row r="11" spans="1:175" s="14" customFormat="1" x14ac:dyDescent="0.25">
      <c r="A11" s="78" t="s">
        <v>167</v>
      </c>
      <c r="B11" s="78">
        <v>21014</v>
      </c>
      <c r="C11" s="79">
        <v>1</v>
      </c>
      <c r="D11" s="77">
        <v>2400</v>
      </c>
      <c r="E11" s="80">
        <v>1</v>
      </c>
      <c r="F11" s="81">
        <v>1</v>
      </c>
      <c r="G11" s="79" t="s">
        <v>16</v>
      </c>
      <c r="H11" s="79" t="s">
        <v>94</v>
      </c>
      <c r="I11" s="77">
        <v>126719</v>
      </c>
      <c r="J11" s="77"/>
      <c r="K11" s="77"/>
      <c r="L11" s="77"/>
      <c r="M11" s="77"/>
      <c r="N11" s="77"/>
      <c r="O11" s="77"/>
      <c r="P11" s="80"/>
      <c r="Q11" s="80"/>
      <c r="R11" s="77"/>
      <c r="S11" s="81"/>
      <c r="T11" s="78"/>
      <c r="U11" s="82"/>
      <c r="V11" s="79" t="s">
        <v>115</v>
      </c>
      <c r="W11" s="14" t="str">
        <f>VLOOKUP(t_Parts[[#This Row],[Press]],t_Presses[],Press!B$1,FALSE)</f>
        <v>Plainfield</v>
      </c>
      <c r="X11" s="14" t="str">
        <f>VLOOKUP(t_Parts[[#This Row],[Press]],t_Presses[],Press!E$1,FALSE)</f>
        <v>300-599</v>
      </c>
      <c r="Y11" s="51">
        <f>VLOOKUP(t_Parts[[#This Row],[Plant]],t_Plants[],Plants!C$1,FALSE)</f>
        <v>0.55000000000000004</v>
      </c>
      <c r="Z11" s="51">
        <f>VLOOKUP(t_Parts[[#This Row],[Press]],t_Presses[],Press!F$1,FALSE)</f>
        <v>0</v>
      </c>
      <c r="AA11" s="88"/>
      <c r="AB11" s="51">
        <f>IF(ISBLANK(t_Parts[[#This Row],[PartOEE]])=FALSE,t_Parts[[#This Row],[PartOEE]], IF(t_Parts[[#This Row],[PressOEE]]&gt;0, t_Parts[[#This Row],[PressOEE]], t_Parts[[#This Row],[PlantOEE]] ))</f>
        <v>0.55000000000000004</v>
      </c>
      <c r="AC11" s="74">
        <f>t_Parts[[#This Row],[SetupsPerMo]]*t_Parts[[#This Row],[SetupHrs]]</f>
        <v>1</v>
      </c>
      <c r="AD11" s="43">
        <f>(t_Parts[[#This Row],[UnitsPerCycle]]*t_Parts[[#This Row],[CyclesPerHr]])*t_Parts[[#This Row],[UseOEE]]</f>
        <v>1320</v>
      </c>
      <c r="AE11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9317.573529411764</v>
      </c>
      <c r="AF11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9690.2764705882346</v>
      </c>
      <c r="AG11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12671.9</v>
      </c>
      <c r="AH11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9317.573529411764</v>
      </c>
      <c r="AI11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9690.2764705882346</v>
      </c>
      <c r="AJ11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12671.9</v>
      </c>
      <c r="AK11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9317.573529411764</v>
      </c>
      <c r="AL11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9690.2764705882346</v>
      </c>
      <c r="AM11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12671.9</v>
      </c>
      <c r="AN11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9317.573529411764</v>
      </c>
      <c r="AO11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9690.2764705882346</v>
      </c>
      <c r="AP11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12671.9</v>
      </c>
      <c r="AQ11" s="43">
        <f>SUM(t_Parts[[#This Row],[pv2015.01]:[pv2015.12]])</f>
        <v>126718.99999999997</v>
      </c>
      <c r="AR11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1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1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1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1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1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1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1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1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1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1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1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1" s="43">
        <f>SUM(t_Parts[[#This Row],[pv2016.01]:[pv2016.12]])</f>
        <v>0</v>
      </c>
      <c r="BE11" s="43">
        <f>t_Parts[[#This Row],[2017vol]]</f>
        <v>0</v>
      </c>
      <c r="BF11" s="43">
        <f>t_Parts[[#This Row],[2018vol]]</f>
        <v>0</v>
      </c>
      <c r="BG11" s="43">
        <f>t_Parts[[#This Row],[2019vol]]</f>
        <v>0</v>
      </c>
      <c r="BH11" s="14">
        <f>VLOOKUP(t_Parts[[Plant]:[Plant]],t_Plants[],Plants!CM$1,FALSE)</f>
        <v>250</v>
      </c>
      <c r="BI11" s="14">
        <f>VLOOKUP(t_Parts[[Plant]:[Plant]],t_Plants[],Plants!CN$1,FALSE)</f>
        <v>260</v>
      </c>
      <c r="BJ11" s="14">
        <f>VLOOKUP(t_Parts[[Plant]:[Plant]],t_Plants[],Plants!CO$1,FALSE)</f>
        <v>340</v>
      </c>
      <c r="BK11" s="14">
        <f>VLOOKUP(t_Parts[[Plant]:[Plant]],t_Plants[],Plants!CP$1,FALSE)</f>
        <v>250</v>
      </c>
      <c r="BL11" s="14">
        <f>VLOOKUP(t_Parts[[Plant]:[Plant]],t_Plants[],Plants!CQ$1,FALSE)</f>
        <v>260</v>
      </c>
      <c r="BM11" s="14">
        <f>VLOOKUP(t_Parts[[Plant]:[Plant]],t_Plants[],Plants!CR$1,FALSE)</f>
        <v>340</v>
      </c>
      <c r="BN11" s="14">
        <f>VLOOKUP(t_Parts[[Plant]:[Plant]],t_Plants[],Plants!CS$1,FALSE)</f>
        <v>250</v>
      </c>
      <c r="BO11" s="14">
        <f>VLOOKUP(t_Parts[[Plant]:[Plant]],t_Plants[],Plants!CT$1,FALSE)</f>
        <v>260</v>
      </c>
      <c r="BP11" s="14">
        <f>VLOOKUP(t_Parts[[Plant]:[Plant]],t_Plants[],Plants!CU$1,FALSE)</f>
        <v>340</v>
      </c>
      <c r="BQ11" s="14">
        <f>VLOOKUP(t_Parts[[Plant]:[Plant]],t_Plants[],Plants!CV$1,FALSE)</f>
        <v>250</v>
      </c>
      <c r="BR11" s="14">
        <f>VLOOKUP(t_Parts[[Plant]:[Plant]],t_Plants[],Plants!CW$1,FALSE)</f>
        <v>260</v>
      </c>
      <c r="BS11" s="14">
        <f>VLOOKUP(t_Parts[[Plant]:[Plant]],t_Plants[],Plants!CX$1,FALSE)</f>
        <v>340</v>
      </c>
      <c r="BT11" s="14">
        <f>SUM(t_Parts[[#This Row],[ha2015.01]:[ha2015.12]])</f>
        <v>3400</v>
      </c>
      <c r="BU11" s="14">
        <f>VLOOKUP(t_Parts[[Plant]:[Plant]],t_Plants[],Plants!CZ$1,FALSE)</f>
        <v>250</v>
      </c>
      <c r="BV11" s="14">
        <f>VLOOKUP(t_Parts[[Plant]:[Plant]],t_Plants[],Plants!DA$1,FALSE)</f>
        <v>240</v>
      </c>
      <c r="BW11" s="14">
        <f>VLOOKUP(t_Parts[[Plant]:[Plant]],t_Plants[],Plants!DB$1,FALSE)</f>
        <v>340</v>
      </c>
      <c r="BX11" s="14">
        <f>VLOOKUP(t_Parts[[Plant]:[Plant]],t_Plants[],Plants!DC$1,FALSE)</f>
        <v>250</v>
      </c>
      <c r="BY11" s="14">
        <f>VLOOKUP(t_Parts[[Plant]:[Plant]],t_Plants[],Plants!DD$1,FALSE)</f>
        <v>260</v>
      </c>
      <c r="BZ11" s="14">
        <f>VLOOKUP(t_Parts[[Plant]:[Plant]],t_Plants[],Plants!DE$1,FALSE)</f>
        <v>340</v>
      </c>
      <c r="CA11" s="14">
        <f>VLOOKUP(t_Parts[[Plant]:[Plant]],t_Plants[],Plants!DF$1,FALSE)</f>
        <v>250</v>
      </c>
      <c r="CB11" s="14">
        <f>VLOOKUP(t_Parts[[Plant]:[Plant]],t_Plants[],Plants!DG$1,FALSE)</f>
        <v>260</v>
      </c>
      <c r="CC11" s="14">
        <f>VLOOKUP(t_Parts[[Plant]:[Plant]],t_Plants[],Plants!DH$1,FALSE)</f>
        <v>340</v>
      </c>
      <c r="CD11" s="14">
        <f>VLOOKUP(t_Parts[[Plant]:[Plant]],t_Plants[],Plants!DI$1,FALSE)</f>
        <v>250</v>
      </c>
      <c r="CE11" s="14">
        <f>VLOOKUP(t_Parts[[Plant]:[Plant]],t_Plants[],Plants!DJ$1,FALSE)</f>
        <v>220</v>
      </c>
      <c r="CF11" s="14">
        <f>VLOOKUP(t_Parts[[Plant]:[Plant]],t_Plants[],Plants!DK$1,FALSE)</f>
        <v>300</v>
      </c>
      <c r="CG11" s="14">
        <f>VLOOKUP(t_Parts[[Plant]:[Plant]],t_Plants[],Plants!DL$1,FALSE)</f>
        <v>3300</v>
      </c>
      <c r="CH11" s="14">
        <f>VLOOKUP(t_Parts[[Plant]:[Plant]],t_Plants[],Plants!DM$1,FALSE)</f>
        <v>3300</v>
      </c>
      <c r="CI11" s="14">
        <f>VLOOKUP(t_Parts[[Plant]:[Plant]],t_Plants[],Plants!DN$1,FALSE)</f>
        <v>3300</v>
      </c>
      <c r="CJ11" s="14">
        <f>VLOOKUP(t_Parts[[Plant]:[Plant]],t_Plants[],Plants!DO$1,FALSE)</f>
        <v>3300</v>
      </c>
      <c r="CK11" s="43">
        <f>IF(AND(AE$3&gt;=VALUE(t_Parts[[SOP]:[SOP]]),AE$3&lt;=VALUE(t_Parts[[EOP]:[EOP]])), t_Parts[[SetupHrsPerMo]:[SetupHrsPerMo]]+(t_Parts[[#This Row],[pv2015.01]]/t_Parts[[NetPPH]:[NetPPH]]),0)</f>
        <v>8.0587678253119428</v>
      </c>
      <c r="CL11" s="43">
        <f>IF(AND(AF$3&gt;=VALUE(t_Parts[[SOP]:[SOP]]),AF$3&lt;=VALUE(t_Parts[[EOP]:[EOP]])), t_Parts[[SetupHrsPerMo]:[SetupHrsPerMo]]+(t_Parts[[#This Row],[pv2015.02]]/t_Parts[[NetPPH]:[NetPPH]]),0)</f>
        <v>8.3411185383244195</v>
      </c>
      <c r="CM11" s="43">
        <f>IF(AND(AG$3&gt;=VALUE(t_Parts[[SOP]:[SOP]]),AG$3&lt;=VALUE(t_Parts[[EOP]:[EOP]])), t_Parts[[SetupHrsPerMo]:[SetupHrsPerMo]]+(t_Parts[[#This Row],[pv2015.03]]/t_Parts[[NetPPH]:[NetPPH]]),0)</f>
        <v>10.599924242424242</v>
      </c>
      <c r="CN11" s="43">
        <f>IF(AND(AH$3&gt;=VALUE(t_Parts[[SOP]:[SOP]]),AH$3&lt;=VALUE(t_Parts[[EOP]:[EOP]])), t_Parts[[SetupHrsPerMo]:[SetupHrsPerMo]]+(t_Parts[[#This Row],[pv2015.04]]/t_Parts[[NetPPH]:[NetPPH]]),0)</f>
        <v>8.0587678253119428</v>
      </c>
      <c r="CO11" s="43">
        <f>IF(AND(AI$3&gt;=VALUE(t_Parts[[SOP]:[SOP]]),AI$3&lt;=VALUE(t_Parts[[EOP]:[EOP]])), t_Parts[[SetupHrsPerMo]:[SetupHrsPerMo]]+(t_Parts[[#This Row],[pv2015.05]]/t_Parts[[NetPPH]:[NetPPH]]),0)</f>
        <v>8.3411185383244195</v>
      </c>
      <c r="CP11" s="43">
        <f>IF(AND(AJ$3&gt;=VALUE(t_Parts[[SOP]:[SOP]]),AJ$3&lt;=VALUE(t_Parts[[EOP]:[EOP]])), t_Parts[[SetupHrsPerMo]:[SetupHrsPerMo]]+(t_Parts[[#This Row],[pv2015.06]]/t_Parts[[NetPPH]:[NetPPH]]),0)</f>
        <v>10.599924242424242</v>
      </c>
      <c r="CQ11" s="43">
        <f>IF(AND(AK$3&gt;=VALUE(t_Parts[[SOP]:[SOP]]),AK$3&lt;=VALUE(t_Parts[[EOP]:[EOP]])), t_Parts[[SetupHrsPerMo]:[SetupHrsPerMo]]+(t_Parts[[#This Row],[pv2015.07]]/t_Parts[[NetPPH]:[NetPPH]]),0)</f>
        <v>8.0587678253119428</v>
      </c>
      <c r="CR11" s="43">
        <f>IF(AND(AL$3&gt;=VALUE(t_Parts[[SOP]:[SOP]]),AL$3&lt;=VALUE(t_Parts[[EOP]:[EOP]])), t_Parts[[SetupHrsPerMo]:[SetupHrsPerMo]]+(t_Parts[[#This Row],[pv2015.08]]/t_Parts[[NetPPH]:[NetPPH]]),0)</f>
        <v>8.3411185383244195</v>
      </c>
      <c r="CS11" s="43">
        <f>IF(AND(AM$3&gt;=VALUE(t_Parts[[SOP]:[SOP]]),AM$3&lt;=VALUE(t_Parts[[EOP]:[EOP]])), t_Parts[[SetupHrsPerMo]:[SetupHrsPerMo]]+(t_Parts[[#This Row],[pv2015.09]]/t_Parts[[NetPPH]:[NetPPH]]),0)</f>
        <v>10.599924242424242</v>
      </c>
      <c r="CT11" s="43">
        <f>IF(AND(AN$3&gt;=VALUE(t_Parts[[SOP]:[SOP]]),AN$3&lt;=VALUE(t_Parts[[EOP]:[EOP]])), t_Parts[[SetupHrsPerMo]:[SetupHrsPerMo]]+(t_Parts[[#This Row],[pv2015.10]]/t_Parts[[NetPPH]:[NetPPH]]),0)</f>
        <v>8.0587678253119428</v>
      </c>
      <c r="CU11" s="43">
        <f>IF(AND(AO$3&gt;=VALUE(t_Parts[[SOP]:[SOP]]),AO$3&lt;=VALUE(t_Parts[[EOP]:[EOP]])), t_Parts[[SetupHrsPerMo]:[SetupHrsPerMo]]+(t_Parts[[#This Row],[pv2015.11]]/t_Parts[[NetPPH]:[NetPPH]]),0)</f>
        <v>8.3411185383244195</v>
      </c>
      <c r="CV11" s="43">
        <f>IF(AND(AP$3&gt;=VALUE(t_Parts[[SOP]:[SOP]]),AP$3&lt;=VALUE(t_Parts[[EOP]:[EOP]])), t_Parts[[SetupHrsPerMo]:[SetupHrsPerMo]]+(t_Parts[[#This Row],[pv2015.12]]/t_Parts[[NetPPH]:[NetPPH]]),0)</f>
        <v>10.599924242424242</v>
      </c>
      <c r="CW11" s="43">
        <f>SUM(t_Parts[[#This Row],[hp2015.01]:[hp2015.12]])</f>
        <v>107.99924242424242</v>
      </c>
      <c r="CX11" s="43">
        <f>IF(AND(AR$3&gt;=VALUE(t_Parts[[SOP]:[SOP]]),AR$3&lt;=VALUE(t_Parts[[EOP]:[EOP]])), t_Parts[[SetupHrsPerMo]:[SetupHrsPerMo]]+(t_Parts[[#This Row],[pv2016.01]]/t_Parts[[NetPPH]:[NetPPH]]),0)</f>
        <v>0</v>
      </c>
      <c r="CY11" s="43">
        <f>IF(AND(AS$3&gt;=VALUE(t_Parts[[SOP]:[SOP]]),AS$3&lt;=VALUE(t_Parts[[EOP]:[EOP]])), t_Parts[[SetupHrsPerMo]:[SetupHrsPerMo]]+(t_Parts[[#This Row],[pv2016.02]]/t_Parts[[NetPPH]:[NetPPH]]),0)</f>
        <v>0</v>
      </c>
      <c r="CZ11" s="43">
        <f>IF(AND(AT$3&gt;=VALUE(t_Parts[[SOP]:[SOP]]),AT$3&lt;=VALUE(t_Parts[[EOP]:[EOP]])), t_Parts[[SetupHrsPerMo]:[SetupHrsPerMo]]+(t_Parts[[#This Row],[pv2016.03]]/t_Parts[[NetPPH]:[NetPPH]]),0)</f>
        <v>0</v>
      </c>
      <c r="DA11" s="43">
        <f>IF(AND(AU$3&gt;=VALUE(t_Parts[[SOP]:[SOP]]),AU$3&lt;=VALUE(t_Parts[[EOP]:[EOP]])), t_Parts[[SetupHrsPerMo]:[SetupHrsPerMo]]+(t_Parts[[#This Row],[pv2016.04]]/t_Parts[[NetPPH]:[NetPPH]]),0)</f>
        <v>0</v>
      </c>
      <c r="DB11" s="43">
        <f>IF(AND(AV$3&gt;=VALUE(t_Parts[[SOP]:[SOP]]),AV$3&lt;=VALUE(t_Parts[[EOP]:[EOP]])), t_Parts[[SetupHrsPerMo]:[SetupHrsPerMo]]+(t_Parts[[#This Row],[pv2016.05]]/t_Parts[[NetPPH]:[NetPPH]]),0)</f>
        <v>0</v>
      </c>
      <c r="DC11" s="43">
        <f>IF(AND(AW$3&gt;=VALUE(t_Parts[[SOP]:[SOP]]),AW$3&lt;=VALUE(t_Parts[[EOP]:[EOP]])), t_Parts[[SetupHrsPerMo]:[SetupHrsPerMo]]+(t_Parts[[#This Row],[pv2016.06]]/t_Parts[[NetPPH]:[NetPPH]]),0)</f>
        <v>0</v>
      </c>
      <c r="DD11" s="43">
        <f>IF(AND(AX$3&gt;=VALUE(t_Parts[[SOP]:[SOP]]),AX$3&lt;=VALUE(t_Parts[[EOP]:[EOP]])), t_Parts[[SetupHrsPerMo]:[SetupHrsPerMo]]+(t_Parts[[#This Row],[pv2016.07]]/t_Parts[[NetPPH]:[NetPPH]]),0)</f>
        <v>0</v>
      </c>
      <c r="DE11" s="43">
        <f>IF(AND(AY$3&gt;=VALUE(t_Parts[[SOP]:[SOP]]),AY$3&lt;=VALUE(t_Parts[[EOP]:[EOP]])), t_Parts[[SetupHrsPerMo]:[SetupHrsPerMo]]+(t_Parts[[#This Row],[pv2016.08]]/t_Parts[[NetPPH]:[NetPPH]]),0)</f>
        <v>0</v>
      </c>
      <c r="DF11" s="43">
        <f>IF(AND(AZ$3&gt;=VALUE(t_Parts[[SOP]:[SOP]]),AZ$3&lt;=VALUE(t_Parts[[EOP]:[EOP]])), t_Parts[[SetupHrsPerMo]:[SetupHrsPerMo]]+(t_Parts[[#This Row],[pv2016.09]]/t_Parts[[NetPPH]:[NetPPH]]),0)</f>
        <v>0</v>
      </c>
      <c r="DG11" s="43">
        <f>IF(AND(BA$3&gt;=VALUE(t_Parts[[SOP]:[SOP]]),BA$3&lt;=VALUE(t_Parts[[EOP]:[EOP]])), t_Parts[[SetupHrsPerMo]:[SetupHrsPerMo]]+(t_Parts[[#This Row],[pv2016.10]]/t_Parts[[NetPPH]:[NetPPH]]),0)</f>
        <v>0</v>
      </c>
      <c r="DH11" s="43">
        <f>IF(AND(BB$3&gt;=VALUE(t_Parts[[SOP]:[SOP]]),BB$3&lt;=VALUE(t_Parts[[EOP]:[EOP]])), t_Parts[[SetupHrsPerMo]:[SetupHrsPerMo]]+(t_Parts[[#This Row],[pv2016.11]]/t_Parts[[NetPPH]:[NetPPH]]),0)</f>
        <v>0</v>
      </c>
      <c r="DI11" s="43">
        <f>IF(AND(BC$3&gt;=VALUE(t_Parts[[SOP]:[SOP]]),BC$3&lt;=VALUE(t_Parts[[EOP]:[EOP]])), t_Parts[[SetupHrsPerMo]:[SetupHrsPerMo]]+(t_Parts[[#This Row],[pv2016.12]]/t_Parts[[NetPPH]:[NetPPH]]),0)</f>
        <v>0</v>
      </c>
      <c r="DJ11" s="43">
        <f>SUM(t_Parts[[#This Row],[hp2016.01]:[hp2016.12]])</f>
        <v>0</v>
      </c>
      <c r="DK11" s="43">
        <f>IF(AND(BE$3&gt;=VALUE(t_Parts[[SOP]:[SOP]]),BE$3&lt;=VALUE(t_Parts[[EOP]:[EOP]])), 12*t_Parts[[SetupHrsPerMo]:[SetupHrsPerMo]]+(t_Parts[[#This Row],[pv2017]]/t_Parts[[NetPPH]:[NetPPH]]),0)</f>
        <v>0</v>
      </c>
      <c r="DL11" s="43">
        <f>IF(AND(BF$3&gt;=VALUE(t_Parts[[SOP]:[SOP]]),BF$3&lt;=VALUE(t_Parts[[EOP]:[EOP]])), 12*t_Parts[[SetupHrsPerMo]:[SetupHrsPerMo]]+(t_Parts[[#This Row],[pv2018]]/t_Parts[[NetPPH]:[NetPPH]]),0)</f>
        <v>0</v>
      </c>
      <c r="DM11" s="43">
        <f>IF(AND(BG$3&gt;=VALUE(t_Parts[[SOP]:[SOP]]),BG$3&lt;=VALUE(t_Parts[[EOP]:[EOP]])), 12*t_Parts[[SetupHrsPerMo]:[SetupHrsPerMo]]+(t_Parts[[#This Row],[pv2019]]/t_Parts[[NetPPH]:[NetPPH]]),0)</f>
        <v>0</v>
      </c>
      <c r="DN11" s="51">
        <f>t_Parts[[#This Row],[hp2015.01]]/t_Parts[[#This Row],[ha2015.01]]</f>
        <v>3.2235071301247774E-2</v>
      </c>
      <c r="DO11" s="51">
        <f>t_Parts[[#This Row],[hp2015.02]]/t_Parts[[#This Row],[ha2015.02]]</f>
        <v>3.2081225147401617E-2</v>
      </c>
      <c r="DP11" s="51">
        <f>t_Parts[[#This Row],[hp2015.03]]/t_Parts[[#This Row],[ha2015.03]]</f>
        <v>3.1176247771836006E-2</v>
      </c>
      <c r="DQ11" s="51">
        <f>t_Parts[[#This Row],[hp2015.04]]/t_Parts[[#This Row],[ha2015.04]]</f>
        <v>3.2235071301247774E-2</v>
      </c>
      <c r="DR11" s="51">
        <f>t_Parts[[#This Row],[hp2015.05]]/t_Parts[[#This Row],[ha2015.05]]</f>
        <v>3.2081225147401617E-2</v>
      </c>
      <c r="DS11" s="51">
        <f>t_Parts[[#This Row],[hp2015.06]]/t_Parts[[#This Row],[ha2015.06]]</f>
        <v>3.1176247771836006E-2</v>
      </c>
      <c r="DT11" s="51">
        <f>t_Parts[[#This Row],[hp2015.07]]/t_Parts[[#This Row],[ha2015.07]]</f>
        <v>3.2235071301247774E-2</v>
      </c>
      <c r="DU11" s="51">
        <f>t_Parts[[#This Row],[hp2015.08]]/t_Parts[[#This Row],[ha2015.08]]</f>
        <v>3.2081225147401617E-2</v>
      </c>
      <c r="DV11" s="51">
        <f>t_Parts[[#This Row],[hp2015.09]]/t_Parts[[#This Row],[ha2015.09]]</f>
        <v>3.1176247771836006E-2</v>
      </c>
      <c r="DW11" s="51">
        <f>t_Parts[[#This Row],[hp2015.10]]/t_Parts[[#This Row],[ha2015.10]]</f>
        <v>3.2235071301247774E-2</v>
      </c>
      <c r="DX11" s="51">
        <f>t_Parts[[#This Row],[hp2015.11]]/t_Parts[[#This Row],[ha2015.11]]</f>
        <v>3.2081225147401617E-2</v>
      </c>
      <c r="DY11" s="51">
        <f>t_Parts[[#This Row],[hp2015.12]]/t_Parts[[#This Row],[ha2015.12]]</f>
        <v>3.1176247771836006E-2</v>
      </c>
      <c r="DZ11" s="51">
        <f>t_Parts[[#This Row],[hp2015.FY]]/t_Parts[[#This Row],[ha2015.FY]]</f>
        <v>3.1764483065953655E-2</v>
      </c>
      <c r="EA11" s="51">
        <f>t_Parts[[#This Row],[hp2016.01]]/t_Parts[[#This Row],[ha2016.01]]</f>
        <v>0</v>
      </c>
      <c r="EB11" s="51">
        <f>t_Parts[[#This Row],[hp2016.02]]/t_Parts[[#This Row],[ha2016.02]]</f>
        <v>0</v>
      </c>
      <c r="EC11" s="51">
        <f>t_Parts[[#This Row],[hp2016.03]]/t_Parts[[#This Row],[ha2016.03]]</f>
        <v>0</v>
      </c>
      <c r="ED11" s="51">
        <f>t_Parts[[#This Row],[hp2016.04]]/t_Parts[[#This Row],[ha2016.04]]</f>
        <v>0</v>
      </c>
      <c r="EE11" s="51">
        <f>t_Parts[[#This Row],[hp2016.05]]/t_Parts[[#This Row],[ha2016.05]]</f>
        <v>0</v>
      </c>
      <c r="EF11" s="51">
        <f>t_Parts[[#This Row],[hp2016.06]]/t_Parts[[#This Row],[ha2016.06]]</f>
        <v>0</v>
      </c>
      <c r="EG11" s="51">
        <f>t_Parts[[#This Row],[hp2016.07]]/t_Parts[[#This Row],[ha2016.07]]</f>
        <v>0</v>
      </c>
      <c r="EH11" s="51">
        <f>t_Parts[[#This Row],[hp2016.08]]/t_Parts[[#This Row],[ha2016.08]]</f>
        <v>0</v>
      </c>
      <c r="EI11" s="51">
        <f>t_Parts[[#This Row],[hp2016.09]]/t_Parts[[#This Row],[ha2016.09]]</f>
        <v>0</v>
      </c>
      <c r="EJ11" s="51">
        <f>t_Parts[[#This Row],[hp2016.10]]/t_Parts[[#This Row],[ha2016.10]]</f>
        <v>0</v>
      </c>
      <c r="EK11" s="51">
        <f>t_Parts[[#This Row],[hp2016.11]]/t_Parts[[#This Row],[ha2016.11]]</f>
        <v>0</v>
      </c>
      <c r="EL11" s="51">
        <f>t_Parts[[#This Row],[hp2016.12]]/t_Parts[[#This Row],[ha2016.12]]</f>
        <v>0</v>
      </c>
      <c r="EM11" s="51">
        <f>t_Parts[[#This Row],[hp2016.FY]]/t_Parts[[#This Row],[ha2016.FY]]</f>
        <v>0</v>
      </c>
      <c r="EN11" s="51">
        <f>t_Parts[[#This Row],[hp2017]]/t_Parts[[#This Row],[ha2017]]</f>
        <v>0</v>
      </c>
      <c r="EO11" s="51">
        <f>t_Parts[[#This Row],[hp2018]]/t_Parts[[#This Row],[ha2018]]</f>
        <v>0</v>
      </c>
      <c r="EP11" s="51">
        <f>t_Parts[[#This Row],[hp2019]]/t_Parts[[#This Row],[hp2015.01]]</f>
        <v>0</v>
      </c>
      <c r="EQ11" s="62">
        <f>(t_Parts[[#This Row],[ha2015.01]]-t_Parts[[#This Row],[hp2015.01]])*t_Parts[[NetPPH]:[NetPPH]]</f>
        <v>319362.42647058825</v>
      </c>
      <c r="ER11" s="62">
        <f>(t_Parts[[#This Row],[ha2015.02]]-t_Parts[[#This Row],[hp2015.02]])*t_Parts[[NetPPH]:[NetPPH]]</f>
        <v>332189.72352941177</v>
      </c>
      <c r="ES11" s="62">
        <f>(t_Parts[[#This Row],[ha2015.03]]-t_Parts[[#This Row],[hp2015.03]])*t_Parts[[NetPPH]:[NetPPH]]</f>
        <v>434808.1</v>
      </c>
      <c r="ET11" s="62">
        <f>(t_Parts[[#This Row],[ha2015.04]]-t_Parts[[#This Row],[hp2015.04]])*t_Parts[[NetPPH]:[NetPPH]]</f>
        <v>319362.42647058825</v>
      </c>
      <c r="EU11" s="62">
        <f>(t_Parts[[#This Row],[ha2015.05]]-t_Parts[[#This Row],[hp2015.05]])*t_Parts[[NetPPH]:[NetPPH]]</f>
        <v>332189.72352941177</v>
      </c>
      <c r="EV11" s="62">
        <f>(t_Parts[[#This Row],[ha2015.06]]-t_Parts[[#This Row],[hp2015.06]])*t_Parts[[NetPPH]:[NetPPH]]</f>
        <v>434808.1</v>
      </c>
      <c r="EW11" s="62">
        <f>(t_Parts[[#This Row],[ha2015.07]]-t_Parts[[#This Row],[hp2015.07]])*t_Parts[[NetPPH]:[NetPPH]]</f>
        <v>319362.42647058825</v>
      </c>
      <c r="EX11" s="62">
        <f>(t_Parts[[#This Row],[ha2015.08]]-t_Parts[[#This Row],[hp2015.08]])*t_Parts[[NetPPH]:[NetPPH]]</f>
        <v>332189.72352941177</v>
      </c>
      <c r="EY11" s="62">
        <f>(t_Parts[[#This Row],[ha2015.09]]-t_Parts[[#This Row],[hp2015.09]])*t_Parts[[NetPPH]:[NetPPH]]</f>
        <v>434808.1</v>
      </c>
      <c r="EZ11" s="62">
        <f>(t_Parts[[#This Row],[ha2015.10]]-t_Parts[[#This Row],[hp2015.10]])*t_Parts[[NetPPH]:[NetPPH]]</f>
        <v>319362.42647058825</v>
      </c>
      <c r="FA11" s="62">
        <f>(t_Parts[[#This Row],[ha2015.11]]-t_Parts[[#This Row],[hp2015.11]])*t_Parts[[NetPPH]:[NetPPH]]</f>
        <v>332189.72352941177</v>
      </c>
      <c r="FB11" s="62">
        <f>(t_Parts[[#This Row],[ha2015.12]]-t_Parts[[#This Row],[hp2015.12]])*t_Parts[[NetPPH]:[NetPPH]]</f>
        <v>434808.1</v>
      </c>
      <c r="FC11" s="62">
        <f>(t_Parts[[#This Row],[ha2015.FY]]-t_Parts[[#This Row],[hp2015.FY]])*t_Parts[[NetPPH]:[NetPPH]]</f>
        <v>4345441</v>
      </c>
      <c r="FD11" s="62">
        <f>(t_Parts[[#This Row],[ha2016.01]]-t_Parts[[#This Row],[hp2016.01]])*t_Parts[[NetPPH]:[NetPPH]]</f>
        <v>330000</v>
      </c>
      <c r="FE11" s="62">
        <f>(t_Parts[[#This Row],[ha2016.02]]-t_Parts[[#This Row],[hp2016.02]])*t_Parts[[NetPPH]:[NetPPH]]</f>
        <v>316800</v>
      </c>
      <c r="FF11" s="62">
        <f>(t_Parts[[#This Row],[ha2016.03]]-t_Parts[[#This Row],[hp2016.03]])*t_Parts[[NetPPH]:[NetPPH]]</f>
        <v>448800</v>
      </c>
      <c r="FG11" s="62">
        <f>(t_Parts[[#This Row],[ha2016.04]]-t_Parts[[#This Row],[hp2016.04]])*t_Parts[[NetPPH]:[NetPPH]]</f>
        <v>330000</v>
      </c>
      <c r="FH11" s="62">
        <f>(t_Parts[[#This Row],[ha2016.05]]-t_Parts[[#This Row],[hp2016.05]])*t_Parts[[NetPPH]:[NetPPH]]</f>
        <v>343200</v>
      </c>
      <c r="FI11" s="62">
        <f>(t_Parts[[#This Row],[ha2016.06]]-t_Parts[[#This Row],[hp2016.06]])*t_Parts[[NetPPH]:[NetPPH]]</f>
        <v>448800</v>
      </c>
      <c r="FJ11" s="62">
        <f>(t_Parts[[#This Row],[ha2016.07]]-t_Parts[[#This Row],[hp2016.07]])*t_Parts[[NetPPH]:[NetPPH]]</f>
        <v>330000</v>
      </c>
      <c r="FK11" s="62">
        <f>(t_Parts[[#This Row],[ha2016.08]]-t_Parts[[#This Row],[hp2016.08]])*t_Parts[[NetPPH]:[NetPPH]]</f>
        <v>343200</v>
      </c>
      <c r="FL11" s="62">
        <f>(t_Parts[[#This Row],[ha2016.09]]-t_Parts[[#This Row],[hp2016.09]])*t_Parts[[NetPPH]:[NetPPH]]</f>
        <v>448800</v>
      </c>
      <c r="FM11" s="62">
        <f>(t_Parts[[#This Row],[ha2016.10]]-t_Parts[[#This Row],[hp2016.10]])*t_Parts[[NetPPH]:[NetPPH]]</f>
        <v>330000</v>
      </c>
      <c r="FN11" s="62">
        <f>(t_Parts[[#This Row],[ha2016.11]]-t_Parts[[#This Row],[hp2016.11]])*t_Parts[[NetPPH]:[NetPPH]]</f>
        <v>290400</v>
      </c>
      <c r="FO11" s="62">
        <f>(t_Parts[[#This Row],[ha2016.12]]-t_Parts[[#This Row],[hp2016.12]])*t_Parts[[NetPPH]:[NetPPH]]</f>
        <v>396000</v>
      </c>
      <c r="FP11" s="62">
        <f>(t_Parts[[#This Row],[ha2016.FY]]-t_Parts[[#This Row],[hp2016.FY]])*t_Parts[[NetPPH]:[NetPPH]]</f>
        <v>4356000</v>
      </c>
      <c r="FQ11" s="62">
        <f>(t_Parts[[#This Row],[ha2017]]-t_Parts[[#This Row],[hp2017]])*t_Parts[[NetPPH]:[NetPPH]]</f>
        <v>4356000</v>
      </c>
      <c r="FR11" s="62">
        <f>(t_Parts[[#This Row],[ha2018]]-t_Parts[[#This Row],[hp2018]])*t_Parts[[NetPPH]:[NetPPH]]</f>
        <v>4356000</v>
      </c>
      <c r="FS11" s="62">
        <f>(t_Parts[[#This Row],[ha2019]]-t_Parts[[#This Row],[hp2019]])*t_Parts[[NetPPH]:[NetPPH]]</f>
        <v>4356000</v>
      </c>
    </row>
    <row r="12" spans="1:175" s="14" customFormat="1" x14ac:dyDescent="0.25">
      <c r="A12" s="78" t="s">
        <v>171</v>
      </c>
      <c r="B12" s="78">
        <v>21014</v>
      </c>
      <c r="C12" s="79">
        <v>1</v>
      </c>
      <c r="D12" s="77">
        <v>2400</v>
      </c>
      <c r="E12" s="80">
        <v>1</v>
      </c>
      <c r="F12" s="81">
        <v>2</v>
      </c>
      <c r="G12" s="79" t="s">
        <v>16</v>
      </c>
      <c r="H12" s="79" t="s">
        <v>94</v>
      </c>
      <c r="I12" s="77">
        <v>54221</v>
      </c>
      <c r="J12" s="77"/>
      <c r="K12" s="77"/>
      <c r="L12" s="77"/>
      <c r="M12" s="77"/>
      <c r="N12" s="77"/>
      <c r="O12" s="77"/>
      <c r="P12" s="80"/>
      <c r="Q12" s="80"/>
      <c r="R12" s="77"/>
      <c r="S12" s="81"/>
      <c r="T12" s="78"/>
      <c r="U12" s="82"/>
      <c r="V12" s="79"/>
      <c r="W12" s="14" t="str">
        <f>VLOOKUP(t_Parts[[#This Row],[Press]],t_Presses[],Press!B$1,FALSE)</f>
        <v>Plainfield</v>
      </c>
      <c r="X12" s="14" t="str">
        <f>VLOOKUP(t_Parts[[#This Row],[Press]],t_Presses[],Press!E$1,FALSE)</f>
        <v>300-599</v>
      </c>
      <c r="Y12" s="51">
        <f>VLOOKUP(t_Parts[[#This Row],[Plant]],t_Plants[],Plants!C$1,FALSE)</f>
        <v>0.55000000000000004</v>
      </c>
      <c r="Z12" s="51">
        <f>VLOOKUP(t_Parts[[#This Row],[Press]],t_Presses[],Press!F$1,FALSE)</f>
        <v>0</v>
      </c>
      <c r="AA12" s="88"/>
      <c r="AB12" s="51">
        <f>IF(ISBLANK(t_Parts[[#This Row],[PartOEE]])=FALSE,t_Parts[[#This Row],[PartOEE]], IF(t_Parts[[#This Row],[PressOEE]]&gt;0, t_Parts[[#This Row],[PressOEE]], t_Parts[[#This Row],[PlantOEE]] ))</f>
        <v>0.55000000000000004</v>
      </c>
      <c r="AC12" s="74">
        <f>t_Parts[[#This Row],[SetupsPerMo]]*t_Parts[[#This Row],[SetupHrs]]</f>
        <v>2</v>
      </c>
      <c r="AD12" s="43">
        <f>(t_Parts[[#This Row],[UnitsPerCycle]]*t_Parts[[#This Row],[CyclesPerHr]])*t_Parts[[#This Row],[UseOEE]]</f>
        <v>1320</v>
      </c>
      <c r="AE12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3986.8382352941176</v>
      </c>
      <c r="AF12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4146.3117647058825</v>
      </c>
      <c r="AG12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5422.0999999999995</v>
      </c>
      <c r="AH12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3986.8382352941176</v>
      </c>
      <c r="AI12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4146.3117647058825</v>
      </c>
      <c r="AJ12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5422.0999999999995</v>
      </c>
      <c r="AK12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3986.8382352941176</v>
      </c>
      <c r="AL12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4146.3117647058825</v>
      </c>
      <c r="AM12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5422.0999999999995</v>
      </c>
      <c r="AN12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3986.8382352941176</v>
      </c>
      <c r="AO12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4146.3117647058825</v>
      </c>
      <c r="AP12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5422.0999999999995</v>
      </c>
      <c r="AQ12" s="43">
        <f>SUM(t_Parts[[#This Row],[pv2015.01]:[pv2015.12]])</f>
        <v>54221</v>
      </c>
      <c r="AR12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2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2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2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2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2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2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2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2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2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2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2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2" s="43">
        <f>SUM(t_Parts[[#This Row],[pv2016.01]:[pv2016.12]])</f>
        <v>0</v>
      </c>
      <c r="BE12" s="43">
        <f>t_Parts[[#This Row],[2017vol]]</f>
        <v>0</v>
      </c>
      <c r="BF12" s="43">
        <f>t_Parts[[#This Row],[2018vol]]</f>
        <v>0</v>
      </c>
      <c r="BG12" s="43">
        <f>t_Parts[[#This Row],[2019vol]]</f>
        <v>0</v>
      </c>
      <c r="BH12" s="14">
        <f>VLOOKUP(t_Parts[[Plant]:[Plant]],t_Plants[],Plants!CM$1,FALSE)</f>
        <v>250</v>
      </c>
      <c r="BI12" s="14">
        <f>VLOOKUP(t_Parts[[Plant]:[Plant]],t_Plants[],Plants!CN$1,FALSE)</f>
        <v>260</v>
      </c>
      <c r="BJ12" s="14">
        <f>VLOOKUP(t_Parts[[Plant]:[Plant]],t_Plants[],Plants!CO$1,FALSE)</f>
        <v>340</v>
      </c>
      <c r="BK12" s="14">
        <f>VLOOKUP(t_Parts[[Plant]:[Plant]],t_Plants[],Plants!CP$1,FALSE)</f>
        <v>250</v>
      </c>
      <c r="BL12" s="14">
        <f>VLOOKUP(t_Parts[[Plant]:[Plant]],t_Plants[],Plants!CQ$1,FALSE)</f>
        <v>260</v>
      </c>
      <c r="BM12" s="14">
        <f>VLOOKUP(t_Parts[[Plant]:[Plant]],t_Plants[],Plants!CR$1,FALSE)</f>
        <v>340</v>
      </c>
      <c r="BN12" s="14">
        <f>VLOOKUP(t_Parts[[Plant]:[Plant]],t_Plants[],Plants!CS$1,FALSE)</f>
        <v>250</v>
      </c>
      <c r="BO12" s="14">
        <f>VLOOKUP(t_Parts[[Plant]:[Plant]],t_Plants[],Plants!CT$1,FALSE)</f>
        <v>260</v>
      </c>
      <c r="BP12" s="14">
        <f>VLOOKUP(t_Parts[[Plant]:[Plant]],t_Plants[],Plants!CU$1,FALSE)</f>
        <v>340</v>
      </c>
      <c r="BQ12" s="14">
        <f>VLOOKUP(t_Parts[[Plant]:[Plant]],t_Plants[],Plants!CV$1,FALSE)</f>
        <v>250</v>
      </c>
      <c r="BR12" s="14">
        <f>VLOOKUP(t_Parts[[Plant]:[Plant]],t_Plants[],Plants!CW$1,FALSE)</f>
        <v>260</v>
      </c>
      <c r="BS12" s="14">
        <f>VLOOKUP(t_Parts[[Plant]:[Plant]],t_Plants[],Plants!CX$1,FALSE)</f>
        <v>340</v>
      </c>
      <c r="BT12" s="14">
        <f>SUM(t_Parts[[#This Row],[ha2015.01]:[ha2015.12]])</f>
        <v>3400</v>
      </c>
      <c r="BU12" s="14">
        <f>VLOOKUP(t_Parts[[Plant]:[Plant]],t_Plants[],Plants!CZ$1,FALSE)</f>
        <v>250</v>
      </c>
      <c r="BV12" s="14">
        <f>VLOOKUP(t_Parts[[Plant]:[Plant]],t_Plants[],Plants!DA$1,FALSE)</f>
        <v>240</v>
      </c>
      <c r="BW12" s="14">
        <f>VLOOKUP(t_Parts[[Plant]:[Plant]],t_Plants[],Plants!DB$1,FALSE)</f>
        <v>340</v>
      </c>
      <c r="BX12" s="14">
        <f>VLOOKUP(t_Parts[[Plant]:[Plant]],t_Plants[],Plants!DC$1,FALSE)</f>
        <v>250</v>
      </c>
      <c r="BY12" s="14">
        <f>VLOOKUP(t_Parts[[Plant]:[Plant]],t_Plants[],Plants!DD$1,FALSE)</f>
        <v>260</v>
      </c>
      <c r="BZ12" s="14">
        <f>VLOOKUP(t_Parts[[Plant]:[Plant]],t_Plants[],Plants!DE$1,FALSE)</f>
        <v>340</v>
      </c>
      <c r="CA12" s="14">
        <f>VLOOKUP(t_Parts[[Plant]:[Plant]],t_Plants[],Plants!DF$1,FALSE)</f>
        <v>250</v>
      </c>
      <c r="CB12" s="14">
        <f>VLOOKUP(t_Parts[[Plant]:[Plant]],t_Plants[],Plants!DG$1,FALSE)</f>
        <v>260</v>
      </c>
      <c r="CC12" s="14">
        <f>VLOOKUP(t_Parts[[Plant]:[Plant]],t_Plants[],Plants!DH$1,FALSE)</f>
        <v>340</v>
      </c>
      <c r="CD12" s="14">
        <f>VLOOKUP(t_Parts[[Plant]:[Plant]],t_Plants[],Plants!DI$1,FALSE)</f>
        <v>250</v>
      </c>
      <c r="CE12" s="14">
        <f>VLOOKUP(t_Parts[[Plant]:[Plant]],t_Plants[],Plants!DJ$1,FALSE)</f>
        <v>220</v>
      </c>
      <c r="CF12" s="14">
        <f>VLOOKUP(t_Parts[[Plant]:[Plant]],t_Plants[],Plants!DK$1,FALSE)</f>
        <v>300</v>
      </c>
      <c r="CG12" s="14">
        <f>VLOOKUP(t_Parts[[Plant]:[Plant]],t_Plants[],Plants!DL$1,FALSE)</f>
        <v>3300</v>
      </c>
      <c r="CH12" s="14">
        <f>VLOOKUP(t_Parts[[Plant]:[Plant]],t_Plants[],Plants!DM$1,FALSE)</f>
        <v>3300</v>
      </c>
      <c r="CI12" s="14">
        <f>VLOOKUP(t_Parts[[Plant]:[Plant]],t_Plants[],Plants!DN$1,FALSE)</f>
        <v>3300</v>
      </c>
      <c r="CJ12" s="14">
        <f>VLOOKUP(t_Parts[[Plant]:[Plant]],t_Plants[],Plants!DO$1,FALSE)</f>
        <v>3300</v>
      </c>
      <c r="CK12" s="43">
        <f>IF(AND(AE$3&gt;=VALUE(t_Parts[[SOP]:[SOP]]),AE$3&lt;=VALUE(t_Parts[[EOP]:[EOP]])), t_Parts[[SetupHrsPerMo]:[SetupHrsPerMo]]+(t_Parts[[#This Row],[pv2015.01]]/t_Parts[[NetPPH]:[NetPPH]]),0)</f>
        <v>5.0203319964349378</v>
      </c>
      <c r="CL12" s="43">
        <f>IF(AND(AF$3&gt;=VALUE(t_Parts[[SOP]:[SOP]]),AF$3&lt;=VALUE(t_Parts[[EOP]:[EOP]])), t_Parts[[SetupHrsPerMo]:[SetupHrsPerMo]]+(t_Parts[[#This Row],[pv2015.02]]/t_Parts[[NetPPH]:[NetPPH]]),0)</f>
        <v>5.1411452762923346</v>
      </c>
      <c r="CM12" s="43">
        <f>IF(AND(AG$3&gt;=VALUE(t_Parts[[SOP]:[SOP]]),AG$3&lt;=VALUE(t_Parts[[EOP]:[EOP]])), t_Parts[[SetupHrsPerMo]:[SetupHrsPerMo]]+(t_Parts[[#This Row],[pv2015.03]]/t_Parts[[NetPPH]:[NetPPH]]),0)</f>
        <v>6.1076515151515149</v>
      </c>
      <c r="CN12" s="43">
        <f>IF(AND(AH$3&gt;=VALUE(t_Parts[[SOP]:[SOP]]),AH$3&lt;=VALUE(t_Parts[[EOP]:[EOP]])), t_Parts[[SetupHrsPerMo]:[SetupHrsPerMo]]+(t_Parts[[#This Row],[pv2015.04]]/t_Parts[[NetPPH]:[NetPPH]]),0)</f>
        <v>5.0203319964349378</v>
      </c>
      <c r="CO12" s="43">
        <f>IF(AND(AI$3&gt;=VALUE(t_Parts[[SOP]:[SOP]]),AI$3&lt;=VALUE(t_Parts[[EOP]:[EOP]])), t_Parts[[SetupHrsPerMo]:[SetupHrsPerMo]]+(t_Parts[[#This Row],[pv2015.05]]/t_Parts[[NetPPH]:[NetPPH]]),0)</f>
        <v>5.1411452762923346</v>
      </c>
      <c r="CP12" s="43">
        <f>IF(AND(AJ$3&gt;=VALUE(t_Parts[[SOP]:[SOP]]),AJ$3&lt;=VALUE(t_Parts[[EOP]:[EOP]])), t_Parts[[SetupHrsPerMo]:[SetupHrsPerMo]]+(t_Parts[[#This Row],[pv2015.06]]/t_Parts[[NetPPH]:[NetPPH]]),0)</f>
        <v>6.1076515151515149</v>
      </c>
      <c r="CQ12" s="43">
        <f>IF(AND(AK$3&gt;=VALUE(t_Parts[[SOP]:[SOP]]),AK$3&lt;=VALUE(t_Parts[[EOP]:[EOP]])), t_Parts[[SetupHrsPerMo]:[SetupHrsPerMo]]+(t_Parts[[#This Row],[pv2015.07]]/t_Parts[[NetPPH]:[NetPPH]]),0)</f>
        <v>5.0203319964349378</v>
      </c>
      <c r="CR12" s="43">
        <f>IF(AND(AL$3&gt;=VALUE(t_Parts[[SOP]:[SOP]]),AL$3&lt;=VALUE(t_Parts[[EOP]:[EOP]])), t_Parts[[SetupHrsPerMo]:[SetupHrsPerMo]]+(t_Parts[[#This Row],[pv2015.08]]/t_Parts[[NetPPH]:[NetPPH]]),0)</f>
        <v>5.1411452762923346</v>
      </c>
      <c r="CS12" s="43">
        <f>IF(AND(AM$3&gt;=VALUE(t_Parts[[SOP]:[SOP]]),AM$3&lt;=VALUE(t_Parts[[EOP]:[EOP]])), t_Parts[[SetupHrsPerMo]:[SetupHrsPerMo]]+(t_Parts[[#This Row],[pv2015.09]]/t_Parts[[NetPPH]:[NetPPH]]),0)</f>
        <v>6.1076515151515149</v>
      </c>
      <c r="CT12" s="43">
        <f>IF(AND(AN$3&gt;=VALUE(t_Parts[[SOP]:[SOP]]),AN$3&lt;=VALUE(t_Parts[[EOP]:[EOP]])), t_Parts[[SetupHrsPerMo]:[SetupHrsPerMo]]+(t_Parts[[#This Row],[pv2015.10]]/t_Parts[[NetPPH]:[NetPPH]]),0)</f>
        <v>5.0203319964349378</v>
      </c>
      <c r="CU12" s="43">
        <f>IF(AND(AO$3&gt;=VALUE(t_Parts[[SOP]:[SOP]]),AO$3&lt;=VALUE(t_Parts[[EOP]:[EOP]])), t_Parts[[SetupHrsPerMo]:[SetupHrsPerMo]]+(t_Parts[[#This Row],[pv2015.11]]/t_Parts[[NetPPH]:[NetPPH]]),0)</f>
        <v>5.1411452762923346</v>
      </c>
      <c r="CV12" s="43">
        <f>IF(AND(AP$3&gt;=VALUE(t_Parts[[SOP]:[SOP]]),AP$3&lt;=VALUE(t_Parts[[EOP]:[EOP]])), t_Parts[[SetupHrsPerMo]:[SetupHrsPerMo]]+(t_Parts[[#This Row],[pv2015.12]]/t_Parts[[NetPPH]:[NetPPH]]),0)</f>
        <v>6.1076515151515149</v>
      </c>
      <c r="CW12" s="43">
        <f>SUM(t_Parts[[#This Row],[hp2015.01]:[hp2015.12]])</f>
        <v>65.076515151515153</v>
      </c>
      <c r="CX12" s="43">
        <f>IF(AND(AR$3&gt;=VALUE(t_Parts[[SOP]:[SOP]]),AR$3&lt;=VALUE(t_Parts[[EOP]:[EOP]])), t_Parts[[SetupHrsPerMo]:[SetupHrsPerMo]]+(t_Parts[[#This Row],[pv2016.01]]/t_Parts[[NetPPH]:[NetPPH]]),0)</f>
        <v>0</v>
      </c>
      <c r="CY12" s="43">
        <f>IF(AND(AS$3&gt;=VALUE(t_Parts[[SOP]:[SOP]]),AS$3&lt;=VALUE(t_Parts[[EOP]:[EOP]])), t_Parts[[SetupHrsPerMo]:[SetupHrsPerMo]]+(t_Parts[[#This Row],[pv2016.02]]/t_Parts[[NetPPH]:[NetPPH]]),0)</f>
        <v>0</v>
      </c>
      <c r="CZ12" s="43">
        <f>IF(AND(AT$3&gt;=VALUE(t_Parts[[SOP]:[SOP]]),AT$3&lt;=VALUE(t_Parts[[EOP]:[EOP]])), t_Parts[[SetupHrsPerMo]:[SetupHrsPerMo]]+(t_Parts[[#This Row],[pv2016.03]]/t_Parts[[NetPPH]:[NetPPH]]),0)</f>
        <v>0</v>
      </c>
      <c r="DA12" s="43">
        <f>IF(AND(AU$3&gt;=VALUE(t_Parts[[SOP]:[SOP]]),AU$3&lt;=VALUE(t_Parts[[EOP]:[EOP]])), t_Parts[[SetupHrsPerMo]:[SetupHrsPerMo]]+(t_Parts[[#This Row],[pv2016.04]]/t_Parts[[NetPPH]:[NetPPH]]),0)</f>
        <v>0</v>
      </c>
      <c r="DB12" s="43">
        <f>IF(AND(AV$3&gt;=VALUE(t_Parts[[SOP]:[SOP]]),AV$3&lt;=VALUE(t_Parts[[EOP]:[EOP]])), t_Parts[[SetupHrsPerMo]:[SetupHrsPerMo]]+(t_Parts[[#This Row],[pv2016.05]]/t_Parts[[NetPPH]:[NetPPH]]),0)</f>
        <v>0</v>
      </c>
      <c r="DC12" s="43">
        <f>IF(AND(AW$3&gt;=VALUE(t_Parts[[SOP]:[SOP]]),AW$3&lt;=VALUE(t_Parts[[EOP]:[EOP]])), t_Parts[[SetupHrsPerMo]:[SetupHrsPerMo]]+(t_Parts[[#This Row],[pv2016.06]]/t_Parts[[NetPPH]:[NetPPH]]),0)</f>
        <v>0</v>
      </c>
      <c r="DD12" s="43">
        <f>IF(AND(AX$3&gt;=VALUE(t_Parts[[SOP]:[SOP]]),AX$3&lt;=VALUE(t_Parts[[EOP]:[EOP]])), t_Parts[[SetupHrsPerMo]:[SetupHrsPerMo]]+(t_Parts[[#This Row],[pv2016.07]]/t_Parts[[NetPPH]:[NetPPH]]),0)</f>
        <v>0</v>
      </c>
      <c r="DE12" s="43">
        <f>IF(AND(AY$3&gt;=VALUE(t_Parts[[SOP]:[SOP]]),AY$3&lt;=VALUE(t_Parts[[EOP]:[EOP]])), t_Parts[[SetupHrsPerMo]:[SetupHrsPerMo]]+(t_Parts[[#This Row],[pv2016.08]]/t_Parts[[NetPPH]:[NetPPH]]),0)</f>
        <v>0</v>
      </c>
      <c r="DF12" s="43">
        <f>IF(AND(AZ$3&gt;=VALUE(t_Parts[[SOP]:[SOP]]),AZ$3&lt;=VALUE(t_Parts[[EOP]:[EOP]])), t_Parts[[SetupHrsPerMo]:[SetupHrsPerMo]]+(t_Parts[[#This Row],[pv2016.09]]/t_Parts[[NetPPH]:[NetPPH]]),0)</f>
        <v>0</v>
      </c>
      <c r="DG12" s="43">
        <f>IF(AND(BA$3&gt;=VALUE(t_Parts[[SOP]:[SOP]]),BA$3&lt;=VALUE(t_Parts[[EOP]:[EOP]])), t_Parts[[SetupHrsPerMo]:[SetupHrsPerMo]]+(t_Parts[[#This Row],[pv2016.10]]/t_Parts[[NetPPH]:[NetPPH]]),0)</f>
        <v>0</v>
      </c>
      <c r="DH12" s="43">
        <f>IF(AND(BB$3&gt;=VALUE(t_Parts[[SOP]:[SOP]]),BB$3&lt;=VALUE(t_Parts[[EOP]:[EOP]])), t_Parts[[SetupHrsPerMo]:[SetupHrsPerMo]]+(t_Parts[[#This Row],[pv2016.11]]/t_Parts[[NetPPH]:[NetPPH]]),0)</f>
        <v>0</v>
      </c>
      <c r="DI12" s="43">
        <f>IF(AND(BC$3&gt;=VALUE(t_Parts[[SOP]:[SOP]]),BC$3&lt;=VALUE(t_Parts[[EOP]:[EOP]])), t_Parts[[SetupHrsPerMo]:[SetupHrsPerMo]]+(t_Parts[[#This Row],[pv2016.12]]/t_Parts[[NetPPH]:[NetPPH]]),0)</f>
        <v>0</v>
      </c>
      <c r="DJ12" s="43">
        <f>SUM(t_Parts[[#This Row],[hp2016.01]:[hp2016.12]])</f>
        <v>0</v>
      </c>
      <c r="DK12" s="43">
        <f>IF(AND(BE$3&gt;=VALUE(t_Parts[[SOP]:[SOP]]),BE$3&lt;=VALUE(t_Parts[[EOP]:[EOP]])), 12*t_Parts[[SetupHrsPerMo]:[SetupHrsPerMo]]+(t_Parts[[#This Row],[pv2017]]/t_Parts[[NetPPH]:[NetPPH]]),0)</f>
        <v>0</v>
      </c>
      <c r="DL12" s="43">
        <f>IF(AND(BF$3&gt;=VALUE(t_Parts[[SOP]:[SOP]]),BF$3&lt;=VALUE(t_Parts[[EOP]:[EOP]])), 12*t_Parts[[SetupHrsPerMo]:[SetupHrsPerMo]]+(t_Parts[[#This Row],[pv2018]]/t_Parts[[NetPPH]:[NetPPH]]),0)</f>
        <v>0</v>
      </c>
      <c r="DM12" s="43">
        <f>IF(AND(BG$3&gt;=VALUE(t_Parts[[SOP]:[SOP]]),BG$3&lt;=VALUE(t_Parts[[EOP]:[EOP]])), 12*t_Parts[[SetupHrsPerMo]:[SetupHrsPerMo]]+(t_Parts[[#This Row],[pv2019]]/t_Parts[[NetPPH]:[NetPPH]]),0)</f>
        <v>0</v>
      </c>
      <c r="DN12" s="51">
        <f>t_Parts[[#This Row],[hp2015.01]]/t_Parts[[#This Row],[ha2015.01]]</f>
        <v>2.008132798573975E-2</v>
      </c>
      <c r="DO12" s="51">
        <f>t_Parts[[#This Row],[hp2015.02]]/t_Parts[[#This Row],[ha2015.02]]</f>
        <v>1.9773635678047442E-2</v>
      </c>
      <c r="DP12" s="51">
        <f>t_Parts[[#This Row],[hp2015.03]]/t_Parts[[#This Row],[ha2015.03]]</f>
        <v>1.796368092691622E-2</v>
      </c>
      <c r="DQ12" s="51">
        <f>t_Parts[[#This Row],[hp2015.04]]/t_Parts[[#This Row],[ha2015.04]]</f>
        <v>2.008132798573975E-2</v>
      </c>
      <c r="DR12" s="51">
        <f>t_Parts[[#This Row],[hp2015.05]]/t_Parts[[#This Row],[ha2015.05]]</f>
        <v>1.9773635678047442E-2</v>
      </c>
      <c r="DS12" s="51">
        <f>t_Parts[[#This Row],[hp2015.06]]/t_Parts[[#This Row],[ha2015.06]]</f>
        <v>1.796368092691622E-2</v>
      </c>
      <c r="DT12" s="51">
        <f>t_Parts[[#This Row],[hp2015.07]]/t_Parts[[#This Row],[ha2015.07]]</f>
        <v>2.008132798573975E-2</v>
      </c>
      <c r="DU12" s="51">
        <f>t_Parts[[#This Row],[hp2015.08]]/t_Parts[[#This Row],[ha2015.08]]</f>
        <v>1.9773635678047442E-2</v>
      </c>
      <c r="DV12" s="51">
        <f>t_Parts[[#This Row],[hp2015.09]]/t_Parts[[#This Row],[ha2015.09]]</f>
        <v>1.796368092691622E-2</v>
      </c>
      <c r="DW12" s="51">
        <f>t_Parts[[#This Row],[hp2015.10]]/t_Parts[[#This Row],[ha2015.10]]</f>
        <v>2.008132798573975E-2</v>
      </c>
      <c r="DX12" s="51">
        <f>t_Parts[[#This Row],[hp2015.11]]/t_Parts[[#This Row],[ha2015.11]]</f>
        <v>1.9773635678047442E-2</v>
      </c>
      <c r="DY12" s="51">
        <f>t_Parts[[#This Row],[hp2015.12]]/t_Parts[[#This Row],[ha2015.12]]</f>
        <v>1.796368092691622E-2</v>
      </c>
      <c r="DZ12" s="51">
        <f>t_Parts[[#This Row],[hp2015.FY]]/t_Parts[[#This Row],[ha2015.FY]]</f>
        <v>1.9140151515151516E-2</v>
      </c>
      <c r="EA12" s="51">
        <f>t_Parts[[#This Row],[hp2016.01]]/t_Parts[[#This Row],[ha2016.01]]</f>
        <v>0</v>
      </c>
      <c r="EB12" s="51">
        <f>t_Parts[[#This Row],[hp2016.02]]/t_Parts[[#This Row],[ha2016.02]]</f>
        <v>0</v>
      </c>
      <c r="EC12" s="51">
        <f>t_Parts[[#This Row],[hp2016.03]]/t_Parts[[#This Row],[ha2016.03]]</f>
        <v>0</v>
      </c>
      <c r="ED12" s="51">
        <f>t_Parts[[#This Row],[hp2016.04]]/t_Parts[[#This Row],[ha2016.04]]</f>
        <v>0</v>
      </c>
      <c r="EE12" s="51">
        <f>t_Parts[[#This Row],[hp2016.05]]/t_Parts[[#This Row],[ha2016.05]]</f>
        <v>0</v>
      </c>
      <c r="EF12" s="51">
        <f>t_Parts[[#This Row],[hp2016.06]]/t_Parts[[#This Row],[ha2016.06]]</f>
        <v>0</v>
      </c>
      <c r="EG12" s="51">
        <f>t_Parts[[#This Row],[hp2016.07]]/t_Parts[[#This Row],[ha2016.07]]</f>
        <v>0</v>
      </c>
      <c r="EH12" s="51">
        <f>t_Parts[[#This Row],[hp2016.08]]/t_Parts[[#This Row],[ha2016.08]]</f>
        <v>0</v>
      </c>
      <c r="EI12" s="51">
        <f>t_Parts[[#This Row],[hp2016.09]]/t_Parts[[#This Row],[ha2016.09]]</f>
        <v>0</v>
      </c>
      <c r="EJ12" s="51">
        <f>t_Parts[[#This Row],[hp2016.10]]/t_Parts[[#This Row],[ha2016.10]]</f>
        <v>0</v>
      </c>
      <c r="EK12" s="51">
        <f>t_Parts[[#This Row],[hp2016.11]]/t_Parts[[#This Row],[ha2016.11]]</f>
        <v>0</v>
      </c>
      <c r="EL12" s="51">
        <f>t_Parts[[#This Row],[hp2016.12]]/t_Parts[[#This Row],[ha2016.12]]</f>
        <v>0</v>
      </c>
      <c r="EM12" s="51">
        <f>t_Parts[[#This Row],[hp2016.FY]]/t_Parts[[#This Row],[ha2016.FY]]</f>
        <v>0</v>
      </c>
      <c r="EN12" s="51">
        <f>t_Parts[[#This Row],[hp2017]]/t_Parts[[#This Row],[ha2017]]</f>
        <v>0</v>
      </c>
      <c r="EO12" s="51">
        <f>t_Parts[[#This Row],[hp2018]]/t_Parts[[#This Row],[ha2018]]</f>
        <v>0</v>
      </c>
      <c r="EP12" s="51">
        <f>t_Parts[[#This Row],[hp2019]]/t_Parts[[#This Row],[hp2015.01]]</f>
        <v>0</v>
      </c>
      <c r="EQ12" s="62">
        <f>(t_Parts[[#This Row],[ha2015.01]]-t_Parts[[#This Row],[hp2015.01]])*t_Parts[[NetPPH]:[NetPPH]]</f>
        <v>323373.16176470584</v>
      </c>
      <c r="ER12" s="62">
        <f>(t_Parts[[#This Row],[ha2015.02]]-t_Parts[[#This Row],[hp2015.02]])*t_Parts[[NetPPH]:[NetPPH]]</f>
        <v>336413.68823529413</v>
      </c>
      <c r="ES12" s="62">
        <f>(t_Parts[[#This Row],[ha2015.03]]-t_Parts[[#This Row],[hp2015.03]])*t_Parts[[NetPPH]:[NetPPH]]</f>
        <v>440737.89999999997</v>
      </c>
      <c r="ET12" s="62">
        <f>(t_Parts[[#This Row],[ha2015.04]]-t_Parts[[#This Row],[hp2015.04]])*t_Parts[[NetPPH]:[NetPPH]]</f>
        <v>323373.16176470584</v>
      </c>
      <c r="EU12" s="62">
        <f>(t_Parts[[#This Row],[ha2015.05]]-t_Parts[[#This Row],[hp2015.05]])*t_Parts[[NetPPH]:[NetPPH]]</f>
        <v>336413.68823529413</v>
      </c>
      <c r="EV12" s="62">
        <f>(t_Parts[[#This Row],[ha2015.06]]-t_Parts[[#This Row],[hp2015.06]])*t_Parts[[NetPPH]:[NetPPH]]</f>
        <v>440737.89999999997</v>
      </c>
      <c r="EW12" s="62">
        <f>(t_Parts[[#This Row],[ha2015.07]]-t_Parts[[#This Row],[hp2015.07]])*t_Parts[[NetPPH]:[NetPPH]]</f>
        <v>323373.16176470584</v>
      </c>
      <c r="EX12" s="62">
        <f>(t_Parts[[#This Row],[ha2015.08]]-t_Parts[[#This Row],[hp2015.08]])*t_Parts[[NetPPH]:[NetPPH]]</f>
        <v>336413.68823529413</v>
      </c>
      <c r="EY12" s="62">
        <f>(t_Parts[[#This Row],[ha2015.09]]-t_Parts[[#This Row],[hp2015.09]])*t_Parts[[NetPPH]:[NetPPH]]</f>
        <v>440737.89999999997</v>
      </c>
      <c r="EZ12" s="62">
        <f>(t_Parts[[#This Row],[ha2015.10]]-t_Parts[[#This Row],[hp2015.10]])*t_Parts[[NetPPH]:[NetPPH]]</f>
        <v>323373.16176470584</v>
      </c>
      <c r="FA12" s="62">
        <f>(t_Parts[[#This Row],[ha2015.11]]-t_Parts[[#This Row],[hp2015.11]])*t_Parts[[NetPPH]:[NetPPH]]</f>
        <v>336413.68823529413</v>
      </c>
      <c r="FB12" s="62">
        <f>(t_Parts[[#This Row],[ha2015.12]]-t_Parts[[#This Row],[hp2015.12]])*t_Parts[[NetPPH]:[NetPPH]]</f>
        <v>440737.89999999997</v>
      </c>
      <c r="FC12" s="62">
        <f>(t_Parts[[#This Row],[ha2015.FY]]-t_Parts[[#This Row],[hp2015.FY]])*t_Parts[[NetPPH]:[NetPPH]]</f>
        <v>4402099</v>
      </c>
      <c r="FD12" s="62">
        <f>(t_Parts[[#This Row],[ha2016.01]]-t_Parts[[#This Row],[hp2016.01]])*t_Parts[[NetPPH]:[NetPPH]]</f>
        <v>330000</v>
      </c>
      <c r="FE12" s="62">
        <f>(t_Parts[[#This Row],[ha2016.02]]-t_Parts[[#This Row],[hp2016.02]])*t_Parts[[NetPPH]:[NetPPH]]</f>
        <v>316800</v>
      </c>
      <c r="FF12" s="62">
        <f>(t_Parts[[#This Row],[ha2016.03]]-t_Parts[[#This Row],[hp2016.03]])*t_Parts[[NetPPH]:[NetPPH]]</f>
        <v>448800</v>
      </c>
      <c r="FG12" s="62">
        <f>(t_Parts[[#This Row],[ha2016.04]]-t_Parts[[#This Row],[hp2016.04]])*t_Parts[[NetPPH]:[NetPPH]]</f>
        <v>330000</v>
      </c>
      <c r="FH12" s="62">
        <f>(t_Parts[[#This Row],[ha2016.05]]-t_Parts[[#This Row],[hp2016.05]])*t_Parts[[NetPPH]:[NetPPH]]</f>
        <v>343200</v>
      </c>
      <c r="FI12" s="62">
        <f>(t_Parts[[#This Row],[ha2016.06]]-t_Parts[[#This Row],[hp2016.06]])*t_Parts[[NetPPH]:[NetPPH]]</f>
        <v>448800</v>
      </c>
      <c r="FJ12" s="62">
        <f>(t_Parts[[#This Row],[ha2016.07]]-t_Parts[[#This Row],[hp2016.07]])*t_Parts[[NetPPH]:[NetPPH]]</f>
        <v>330000</v>
      </c>
      <c r="FK12" s="62">
        <f>(t_Parts[[#This Row],[ha2016.08]]-t_Parts[[#This Row],[hp2016.08]])*t_Parts[[NetPPH]:[NetPPH]]</f>
        <v>343200</v>
      </c>
      <c r="FL12" s="62">
        <f>(t_Parts[[#This Row],[ha2016.09]]-t_Parts[[#This Row],[hp2016.09]])*t_Parts[[NetPPH]:[NetPPH]]</f>
        <v>448800</v>
      </c>
      <c r="FM12" s="62">
        <f>(t_Parts[[#This Row],[ha2016.10]]-t_Parts[[#This Row],[hp2016.10]])*t_Parts[[NetPPH]:[NetPPH]]</f>
        <v>330000</v>
      </c>
      <c r="FN12" s="62">
        <f>(t_Parts[[#This Row],[ha2016.11]]-t_Parts[[#This Row],[hp2016.11]])*t_Parts[[NetPPH]:[NetPPH]]</f>
        <v>290400</v>
      </c>
      <c r="FO12" s="62">
        <f>(t_Parts[[#This Row],[ha2016.12]]-t_Parts[[#This Row],[hp2016.12]])*t_Parts[[NetPPH]:[NetPPH]]</f>
        <v>396000</v>
      </c>
      <c r="FP12" s="62">
        <f>(t_Parts[[#This Row],[ha2016.FY]]-t_Parts[[#This Row],[hp2016.FY]])*t_Parts[[NetPPH]:[NetPPH]]</f>
        <v>4356000</v>
      </c>
      <c r="FQ12" s="62">
        <f>(t_Parts[[#This Row],[ha2017]]-t_Parts[[#This Row],[hp2017]])*t_Parts[[NetPPH]:[NetPPH]]</f>
        <v>4356000</v>
      </c>
      <c r="FR12" s="62">
        <f>(t_Parts[[#This Row],[ha2018]]-t_Parts[[#This Row],[hp2018]])*t_Parts[[NetPPH]:[NetPPH]]</f>
        <v>4356000</v>
      </c>
      <c r="FS12" s="62">
        <f>(t_Parts[[#This Row],[ha2019]]-t_Parts[[#This Row],[hp2019]])*t_Parts[[NetPPH]:[NetPPH]]</f>
        <v>4356000</v>
      </c>
    </row>
    <row r="13" spans="1:175" s="14" customFormat="1" x14ac:dyDescent="0.25">
      <c r="A13" s="78" t="s">
        <v>168</v>
      </c>
      <c r="B13" s="78">
        <v>21013</v>
      </c>
      <c r="C13" s="79">
        <v>1</v>
      </c>
      <c r="D13" s="77">
        <v>3600</v>
      </c>
      <c r="E13" s="80">
        <v>1</v>
      </c>
      <c r="F13" s="81">
        <v>2</v>
      </c>
      <c r="G13" s="79" t="s">
        <v>16</v>
      </c>
      <c r="H13" s="79" t="s">
        <v>94</v>
      </c>
      <c r="I13" s="77">
        <v>18000</v>
      </c>
      <c r="J13" s="77"/>
      <c r="K13" s="77"/>
      <c r="L13" s="77"/>
      <c r="M13" s="77"/>
      <c r="N13" s="77"/>
      <c r="O13" s="77"/>
      <c r="P13" s="80"/>
      <c r="Q13" s="80"/>
      <c r="R13" s="77"/>
      <c r="S13" s="81"/>
      <c r="T13" s="78"/>
      <c r="U13" s="82"/>
      <c r="V13" s="79" t="s">
        <v>114</v>
      </c>
      <c r="W13" s="14" t="str">
        <f>VLOOKUP(t_Parts[[#This Row],[Press]],t_Presses[],Press!B$1,FALSE)</f>
        <v>Plainfield</v>
      </c>
      <c r="X13" s="14" t="str">
        <f>VLOOKUP(t_Parts[[#This Row],[Press]],t_Presses[],Press!E$1,FALSE)</f>
        <v>0-299</v>
      </c>
      <c r="Y13" s="51">
        <f>VLOOKUP(t_Parts[[#This Row],[Plant]],t_Plants[],Plants!C$1,FALSE)</f>
        <v>0.55000000000000004</v>
      </c>
      <c r="Z13" s="51">
        <f>VLOOKUP(t_Parts[[#This Row],[Press]],t_Presses[],Press!F$1,FALSE)</f>
        <v>0</v>
      </c>
      <c r="AA13" s="88"/>
      <c r="AB13" s="51">
        <f>IF(ISBLANK(t_Parts[[#This Row],[PartOEE]])=FALSE,t_Parts[[#This Row],[PartOEE]], IF(t_Parts[[#This Row],[PressOEE]]&gt;0, t_Parts[[#This Row],[PressOEE]], t_Parts[[#This Row],[PlantOEE]] ))</f>
        <v>0.55000000000000004</v>
      </c>
      <c r="AC13" s="74">
        <f>t_Parts[[#This Row],[SetupsPerMo]]*t_Parts[[#This Row],[SetupHrs]]</f>
        <v>2</v>
      </c>
      <c r="AD13" s="43">
        <f>(t_Parts[[#This Row],[UnitsPerCycle]]*t_Parts[[#This Row],[CyclesPerHr]])*t_Parts[[#This Row],[UseOEE]]</f>
        <v>1980.0000000000002</v>
      </c>
      <c r="AE13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1323.5294117647059</v>
      </c>
      <c r="AF13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1376.4705882352941</v>
      </c>
      <c r="AG13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1800</v>
      </c>
      <c r="AH13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1323.5294117647059</v>
      </c>
      <c r="AI13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1376.4705882352941</v>
      </c>
      <c r="AJ13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1800</v>
      </c>
      <c r="AK13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1323.5294117647059</v>
      </c>
      <c r="AL13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1376.4705882352941</v>
      </c>
      <c r="AM13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1800</v>
      </c>
      <c r="AN13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1323.5294117647059</v>
      </c>
      <c r="AO13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1376.4705882352941</v>
      </c>
      <c r="AP13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1800</v>
      </c>
      <c r="AQ13" s="43">
        <f>SUM(t_Parts[[#This Row],[pv2015.01]:[pv2015.12]])</f>
        <v>18000</v>
      </c>
      <c r="AR13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3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3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3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3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3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3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3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3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3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3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3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3" s="43">
        <f>SUM(t_Parts[[#This Row],[pv2016.01]:[pv2016.12]])</f>
        <v>0</v>
      </c>
      <c r="BE13" s="43">
        <f>t_Parts[[#This Row],[2017vol]]</f>
        <v>0</v>
      </c>
      <c r="BF13" s="43">
        <f>t_Parts[[#This Row],[2018vol]]</f>
        <v>0</v>
      </c>
      <c r="BG13" s="43">
        <f>t_Parts[[#This Row],[2019vol]]</f>
        <v>0</v>
      </c>
      <c r="BH13" s="14">
        <f>VLOOKUP(t_Parts[[Plant]:[Plant]],t_Plants[],Plants!CM$1,FALSE)</f>
        <v>250</v>
      </c>
      <c r="BI13" s="14">
        <f>VLOOKUP(t_Parts[[Plant]:[Plant]],t_Plants[],Plants!CN$1,FALSE)</f>
        <v>260</v>
      </c>
      <c r="BJ13" s="14">
        <f>VLOOKUP(t_Parts[[Plant]:[Plant]],t_Plants[],Plants!CO$1,FALSE)</f>
        <v>340</v>
      </c>
      <c r="BK13" s="14">
        <f>VLOOKUP(t_Parts[[Plant]:[Plant]],t_Plants[],Plants!CP$1,FALSE)</f>
        <v>250</v>
      </c>
      <c r="BL13" s="14">
        <f>VLOOKUP(t_Parts[[Plant]:[Plant]],t_Plants[],Plants!CQ$1,FALSE)</f>
        <v>260</v>
      </c>
      <c r="BM13" s="14">
        <f>VLOOKUP(t_Parts[[Plant]:[Plant]],t_Plants[],Plants!CR$1,FALSE)</f>
        <v>340</v>
      </c>
      <c r="BN13" s="14">
        <f>VLOOKUP(t_Parts[[Plant]:[Plant]],t_Plants[],Plants!CS$1,FALSE)</f>
        <v>250</v>
      </c>
      <c r="BO13" s="14">
        <f>VLOOKUP(t_Parts[[Plant]:[Plant]],t_Plants[],Plants!CT$1,FALSE)</f>
        <v>260</v>
      </c>
      <c r="BP13" s="14">
        <f>VLOOKUP(t_Parts[[Plant]:[Plant]],t_Plants[],Plants!CU$1,FALSE)</f>
        <v>340</v>
      </c>
      <c r="BQ13" s="14">
        <f>VLOOKUP(t_Parts[[Plant]:[Plant]],t_Plants[],Plants!CV$1,FALSE)</f>
        <v>250</v>
      </c>
      <c r="BR13" s="14">
        <f>VLOOKUP(t_Parts[[Plant]:[Plant]],t_Plants[],Plants!CW$1,FALSE)</f>
        <v>260</v>
      </c>
      <c r="BS13" s="14">
        <f>VLOOKUP(t_Parts[[Plant]:[Plant]],t_Plants[],Plants!CX$1,FALSE)</f>
        <v>340</v>
      </c>
      <c r="BT13" s="14">
        <f>SUM(t_Parts[[#This Row],[ha2015.01]:[ha2015.12]])</f>
        <v>3400</v>
      </c>
      <c r="BU13" s="14">
        <f>VLOOKUP(t_Parts[[Plant]:[Plant]],t_Plants[],Plants!CZ$1,FALSE)</f>
        <v>250</v>
      </c>
      <c r="BV13" s="14">
        <f>VLOOKUP(t_Parts[[Plant]:[Plant]],t_Plants[],Plants!DA$1,FALSE)</f>
        <v>240</v>
      </c>
      <c r="BW13" s="14">
        <f>VLOOKUP(t_Parts[[Plant]:[Plant]],t_Plants[],Plants!DB$1,FALSE)</f>
        <v>340</v>
      </c>
      <c r="BX13" s="14">
        <f>VLOOKUP(t_Parts[[Plant]:[Plant]],t_Plants[],Plants!DC$1,FALSE)</f>
        <v>250</v>
      </c>
      <c r="BY13" s="14">
        <f>VLOOKUP(t_Parts[[Plant]:[Plant]],t_Plants[],Plants!DD$1,FALSE)</f>
        <v>260</v>
      </c>
      <c r="BZ13" s="14">
        <f>VLOOKUP(t_Parts[[Plant]:[Plant]],t_Plants[],Plants!DE$1,FALSE)</f>
        <v>340</v>
      </c>
      <c r="CA13" s="14">
        <f>VLOOKUP(t_Parts[[Plant]:[Plant]],t_Plants[],Plants!DF$1,FALSE)</f>
        <v>250</v>
      </c>
      <c r="CB13" s="14">
        <f>VLOOKUP(t_Parts[[Plant]:[Plant]],t_Plants[],Plants!DG$1,FALSE)</f>
        <v>260</v>
      </c>
      <c r="CC13" s="14">
        <f>VLOOKUP(t_Parts[[Plant]:[Plant]],t_Plants[],Plants!DH$1,FALSE)</f>
        <v>340</v>
      </c>
      <c r="CD13" s="14">
        <f>VLOOKUP(t_Parts[[Plant]:[Plant]],t_Plants[],Plants!DI$1,FALSE)</f>
        <v>250</v>
      </c>
      <c r="CE13" s="14">
        <f>VLOOKUP(t_Parts[[Plant]:[Plant]],t_Plants[],Plants!DJ$1,FALSE)</f>
        <v>220</v>
      </c>
      <c r="CF13" s="14">
        <f>VLOOKUP(t_Parts[[Plant]:[Plant]],t_Plants[],Plants!DK$1,FALSE)</f>
        <v>300</v>
      </c>
      <c r="CG13" s="14">
        <f>VLOOKUP(t_Parts[[Plant]:[Plant]],t_Plants[],Plants!DL$1,FALSE)</f>
        <v>3300</v>
      </c>
      <c r="CH13" s="14">
        <f>VLOOKUP(t_Parts[[Plant]:[Plant]],t_Plants[],Plants!DM$1,FALSE)</f>
        <v>3300</v>
      </c>
      <c r="CI13" s="14">
        <f>VLOOKUP(t_Parts[[Plant]:[Plant]],t_Plants[],Plants!DN$1,FALSE)</f>
        <v>3300</v>
      </c>
      <c r="CJ13" s="14">
        <f>VLOOKUP(t_Parts[[Plant]:[Plant]],t_Plants[],Plants!DO$1,FALSE)</f>
        <v>3300</v>
      </c>
      <c r="CK13" s="43">
        <f>IF(AND(AE$3&gt;=VALUE(t_Parts[[SOP]:[SOP]]),AE$3&lt;=VALUE(t_Parts[[EOP]:[EOP]])), t_Parts[[SetupHrsPerMo]:[SetupHrsPerMo]]+(t_Parts[[#This Row],[pv2015.01]]/t_Parts[[NetPPH]:[NetPPH]]),0)</f>
        <v>2.6684491978609626</v>
      </c>
      <c r="CL13" s="43">
        <f>IF(AND(AF$3&gt;=VALUE(t_Parts[[SOP]:[SOP]]),AF$3&lt;=VALUE(t_Parts[[EOP]:[EOP]])), t_Parts[[SetupHrsPerMo]:[SetupHrsPerMo]]+(t_Parts[[#This Row],[pv2015.02]]/t_Parts[[NetPPH]:[NetPPH]]),0)</f>
        <v>2.6951871657754012</v>
      </c>
      <c r="CM13" s="43">
        <f>IF(AND(AG$3&gt;=VALUE(t_Parts[[SOP]:[SOP]]),AG$3&lt;=VALUE(t_Parts[[EOP]:[EOP]])), t_Parts[[SetupHrsPerMo]:[SetupHrsPerMo]]+(t_Parts[[#This Row],[pv2015.03]]/t_Parts[[NetPPH]:[NetPPH]]),0)</f>
        <v>2.9090909090909092</v>
      </c>
      <c r="CN13" s="43">
        <f>IF(AND(AH$3&gt;=VALUE(t_Parts[[SOP]:[SOP]]),AH$3&lt;=VALUE(t_Parts[[EOP]:[EOP]])), t_Parts[[SetupHrsPerMo]:[SetupHrsPerMo]]+(t_Parts[[#This Row],[pv2015.04]]/t_Parts[[NetPPH]:[NetPPH]]),0)</f>
        <v>2.6684491978609626</v>
      </c>
      <c r="CO13" s="43">
        <f>IF(AND(AI$3&gt;=VALUE(t_Parts[[SOP]:[SOP]]),AI$3&lt;=VALUE(t_Parts[[EOP]:[EOP]])), t_Parts[[SetupHrsPerMo]:[SetupHrsPerMo]]+(t_Parts[[#This Row],[pv2015.05]]/t_Parts[[NetPPH]:[NetPPH]]),0)</f>
        <v>2.6951871657754012</v>
      </c>
      <c r="CP13" s="43">
        <f>IF(AND(AJ$3&gt;=VALUE(t_Parts[[SOP]:[SOP]]),AJ$3&lt;=VALUE(t_Parts[[EOP]:[EOP]])), t_Parts[[SetupHrsPerMo]:[SetupHrsPerMo]]+(t_Parts[[#This Row],[pv2015.06]]/t_Parts[[NetPPH]:[NetPPH]]),0)</f>
        <v>2.9090909090909092</v>
      </c>
      <c r="CQ13" s="43">
        <f>IF(AND(AK$3&gt;=VALUE(t_Parts[[SOP]:[SOP]]),AK$3&lt;=VALUE(t_Parts[[EOP]:[EOP]])), t_Parts[[SetupHrsPerMo]:[SetupHrsPerMo]]+(t_Parts[[#This Row],[pv2015.07]]/t_Parts[[NetPPH]:[NetPPH]]),0)</f>
        <v>2.6684491978609626</v>
      </c>
      <c r="CR13" s="43">
        <f>IF(AND(AL$3&gt;=VALUE(t_Parts[[SOP]:[SOP]]),AL$3&lt;=VALUE(t_Parts[[EOP]:[EOP]])), t_Parts[[SetupHrsPerMo]:[SetupHrsPerMo]]+(t_Parts[[#This Row],[pv2015.08]]/t_Parts[[NetPPH]:[NetPPH]]),0)</f>
        <v>2.6951871657754012</v>
      </c>
      <c r="CS13" s="43">
        <f>IF(AND(AM$3&gt;=VALUE(t_Parts[[SOP]:[SOP]]),AM$3&lt;=VALUE(t_Parts[[EOP]:[EOP]])), t_Parts[[SetupHrsPerMo]:[SetupHrsPerMo]]+(t_Parts[[#This Row],[pv2015.09]]/t_Parts[[NetPPH]:[NetPPH]]),0)</f>
        <v>2.9090909090909092</v>
      </c>
      <c r="CT13" s="43">
        <f>IF(AND(AN$3&gt;=VALUE(t_Parts[[SOP]:[SOP]]),AN$3&lt;=VALUE(t_Parts[[EOP]:[EOP]])), t_Parts[[SetupHrsPerMo]:[SetupHrsPerMo]]+(t_Parts[[#This Row],[pv2015.10]]/t_Parts[[NetPPH]:[NetPPH]]),0)</f>
        <v>2.6684491978609626</v>
      </c>
      <c r="CU13" s="43">
        <f>IF(AND(AO$3&gt;=VALUE(t_Parts[[SOP]:[SOP]]),AO$3&lt;=VALUE(t_Parts[[EOP]:[EOP]])), t_Parts[[SetupHrsPerMo]:[SetupHrsPerMo]]+(t_Parts[[#This Row],[pv2015.11]]/t_Parts[[NetPPH]:[NetPPH]]),0)</f>
        <v>2.6951871657754012</v>
      </c>
      <c r="CV13" s="43">
        <f>IF(AND(AP$3&gt;=VALUE(t_Parts[[SOP]:[SOP]]),AP$3&lt;=VALUE(t_Parts[[EOP]:[EOP]])), t_Parts[[SetupHrsPerMo]:[SetupHrsPerMo]]+(t_Parts[[#This Row],[pv2015.12]]/t_Parts[[NetPPH]:[NetPPH]]),0)</f>
        <v>2.9090909090909092</v>
      </c>
      <c r="CW13" s="43">
        <f>SUM(t_Parts[[#This Row],[hp2015.01]:[hp2015.12]])</f>
        <v>33.090909090909093</v>
      </c>
      <c r="CX13" s="43">
        <f>IF(AND(AR$3&gt;=VALUE(t_Parts[[SOP]:[SOP]]),AR$3&lt;=VALUE(t_Parts[[EOP]:[EOP]])), t_Parts[[SetupHrsPerMo]:[SetupHrsPerMo]]+(t_Parts[[#This Row],[pv2016.01]]/t_Parts[[NetPPH]:[NetPPH]]),0)</f>
        <v>0</v>
      </c>
      <c r="CY13" s="43">
        <f>IF(AND(AS$3&gt;=VALUE(t_Parts[[SOP]:[SOP]]),AS$3&lt;=VALUE(t_Parts[[EOP]:[EOP]])), t_Parts[[SetupHrsPerMo]:[SetupHrsPerMo]]+(t_Parts[[#This Row],[pv2016.02]]/t_Parts[[NetPPH]:[NetPPH]]),0)</f>
        <v>0</v>
      </c>
      <c r="CZ13" s="43">
        <f>IF(AND(AT$3&gt;=VALUE(t_Parts[[SOP]:[SOP]]),AT$3&lt;=VALUE(t_Parts[[EOP]:[EOP]])), t_Parts[[SetupHrsPerMo]:[SetupHrsPerMo]]+(t_Parts[[#This Row],[pv2016.03]]/t_Parts[[NetPPH]:[NetPPH]]),0)</f>
        <v>0</v>
      </c>
      <c r="DA13" s="43">
        <f>IF(AND(AU$3&gt;=VALUE(t_Parts[[SOP]:[SOP]]),AU$3&lt;=VALUE(t_Parts[[EOP]:[EOP]])), t_Parts[[SetupHrsPerMo]:[SetupHrsPerMo]]+(t_Parts[[#This Row],[pv2016.04]]/t_Parts[[NetPPH]:[NetPPH]]),0)</f>
        <v>0</v>
      </c>
      <c r="DB13" s="43">
        <f>IF(AND(AV$3&gt;=VALUE(t_Parts[[SOP]:[SOP]]),AV$3&lt;=VALUE(t_Parts[[EOP]:[EOP]])), t_Parts[[SetupHrsPerMo]:[SetupHrsPerMo]]+(t_Parts[[#This Row],[pv2016.05]]/t_Parts[[NetPPH]:[NetPPH]]),0)</f>
        <v>0</v>
      </c>
      <c r="DC13" s="43">
        <f>IF(AND(AW$3&gt;=VALUE(t_Parts[[SOP]:[SOP]]),AW$3&lt;=VALUE(t_Parts[[EOP]:[EOP]])), t_Parts[[SetupHrsPerMo]:[SetupHrsPerMo]]+(t_Parts[[#This Row],[pv2016.06]]/t_Parts[[NetPPH]:[NetPPH]]),0)</f>
        <v>0</v>
      </c>
      <c r="DD13" s="43">
        <f>IF(AND(AX$3&gt;=VALUE(t_Parts[[SOP]:[SOP]]),AX$3&lt;=VALUE(t_Parts[[EOP]:[EOP]])), t_Parts[[SetupHrsPerMo]:[SetupHrsPerMo]]+(t_Parts[[#This Row],[pv2016.07]]/t_Parts[[NetPPH]:[NetPPH]]),0)</f>
        <v>0</v>
      </c>
      <c r="DE13" s="43">
        <f>IF(AND(AY$3&gt;=VALUE(t_Parts[[SOP]:[SOP]]),AY$3&lt;=VALUE(t_Parts[[EOP]:[EOP]])), t_Parts[[SetupHrsPerMo]:[SetupHrsPerMo]]+(t_Parts[[#This Row],[pv2016.08]]/t_Parts[[NetPPH]:[NetPPH]]),0)</f>
        <v>0</v>
      </c>
      <c r="DF13" s="43">
        <f>IF(AND(AZ$3&gt;=VALUE(t_Parts[[SOP]:[SOP]]),AZ$3&lt;=VALUE(t_Parts[[EOP]:[EOP]])), t_Parts[[SetupHrsPerMo]:[SetupHrsPerMo]]+(t_Parts[[#This Row],[pv2016.09]]/t_Parts[[NetPPH]:[NetPPH]]),0)</f>
        <v>0</v>
      </c>
      <c r="DG13" s="43">
        <f>IF(AND(BA$3&gt;=VALUE(t_Parts[[SOP]:[SOP]]),BA$3&lt;=VALUE(t_Parts[[EOP]:[EOP]])), t_Parts[[SetupHrsPerMo]:[SetupHrsPerMo]]+(t_Parts[[#This Row],[pv2016.10]]/t_Parts[[NetPPH]:[NetPPH]]),0)</f>
        <v>0</v>
      </c>
      <c r="DH13" s="43">
        <f>IF(AND(BB$3&gt;=VALUE(t_Parts[[SOP]:[SOP]]),BB$3&lt;=VALUE(t_Parts[[EOP]:[EOP]])), t_Parts[[SetupHrsPerMo]:[SetupHrsPerMo]]+(t_Parts[[#This Row],[pv2016.11]]/t_Parts[[NetPPH]:[NetPPH]]),0)</f>
        <v>0</v>
      </c>
      <c r="DI13" s="43">
        <f>IF(AND(BC$3&gt;=VALUE(t_Parts[[SOP]:[SOP]]),BC$3&lt;=VALUE(t_Parts[[EOP]:[EOP]])), t_Parts[[SetupHrsPerMo]:[SetupHrsPerMo]]+(t_Parts[[#This Row],[pv2016.12]]/t_Parts[[NetPPH]:[NetPPH]]),0)</f>
        <v>0</v>
      </c>
      <c r="DJ13" s="43">
        <f>SUM(t_Parts[[#This Row],[hp2016.01]:[hp2016.12]])</f>
        <v>0</v>
      </c>
      <c r="DK13" s="43">
        <f>IF(AND(BE$3&gt;=VALUE(t_Parts[[SOP]:[SOP]]),BE$3&lt;=VALUE(t_Parts[[EOP]:[EOP]])), 12*t_Parts[[SetupHrsPerMo]:[SetupHrsPerMo]]+(t_Parts[[#This Row],[pv2017]]/t_Parts[[NetPPH]:[NetPPH]]),0)</f>
        <v>0</v>
      </c>
      <c r="DL13" s="43">
        <f>IF(AND(BF$3&gt;=VALUE(t_Parts[[SOP]:[SOP]]),BF$3&lt;=VALUE(t_Parts[[EOP]:[EOP]])), 12*t_Parts[[SetupHrsPerMo]:[SetupHrsPerMo]]+(t_Parts[[#This Row],[pv2018]]/t_Parts[[NetPPH]:[NetPPH]]),0)</f>
        <v>0</v>
      </c>
      <c r="DM13" s="43">
        <f>IF(AND(BG$3&gt;=VALUE(t_Parts[[SOP]:[SOP]]),BG$3&lt;=VALUE(t_Parts[[EOP]:[EOP]])), 12*t_Parts[[SetupHrsPerMo]:[SetupHrsPerMo]]+(t_Parts[[#This Row],[pv2019]]/t_Parts[[NetPPH]:[NetPPH]]),0)</f>
        <v>0</v>
      </c>
      <c r="DN13" s="51">
        <f>t_Parts[[#This Row],[hp2015.01]]/t_Parts[[#This Row],[ha2015.01]]</f>
        <v>1.0673796791443851E-2</v>
      </c>
      <c r="DO13" s="51">
        <f>t_Parts[[#This Row],[hp2015.02]]/t_Parts[[#This Row],[ha2015.02]]</f>
        <v>1.0366104483751543E-2</v>
      </c>
      <c r="DP13" s="51">
        <f>t_Parts[[#This Row],[hp2015.03]]/t_Parts[[#This Row],[ha2015.03]]</f>
        <v>8.5561497326203211E-3</v>
      </c>
      <c r="DQ13" s="51">
        <f>t_Parts[[#This Row],[hp2015.04]]/t_Parts[[#This Row],[ha2015.04]]</f>
        <v>1.0673796791443851E-2</v>
      </c>
      <c r="DR13" s="51">
        <f>t_Parts[[#This Row],[hp2015.05]]/t_Parts[[#This Row],[ha2015.05]]</f>
        <v>1.0366104483751543E-2</v>
      </c>
      <c r="DS13" s="51">
        <f>t_Parts[[#This Row],[hp2015.06]]/t_Parts[[#This Row],[ha2015.06]]</f>
        <v>8.5561497326203211E-3</v>
      </c>
      <c r="DT13" s="51">
        <f>t_Parts[[#This Row],[hp2015.07]]/t_Parts[[#This Row],[ha2015.07]]</f>
        <v>1.0673796791443851E-2</v>
      </c>
      <c r="DU13" s="51">
        <f>t_Parts[[#This Row],[hp2015.08]]/t_Parts[[#This Row],[ha2015.08]]</f>
        <v>1.0366104483751543E-2</v>
      </c>
      <c r="DV13" s="51">
        <f>t_Parts[[#This Row],[hp2015.09]]/t_Parts[[#This Row],[ha2015.09]]</f>
        <v>8.5561497326203211E-3</v>
      </c>
      <c r="DW13" s="51">
        <f>t_Parts[[#This Row],[hp2015.10]]/t_Parts[[#This Row],[ha2015.10]]</f>
        <v>1.0673796791443851E-2</v>
      </c>
      <c r="DX13" s="51">
        <f>t_Parts[[#This Row],[hp2015.11]]/t_Parts[[#This Row],[ha2015.11]]</f>
        <v>1.0366104483751543E-2</v>
      </c>
      <c r="DY13" s="51">
        <f>t_Parts[[#This Row],[hp2015.12]]/t_Parts[[#This Row],[ha2015.12]]</f>
        <v>8.5561497326203211E-3</v>
      </c>
      <c r="DZ13" s="51">
        <f>t_Parts[[#This Row],[hp2015.FY]]/t_Parts[[#This Row],[ha2015.FY]]</f>
        <v>9.7326203208556155E-3</v>
      </c>
      <c r="EA13" s="51">
        <f>t_Parts[[#This Row],[hp2016.01]]/t_Parts[[#This Row],[ha2016.01]]</f>
        <v>0</v>
      </c>
      <c r="EB13" s="51">
        <f>t_Parts[[#This Row],[hp2016.02]]/t_Parts[[#This Row],[ha2016.02]]</f>
        <v>0</v>
      </c>
      <c r="EC13" s="51">
        <f>t_Parts[[#This Row],[hp2016.03]]/t_Parts[[#This Row],[ha2016.03]]</f>
        <v>0</v>
      </c>
      <c r="ED13" s="51">
        <f>t_Parts[[#This Row],[hp2016.04]]/t_Parts[[#This Row],[ha2016.04]]</f>
        <v>0</v>
      </c>
      <c r="EE13" s="51">
        <f>t_Parts[[#This Row],[hp2016.05]]/t_Parts[[#This Row],[ha2016.05]]</f>
        <v>0</v>
      </c>
      <c r="EF13" s="51">
        <f>t_Parts[[#This Row],[hp2016.06]]/t_Parts[[#This Row],[ha2016.06]]</f>
        <v>0</v>
      </c>
      <c r="EG13" s="51">
        <f>t_Parts[[#This Row],[hp2016.07]]/t_Parts[[#This Row],[ha2016.07]]</f>
        <v>0</v>
      </c>
      <c r="EH13" s="51">
        <f>t_Parts[[#This Row],[hp2016.08]]/t_Parts[[#This Row],[ha2016.08]]</f>
        <v>0</v>
      </c>
      <c r="EI13" s="51">
        <f>t_Parts[[#This Row],[hp2016.09]]/t_Parts[[#This Row],[ha2016.09]]</f>
        <v>0</v>
      </c>
      <c r="EJ13" s="51">
        <f>t_Parts[[#This Row],[hp2016.10]]/t_Parts[[#This Row],[ha2016.10]]</f>
        <v>0</v>
      </c>
      <c r="EK13" s="51">
        <f>t_Parts[[#This Row],[hp2016.11]]/t_Parts[[#This Row],[ha2016.11]]</f>
        <v>0</v>
      </c>
      <c r="EL13" s="51">
        <f>t_Parts[[#This Row],[hp2016.12]]/t_Parts[[#This Row],[ha2016.12]]</f>
        <v>0</v>
      </c>
      <c r="EM13" s="51">
        <f>t_Parts[[#This Row],[hp2016.FY]]/t_Parts[[#This Row],[ha2016.FY]]</f>
        <v>0</v>
      </c>
      <c r="EN13" s="51">
        <f>t_Parts[[#This Row],[hp2017]]/t_Parts[[#This Row],[ha2017]]</f>
        <v>0</v>
      </c>
      <c r="EO13" s="51">
        <f>t_Parts[[#This Row],[hp2018]]/t_Parts[[#This Row],[ha2018]]</f>
        <v>0</v>
      </c>
      <c r="EP13" s="51">
        <f>t_Parts[[#This Row],[hp2019]]/t_Parts[[#This Row],[hp2015.01]]</f>
        <v>0</v>
      </c>
      <c r="EQ13" s="62">
        <f>(t_Parts[[#This Row],[ha2015.01]]-t_Parts[[#This Row],[hp2015.01]])*t_Parts[[NetPPH]:[NetPPH]]</f>
        <v>489716.47058823536</v>
      </c>
      <c r="ER13" s="62">
        <f>(t_Parts[[#This Row],[ha2015.02]]-t_Parts[[#This Row],[hp2015.02]])*t_Parts[[NetPPH]:[NetPPH]]</f>
        <v>509463.52941176476</v>
      </c>
      <c r="ES13" s="62">
        <f>(t_Parts[[#This Row],[ha2015.03]]-t_Parts[[#This Row],[hp2015.03]])*t_Parts[[NetPPH]:[NetPPH]]</f>
        <v>667440</v>
      </c>
      <c r="ET13" s="62">
        <f>(t_Parts[[#This Row],[ha2015.04]]-t_Parts[[#This Row],[hp2015.04]])*t_Parts[[NetPPH]:[NetPPH]]</f>
        <v>489716.47058823536</v>
      </c>
      <c r="EU13" s="62">
        <f>(t_Parts[[#This Row],[ha2015.05]]-t_Parts[[#This Row],[hp2015.05]])*t_Parts[[NetPPH]:[NetPPH]]</f>
        <v>509463.52941176476</v>
      </c>
      <c r="EV13" s="62">
        <f>(t_Parts[[#This Row],[ha2015.06]]-t_Parts[[#This Row],[hp2015.06]])*t_Parts[[NetPPH]:[NetPPH]]</f>
        <v>667440</v>
      </c>
      <c r="EW13" s="62">
        <f>(t_Parts[[#This Row],[ha2015.07]]-t_Parts[[#This Row],[hp2015.07]])*t_Parts[[NetPPH]:[NetPPH]]</f>
        <v>489716.47058823536</v>
      </c>
      <c r="EX13" s="62">
        <f>(t_Parts[[#This Row],[ha2015.08]]-t_Parts[[#This Row],[hp2015.08]])*t_Parts[[NetPPH]:[NetPPH]]</f>
        <v>509463.52941176476</v>
      </c>
      <c r="EY13" s="62">
        <f>(t_Parts[[#This Row],[ha2015.09]]-t_Parts[[#This Row],[hp2015.09]])*t_Parts[[NetPPH]:[NetPPH]]</f>
        <v>667440</v>
      </c>
      <c r="EZ13" s="62">
        <f>(t_Parts[[#This Row],[ha2015.10]]-t_Parts[[#This Row],[hp2015.10]])*t_Parts[[NetPPH]:[NetPPH]]</f>
        <v>489716.47058823536</v>
      </c>
      <c r="FA13" s="62">
        <f>(t_Parts[[#This Row],[ha2015.11]]-t_Parts[[#This Row],[hp2015.11]])*t_Parts[[NetPPH]:[NetPPH]]</f>
        <v>509463.52941176476</v>
      </c>
      <c r="FB13" s="62">
        <f>(t_Parts[[#This Row],[ha2015.12]]-t_Parts[[#This Row],[hp2015.12]])*t_Parts[[NetPPH]:[NetPPH]]</f>
        <v>667440</v>
      </c>
      <c r="FC13" s="62">
        <f>(t_Parts[[#This Row],[ha2015.FY]]-t_Parts[[#This Row],[hp2015.FY]])*t_Parts[[NetPPH]:[NetPPH]]</f>
        <v>6666480.0000000009</v>
      </c>
      <c r="FD13" s="62">
        <f>(t_Parts[[#This Row],[ha2016.01]]-t_Parts[[#This Row],[hp2016.01]])*t_Parts[[NetPPH]:[NetPPH]]</f>
        <v>495000.00000000006</v>
      </c>
      <c r="FE13" s="62">
        <f>(t_Parts[[#This Row],[ha2016.02]]-t_Parts[[#This Row],[hp2016.02]])*t_Parts[[NetPPH]:[NetPPH]]</f>
        <v>475200.00000000006</v>
      </c>
      <c r="FF13" s="62">
        <f>(t_Parts[[#This Row],[ha2016.03]]-t_Parts[[#This Row],[hp2016.03]])*t_Parts[[NetPPH]:[NetPPH]]</f>
        <v>673200.00000000012</v>
      </c>
      <c r="FG13" s="62">
        <f>(t_Parts[[#This Row],[ha2016.04]]-t_Parts[[#This Row],[hp2016.04]])*t_Parts[[NetPPH]:[NetPPH]]</f>
        <v>495000.00000000006</v>
      </c>
      <c r="FH13" s="62">
        <f>(t_Parts[[#This Row],[ha2016.05]]-t_Parts[[#This Row],[hp2016.05]])*t_Parts[[NetPPH]:[NetPPH]]</f>
        <v>514800.00000000006</v>
      </c>
      <c r="FI13" s="62">
        <f>(t_Parts[[#This Row],[ha2016.06]]-t_Parts[[#This Row],[hp2016.06]])*t_Parts[[NetPPH]:[NetPPH]]</f>
        <v>673200.00000000012</v>
      </c>
      <c r="FJ13" s="62">
        <f>(t_Parts[[#This Row],[ha2016.07]]-t_Parts[[#This Row],[hp2016.07]])*t_Parts[[NetPPH]:[NetPPH]]</f>
        <v>495000.00000000006</v>
      </c>
      <c r="FK13" s="62">
        <f>(t_Parts[[#This Row],[ha2016.08]]-t_Parts[[#This Row],[hp2016.08]])*t_Parts[[NetPPH]:[NetPPH]]</f>
        <v>514800.00000000006</v>
      </c>
      <c r="FL13" s="62">
        <f>(t_Parts[[#This Row],[ha2016.09]]-t_Parts[[#This Row],[hp2016.09]])*t_Parts[[NetPPH]:[NetPPH]]</f>
        <v>673200.00000000012</v>
      </c>
      <c r="FM13" s="62">
        <f>(t_Parts[[#This Row],[ha2016.10]]-t_Parts[[#This Row],[hp2016.10]])*t_Parts[[NetPPH]:[NetPPH]]</f>
        <v>495000.00000000006</v>
      </c>
      <c r="FN13" s="62">
        <f>(t_Parts[[#This Row],[ha2016.11]]-t_Parts[[#This Row],[hp2016.11]])*t_Parts[[NetPPH]:[NetPPH]]</f>
        <v>435600.00000000006</v>
      </c>
      <c r="FO13" s="62">
        <f>(t_Parts[[#This Row],[ha2016.12]]-t_Parts[[#This Row],[hp2016.12]])*t_Parts[[NetPPH]:[NetPPH]]</f>
        <v>594000.00000000012</v>
      </c>
      <c r="FP13" s="62">
        <f>(t_Parts[[#This Row],[ha2016.FY]]-t_Parts[[#This Row],[hp2016.FY]])*t_Parts[[NetPPH]:[NetPPH]]</f>
        <v>6534000.0000000009</v>
      </c>
      <c r="FQ13" s="62">
        <f>(t_Parts[[#This Row],[ha2017]]-t_Parts[[#This Row],[hp2017]])*t_Parts[[NetPPH]:[NetPPH]]</f>
        <v>6534000.0000000009</v>
      </c>
      <c r="FR13" s="62">
        <f>(t_Parts[[#This Row],[ha2018]]-t_Parts[[#This Row],[hp2018]])*t_Parts[[NetPPH]:[NetPPH]]</f>
        <v>6534000.0000000009</v>
      </c>
      <c r="FS13" s="62">
        <f>(t_Parts[[#This Row],[ha2019]]-t_Parts[[#This Row],[hp2019]])*t_Parts[[NetPPH]:[NetPPH]]</f>
        <v>6534000.0000000009</v>
      </c>
    </row>
    <row r="14" spans="1:175" s="14" customFormat="1" x14ac:dyDescent="0.25">
      <c r="A14" s="78" t="s">
        <v>173</v>
      </c>
      <c r="B14" s="78">
        <v>21013</v>
      </c>
      <c r="C14" s="79">
        <v>2</v>
      </c>
      <c r="D14" s="77">
        <v>7200</v>
      </c>
      <c r="E14" s="80">
        <v>1</v>
      </c>
      <c r="F14" s="81">
        <v>1</v>
      </c>
      <c r="G14" s="79" t="s">
        <v>16</v>
      </c>
      <c r="H14" s="79" t="s">
        <v>94</v>
      </c>
      <c r="I14" s="77">
        <v>183353</v>
      </c>
      <c r="J14" s="77"/>
      <c r="K14" s="77"/>
      <c r="L14" s="77"/>
      <c r="M14" s="77"/>
      <c r="N14" s="77"/>
      <c r="O14" s="77"/>
      <c r="P14" s="80"/>
      <c r="Q14" s="80"/>
      <c r="R14" s="77"/>
      <c r="S14" s="81"/>
      <c r="T14" s="78"/>
      <c r="U14" s="82"/>
      <c r="V14" s="79" t="s">
        <v>116</v>
      </c>
      <c r="W14" s="14" t="str">
        <f>VLOOKUP(t_Parts[[#This Row],[Press]],t_Presses[],Press!B$1,FALSE)</f>
        <v>Plainfield</v>
      </c>
      <c r="X14" s="14" t="str">
        <f>VLOOKUP(t_Parts[[#This Row],[Press]],t_Presses[],Press!E$1,FALSE)</f>
        <v>0-299</v>
      </c>
      <c r="Y14" s="51">
        <f>VLOOKUP(t_Parts[[#This Row],[Plant]],t_Plants[],Plants!C$1,FALSE)</f>
        <v>0.55000000000000004</v>
      </c>
      <c r="Z14" s="51">
        <f>VLOOKUP(t_Parts[[#This Row],[Press]],t_Presses[],Press!F$1,FALSE)</f>
        <v>0</v>
      </c>
      <c r="AA14" s="88"/>
      <c r="AB14" s="51">
        <f>IF(ISBLANK(t_Parts[[#This Row],[PartOEE]])=FALSE,t_Parts[[#This Row],[PartOEE]], IF(t_Parts[[#This Row],[PressOEE]]&gt;0, t_Parts[[#This Row],[PressOEE]], t_Parts[[#This Row],[PlantOEE]] ))</f>
        <v>0.55000000000000004</v>
      </c>
      <c r="AC14" s="74">
        <f>t_Parts[[#This Row],[SetupsPerMo]]*t_Parts[[#This Row],[SetupHrs]]</f>
        <v>1</v>
      </c>
      <c r="AD14" s="43">
        <f>(t_Parts[[#This Row],[UnitsPerCycle]]*t_Parts[[#This Row],[CyclesPerHr]])*t_Parts[[#This Row],[UseOEE]]</f>
        <v>7920.0000000000009</v>
      </c>
      <c r="AE14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13481.838235294117</v>
      </c>
      <c r="AF14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14021.111764705882</v>
      </c>
      <c r="AG14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18335.3</v>
      </c>
      <c r="AH14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13481.838235294117</v>
      </c>
      <c r="AI14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14021.111764705882</v>
      </c>
      <c r="AJ14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18335.3</v>
      </c>
      <c r="AK14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13481.838235294117</v>
      </c>
      <c r="AL14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14021.111764705882</v>
      </c>
      <c r="AM14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18335.3</v>
      </c>
      <c r="AN14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13481.838235294117</v>
      </c>
      <c r="AO14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14021.111764705882</v>
      </c>
      <c r="AP14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18335.3</v>
      </c>
      <c r="AQ14" s="43">
        <f>SUM(t_Parts[[#This Row],[pv2015.01]:[pv2015.12]])</f>
        <v>183353</v>
      </c>
      <c r="AR14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4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4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4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4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4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4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4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4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4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4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4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4" s="43">
        <f>SUM(t_Parts[[#This Row],[pv2016.01]:[pv2016.12]])</f>
        <v>0</v>
      </c>
      <c r="BE14" s="43">
        <f>t_Parts[[#This Row],[2017vol]]</f>
        <v>0</v>
      </c>
      <c r="BF14" s="43">
        <f>t_Parts[[#This Row],[2018vol]]</f>
        <v>0</v>
      </c>
      <c r="BG14" s="43">
        <f>t_Parts[[#This Row],[2019vol]]</f>
        <v>0</v>
      </c>
      <c r="BH14" s="14">
        <f>VLOOKUP(t_Parts[[Plant]:[Plant]],t_Plants[],Plants!CM$1,FALSE)</f>
        <v>250</v>
      </c>
      <c r="BI14" s="14">
        <f>VLOOKUP(t_Parts[[Plant]:[Plant]],t_Plants[],Plants!CN$1,FALSE)</f>
        <v>260</v>
      </c>
      <c r="BJ14" s="14">
        <f>VLOOKUP(t_Parts[[Plant]:[Plant]],t_Plants[],Plants!CO$1,FALSE)</f>
        <v>340</v>
      </c>
      <c r="BK14" s="14">
        <f>VLOOKUP(t_Parts[[Plant]:[Plant]],t_Plants[],Plants!CP$1,FALSE)</f>
        <v>250</v>
      </c>
      <c r="BL14" s="14">
        <f>VLOOKUP(t_Parts[[Plant]:[Plant]],t_Plants[],Plants!CQ$1,FALSE)</f>
        <v>260</v>
      </c>
      <c r="BM14" s="14">
        <f>VLOOKUP(t_Parts[[Plant]:[Plant]],t_Plants[],Plants!CR$1,FALSE)</f>
        <v>340</v>
      </c>
      <c r="BN14" s="14">
        <f>VLOOKUP(t_Parts[[Plant]:[Plant]],t_Plants[],Plants!CS$1,FALSE)</f>
        <v>250</v>
      </c>
      <c r="BO14" s="14">
        <f>VLOOKUP(t_Parts[[Plant]:[Plant]],t_Plants[],Plants!CT$1,FALSE)</f>
        <v>260</v>
      </c>
      <c r="BP14" s="14">
        <f>VLOOKUP(t_Parts[[Plant]:[Plant]],t_Plants[],Plants!CU$1,FALSE)</f>
        <v>340</v>
      </c>
      <c r="BQ14" s="14">
        <f>VLOOKUP(t_Parts[[Plant]:[Plant]],t_Plants[],Plants!CV$1,FALSE)</f>
        <v>250</v>
      </c>
      <c r="BR14" s="14">
        <f>VLOOKUP(t_Parts[[Plant]:[Plant]],t_Plants[],Plants!CW$1,FALSE)</f>
        <v>260</v>
      </c>
      <c r="BS14" s="14">
        <f>VLOOKUP(t_Parts[[Plant]:[Plant]],t_Plants[],Plants!CX$1,FALSE)</f>
        <v>340</v>
      </c>
      <c r="BT14" s="14">
        <f>SUM(t_Parts[[#This Row],[ha2015.01]:[ha2015.12]])</f>
        <v>3400</v>
      </c>
      <c r="BU14" s="14">
        <f>VLOOKUP(t_Parts[[Plant]:[Plant]],t_Plants[],Plants!CZ$1,FALSE)</f>
        <v>250</v>
      </c>
      <c r="BV14" s="14">
        <f>VLOOKUP(t_Parts[[Plant]:[Plant]],t_Plants[],Plants!DA$1,FALSE)</f>
        <v>240</v>
      </c>
      <c r="BW14" s="14">
        <f>VLOOKUP(t_Parts[[Plant]:[Plant]],t_Plants[],Plants!DB$1,FALSE)</f>
        <v>340</v>
      </c>
      <c r="BX14" s="14">
        <f>VLOOKUP(t_Parts[[Plant]:[Plant]],t_Plants[],Plants!DC$1,FALSE)</f>
        <v>250</v>
      </c>
      <c r="BY14" s="14">
        <f>VLOOKUP(t_Parts[[Plant]:[Plant]],t_Plants[],Plants!DD$1,FALSE)</f>
        <v>260</v>
      </c>
      <c r="BZ14" s="14">
        <f>VLOOKUP(t_Parts[[Plant]:[Plant]],t_Plants[],Plants!DE$1,FALSE)</f>
        <v>340</v>
      </c>
      <c r="CA14" s="14">
        <f>VLOOKUP(t_Parts[[Plant]:[Plant]],t_Plants[],Plants!DF$1,FALSE)</f>
        <v>250</v>
      </c>
      <c r="CB14" s="14">
        <f>VLOOKUP(t_Parts[[Plant]:[Plant]],t_Plants[],Plants!DG$1,FALSE)</f>
        <v>260</v>
      </c>
      <c r="CC14" s="14">
        <f>VLOOKUP(t_Parts[[Plant]:[Plant]],t_Plants[],Plants!DH$1,FALSE)</f>
        <v>340</v>
      </c>
      <c r="CD14" s="14">
        <f>VLOOKUP(t_Parts[[Plant]:[Plant]],t_Plants[],Plants!DI$1,FALSE)</f>
        <v>250</v>
      </c>
      <c r="CE14" s="14">
        <f>VLOOKUP(t_Parts[[Plant]:[Plant]],t_Plants[],Plants!DJ$1,FALSE)</f>
        <v>220</v>
      </c>
      <c r="CF14" s="14">
        <f>VLOOKUP(t_Parts[[Plant]:[Plant]],t_Plants[],Plants!DK$1,FALSE)</f>
        <v>300</v>
      </c>
      <c r="CG14" s="14">
        <f>VLOOKUP(t_Parts[[Plant]:[Plant]],t_Plants[],Plants!DL$1,FALSE)</f>
        <v>3300</v>
      </c>
      <c r="CH14" s="14">
        <f>VLOOKUP(t_Parts[[Plant]:[Plant]],t_Plants[],Plants!DM$1,FALSE)</f>
        <v>3300</v>
      </c>
      <c r="CI14" s="14">
        <f>VLOOKUP(t_Parts[[Plant]:[Plant]],t_Plants[],Plants!DN$1,FALSE)</f>
        <v>3300</v>
      </c>
      <c r="CJ14" s="14">
        <f>VLOOKUP(t_Parts[[Plant]:[Plant]],t_Plants[],Plants!DO$1,FALSE)</f>
        <v>3300</v>
      </c>
      <c r="CK14" s="43">
        <f>IF(AND(AE$3&gt;=VALUE(t_Parts[[SOP]:[SOP]]),AE$3&lt;=VALUE(t_Parts[[EOP]:[EOP]])), t_Parts[[SetupHrsPerMo]:[SetupHrsPerMo]]+(t_Parts[[#This Row],[pv2015.01]]/t_Parts[[NetPPH]:[NetPPH]]),0)</f>
        <v>2.7022523024361256</v>
      </c>
      <c r="CL14" s="43">
        <f>IF(AND(AF$3&gt;=VALUE(t_Parts[[SOP]:[SOP]]),AF$3&lt;=VALUE(t_Parts[[EOP]:[EOP]])), t_Parts[[SetupHrsPerMo]:[SetupHrsPerMo]]+(t_Parts[[#This Row],[pv2015.02]]/t_Parts[[NetPPH]:[NetPPH]]),0)</f>
        <v>2.7703423945335706</v>
      </c>
      <c r="CM14" s="43">
        <f>IF(AND(AG$3&gt;=VALUE(t_Parts[[SOP]:[SOP]]),AG$3&lt;=VALUE(t_Parts[[EOP]:[EOP]])), t_Parts[[SetupHrsPerMo]:[SetupHrsPerMo]]+(t_Parts[[#This Row],[pv2015.03]]/t_Parts[[NetPPH]:[NetPPH]]),0)</f>
        <v>3.3150631313131309</v>
      </c>
      <c r="CN14" s="43">
        <f>IF(AND(AH$3&gt;=VALUE(t_Parts[[SOP]:[SOP]]),AH$3&lt;=VALUE(t_Parts[[EOP]:[EOP]])), t_Parts[[SetupHrsPerMo]:[SetupHrsPerMo]]+(t_Parts[[#This Row],[pv2015.04]]/t_Parts[[NetPPH]:[NetPPH]]),0)</f>
        <v>2.7022523024361256</v>
      </c>
      <c r="CO14" s="43">
        <f>IF(AND(AI$3&gt;=VALUE(t_Parts[[SOP]:[SOP]]),AI$3&lt;=VALUE(t_Parts[[EOP]:[EOP]])), t_Parts[[SetupHrsPerMo]:[SetupHrsPerMo]]+(t_Parts[[#This Row],[pv2015.05]]/t_Parts[[NetPPH]:[NetPPH]]),0)</f>
        <v>2.7703423945335706</v>
      </c>
      <c r="CP14" s="43">
        <f>IF(AND(AJ$3&gt;=VALUE(t_Parts[[SOP]:[SOP]]),AJ$3&lt;=VALUE(t_Parts[[EOP]:[EOP]])), t_Parts[[SetupHrsPerMo]:[SetupHrsPerMo]]+(t_Parts[[#This Row],[pv2015.06]]/t_Parts[[NetPPH]:[NetPPH]]),0)</f>
        <v>3.3150631313131309</v>
      </c>
      <c r="CQ14" s="43">
        <f>IF(AND(AK$3&gt;=VALUE(t_Parts[[SOP]:[SOP]]),AK$3&lt;=VALUE(t_Parts[[EOP]:[EOP]])), t_Parts[[SetupHrsPerMo]:[SetupHrsPerMo]]+(t_Parts[[#This Row],[pv2015.07]]/t_Parts[[NetPPH]:[NetPPH]]),0)</f>
        <v>2.7022523024361256</v>
      </c>
      <c r="CR14" s="43">
        <f>IF(AND(AL$3&gt;=VALUE(t_Parts[[SOP]:[SOP]]),AL$3&lt;=VALUE(t_Parts[[EOP]:[EOP]])), t_Parts[[SetupHrsPerMo]:[SetupHrsPerMo]]+(t_Parts[[#This Row],[pv2015.08]]/t_Parts[[NetPPH]:[NetPPH]]),0)</f>
        <v>2.7703423945335706</v>
      </c>
      <c r="CS14" s="43">
        <f>IF(AND(AM$3&gt;=VALUE(t_Parts[[SOP]:[SOP]]),AM$3&lt;=VALUE(t_Parts[[EOP]:[EOP]])), t_Parts[[SetupHrsPerMo]:[SetupHrsPerMo]]+(t_Parts[[#This Row],[pv2015.09]]/t_Parts[[NetPPH]:[NetPPH]]),0)</f>
        <v>3.3150631313131309</v>
      </c>
      <c r="CT14" s="43">
        <f>IF(AND(AN$3&gt;=VALUE(t_Parts[[SOP]:[SOP]]),AN$3&lt;=VALUE(t_Parts[[EOP]:[EOP]])), t_Parts[[SetupHrsPerMo]:[SetupHrsPerMo]]+(t_Parts[[#This Row],[pv2015.10]]/t_Parts[[NetPPH]:[NetPPH]]),0)</f>
        <v>2.7022523024361256</v>
      </c>
      <c r="CU14" s="43">
        <f>IF(AND(AO$3&gt;=VALUE(t_Parts[[SOP]:[SOP]]),AO$3&lt;=VALUE(t_Parts[[EOP]:[EOP]])), t_Parts[[SetupHrsPerMo]:[SetupHrsPerMo]]+(t_Parts[[#This Row],[pv2015.11]]/t_Parts[[NetPPH]:[NetPPH]]),0)</f>
        <v>2.7703423945335706</v>
      </c>
      <c r="CV14" s="43">
        <f>IF(AND(AP$3&gt;=VALUE(t_Parts[[SOP]:[SOP]]),AP$3&lt;=VALUE(t_Parts[[EOP]:[EOP]])), t_Parts[[SetupHrsPerMo]:[SetupHrsPerMo]]+(t_Parts[[#This Row],[pv2015.12]]/t_Parts[[NetPPH]:[NetPPH]]),0)</f>
        <v>3.3150631313131309</v>
      </c>
      <c r="CW14" s="43">
        <f>SUM(t_Parts[[#This Row],[hp2015.01]:[hp2015.12]])</f>
        <v>35.150631313131306</v>
      </c>
      <c r="CX14" s="43">
        <f>IF(AND(AR$3&gt;=VALUE(t_Parts[[SOP]:[SOP]]),AR$3&lt;=VALUE(t_Parts[[EOP]:[EOP]])), t_Parts[[SetupHrsPerMo]:[SetupHrsPerMo]]+(t_Parts[[#This Row],[pv2016.01]]/t_Parts[[NetPPH]:[NetPPH]]),0)</f>
        <v>0</v>
      </c>
      <c r="CY14" s="43">
        <f>IF(AND(AS$3&gt;=VALUE(t_Parts[[SOP]:[SOP]]),AS$3&lt;=VALUE(t_Parts[[EOP]:[EOP]])), t_Parts[[SetupHrsPerMo]:[SetupHrsPerMo]]+(t_Parts[[#This Row],[pv2016.02]]/t_Parts[[NetPPH]:[NetPPH]]),0)</f>
        <v>0</v>
      </c>
      <c r="CZ14" s="43">
        <f>IF(AND(AT$3&gt;=VALUE(t_Parts[[SOP]:[SOP]]),AT$3&lt;=VALUE(t_Parts[[EOP]:[EOP]])), t_Parts[[SetupHrsPerMo]:[SetupHrsPerMo]]+(t_Parts[[#This Row],[pv2016.03]]/t_Parts[[NetPPH]:[NetPPH]]),0)</f>
        <v>0</v>
      </c>
      <c r="DA14" s="43">
        <f>IF(AND(AU$3&gt;=VALUE(t_Parts[[SOP]:[SOP]]),AU$3&lt;=VALUE(t_Parts[[EOP]:[EOP]])), t_Parts[[SetupHrsPerMo]:[SetupHrsPerMo]]+(t_Parts[[#This Row],[pv2016.04]]/t_Parts[[NetPPH]:[NetPPH]]),0)</f>
        <v>0</v>
      </c>
      <c r="DB14" s="43">
        <f>IF(AND(AV$3&gt;=VALUE(t_Parts[[SOP]:[SOP]]),AV$3&lt;=VALUE(t_Parts[[EOP]:[EOP]])), t_Parts[[SetupHrsPerMo]:[SetupHrsPerMo]]+(t_Parts[[#This Row],[pv2016.05]]/t_Parts[[NetPPH]:[NetPPH]]),0)</f>
        <v>0</v>
      </c>
      <c r="DC14" s="43">
        <f>IF(AND(AW$3&gt;=VALUE(t_Parts[[SOP]:[SOP]]),AW$3&lt;=VALUE(t_Parts[[EOP]:[EOP]])), t_Parts[[SetupHrsPerMo]:[SetupHrsPerMo]]+(t_Parts[[#This Row],[pv2016.06]]/t_Parts[[NetPPH]:[NetPPH]]),0)</f>
        <v>0</v>
      </c>
      <c r="DD14" s="43">
        <f>IF(AND(AX$3&gt;=VALUE(t_Parts[[SOP]:[SOP]]),AX$3&lt;=VALUE(t_Parts[[EOP]:[EOP]])), t_Parts[[SetupHrsPerMo]:[SetupHrsPerMo]]+(t_Parts[[#This Row],[pv2016.07]]/t_Parts[[NetPPH]:[NetPPH]]),0)</f>
        <v>0</v>
      </c>
      <c r="DE14" s="43">
        <f>IF(AND(AY$3&gt;=VALUE(t_Parts[[SOP]:[SOP]]),AY$3&lt;=VALUE(t_Parts[[EOP]:[EOP]])), t_Parts[[SetupHrsPerMo]:[SetupHrsPerMo]]+(t_Parts[[#This Row],[pv2016.08]]/t_Parts[[NetPPH]:[NetPPH]]),0)</f>
        <v>0</v>
      </c>
      <c r="DF14" s="43">
        <f>IF(AND(AZ$3&gt;=VALUE(t_Parts[[SOP]:[SOP]]),AZ$3&lt;=VALUE(t_Parts[[EOP]:[EOP]])), t_Parts[[SetupHrsPerMo]:[SetupHrsPerMo]]+(t_Parts[[#This Row],[pv2016.09]]/t_Parts[[NetPPH]:[NetPPH]]),0)</f>
        <v>0</v>
      </c>
      <c r="DG14" s="43">
        <f>IF(AND(BA$3&gt;=VALUE(t_Parts[[SOP]:[SOP]]),BA$3&lt;=VALUE(t_Parts[[EOP]:[EOP]])), t_Parts[[SetupHrsPerMo]:[SetupHrsPerMo]]+(t_Parts[[#This Row],[pv2016.10]]/t_Parts[[NetPPH]:[NetPPH]]),0)</f>
        <v>0</v>
      </c>
      <c r="DH14" s="43">
        <f>IF(AND(BB$3&gt;=VALUE(t_Parts[[SOP]:[SOP]]),BB$3&lt;=VALUE(t_Parts[[EOP]:[EOP]])), t_Parts[[SetupHrsPerMo]:[SetupHrsPerMo]]+(t_Parts[[#This Row],[pv2016.11]]/t_Parts[[NetPPH]:[NetPPH]]),0)</f>
        <v>0</v>
      </c>
      <c r="DI14" s="43">
        <f>IF(AND(BC$3&gt;=VALUE(t_Parts[[SOP]:[SOP]]),BC$3&lt;=VALUE(t_Parts[[EOP]:[EOP]])), t_Parts[[SetupHrsPerMo]:[SetupHrsPerMo]]+(t_Parts[[#This Row],[pv2016.12]]/t_Parts[[NetPPH]:[NetPPH]]),0)</f>
        <v>0</v>
      </c>
      <c r="DJ14" s="43">
        <f>SUM(t_Parts[[#This Row],[hp2016.01]:[hp2016.12]])</f>
        <v>0</v>
      </c>
      <c r="DK14" s="43">
        <f>IF(AND(BE$3&gt;=VALUE(t_Parts[[SOP]:[SOP]]),BE$3&lt;=VALUE(t_Parts[[EOP]:[EOP]])), 12*t_Parts[[SetupHrsPerMo]:[SetupHrsPerMo]]+(t_Parts[[#This Row],[pv2017]]/t_Parts[[NetPPH]:[NetPPH]]),0)</f>
        <v>0</v>
      </c>
      <c r="DL14" s="43">
        <f>IF(AND(BF$3&gt;=VALUE(t_Parts[[SOP]:[SOP]]),BF$3&lt;=VALUE(t_Parts[[EOP]:[EOP]])), 12*t_Parts[[SetupHrsPerMo]:[SetupHrsPerMo]]+(t_Parts[[#This Row],[pv2018]]/t_Parts[[NetPPH]:[NetPPH]]),0)</f>
        <v>0</v>
      </c>
      <c r="DM14" s="43">
        <f>IF(AND(BG$3&gt;=VALUE(t_Parts[[SOP]:[SOP]]),BG$3&lt;=VALUE(t_Parts[[EOP]:[EOP]])), 12*t_Parts[[SetupHrsPerMo]:[SetupHrsPerMo]]+(t_Parts[[#This Row],[pv2019]]/t_Parts[[NetPPH]:[NetPPH]]),0)</f>
        <v>0</v>
      </c>
      <c r="DN14" s="51">
        <f>t_Parts[[#This Row],[hp2015.01]]/t_Parts[[#This Row],[ha2015.01]]</f>
        <v>1.0809009209744503E-2</v>
      </c>
      <c r="DO14" s="51">
        <f>t_Parts[[#This Row],[hp2015.02]]/t_Parts[[#This Row],[ha2015.02]]</f>
        <v>1.0655163055898349E-2</v>
      </c>
      <c r="DP14" s="51">
        <f>t_Parts[[#This Row],[hp2015.03]]/t_Parts[[#This Row],[ha2015.03]]</f>
        <v>9.7501856803327378E-3</v>
      </c>
      <c r="DQ14" s="51">
        <f>t_Parts[[#This Row],[hp2015.04]]/t_Parts[[#This Row],[ha2015.04]]</f>
        <v>1.0809009209744503E-2</v>
      </c>
      <c r="DR14" s="51">
        <f>t_Parts[[#This Row],[hp2015.05]]/t_Parts[[#This Row],[ha2015.05]]</f>
        <v>1.0655163055898349E-2</v>
      </c>
      <c r="DS14" s="51">
        <f>t_Parts[[#This Row],[hp2015.06]]/t_Parts[[#This Row],[ha2015.06]]</f>
        <v>9.7501856803327378E-3</v>
      </c>
      <c r="DT14" s="51">
        <f>t_Parts[[#This Row],[hp2015.07]]/t_Parts[[#This Row],[ha2015.07]]</f>
        <v>1.0809009209744503E-2</v>
      </c>
      <c r="DU14" s="51">
        <f>t_Parts[[#This Row],[hp2015.08]]/t_Parts[[#This Row],[ha2015.08]]</f>
        <v>1.0655163055898349E-2</v>
      </c>
      <c r="DV14" s="51">
        <f>t_Parts[[#This Row],[hp2015.09]]/t_Parts[[#This Row],[ha2015.09]]</f>
        <v>9.7501856803327378E-3</v>
      </c>
      <c r="DW14" s="51">
        <f>t_Parts[[#This Row],[hp2015.10]]/t_Parts[[#This Row],[ha2015.10]]</f>
        <v>1.0809009209744503E-2</v>
      </c>
      <c r="DX14" s="51">
        <f>t_Parts[[#This Row],[hp2015.11]]/t_Parts[[#This Row],[ha2015.11]]</f>
        <v>1.0655163055898349E-2</v>
      </c>
      <c r="DY14" s="51">
        <f>t_Parts[[#This Row],[hp2015.12]]/t_Parts[[#This Row],[ha2015.12]]</f>
        <v>9.7501856803327378E-3</v>
      </c>
      <c r="DZ14" s="51">
        <f>t_Parts[[#This Row],[hp2015.FY]]/t_Parts[[#This Row],[ha2015.FY]]</f>
        <v>1.0338420974450384E-2</v>
      </c>
      <c r="EA14" s="51">
        <f>t_Parts[[#This Row],[hp2016.01]]/t_Parts[[#This Row],[ha2016.01]]</f>
        <v>0</v>
      </c>
      <c r="EB14" s="51">
        <f>t_Parts[[#This Row],[hp2016.02]]/t_Parts[[#This Row],[ha2016.02]]</f>
        <v>0</v>
      </c>
      <c r="EC14" s="51">
        <f>t_Parts[[#This Row],[hp2016.03]]/t_Parts[[#This Row],[ha2016.03]]</f>
        <v>0</v>
      </c>
      <c r="ED14" s="51">
        <f>t_Parts[[#This Row],[hp2016.04]]/t_Parts[[#This Row],[ha2016.04]]</f>
        <v>0</v>
      </c>
      <c r="EE14" s="51">
        <f>t_Parts[[#This Row],[hp2016.05]]/t_Parts[[#This Row],[ha2016.05]]</f>
        <v>0</v>
      </c>
      <c r="EF14" s="51">
        <f>t_Parts[[#This Row],[hp2016.06]]/t_Parts[[#This Row],[ha2016.06]]</f>
        <v>0</v>
      </c>
      <c r="EG14" s="51">
        <f>t_Parts[[#This Row],[hp2016.07]]/t_Parts[[#This Row],[ha2016.07]]</f>
        <v>0</v>
      </c>
      <c r="EH14" s="51">
        <f>t_Parts[[#This Row],[hp2016.08]]/t_Parts[[#This Row],[ha2016.08]]</f>
        <v>0</v>
      </c>
      <c r="EI14" s="51">
        <f>t_Parts[[#This Row],[hp2016.09]]/t_Parts[[#This Row],[ha2016.09]]</f>
        <v>0</v>
      </c>
      <c r="EJ14" s="51">
        <f>t_Parts[[#This Row],[hp2016.10]]/t_Parts[[#This Row],[ha2016.10]]</f>
        <v>0</v>
      </c>
      <c r="EK14" s="51">
        <f>t_Parts[[#This Row],[hp2016.11]]/t_Parts[[#This Row],[ha2016.11]]</f>
        <v>0</v>
      </c>
      <c r="EL14" s="51">
        <f>t_Parts[[#This Row],[hp2016.12]]/t_Parts[[#This Row],[ha2016.12]]</f>
        <v>0</v>
      </c>
      <c r="EM14" s="51">
        <f>t_Parts[[#This Row],[hp2016.FY]]/t_Parts[[#This Row],[ha2016.FY]]</f>
        <v>0</v>
      </c>
      <c r="EN14" s="51">
        <f>t_Parts[[#This Row],[hp2017]]/t_Parts[[#This Row],[ha2017]]</f>
        <v>0</v>
      </c>
      <c r="EO14" s="51">
        <f>t_Parts[[#This Row],[hp2018]]/t_Parts[[#This Row],[ha2018]]</f>
        <v>0</v>
      </c>
      <c r="EP14" s="51">
        <f>t_Parts[[#This Row],[hp2019]]/t_Parts[[#This Row],[hp2015.01]]</f>
        <v>0</v>
      </c>
      <c r="EQ14" s="62">
        <f>(t_Parts[[#This Row],[ha2015.01]]-t_Parts[[#This Row],[hp2015.01]])*t_Parts[[NetPPH]:[NetPPH]]</f>
        <v>1958598.161764706</v>
      </c>
      <c r="ER14" s="62">
        <f>(t_Parts[[#This Row],[ha2015.02]]-t_Parts[[#This Row],[hp2015.02]])*t_Parts[[NetPPH]:[NetPPH]]</f>
        <v>2037258.8882352945</v>
      </c>
      <c r="ES14" s="62">
        <f>(t_Parts[[#This Row],[ha2015.03]]-t_Parts[[#This Row],[hp2015.03]])*t_Parts[[NetPPH]:[NetPPH]]</f>
        <v>2666544.7000000002</v>
      </c>
      <c r="ET14" s="62">
        <f>(t_Parts[[#This Row],[ha2015.04]]-t_Parts[[#This Row],[hp2015.04]])*t_Parts[[NetPPH]:[NetPPH]]</f>
        <v>1958598.161764706</v>
      </c>
      <c r="EU14" s="62">
        <f>(t_Parts[[#This Row],[ha2015.05]]-t_Parts[[#This Row],[hp2015.05]])*t_Parts[[NetPPH]:[NetPPH]]</f>
        <v>2037258.8882352945</v>
      </c>
      <c r="EV14" s="62">
        <f>(t_Parts[[#This Row],[ha2015.06]]-t_Parts[[#This Row],[hp2015.06]])*t_Parts[[NetPPH]:[NetPPH]]</f>
        <v>2666544.7000000002</v>
      </c>
      <c r="EW14" s="62">
        <f>(t_Parts[[#This Row],[ha2015.07]]-t_Parts[[#This Row],[hp2015.07]])*t_Parts[[NetPPH]:[NetPPH]]</f>
        <v>1958598.161764706</v>
      </c>
      <c r="EX14" s="62">
        <f>(t_Parts[[#This Row],[ha2015.08]]-t_Parts[[#This Row],[hp2015.08]])*t_Parts[[NetPPH]:[NetPPH]]</f>
        <v>2037258.8882352945</v>
      </c>
      <c r="EY14" s="62">
        <f>(t_Parts[[#This Row],[ha2015.09]]-t_Parts[[#This Row],[hp2015.09]])*t_Parts[[NetPPH]:[NetPPH]]</f>
        <v>2666544.7000000002</v>
      </c>
      <c r="EZ14" s="62">
        <f>(t_Parts[[#This Row],[ha2015.10]]-t_Parts[[#This Row],[hp2015.10]])*t_Parts[[NetPPH]:[NetPPH]]</f>
        <v>1958598.161764706</v>
      </c>
      <c r="FA14" s="62">
        <f>(t_Parts[[#This Row],[ha2015.11]]-t_Parts[[#This Row],[hp2015.11]])*t_Parts[[NetPPH]:[NetPPH]]</f>
        <v>2037258.8882352945</v>
      </c>
      <c r="FB14" s="62">
        <f>(t_Parts[[#This Row],[ha2015.12]]-t_Parts[[#This Row],[hp2015.12]])*t_Parts[[NetPPH]:[NetPPH]]</f>
        <v>2666544.7000000002</v>
      </c>
      <c r="FC14" s="62">
        <f>(t_Parts[[#This Row],[ha2015.FY]]-t_Parts[[#This Row],[hp2015.FY]])*t_Parts[[NetPPH]:[NetPPH]]</f>
        <v>26649607.000000004</v>
      </c>
      <c r="FD14" s="62">
        <f>(t_Parts[[#This Row],[ha2016.01]]-t_Parts[[#This Row],[hp2016.01]])*t_Parts[[NetPPH]:[NetPPH]]</f>
        <v>1980000.0000000002</v>
      </c>
      <c r="FE14" s="62">
        <f>(t_Parts[[#This Row],[ha2016.02]]-t_Parts[[#This Row],[hp2016.02]])*t_Parts[[NetPPH]:[NetPPH]]</f>
        <v>1900800.0000000002</v>
      </c>
      <c r="FF14" s="62">
        <f>(t_Parts[[#This Row],[ha2016.03]]-t_Parts[[#This Row],[hp2016.03]])*t_Parts[[NetPPH]:[NetPPH]]</f>
        <v>2692800.0000000005</v>
      </c>
      <c r="FG14" s="62">
        <f>(t_Parts[[#This Row],[ha2016.04]]-t_Parts[[#This Row],[hp2016.04]])*t_Parts[[NetPPH]:[NetPPH]]</f>
        <v>1980000.0000000002</v>
      </c>
      <c r="FH14" s="62">
        <f>(t_Parts[[#This Row],[ha2016.05]]-t_Parts[[#This Row],[hp2016.05]])*t_Parts[[NetPPH]:[NetPPH]]</f>
        <v>2059200.0000000002</v>
      </c>
      <c r="FI14" s="62">
        <f>(t_Parts[[#This Row],[ha2016.06]]-t_Parts[[#This Row],[hp2016.06]])*t_Parts[[NetPPH]:[NetPPH]]</f>
        <v>2692800.0000000005</v>
      </c>
      <c r="FJ14" s="62">
        <f>(t_Parts[[#This Row],[ha2016.07]]-t_Parts[[#This Row],[hp2016.07]])*t_Parts[[NetPPH]:[NetPPH]]</f>
        <v>1980000.0000000002</v>
      </c>
      <c r="FK14" s="62">
        <f>(t_Parts[[#This Row],[ha2016.08]]-t_Parts[[#This Row],[hp2016.08]])*t_Parts[[NetPPH]:[NetPPH]]</f>
        <v>2059200.0000000002</v>
      </c>
      <c r="FL14" s="62">
        <f>(t_Parts[[#This Row],[ha2016.09]]-t_Parts[[#This Row],[hp2016.09]])*t_Parts[[NetPPH]:[NetPPH]]</f>
        <v>2692800.0000000005</v>
      </c>
      <c r="FM14" s="62">
        <f>(t_Parts[[#This Row],[ha2016.10]]-t_Parts[[#This Row],[hp2016.10]])*t_Parts[[NetPPH]:[NetPPH]]</f>
        <v>1980000.0000000002</v>
      </c>
      <c r="FN14" s="62">
        <f>(t_Parts[[#This Row],[ha2016.11]]-t_Parts[[#This Row],[hp2016.11]])*t_Parts[[NetPPH]:[NetPPH]]</f>
        <v>1742400.0000000002</v>
      </c>
      <c r="FO14" s="62">
        <f>(t_Parts[[#This Row],[ha2016.12]]-t_Parts[[#This Row],[hp2016.12]])*t_Parts[[NetPPH]:[NetPPH]]</f>
        <v>2376000.0000000005</v>
      </c>
      <c r="FP14" s="62">
        <f>(t_Parts[[#This Row],[ha2016.FY]]-t_Parts[[#This Row],[hp2016.FY]])*t_Parts[[NetPPH]:[NetPPH]]</f>
        <v>26136000.000000004</v>
      </c>
      <c r="FQ14" s="62">
        <f>(t_Parts[[#This Row],[ha2017]]-t_Parts[[#This Row],[hp2017]])*t_Parts[[NetPPH]:[NetPPH]]</f>
        <v>26136000.000000004</v>
      </c>
      <c r="FR14" s="62">
        <f>(t_Parts[[#This Row],[ha2018]]-t_Parts[[#This Row],[hp2018]])*t_Parts[[NetPPH]:[NetPPH]]</f>
        <v>26136000.000000004</v>
      </c>
      <c r="FS14" s="62">
        <f>(t_Parts[[#This Row],[ha2019]]-t_Parts[[#This Row],[hp2019]])*t_Parts[[NetPPH]:[NetPPH]]</f>
        <v>26136000.000000004</v>
      </c>
    </row>
    <row r="15" spans="1:175" s="14" customFormat="1" x14ac:dyDescent="0.25">
      <c r="A15" s="78" t="s">
        <v>170</v>
      </c>
      <c r="B15" s="78">
        <v>21013</v>
      </c>
      <c r="C15" s="79">
        <v>1</v>
      </c>
      <c r="D15" s="77">
        <v>4200</v>
      </c>
      <c r="E15" s="80">
        <v>1</v>
      </c>
      <c r="F15" s="81">
        <v>4</v>
      </c>
      <c r="G15" s="79" t="s">
        <v>16</v>
      </c>
      <c r="H15" s="79" t="s">
        <v>94</v>
      </c>
      <c r="I15" s="77">
        <v>249166</v>
      </c>
      <c r="J15" s="77"/>
      <c r="K15" s="77"/>
      <c r="L15" s="77"/>
      <c r="M15" s="77"/>
      <c r="N15" s="77"/>
      <c r="O15" s="77"/>
      <c r="P15" s="80"/>
      <c r="Q15" s="80"/>
      <c r="R15" s="77"/>
      <c r="S15" s="81"/>
      <c r="T15" s="78"/>
      <c r="U15" s="82"/>
      <c r="V15" s="79" t="s">
        <v>116</v>
      </c>
      <c r="W15" s="14" t="str">
        <f>VLOOKUP(t_Parts[[#This Row],[Press]],t_Presses[],Press!B$1,FALSE)</f>
        <v>Plainfield</v>
      </c>
      <c r="X15" s="14" t="str">
        <f>VLOOKUP(t_Parts[[#This Row],[Press]],t_Presses[],Press!E$1,FALSE)</f>
        <v>0-299</v>
      </c>
      <c r="Y15" s="51">
        <f>VLOOKUP(t_Parts[[#This Row],[Plant]],t_Plants[],Plants!C$1,FALSE)</f>
        <v>0.55000000000000004</v>
      </c>
      <c r="Z15" s="51">
        <f>VLOOKUP(t_Parts[[#This Row],[Press]],t_Presses[],Press!F$1,FALSE)</f>
        <v>0</v>
      </c>
      <c r="AA15" s="88"/>
      <c r="AB15" s="51">
        <f>IF(ISBLANK(t_Parts[[#This Row],[PartOEE]])=FALSE,t_Parts[[#This Row],[PartOEE]], IF(t_Parts[[#This Row],[PressOEE]]&gt;0, t_Parts[[#This Row],[PressOEE]], t_Parts[[#This Row],[PlantOEE]] ))</f>
        <v>0.55000000000000004</v>
      </c>
      <c r="AC15" s="74">
        <f>t_Parts[[#This Row],[SetupsPerMo]]*t_Parts[[#This Row],[SetupHrs]]</f>
        <v>4</v>
      </c>
      <c r="AD15" s="43">
        <f>(t_Parts[[#This Row],[UnitsPerCycle]]*t_Parts[[#This Row],[CyclesPerHr]])*t_Parts[[#This Row],[UseOEE]]</f>
        <v>2310</v>
      </c>
      <c r="AE15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18321.029411764706</v>
      </c>
      <c r="AF15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19053.870588235295</v>
      </c>
      <c r="AG15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24916.600000000002</v>
      </c>
      <c r="AH15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18321.029411764706</v>
      </c>
      <c r="AI15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19053.870588235295</v>
      </c>
      <c r="AJ15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24916.600000000002</v>
      </c>
      <c r="AK15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18321.029411764706</v>
      </c>
      <c r="AL15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19053.870588235295</v>
      </c>
      <c r="AM15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24916.600000000002</v>
      </c>
      <c r="AN15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18321.029411764706</v>
      </c>
      <c r="AO15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19053.870588235295</v>
      </c>
      <c r="AP15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24916.600000000002</v>
      </c>
      <c r="AQ15" s="43">
        <f>SUM(t_Parts[[#This Row],[pv2015.01]:[pv2015.12]])</f>
        <v>249166</v>
      </c>
      <c r="AR15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5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5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5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5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5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5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5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5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5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5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5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5" s="43">
        <f>SUM(t_Parts[[#This Row],[pv2016.01]:[pv2016.12]])</f>
        <v>0</v>
      </c>
      <c r="BE15" s="43">
        <f>t_Parts[[#This Row],[2017vol]]</f>
        <v>0</v>
      </c>
      <c r="BF15" s="43">
        <f>t_Parts[[#This Row],[2018vol]]</f>
        <v>0</v>
      </c>
      <c r="BG15" s="43">
        <f>t_Parts[[#This Row],[2019vol]]</f>
        <v>0</v>
      </c>
      <c r="BH15" s="14">
        <f>VLOOKUP(t_Parts[[Plant]:[Plant]],t_Plants[],Plants!CM$1,FALSE)</f>
        <v>250</v>
      </c>
      <c r="BI15" s="14">
        <f>VLOOKUP(t_Parts[[Plant]:[Plant]],t_Plants[],Plants!CN$1,FALSE)</f>
        <v>260</v>
      </c>
      <c r="BJ15" s="14">
        <f>VLOOKUP(t_Parts[[Plant]:[Plant]],t_Plants[],Plants!CO$1,FALSE)</f>
        <v>340</v>
      </c>
      <c r="BK15" s="14">
        <f>VLOOKUP(t_Parts[[Plant]:[Plant]],t_Plants[],Plants!CP$1,FALSE)</f>
        <v>250</v>
      </c>
      <c r="BL15" s="14">
        <f>VLOOKUP(t_Parts[[Plant]:[Plant]],t_Plants[],Plants!CQ$1,FALSE)</f>
        <v>260</v>
      </c>
      <c r="BM15" s="14">
        <f>VLOOKUP(t_Parts[[Plant]:[Plant]],t_Plants[],Plants!CR$1,FALSE)</f>
        <v>340</v>
      </c>
      <c r="BN15" s="14">
        <f>VLOOKUP(t_Parts[[Plant]:[Plant]],t_Plants[],Plants!CS$1,FALSE)</f>
        <v>250</v>
      </c>
      <c r="BO15" s="14">
        <f>VLOOKUP(t_Parts[[Plant]:[Plant]],t_Plants[],Plants!CT$1,FALSE)</f>
        <v>260</v>
      </c>
      <c r="BP15" s="14">
        <f>VLOOKUP(t_Parts[[Plant]:[Plant]],t_Plants[],Plants!CU$1,FALSE)</f>
        <v>340</v>
      </c>
      <c r="BQ15" s="14">
        <f>VLOOKUP(t_Parts[[Plant]:[Plant]],t_Plants[],Plants!CV$1,FALSE)</f>
        <v>250</v>
      </c>
      <c r="BR15" s="14">
        <f>VLOOKUP(t_Parts[[Plant]:[Plant]],t_Plants[],Plants!CW$1,FALSE)</f>
        <v>260</v>
      </c>
      <c r="BS15" s="14">
        <f>VLOOKUP(t_Parts[[Plant]:[Plant]],t_Plants[],Plants!CX$1,FALSE)</f>
        <v>340</v>
      </c>
      <c r="BT15" s="14">
        <f>SUM(t_Parts[[#This Row],[ha2015.01]:[ha2015.12]])</f>
        <v>3400</v>
      </c>
      <c r="BU15" s="14">
        <f>VLOOKUP(t_Parts[[Plant]:[Plant]],t_Plants[],Plants!CZ$1,FALSE)</f>
        <v>250</v>
      </c>
      <c r="BV15" s="14">
        <f>VLOOKUP(t_Parts[[Plant]:[Plant]],t_Plants[],Plants!DA$1,FALSE)</f>
        <v>240</v>
      </c>
      <c r="BW15" s="14">
        <f>VLOOKUP(t_Parts[[Plant]:[Plant]],t_Plants[],Plants!DB$1,FALSE)</f>
        <v>340</v>
      </c>
      <c r="BX15" s="14">
        <f>VLOOKUP(t_Parts[[Plant]:[Plant]],t_Plants[],Plants!DC$1,FALSE)</f>
        <v>250</v>
      </c>
      <c r="BY15" s="14">
        <f>VLOOKUP(t_Parts[[Plant]:[Plant]],t_Plants[],Plants!DD$1,FALSE)</f>
        <v>260</v>
      </c>
      <c r="BZ15" s="14">
        <f>VLOOKUP(t_Parts[[Plant]:[Plant]],t_Plants[],Plants!DE$1,FALSE)</f>
        <v>340</v>
      </c>
      <c r="CA15" s="14">
        <f>VLOOKUP(t_Parts[[Plant]:[Plant]],t_Plants[],Plants!DF$1,FALSE)</f>
        <v>250</v>
      </c>
      <c r="CB15" s="14">
        <f>VLOOKUP(t_Parts[[Plant]:[Plant]],t_Plants[],Plants!DG$1,FALSE)</f>
        <v>260</v>
      </c>
      <c r="CC15" s="14">
        <f>VLOOKUP(t_Parts[[Plant]:[Plant]],t_Plants[],Plants!DH$1,FALSE)</f>
        <v>340</v>
      </c>
      <c r="CD15" s="14">
        <f>VLOOKUP(t_Parts[[Plant]:[Plant]],t_Plants[],Plants!DI$1,FALSE)</f>
        <v>250</v>
      </c>
      <c r="CE15" s="14">
        <f>VLOOKUP(t_Parts[[Plant]:[Plant]],t_Plants[],Plants!DJ$1,FALSE)</f>
        <v>220</v>
      </c>
      <c r="CF15" s="14">
        <f>VLOOKUP(t_Parts[[Plant]:[Plant]],t_Plants[],Plants!DK$1,FALSE)</f>
        <v>300</v>
      </c>
      <c r="CG15" s="14">
        <f>VLOOKUP(t_Parts[[Plant]:[Plant]],t_Plants[],Plants!DL$1,FALSE)</f>
        <v>3300</v>
      </c>
      <c r="CH15" s="14">
        <f>VLOOKUP(t_Parts[[Plant]:[Plant]],t_Plants[],Plants!DM$1,FALSE)</f>
        <v>3300</v>
      </c>
      <c r="CI15" s="14">
        <f>VLOOKUP(t_Parts[[Plant]:[Plant]],t_Plants[],Plants!DN$1,FALSE)</f>
        <v>3300</v>
      </c>
      <c r="CJ15" s="14">
        <f>VLOOKUP(t_Parts[[Plant]:[Plant]],t_Plants[],Plants!DO$1,FALSE)</f>
        <v>3300</v>
      </c>
      <c r="CK15" s="43">
        <f>IF(AND(AE$3&gt;=VALUE(t_Parts[[SOP]:[SOP]]),AE$3&lt;=VALUE(t_Parts[[EOP]:[EOP]])), t_Parts[[SetupHrsPerMo]:[SetupHrsPerMo]]+(t_Parts[[#This Row],[pv2015.01]]/t_Parts[[NetPPH]:[NetPPH]]),0)</f>
        <v>11.931181563534505</v>
      </c>
      <c r="CL15" s="43">
        <f>IF(AND(AF$3&gt;=VALUE(t_Parts[[SOP]:[SOP]]),AF$3&lt;=VALUE(t_Parts[[EOP]:[EOP]])), t_Parts[[SetupHrsPerMo]:[SetupHrsPerMo]]+(t_Parts[[#This Row],[pv2015.02]]/t_Parts[[NetPPH]:[NetPPH]]),0)</f>
        <v>12.248428826075886</v>
      </c>
      <c r="CM15" s="43">
        <f>IF(AND(AG$3&gt;=VALUE(t_Parts[[SOP]:[SOP]]),AG$3&lt;=VALUE(t_Parts[[EOP]:[EOP]])), t_Parts[[SetupHrsPerMo]:[SetupHrsPerMo]]+(t_Parts[[#This Row],[pv2015.03]]/t_Parts[[NetPPH]:[NetPPH]]),0)</f>
        <v>14.786406926406928</v>
      </c>
      <c r="CN15" s="43">
        <f>IF(AND(AH$3&gt;=VALUE(t_Parts[[SOP]:[SOP]]),AH$3&lt;=VALUE(t_Parts[[EOP]:[EOP]])), t_Parts[[SetupHrsPerMo]:[SetupHrsPerMo]]+(t_Parts[[#This Row],[pv2015.04]]/t_Parts[[NetPPH]:[NetPPH]]),0)</f>
        <v>11.931181563534505</v>
      </c>
      <c r="CO15" s="43">
        <f>IF(AND(AI$3&gt;=VALUE(t_Parts[[SOP]:[SOP]]),AI$3&lt;=VALUE(t_Parts[[EOP]:[EOP]])), t_Parts[[SetupHrsPerMo]:[SetupHrsPerMo]]+(t_Parts[[#This Row],[pv2015.05]]/t_Parts[[NetPPH]:[NetPPH]]),0)</f>
        <v>12.248428826075886</v>
      </c>
      <c r="CP15" s="43">
        <f>IF(AND(AJ$3&gt;=VALUE(t_Parts[[SOP]:[SOP]]),AJ$3&lt;=VALUE(t_Parts[[EOP]:[EOP]])), t_Parts[[SetupHrsPerMo]:[SetupHrsPerMo]]+(t_Parts[[#This Row],[pv2015.06]]/t_Parts[[NetPPH]:[NetPPH]]),0)</f>
        <v>14.786406926406928</v>
      </c>
      <c r="CQ15" s="43">
        <f>IF(AND(AK$3&gt;=VALUE(t_Parts[[SOP]:[SOP]]),AK$3&lt;=VALUE(t_Parts[[EOP]:[EOP]])), t_Parts[[SetupHrsPerMo]:[SetupHrsPerMo]]+(t_Parts[[#This Row],[pv2015.07]]/t_Parts[[NetPPH]:[NetPPH]]),0)</f>
        <v>11.931181563534505</v>
      </c>
      <c r="CR15" s="43">
        <f>IF(AND(AL$3&gt;=VALUE(t_Parts[[SOP]:[SOP]]),AL$3&lt;=VALUE(t_Parts[[EOP]:[EOP]])), t_Parts[[SetupHrsPerMo]:[SetupHrsPerMo]]+(t_Parts[[#This Row],[pv2015.08]]/t_Parts[[NetPPH]:[NetPPH]]),0)</f>
        <v>12.248428826075886</v>
      </c>
      <c r="CS15" s="43">
        <f>IF(AND(AM$3&gt;=VALUE(t_Parts[[SOP]:[SOP]]),AM$3&lt;=VALUE(t_Parts[[EOP]:[EOP]])), t_Parts[[SetupHrsPerMo]:[SetupHrsPerMo]]+(t_Parts[[#This Row],[pv2015.09]]/t_Parts[[NetPPH]:[NetPPH]]),0)</f>
        <v>14.786406926406928</v>
      </c>
      <c r="CT15" s="43">
        <f>IF(AND(AN$3&gt;=VALUE(t_Parts[[SOP]:[SOP]]),AN$3&lt;=VALUE(t_Parts[[EOP]:[EOP]])), t_Parts[[SetupHrsPerMo]:[SetupHrsPerMo]]+(t_Parts[[#This Row],[pv2015.10]]/t_Parts[[NetPPH]:[NetPPH]]),0)</f>
        <v>11.931181563534505</v>
      </c>
      <c r="CU15" s="43">
        <f>IF(AND(AO$3&gt;=VALUE(t_Parts[[SOP]:[SOP]]),AO$3&lt;=VALUE(t_Parts[[EOP]:[EOP]])), t_Parts[[SetupHrsPerMo]:[SetupHrsPerMo]]+(t_Parts[[#This Row],[pv2015.11]]/t_Parts[[NetPPH]:[NetPPH]]),0)</f>
        <v>12.248428826075886</v>
      </c>
      <c r="CV15" s="43">
        <f>IF(AND(AP$3&gt;=VALUE(t_Parts[[SOP]:[SOP]]),AP$3&lt;=VALUE(t_Parts[[EOP]:[EOP]])), t_Parts[[SetupHrsPerMo]:[SetupHrsPerMo]]+(t_Parts[[#This Row],[pv2015.12]]/t_Parts[[NetPPH]:[NetPPH]]),0)</f>
        <v>14.786406926406928</v>
      </c>
      <c r="CW15" s="43">
        <f>SUM(t_Parts[[#This Row],[hp2015.01]:[hp2015.12]])</f>
        <v>155.86406926406929</v>
      </c>
      <c r="CX15" s="43">
        <f>IF(AND(AR$3&gt;=VALUE(t_Parts[[SOP]:[SOP]]),AR$3&lt;=VALUE(t_Parts[[EOP]:[EOP]])), t_Parts[[SetupHrsPerMo]:[SetupHrsPerMo]]+(t_Parts[[#This Row],[pv2016.01]]/t_Parts[[NetPPH]:[NetPPH]]),0)</f>
        <v>0</v>
      </c>
      <c r="CY15" s="43">
        <f>IF(AND(AS$3&gt;=VALUE(t_Parts[[SOP]:[SOP]]),AS$3&lt;=VALUE(t_Parts[[EOP]:[EOP]])), t_Parts[[SetupHrsPerMo]:[SetupHrsPerMo]]+(t_Parts[[#This Row],[pv2016.02]]/t_Parts[[NetPPH]:[NetPPH]]),0)</f>
        <v>0</v>
      </c>
      <c r="CZ15" s="43">
        <f>IF(AND(AT$3&gt;=VALUE(t_Parts[[SOP]:[SOP]]),AT$3&lt;=VALUE(t_Parts[[EOP]:[EOP]])), t_Parts[[SetupHrsPerMo]:[SetupHrsPerMo]]+(t_Parts[[#This Row],[pv2016.03]]/t_Parts[[NetPPH]:[NetPPH]]),0)</f>
        <v>0</v>
      </c>
      <c r="DA15" s="43">
        <f>IF(AND(AU$3&gt;=VALUE(t_Parts[[SOP]:[SOP]]),AU$3&lt;=VALUE(t_Parts[[EOP]:[EOP]])), t_Parts[[SetupHrsPerMo]:[SetupHrsPerMo]]+(t_Parts[[#This Row],[pv2016.04]]/t_Parts[[NetPPH]:[NetPPH]]),0)</f>
        <v>0</v>
      </c>
      <c r="DB15" s="43">
        <f>IF(AND(AV$3&gt;=VALUE(t_Parts[[SOP]:[SOP]]),AV$3&lt;=VALUE(t_Parts[[EOP]:[EOP]])), t_Parts[[SetupHrsPerMo]:[SetupHrsPerMo]]+(t_Parts[[#This Row],[pv2016.05]]/t_Parts[[NetPPH]:[NetPPH]]),0)</f>
        <v>0</v>
      </c>
      <c r="DC15" s="43">
        <f>IF(AND(AW$3&gt;=VALUE(t_Parts[[SOP]:[SOP]]),AW$3&lt;=VALUE(t_Parts[[EOP]:[EOP]])), t_Parts[[SetupHrsPerMo]:[SetupHrsPerMo]]+(t_Parts[[#This Row],[pv2016.06]]/t_Parts[[NetPPH]:[NetPPH]]),0)</f>
        <v>0</v>
      </c>
      <c r="DD15" s="43">
        <f>IF(AND(AX$3&gt;=VALUE(t_Parts[[SOP]:[SOP]]),AX$3&lt;=VALUE(t_Parts[[EOP]:[EOP]])), t_Parts[[SetupHrsPerMo]:[SetupHrsPerMo]]+(t_Parts[[#This Row],[pv2016.07]]/t_Parts[[NetPPH]:[NetPPH]]),0)</f>
        <v>0</v>
      </c>
      <c r="DE15" s="43">
        <f>IF(AND(AY$3&gt;=VALUE(t_Parts[[SOP]:[SOP]]),AY$3&lt;=VALUE(t_Parts[[EOP]:[EOP]])), t_Parts[[SetupHrsPerMo]:[SetupHrsPerMo]]+(t_Parts[[#This Row],[pv2016.08]]/t_Parts[[NetPPH]:[NetPPH]]),0)</f>
        <v>0</v>
      </c>
      <c r="DF15" s="43">
        <f>IF(AND(AZ$3&gt;=VALUE(t_Parts[[SOP]:[SOP]]),AZ$3&lt;=VALUE(t_Parts[[EOP]:[EOP]])), t_Parts[[SetupHrsPerMo]:[SetupHrsPerMo]]+(t_Parts[[#This Row],[pv2016.09]]/t_Parts[[NetPPH]:[NetPPH]]),0)</f>
        <v>0</v>
      </c>
      <c r="DG15" s="43">
        <f>IF(AND(BA$3&gt;=VALUE(t_Parts[[SOP]:[SOP]]),BA$3&lt;=VALUE(t_Parts[[EOP]:[EOP]])), t_Parts[[SetupHrsPerMo]:[SetupHrsPerMo]]+(t_Parts[[#This Row],[pv2016.10]]/t_Parts[[NetPPH]:[NetPPH]]),0)</f>
        <v>0</v>
      </c>
      <c r="DH15" s="43">
        <f>IF(AND(BB$3&gt;=VALUE(t_Parts[[SOP]:[SOP]]),BB$3&lt;=VALUE(t_Parts[[EOP]:[EOP]])), t_Parts[[SetupHrsPerMo]:[SetupHrsPerMo]]+(t_Parts[[#This Row],[pv2016.11]]/t_Parts[[NetPPH]:[NetPPH]]),0)</f>
        <v>0</v>
      </c>
      <c r="DI15" s="43">
        <f>IF(AND(BC$3&gt;=VALUE(t_Parts[[SOP]:[SOP]]),BC$3&lt;=VALUE(t_Parts[[EOP]:[EOP]])), t_Parts[[SetupHrsPerMo]:[SetupHrsPerMo]]+(t_Parts[[#This Row],[pv2016.12]]/t_Parts[[NetPPH]:[NetPPH]]),0)</f>
        <v>0</v>
      </c>
      <c r="DJ15" s="43">
        <f>SUM(t_Parts[[#This Row],[hp2016.01]:[hp2016.12]])</f>
        <v>0</v>
      </c>
      <c r="DK15" s="43">
        <f>IF(AND(BE$3&gt;=VALUE(t_Parts[[SOP]:[SOP]]),BE$3&lt;=VALUE(t_Parts[[EOP]:[EOP]])), 12*t_Parts[[SetupHrsPerMo]:[SetupHrsPerMo]]+(t_Parts[[#This Row],[pv2017]]/t_Parts[[NetPPH]:[NetPPH]]),0)</f>
        <v>0</v>
      </c>
      <c r="DL15" s="43">
        <f>IF(AND(BF$3&gt;=VALUE(t_Parts[[SOP]:[SOP]]),BF$3&lt;=VALUE(t_Parts[[EOP]:[EOP]])), 12*t_Parts[[SetupHrsPerMo]:[SetupHrsPerMo]]+(t_Parts[[#This Row],[pv2018]]/t_Parts[[NetPPH]:[NetPPH]]),0)</f>
        <v>0</v>
      </c>
      <c r="DM15" s="43">
        <f>IF(AND(BG$3&gt;=VALUE(t_Parts[[SOP]:[SOP]]),BG$3&lt;=VALUE(t_Parts[[EOP]:[EOP]])), 12*t_Parts[[SetupHrsPerMo]:[SetupHrsPerMo]]+(t_Parts[[#This Row],[pv2019]]/t_Parts[[NetPPH]:[NetPPH]]),0)</f>
        <v>0</v>
      </c>
      <c r="DN15" s="51">
        <f>t_Parts[[#This Row],[hp2015.01]]/t_Parts[[#This Row],[ha2015.01]]</f>
        <v>4.7724726254138018E-2</v>
      </c>
      <c r="DO15" s="51">
        <f>t_Parts[[#This Row],[hp2015.02]]/t_Parts[[#This Row],[ha2015.02]]</f>
        <v>4.7109341638753403E-2</v>
      </c>
      <c r="DP15" s="51">
        <f>t_Parts[[#This Row],[hp2015.03]]/t_Parts[[#This Row],[ha2015.03]]</f>
        <v>4.3489432136490966E-2</v>
      </c>
      <c r="DQ15" s="51">
        <f>t_Parts[[#This Row],[hp2015.04]]/t_Parts[[#This Row],[ha2015.04]]</f>
        <v>4.7724726254138018E-2</v>
      </c>
      <c r="DR15" s="51">
        <f>t_Parts[[#This Row],[hp2015.05]]/t_Parts[[#This Row],[ha2015.05]]</f>
        <v>4.7109341638753403E-2</v>
      </c>
      <c r="DS15" s="51">
        <f>t_Parts[[#This Row],[hp2015.06]]/t_Parts[[#This Row],[ha2015.06]]</f>
        <v>4.3489432136490966E-2</v>
      </c>
      <c r="DT15" s="51">
        <f>t_Parts[[#This Row],[hp2015.07]]/t_Parts[[#This Row],[ha2015.07]]</f>
        <v>4.7724726254138018E-2</v>
      </c>
      <c r="DU15" s="51">
        <f>t_Parts[[#This Row],[hp2015.08]]/t_Parts[[#This Row],[ha2015.08]]</f>
        <v>4.7109341638753403E-2</v>
      </c>
      <c r="DV15" s="51">
        <f>t_Parts[[#This Row],[hp2015.09]]/t_Parts[[#This Row],[ha2015.09]]</f>
        <v>4.3489432136490966E-2</v>
      </c>
      <c r="DW15" s="51">
        <f>t_Parts[[#This Row],[hp2015.10]]/t_Parts[[#This Row],[ha2015.10]]</f>
        <v>4.7724726254138018E-2</v>
      </c>
      <c r="DX15" s="51">
        <f>t_Parts[[#This Row],[hp2015.11]]/t_Parts[[#This Row],[ha2015.11]]</f>
        <v>4.7109341638753403E-2</v>
      </c>
      <c r="DY15" s="51">
        <f>t_Parts[[#This Row],[hp2015.12]]/t_Parts[[#This Row],[ha2015.12]]</f>
        <v>4.3489432136490966E-2</v>
      </c>
      <c r="DZ15" s="51">
        <f>t_Parts[[#This Row],[hp2015.FY]]/t_Parts[[#This Row],[ha2015.FY]]</f>
        <v>4.5842373312961558E-2</v>
      </c>
      <c r="EA15" s="51">
        <f>t_Parts[[#This Row],[hp2016.01]]/t_Parts[[#This Row],[ha2016.01]]</f>
        <v>0</v>
      </c>
      <c r="EB15" s="51">
        <f>t_Parts[[#This Row],[hp2016.02]]/t_Parts[[#This Row],[ha2016.02]]</f>
        <v>0</v>
      </c>
      <c r="EC15" s="51">
        <f>t_Parts[[#This Row],[hp2016.03]]/t_Parts[[#This Row],[ha2016.03]]</f>
        <v>0</v>
      </c>
      <c r="ED15" s="51">
        <f>t_Parts[[#This Row],[hp2016.04]]/t_Parts[[#This Row],[ha2016.04]]</f>
        <v>0</v>
      </c>
      <c r="EE15" s="51">
        <f>t_Parts[[#This Row],[hp2016.05]]/t_Parts[[#This Row],[ha2016.05]]</f>
        <v>0</v>
      </c>
      <c r="EF15" s="51">
        <f>t_Parts[[#This Row],[hp2016.06]]/t_Parts[[#This Row],[ha2016.06]]</f>
        <v>0</v>
      </c>
      <c r="EG15" s="51">
        <f>t_Parts[[#This Row],[hp2016.07]]/t_Parts[[#This Row],[ha2016.07]]</f>
        <v>0</v>
      </c>
      <c r="EH15" s="51">
        <f>t_Parts[[#This Row],[hp2016.08]]/t_Parts[[#This Row],[ha2016.08]]</f>
        <v>0</v>
      </c>
      <c r="EI15" s="51">
        <f>t_Parts[[#This Row],[hp2016.09]]/t_Parts[[#This Row],[ha2016.09]]</f>
        <v>0</v>
      </c>
      <c r="EJ15" s="51">
        <f>t_Parts[[#This Row],[hp2016.10]]/t_Parts[[#This Row],[ha2016.10]]</f>
        <v>0</v>
      </c>
      <c r="EK15" s="51">
        <f>t_Parts[[#This Row],[hp2016.11]]/t_Parts[[#This Row],[ha2016.11]]</f>
        <v>0</v>
      </c>
      <c r="EL15" s="51">
        <f>t_Parts[[#This Row],[hp2016.12]]/t_Parts[[#This Row],[ha2016.12]]</f>
        <v>0</v>
      </c>
      <c r="EM15" s="51">
        <f>t_Parts[[#This Row],[hp2016.FY]]/t_Parts[[#This Row],[ha2016.FY]]</f>
        <v>0</v>
      </c>
      <c r="EN15" s="51">
        <f>t_Parts[[#This Row],[hp2017]]/t_Parts[[#This Row],[ha2017]]</f>
        <v>0</v>
      </c>
      <c r="EO15" s="51">
        <f>t_Parts[[#This Row],[hp2018]]/t_Parts[[#This Row],[ha2018]]</f>
        <v>0</v>
      </c>
      <c r="EP15" s="51">
        <f>t_Parts[[#This Row],[hp2019]]/t_Parts[[#This Row],[hp2015.01]]</f>
        <v>0</v>
      </c>
      <c r="EQ15" s="62">
        <f>(t_Parts[[#This Row],[ha2015.01]]-t_Parts[[#This Row],[hp2015.01]])*t_Parts[[NetPPH]:[NetPPH]]</f>
        <v>549938.9705882353</v>
      </c>
      <c r="ER15" s="62">
        <f>(t_Parts[[#This Row],[ha2015.02]]-t_Parts[[#This Row],[hp2015.02]])*t_Parts[[NetPPH]:[NetPPH]]</f>
        <v>572306.12941176468</v>
      </c>
      <c r="ES15" s="62">
        <f>(t_Parts[[#This Row],[ha2015.03]]-t_Parts[[#This Row],[hp2015.03]])*t_Parts[[NetPPH]:[NetPPH]]</f>
        <v>751243.4</v>
      </c>
      <c r="ET15" s="62">
        <f>(t_Parts[[#This Row],[ha2015.04]]-t_Parts[[#This Row],[hp2015.04]])*t_Parts[[NetPPH]:[NetPPH]]</f>
        <v>549938.9705882353</v>
      </c>
      <c r="EU15" s="62">
        <f>(t_Parts[[#This Row],[ha2015.05]]-t_Parts[[#This Row],[hp2015.05]])*t_Parts[[NetPPH]:[NetPPH]]</f>
        <v>572306.12941176468</v>
      </c>
      <c r="EV15" s="62">
        <f>(t_Parts[[#This Row],[ha2015.06]]-t_Parts[[#This Row],[hp2015.06]])*t_Parts[[NetPPH]:[NetPPH]]</f>
        <v>751243.4</v>
      </c>
      <c r="EW15" s="62">
        <f>(t_Parts[[#This Row],[ha2015.07]]-t_Parts[[#This Row],[hp2015.07]])*t_Parts[[NetPPH]:[NetPPH]]</f>
        <v>549938.9705882353</v>
      </c>
      <c r="EX15" s="62">
        <f>(t_Parts[[#This Row],[ha2015.08]]-t_Parts[[#This Row],[hp2015.08]])*t_Parts[[NetPPH]:[NetPPH]]</f>
        <v>572306.12941176468</v>
      </c>
      <c r="EY15" s="62">
        <f>(t_Parts[[#This Row],[ha2015.09]]-t_Parts[[#This Row],[hp2015.09]])*t_Parts[[NetPPH]:[NetPPH]]</f>
        <v>751243.4</v>
      </c>
      <c r="EZ15" s="62">
        <f>(t_Parts[[#This Row],[ha2015.10]]-t_Parts[[#This Row],[hp2015.10]])*t_Parts[[NetPPH]:[NetPPH]]</f>
        <v>549938.9705882353</v>
      </c>
      <c r="FA15" s="62">
        <f>(t_Parts[[#This Row],[ha2015.11]]-t_Parts[[#This Row],[hp2015.11]])*t_Parts[[NetPPH]:[NetPPH]]</f>
        <v>572306.12941176468</v>
      </c>
      <c r="FB15" s="62">
        <f>(t_Parts[[#This Row],[ha2015.12]]-t_Parts[[#This Row],[hp2015.12]])*t_Parts[[NetPPH]:[NetPPH]]</f>
        <v>751243.4</v>
      </c>
      <c r="FC15" s="62">
        <f>(t_Parts[[#This Row],[ha2015.FY]]-t_Parts[[#This Row],[hp2015.FY]])*t_Parts[[NetPPH]:[NetPPH]]</f>
        <v>7493954</v>
      </c>
      <c r="FD15" s="62">
        <f>(t_Parts[[#This Row],[ha2016.01]]-t_Parts[[#This Row],[hp2016.01]])*t_Parts[[NetPPH]:[NetPPH]]</f>
        <v>577500</v>
      </c>
      <c r="FE15" s="62">
        <f>(t_Parts[[#This Row],[ha2016.02]]-t_Parts[[#This Row],[hp2016.02]])*t_Parts[[NetPPH]:[NetPPH]]</f>
        <v>554400</v>
      </c>
      <c r="FF15" s="62">
        <f>(t_Parts[[#This Row],[ha2016.03]]-t_Parts[[#This Row],[hp2016.03]])*t_Parts[[NetPPH]:[NetPPH]]</f>
        <v>785400</v>
      </c>
      <c r="FG15" s="62">
        <f>(t_Parts[[#This Row],[ha2016.04]]-t_Parts[[#This Row],[hp2016.04]])*t_Parts[[NetPPH]:[NetPPH]]</f>
        <v>577500</v>
      </c>
      <c r="FH15" s="62">
        <f>(t_Parts[[#This Row],[ha2016.05]]-t_Parts[[#This Row],[hp2016.05]])*t_Parts[[NetPPH]:[NetPPH]]</f>
        <v>600600</v>
      </c>
      <c r="FI15" s="62">
        <f>(t_Parts[[#This Row],[ha2016.06]]-t_Parts[[#This Row],[hp2016.06]])*t_Parts[[NetPPH]:[NetPPH]]</f>
        <v>785400</v>
      </c>
      <c r="FJ15" s="62">
        <f>(t_Parts[[#This Row],[ha2016.07]]-t_Parts[[#This Row],[hp2016.07]])*t_Parts[[NetPPH]:[NetPPH]]</f>
        <v>577500</v>
      </c>
      <c r="FK15" s="62">
        <f>(t_Parts[[#This Row],[ha2016.08]]-t_Parts[[#This Row],[hp2016.08]])*t_Parts[[NetPPH]:[NetPPH]]</f>
        <v>600600</v>
      </c>
      <c r="FL15" s="62">
        <f>(t_Parts[[#This Row],[ha2016.09]]-t_Parts[[#This Row],[hp2016.09]])*t_Parts[[NetPPH]:[NetPPH]]</f>
        <v>785400</v>
      </c>
      <c r="FM15" s="62">
        <f>(t_Parts[[#This Row],[ha2016.10]]-t_Parts[[#This Row],[hp2016.10]])*t_Parts[[NetPPH]:[NetPPH]]</f>
        <v>577500</v>
      </c>
      <c r="FN15" s="62">
        <f>(t_Parts[[#This Row],[ha2016.11]]-t_Parts[[#This Row],[hp2016.11]])*t_Parts[[NetPPH]:[NetPPH]]</f>
        <v>508200</v>
      </c>
      <c r="FO15" s="62">
        <f>(t_Parts[[#This Row],[ha2016.12]]-t_Parts[[#This Row],[hp2016.12]])*t_Parts[[NetPPH]:[NetPPH]]</f>
        <v>693000</v>
      </c>
      <c r="FP15" s="62">
        <f>(t_Parts[[#This Row],[ha2016.FY]]-t_Parts[[#This Row],[hp2016.FY]])*t_Parts[[NetPPH]:[NetPPH]]</f>
        <v>7623000</v>
      </c>
      <c r="FQ15" s="62">
        <f>(t_Parts[[#This Row],[ha2017]]-t_Parts[[#This Row],[hp2017]])*t_Parts[[NetPPH]:[NetPPH]]</f>
        <v>7623000</v>
      </c>
      <c r="FR15" s="62">
        <f>(t_Parts[[#This Row],[ha2018]]-t_Parts[[#This Row],[hp2018]])*t_Parts[[NetPPH]:[NetPPH]]</f>
        <v>7623000</v>
      </c>
      <c r="FS15" s="62">
        <f>(t_Parts[[#This Row],[ha2019]]-t_Parts[[#This Row],[hp2019]])*t_Parts[[NetPPH]:[NetPPH]]</f>
        <v>7623000</v>
      </c>
    </row>
    <row r="16" spans="1:175" s="14" customFormat="1" x14ac:dyDescent="0.25">
      <c r="A16" s="78" t="s">
        <v>178</v>
      </c>
      <c r="B16" s="78" t="s">
        <v>127</v>
      </c>
      <c r="C16" s="79">
        <v>1</v>
      </c>
      <c r="D16" s="77">
        <v>60</v>
      </c>
      <c r="E16" s="80">
        <v>1</v>
      </c>
      <c r="F16" s="81">
        <v>0</v>
      </c>
      <c r="G16" s="79" t="s">
        <v>16</v>
      </c>
      <c r="H16" s="79" t="s">
        <v>94</v>
      </c>
      <c r="I16" s="77">
        <v>100000</v>
      </c>
      <c r="J16" s="77"/>
      <c r="K16" s="77"/>
      <c r="L16" s="77"/>
      <c r="M16" s="77"/>
      <c r="N16" s="83"/>
      <c r="O16" s="83"/>
      <c r="P16" s="84"/>
      <c r="Q16" s="84"/>
      <c r="R16" s="83"/>
      <c r="S16" s="85"/>
      <c r="T16" s="86"/>
      <c r="U16" s="87"/>
      <c r="V16" s="88"/>
      <c r="W16" s="44" t="str">
        <f>VLOOKUP(t_Parts[[#This Row],[Press]],t_Presses[],Press!B$1,FALSE)</f>
        <v>Bond</v>
      </c>
      <c r="X16" s="44" t="str">
        <f>VLOOKUP(t_Parts[[#This Row],[Press]],t_Presses[],Press!E$1,FALSE)</f>
        <v>0-299</v>
      </c>
      <c r="Y16" s="51">
        <f>VLOOKUP(t_Parts[[#This Row],[Plant]],t_Plants[],Plants!C$1,FALSE)</f>
        <v>0.76</v>
      </c>
      <c r="Z16" s="51">
        <f>VLOOKUP(t_Parts[[#This Row],[Press]],t_Presses[],Press!F$1,FALSE)</f>
        <v>0</v>
      </c>
      <c r="AA16" s="89">
        <v>1</v>
      </c>
      <c r="AB16" s="51">
        <f>IF(ISBLANK(t_Parts[[#This Row],[PartOEE]])=FALSE,t_Parts[[#This Row],[PartOEE]], IF(t_Parts[[#This Row],[PressOEE]]&gt;0, t_Parts[[#This Row],[PressOEE]], t_Parts[[#This Row],[PlantOEE]] ))</f>
        <v>1</v>
      </c>
      <c r="AC16" s="74">
        <f>t_Parts[[#This Row],[SetupsPerMo]]*t_Parts[[#This Row],[SetupHrs]]</f>
        <v>0</v>
      </c>
      <c r="AD16" s="43">
        <f>(t_Parts[[#This Row],[UnitsPerCycle]]*t_Parts[[#This Row],[CyclesPerHr]])*t_Parts[[#This Row],[UseOEE]]</f>
        <v>60</v>
      </c>
      <c r="AE16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7558.1395348837214</v>
      </c>
      <c r="AF16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7558.1395348837214</v>
      </c>
      <c r="AG16" s="77">
        <f>IF(AND(AG$3&gt;=VALUE(t_Parts[[SOP]:[SOP]]),AG$3&lt;=VALUE(t_Parts[[EOP]:[EOP]])),  (t_Parts[[2015vol]:[2015vol]]/VLOOKUP(t_Parts[[Plant]:[Plant]],t_Plants[],Plants!$BV$1, FALSE))*VLOOKUP(t_Parts[[Plant]:[Plant]],t_Plants[],Plants!BL$1,FALSE),0)</f>
        <v>9883.7209302325591</v>
      </c>
      <c r="AH16" s="77">
        <f>IF(AND(AH$3&gt;=VALUE(t_Parts[[SOP]:[SOP]]),AH$3&lt;=VALUE(t_Parts[[EOP]:[EOP]])),  (t_Parts[[2015vol]:[2015vol]]/VLOOKUP(t_Parts[[Plant]:[Plant]],t_Plants[],Plants!$BV$1, FALSE))*VLOOKUP(t_Parts[[Plant]:[Plant]],t_Plants[],Plants!BM$1,FALSE),0)</f>
        <v>7558.1395348837214</v>
      </c>
      <c r="AI16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7558.1395348837214</v>
      </c>
      <c r="AJ16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9883.7209302325591</v>
      </c>
      <c r="AK16" s="77">
        <f>IF(AND(AK$3&gt;=VALUE(t_Parts[[SOP]:[SOP]]),AK$3&lt;=VALUE(t_Parts[[EOP]:[EOP]])),  (t_Parts[[2015vol]:[2015vol]]/VLOOKUP(t_Parts[[Plant]:[Plant]],t_Plants[],Plants!$BV$1, FALSE))*VLOOKUP(t_Parts[[Plant]:[Plant]],t_Plants[],Plants!BP$1,FALSE),0)</f>
        <v>7558.1395348837214</v>
      </c>
      <c r="AL16" s="77">
        <f>IF(AND(AL$3&gt;=VALUE(t_Parts[[SOP]:[SOP]]),AL$3&lt;=VALUE(t_Parts[[EOP]:[EOP]])),  (t_Parts[[2015vol]:[2015vol]]/VLOOKUP(t_Parts[[Plant]:[Plant]],t_Plants[],Plants!$BV$1, FALSE))*VLOOKUP(t_Parts[[Plant]:[Plant]],t_Plants[],Plants!BQ$1,FALSE),0)</f>
        <v>7558.1395348837214</v>
      </c>
      <c r="AM16" s="77">
        <f>IF(AND(AM$3&gt;=VALUE(t_Parts[[SOP]:[SOP]]),AM$3&lt;=VALUE(t_Parts[[EOP]:[EOP]])),  (t_Parts[[2015vol]:[2015vol]]/VLOOKUP(t_Parts[[Plant]:[Plant]],t_Plants[],Plants!$BV$1, FALSE))*VLOOKUP(t_Parts[[Plant]:[Plant]],t_Plants[],Plants!BR$1,FALSE),0)</f>
        <v>9883.7209302325591</v>
      </c>
      <c r="AN16" s="77">
        <f>IF(AND(AN$3&gt;=VALUE(t_Parts[[SOP]:[SOP]]),AN$3&lt;=VALUE(t_Parts[[EOP]:[EOP]])),  (t_Parts[[2015vol]:[2015vol]]/VLOOKUP(t_Parts[[Plant]:[Plant]],t_Plants[],Plants!$BV$1, FALSE))*VLOOKUP(t_Parts[[Plant]:[Plant]],t_Plants[],Plants!BS$1,FALSE),0)</f>
        <v>7558.1395348837214</v>
      </c>
      <c r="AO16" s="77">
        <f>IF(AND(AO$3&gt;=VALUE(t_Parts[[SOP]:[SOP]]),AO$3&lt;=VALUE(t_Parts[[EOP]:[EOP]])),  (t_Parts[[2015vol]:[2015vol]]/VLOOKUP(t_Parts[[Plant]:[Plant]],t_Plants[],Plants!$BV$1, FALSE))*VLOOKUP(t_Parts[[Plant]:[Plant]],t_Plants[],Plants!BT$1,FALSE),0)</f>
        <v>7558.1395348837214</v>
      </c>
      <c r="AP16" s="77">
        <f>IF(AND(AP$3&gt;=VALUE(t_Parts[[SOP]:[SOP]]),AP$3&lt;=VALUE(t_Parts[[EOP]:[EOP]])),  (t_Parts[[2015vol]:[2015vol]]/VLOOKUP(t_Parts[[Plant]:[Plant]],t_Plants[],Plants!$BV$1, FALSE))*VLOOKUP(t_Parts[[Plant]:[Plant]],t_Plants[],Plants!BU$1,FALSE),0)</f>
        <v>9883.7209302325591</v>
      </c>
      <c r="AQ16" s="43">
        <f>SUM(t_Parts[[#This Row],[pv2015.01]:[pv2015.12]])</f>
        <v>100000.00000000003</v>
      </c>
      <c r="AR16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6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6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6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6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6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6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6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6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6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6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6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6" s="43">
        <f>SUM(t_Parts[[#This Row],[pv2016.01]:[pv2016.12]])</f>
        <v>0</v>
      </c>
      <c r="BE16" s="43">
        <f>t_Parts[[#This Row],[2017vol]]</f>
        <v>0</v>
      </c>
      <c r="BF16" s="43">
        <f>t_Parts[[#This Row],[2018vol]]</f>
        <v>0</v>
      </c>
      <c r="BG16" s="43">
        <f>t_Parts[[#This Row],[2019vol]]</f>
        <v>0</v>
      </c>
      <c r="BH16" s="44">
        <f>VLOOKUP(t_Parts[[Plant]:[Plant]],t_Plants[],Plants!CM$1,FALSE)</f>
        <v>208</v>
      </c>
      <c r="BI16" s="14">
        <f>VLOOKUP(t_Parts[[Plant]:[Plant]],t_Plants[],Plants!CN$1,FALSE)</f>
        <v>208</v>
      </c>
      <c r="BJ16" s="14">
        <f>VLOOKUP(t_Parts[[Plant]:[Plant]],t_Plants[],Plants!CO$1,FALSE)</f>
        <v>272</v>
      </c>
      <c r="BK16" s="14">
        <f>VLOOKUP(t_Parts[[Plant]:[Plant]],t_Plants[],Plants!CP$1,FALSE)</f>
        <v>208</v>
      </c>
      <c r="BL16" s="14">
        <f>VLOOKUP(t_Parts[[Plant]:[Plant]],t_Plants[],Plants!CQ$1,FALSE)</f>
        <v>208</v>
      </c>
      <c r="BM16" s="14">
        <f>VLOOKUP(t_Parts[[Plant]:[Plant]],t_Plants[],Plants!CR$1,FALSE)</f>
        <v>272</v>
      </c>
      <c r="BN16" s="14">
        <f>VLOOKUP(t_Parts[[Plant]:[Plant]],t_Plants[],Plants!CS$1,FALSE)</f>
        <v>208</v>
      </c>
      <c r="BO16" s="14">
        <f>VLOOKUP(t_Parts[[Plant]:[Plant]],t_Plants[],Plants!CT$1,FALSE)</f>
        <v>208</v>
      </c>
      <c r="BP16" s="14">
        <f>VLOOKUP(t_Parts[[Plant]:[Plant]],t_Plants[],Plants!CU$1,FALSE)</f>
        <v>272</v>
      </c>
      <c r="BQ16" s="14">
        <f>VLOOKUP(t_Parts[[Plant]:[Plant]],t_Plants[],Plants!CV$1,FALSE)</f>
        <v>208</v>
      </c>
      <c r="BR16" s="14">
        <f>VLOOKUP(t_Parts[[Plant]:[Plant]],t_Plants[],Plants!CW$1,FALSE)</f>
        <v>208</v>
      </c>
      <c r="BS16" s="14">
        <f>VLOOKUP(t_Parts[[Plant]:[Plant]],t_Plants[],Plants!CX$1,FALSE)</f>
        <v>272</v>
      </c>
      <c r="BT16" s="44">
        <f>SUM(t_Parts[[#This Row],[ha2015.01]:[ha2015.12]])</f>
        <v>2752</v>
      </c>
      <c r="BU16" s="14">
        <f>VLOOKUP(t_Parts[[Plant]:[Plant]],t_Plants[],Plants!CZ$1,FALSE)</f>
        <v>208</v>
      </c>
      <c r="BV16" s="14">
        <f>VLOOKUP(t_Parts[[Plant]:[Plant]],t_Plants[],Plants!DA$1,FALSE)</f>
        <v>208</v>
      </c>
      <c r="BW16" s="14">
        <f>VLOOKUP(t_Parts[[Plant]:[Plant]],t_Plants[],Plants!DB$1,FALSE)</f>
        <v>272</v>
      </c>
      <c r="BX16" s="14">
        <f>VLOOKUP(t_Parts[[Plant]:[Plant]],t_Plants[],Plants!DC$1,FALSE)</f>
        <v>208</v>
      </c>
      <c r="BY16" s="14">
        <f>VLOOKUP(t_Parts[[Plant]:[Plant]],t_Plants[],Plants!DD$1,FALSE)</f>
        <v>208</v>
      </c>
      <c r="BZ16" s="14">
        <f>VLOOKUP(t_Parts[[Plant]:[Plant]],t_Plants[],Plants!DE$1,FALSE)</f>
        <v>272</v>
      </c>
      <c r="CA16" s="14">
        <f>VLOOKUP(t_Parts[[Plant]:[Plant]],t_Plants[],Plants!DF$1,FALSE)</f>
        <v>208</v>
      </c>
      <c r="CB16" s="14">
        <f>VLOOKUP(t_Parts[[Plant]:[Plant]],t_Plants[],Plants!DG$1,FALSE)</f>
        <v>208</v>
      </c>
      <c r="CC16" s="14">
        <f>VLOOKUP(t_Parts[[Plant]:[Plant]],t_Plants[],Plants!DH$1,FALSE)</f>
        <v>272</v>
      </c>
      <c r="CD16" s="14">
        <f>VLOOKUP(t_Parts[[Plant]:[Plant]],t_Plants[],Plants!DI$1,FALSE)</f>
        <v>208</v>
      </c>
      <c r="CE16" s="14">
        <f>VLOOKUP(t_Parts[[Plant]:[Plant]],t_Plants[],Plants!DJ$1,FALSE)</f>
        <v>208</v>
      </c>
      <c r="CF16" s="14">
        <f>VLOOKUP(t_Parts[[Plant]:[Plant]],t_Plants[],Plants!DK$1,FALSE)</f>
        <v>272</v>
      </c>
      <c r="CG16" s="14">
        <f>VLOOKUP(t_Parts[[Plant]:[Plant]],t_Plants[],Plants!DL$1,FALSE)</f>
        <v>2752</v>
      </c>
      <c r="CH16" s="14">
        <f>VLOOKUP(t_Parts[[Plant]:[Plant]],t_Plants[],Plants!DM$1,FALSE)</f>
        <v>2752</v>
      </c>
      <c r="CI16" s="14">
        <f>VLOOKUP(t_Parts[[Plant]:[Plant]],t_Plants[],Plants!DN$1,FALSE)</f>
        <v>2752</v>
      </c>
      <c r="CJ16" s="14">
        <f>VLOOKUP(t_Parts[[Plant]:[Plant]],t_Plants[],Plants!DO$1,FALSE)</f>
        <v>2752</v>
      </c>
      <c r="CK16" s="43">
        <f>IF(AND(AE$3&gt;=VALUE(t_Parts[[SOP]:[SOP]]),AE$3&lt;=VALUE(t_Parts[[EOP]:[EOP]])), t_Parts[[SetupHrsPerMo]:[SetupHrsPerMo]]+(t_Parts[[#This Row],[pv2015.01]]/t_Parts[[NetPPH]:[NetPPH]]),0)</f>
        <v>125.96899224806202</v>
      </c>
      <c r="CL16" s="43">
        <f>IF(AND(AF$3&gt;=VALUE(t_Parts[[SOP]:[SOP]]),AF$3&lt;=VALUE(t_Parts[[EOP]:[EOP]])), t_Parts[[SetupHrsPerMo]:[SetupHrsPerMo]]+(t_Parts[[#This Row],[pv2015.02]]/t_Parts[[NetPPH]:[NetPPH]]),0)</f>
        <v>125.96899224806202</v>
      </c>
      <c r="CM16" s="43">
        <f>IF(AND(AG$3&gt;=VALUE(t_Parts[[SOP]:[SOP]]),AG$3&lt;=VALUE(t_Parts[[EOP]:[EOP]])), t_Parts[[SetupHrsPerMo]:[SetupHrsPerMo]]+(t_Parts[[#This Row],[pv2015.03]]/t_Parts[[NetPPH]:[NetPPH]]),0)</f>
        <v>164.72868217054264</v>
      </c>
      <c r="CN16" s="43">
        <f>IF(AND(AH$3&gt;=VALUE(t_Parts[[SOP]:[SOP]]),AH$3&lt;=VALUE(t_Parts[[EOP]:[EOP]])), t_Parts[[SetupHrsPerMo]:[SetupHrsPerMo]]+(t_Parts[[#This Row],[pv2015.04]]/t_Parts[[NetPPH]:[NetPPH]]),0)</f>
        <v>125.96899224806202</v>
      </c>
      <c r="CO16" s="43">
        <f>IF(AND(AI$3&gt;=VALUE(t_Parts[[SOP]:[SOP]]),AI$3&lt;=VALUE(t_Parts[[EOP]:[EOP]])), t_Parts[[SetupHrsPerMo]:[SetupHrsPerMo]]+(t_Parts[[#This Row],[pv2015.05]]/t_Parts[[NetPPH]:[NetPPH]]),0)</f>
        <v>125.96899224806202</v>
      </c>
      <c r="CP16" s="43">
        <f>IF(AND(AJ$3&gt;=VALUE(t_Parts[[SOP]:[SOP]]),AJ$3&lt;=VALUE(t_Parts[[EOP]:[EOP]])), t_Parts[[SetupHrsPerMo]:[SetupHrsPerMo]]+(t_Parts[[#This Row],[pv2015.06]]/t_Parts[[NetPPH]:[NetPPH]]),0)</f>
        <v>164.72868217054264</v>
      </c>
      <c r="CQ16" s="43">
        <f>IF(AND(AK$3&gt;=VALUE(t_Parts[[SOP]:[SOP]]),AK$3&lt;=VALUE(t_Parts[[EOP]:[EOP]])), t_Parts[[SetupHrsPerMo]:[SetupHrsPerMo]]+(t_Parts[[#This Row],[pv2015.07]]/t_Parts[[NetPPH]:[NetPPH]]),0)</f>
        <v>125.96899224806202</v>
      </c>
      <c r="CR16" s="43">
        <f>IF(AND(AL$3&gt;=VALUE(t_Parts[[SOP]:[SOP]]),AL$3&lt;=VALUE(t_Parts[[EOP]:[EOP]])), t_Parts[[SetupHrsPerMo]:[SetupHrsPerMo]]+(t_Parts[[#This Row],[pv2015.08]]/t_Parts[[NetPPH]:[NetPPH]]),0)</f>
        <v>125.96899224806202</v>
      </c>
      <c r="CS16" s="43">
        <f>IF(AND(AM$3&gt;=VALUE(t_Parts[[SOP]:[SOP]]),AM$3&lt;=VALUE(t_Parts[[EOP]:[EOP]])), t_Parts[[SetupHrsPerMo]:[SetupHrsPerMo]]+(t_Parts[[#This Row],[pv2015.09]]/t_Parts[[NetPPH]:[NetPPH]]),0)</f>
        <v>164.72868217054264</v>
      </c>
      <c r="CT16" s="43">
        <f>IF(AND(AN$3&gt;=VALUE(t_Parts[[SOP]:[SOP]]),AN$3&lt;=VALUE(t_Parts[[EOP]:[EOP]])), t_Parts[[SetupHrsPerMo]:[SetupHrsPerMo]]+(t_Parts[[#This Row],[pv2015.10]]/t_Parts[[NetPPH]:[NetPPH]]),0)</f>
        <v>125.96899224806202</v>
      </c>
      <c r="CU16" s="43">
        <f>IF(AND(AO$3&gt;=VALUE(t_Parts[[SOP]:[SOP]]),AO$3&lt;=VALUE(t_Parts[[EOP]:[EOP]])), t_Parts[[SetupHrsPerMo]:[SetupHrsPerMo]]+(t_Parts[[#This Row],[pv2015.11]]/t_Parts[[NetPPH]:[NetPPH]]),0)</f>
        <v>125.96899224806202</v>
      </c>
      <c r="CV16" s="43">
        <f>IF(AND(AP$3&gt;=VALUE(t_Parts[[SOP]:[SOP]]),AP$3&lt;=VALUE(t_Parts[[EOP]:[EOP]])), t_Parts[[SetupHrsPerMo]:[SetupHrsPerMo]]+(t_Parts[[#This Row],[pv2015.12]]/t_Parts[[NetPPH]:[NetPPH]]),0)</f>
        <v>164.72868217054264</v>
      </c>
      <c r="CW16" s="43">
        <f>SUM(t_Parts[[#This Row],[hp2015.01]:[hp2015.12]])</f>
        <v>1666.666666666667</v>
      </c>
      <c r="CX16" s="43">
        <f>IF(AND(AR$3&gt;=VALUE(t_Parts[[SOP]:[SOP]]),AR$3&lt;=VALUE(t_Parts[[EOP]:[EOP]])), t_Parts[[SetupHrsPerMo]:[SetupHrsPerMo]]+(t_Parts[[#This Row],[pv2016.01]]/t_Parts[[NetPPH]:[NetPPH]]),0)</f>
        <v>0</v>
      </c>
      <c r="CY16" s="43">
        <f>IF(AND(AS$3&gt;=VALUE(t_Parts[[SOP]:[SOP]]),AS$3&lt;=VALUE(t_Parts[[EOP]:[EOP]])), t_Parts[[SetupHrsPerMo]:[SetupHrsPerMo]]+(t_Parts[[#This Row],[pv2016.02]]/t_Parts[[NetPPH]:[NetPPH]]),0)</f>
        <v>0</v>
      </c>
      <c r="CZ16" s="43">
        <f>IF(AND(AT$3&gt;=VALUE(t_Parts[[SOP]:[SOP]]),AT$3&lt;=VALUE(t_Parts[[EOP]:[EOP]])), t_Parts[[SetupHrsPerMo]:[SetupHrsPerMo]]+(t_Parts[[#This Row],[pv2016.03]]/t_Parts[[NetPPH]:[NetPPH]]),0)</f>
        <v>0</v>
      </c>
      <c r="DA16" s="43">
        <f>IF(AND(AU$3&gt;=VALUE(t_Parts[[SOP]:[SOP]]),AU$3&lt;=VALUE(t_Parts[[EOP]:[EOP]])), t_Parts[[SetupHrsPerMo]:[SetupHrsPerMo]]+(t_Parts[[#This Row],[pv2016.04]]/t_Parts[[NetPPH]:[NetPPH]]),0)</f>
        <v>0</v>
      </c>
      <c r="DB16" s="43">
        <f>IF(AND(AV$3&gt;=VALUE(t_Parts[[SOP]:[SOP]]),AV$3&lt;=VALUE(t_Parts[[EOP]:[EOP]])), t_Parts[[SetupHrsPerMo]:[SetupHrsPerMo]]+(t_Parts[[#This Row],[pv2016.05]]/t_Parts[[NetPPH]:[NetPPH]]),0)</f>
        <v>0</v>
      </c>
      <c r="DC16" s="43">
        <f>IF(AND(AW$3&gt;=VALUE(t_Parts[[SOP]:[SOP]]),AW$3&lt;=VALUE(t_Parts[[EOP]:[EOP]])), t_Parts[[SetupHrsPerMo]:[SetupHrsPerMo]]+(t_Parts[[#This Row],[pv2016.06]]/t_Parts[[NetPPH]:[NetPPH]]),0)</f>
        <v>0</v>
      </c>
      <c r="DD16" s="43">
        <f>IF(AND(AX$3&gt;=VALUE(t_Parts[[SOP]:[SOP]]),AX$3&lt;=VALUE(t_Parts[[EOP]:[EOP]])), t_Parts[[SetupHrsPerMo]:[SetupHrsPerMo]]+(t_Parts[[#This Row],[pv2016.07]]/t_Parts[[NetPPH]:[NetPPH]]),0)</f>
        <v>0</v>
      </c>
      <c r="DE16" s="43">
        <f>IF(AND(AY$3&gt;=VALUE(t_Parts[[SOP]:[SOP]]),AY$3&lt;=VALUE(t_Parts[[EOP]:[EOP]])), t_Parts[[SetupHrsPerMo]:[SetupHrsPerMo]]+(t_Parts[[#This Row],[pv2016.08]]/t_Parts[[NetPPH]:[NetPPH]]),0)</f>
        <v>0</v>
      </c>
      <c r="DF16" s="43">
        <f>IF(AND(AZ$3&gt;=VALUE(t_Parts[[SOP]:[SOP]]),AZ$3&lt;=VALUE(t_Parts[[EOP]:[EOP]])), t_Parts[[SetupHrsPerMo]:[SetupHrsPerMo]]+(t_Parts[[#This Row],[pv2016.09]]/t_Parts[[NetPPH]:[NetPPH]]),0)</f>
        <v>0</v>
      </c>
      <c r="DG16" s="43">
        <f>IF(AND(BA$3&gt;=VALUE(t_Parts[[SOP]:[SOP]]),BA$3&lt;=VALUE(t_Parts[[EOP]:[EOP]])), t_Parts[[SetupHrsPerMo]:[SetupHrsPerMo]]+(t_Parts[[#This Row],[pv2016.10]]/t_Parts[[NetPPH]:[NetPPH]]),0)</f>
        <v>0</v>
      </c>
      <c r="DH16" s="43">
        <f>IF(AND(BB$3&gt;=VALUE(t_Parts[[SOP]:[SOP]]),BB$3&lt;=VALUE(t_Parts[[EOP]:[EOP]])), t_Parts[[SetupHrsPerMo]:[SetupHrsPerMo]]+(t_Parts[[#This Row],[pv2016.11]]/t_Parts[[NetPPH]:[NetPPH]]),0)</f>
        <v>0</v>
      </c>
      <c r="DI16" s="43">
        <f>IF(AND(BC$3&gt;=VALUE(t_Parts[[SOP]:[SOP]]),BC$3&lt;=VALUE(t_Parts[[EOP]:[EOP]])), t_Parts[[SetupHrsPerMo]:[SetupHrsPerMo]]+(t_Parts[[#This Row],[pv2016.12]]/t_Parts[[NetPPH]:[NetPPH]]),0)</f>
        <v>0</v>
      </c>
      <c r="DJ16" s="43">
        <f>SUM(t_Parts[[#This Row],[hp2016.01]:[hp2016.12]])</f>
        <v>0</v>
      </c>
      <c r="DK16" s="43">
        <f>IF(AND(BE$3&gt;=VALUE(t_Parts[[SOP]:[SOP]]),BE$3&lt;=VALUE(t_Parts[[EOP]:[EOP]])), 12*t_Parts[[SetupHrsPerMo]:[SetupHrsPerMo]]+(t_Parts[[#This Row],[pv2017]]/t_Parts[[NetPPH]:[NetPPH]]),0)</f>
        <v>0</v>
      </c>
      <c r="DL16" s="43">
        <f>IF(AND(BF$3&gt;=VALUE(t_Parts[[SOP]:[SOP]]),BF$3&lt;=VALUE(t_Parts[[EOP]:[EOP]])), 12*t_Parts[[SetupHrsPerMo]:[SetupHrsPerMo]]+(t_Parts[[#This Row],[pv2018]]/t_Parts[[NetPPH]:[NetPPH]]),0)</f>
        <v>0</v>
      </c>
      <c r="DM16" s="43">
        <f>IF(AND(BG$3&gt;=VALUE(t_Parts[[SOP]:[SOP]]),BG$3&lt;=VALUE(t_Parts[[EOP]:[EOP]])), 12*t_Parts[[SetupHrsPerMo]:[SetupHrsPerMo]]+(t_Parts[[#This Row],[pv2019]]/t_Parts[[NetPPH]:[NetPPH]]),0)</f>
        <v>0</v>
      </c>
      <c r="DN16" s="51">
        <f>t_Parts[[#This Row],[hp2015.01]]/t_Parts[[#This Row],[ha2015.01]]</f>
        <v>0.60562015503875977</v>
      </c>
      <c r="DO16" s="51">
        <f>t_Parts[[#This Row],[hp2015.02]]/t_Parts[[#This Row],[ha2015.02]]</f>
        <v>0.60562015503875977</v>
      </c>
      <c r="DP16" s="51">
        <f>t_Parts[[#This Row],[hp2015.03]]/t_Parts[[#This Row],[ha2015.03]]</f>
        <v>0.60562015503875966</v>
      </c>
      <c r="DQ16" s="51">
        <f>t_Parts[[#This Row],[hp2015.04]]/t_Parts[[#This Row],[ha2015.04]]</f>
        <v>0.60562015503875977</v>
      </c>
      <c r="DR16" s="51">
        <f>t_Parts[[#This Row],[hp2015.05]]/t_Parts[[#This Row],[ha2015.05]]</f>
        <v>0.60562015503875977</v>
      </c>
      <c r="DS16" s="51">
        <f>t_Parts[[#This Row],[hp2015.06]]/t_Parts[[#This Row],[ha2015.06]]</f>
        <v>0.60562015503875966</v>
      </c>
      <c r="DT16" s="51">
        <f>t_Parts[[#This Row],[hp2015.07]]/t_Parts[[#This Row],[ha2015.07]]</f>
        <v>0.60562015503875977</v>
      </c>
      <c r="DU16" s="51">
        <f>t_Parts[[#This Row],[hp2015.08]]/t_Parts[[#This Row],[ha2015.08]]</f>
        <v>0.60562015503875977</v>
      </c>
      <c r="DV16" s="51">
        <f>t_Parts[[#This Row],[hp2015.09]]/t_Parts[[#This Row],[ha2015.09]]</f>
        <v>0.60562015503875966</v>
      </c>
      <c r="DW16" s="51">
        <f>t_Parts[[#This Row],[hp2015.10]]/t_Parts[[#This Row],[ha2015.10]]</f>
        <v>0.60562015503875977</v>
      </c>
      <c r="DX16" s="51">
        <f>t_Parts[[#This Row],[hp2015.11]]/t_Parts[[#This Row],[ha2015.11]]</f>
        <v>0.60562015503875977</v>
      </c>
      <c r="DY16" s="51">
        <f>t_Parts[[#This Row],[hp2015.12]]/t_Parts[[#This Row],[ha2015.12]]</f>
        <v>0.60562015503875966</v>
      </c>
      <c r="DZ16" s="51">
        <f>t_Parts[[#This Row],[hp2015.FY]]/t_Parts[[#This Row],[ha2015.FY]]</f>
        <v>0.60562015503875977</v>
      </c>
      <c r="EA16" s="51">
        <f>t_Parts[[#This Row],[hp2016.01]]/t_Parts[[#This Row],[ha2016.01]]</f>
        <v>0</v>
      </c>
      <c r="EB16" s="51">
        <f>t_Parts[[#This Row],[hp2016.02]]/t_Parts[[#This Row],[ha2016.02]]</f>
        <v>0</v>
      </c>
      <c r="EC16" s="51">
        <f>t_Parts[[#This Row],[hp2016.03]]/t_Parts[[#This Row],[ha2016.03]]</f>
        <v>0</v>
      </c>
      <c r="ED16" s="51">
        <f>t_Parts[[#This Row],[hp2016.04]]/t_Parts[[#This Row],[ha2016.04]]</f>
        <v>0</v>
      </c>
      <c r="EE16" s="51">
        <f>t_Parts[[#This Row],[hp2016.05]]/t_Parts[[#This Row],[ha2016.05]]</f>
        <v>0</v>
      </c>
      <c r="EF16" s="51">
        <f>t_Parts[[#This Row],[hp2016.06]]/t_Parts[[#This Row],[ha2016.06]]</f>
        <v>0</v>
      </c>
      <c r="EG16" s="51">
        <f>t_Parts[[#This Row],[hp2016.07]]/t_Parts[[#This Row],[ha2016.07]]</f>
        <v>0</v>
      </c>
      <c r="EH16" s="51">
        <f>t_Parts[[#This Row],[hp2016.08]]/t_Parts[[#This Row],[ha2016.08]]</f>
        <v>0</v>
      </c>
      <c r="EI16" s="51">
        <f>t_Parts[[#This Row],[hp2016.09]]/t_Parts[[#This Row],[ha2016.09]]</f>
        <v>0</v>
      </c>
      <c r="EJ16" s="51">
        <f>t_Parts[[#This Row],[hp2016.10]]/t_Parts[[#This Row],[ha2016.10]]</f>
        <v>0</v>
      </c>
      <c r="EK16" s="51">
        <f>t_Parts[[#This Row],[hp2016.11]]/t_Parts[[#This Row],[ha2016.11]]</f>
        <v>0</v>
      </c>
      <c r="EL16" s="51">
        <f>t_Parts[[#This Row],[hp2016.12]]/t_Parts[[#This Row],[ha2016.12]]</f>
        <v>0</v>
      </c>
      <c r="EM16" s="51">
        <f>t_Parts[[#This Row],[hp2016.FY]]/t_Parts[[#This Row],[ha2016.FY]]</f>
        <v>0</v>
      </c>
      <c r="EN16" s="51">
        <f>t_Parts[[#This Row],[hp2017]]/t_Parts[[#This Row],[ha2017]]</f>
        <v>0</v>
      </c>
      <c r="EO16" s="51">
        <f>t_Parts[[#This Row],[hp2018]]/t_Parts[[#This Row],[ha2018]]</f>
        <v>0</v>
      </c>
      <c r="EP16" s="51">
        <f>t_Parts[[#This Row],[hp2019]]/t_Parts[[#This Row],[hp2015.01]]</f>
        <v>0</v>
      </c>
      <c r="EQ16" s="62">
        <f>(t_Parts[[#This Row],[ha2015.01]]-t_Parts[[#This Row],[hp2015.01]])*t_Parts[[NetPPH]:[NetPPH]]</f>
        <v>4921.8604651162786</v>
      </c>
      <c r="ER16" s="62">
        <f>(t_Parts[[#This Row],[ha2015.02]]-t_Parts[[#This Row],[hp2015.02]])*t_Parts[[NetPPH]:[NetPPH]]</f>
        <v>4921.8604651162786</v>
      </c>
      <c r="ES16" s="62">
        <f>(t_Parts[[#This Row],[ha2015.03]]-t_Parts[[#This Row],[hp2015.03]])*t_Parts[[NetPPH]:[NetPPH]]</f>
        <v>6436.2790697674418</v>
      </c>
      <c r="ET16" s="62">
        <f>(t_Parts[[#This Row],[ha2015.04]]-t_Parts[[#This Row],[hp2015.04]])*t_Parts[[NetPPH]:[NetPPH]]</f>
        <v>4921.8604651162786</v>
      </c>
      <c r="EU16" s="62">
        <f>(t_Parts[[#This Row],[ha2015.05]]-t_Parts[[#This Row],[hp2015.05]])*t_Parts[[NetPPH]:[NetPPH]]</f>
        <v>4921.8604651162786</v>
      </c>
      <c r="EV16" s="62">
        <f>(t_Parts[[#This Row],[ha2015.06]]-t_Parts[[#This Row],[hp2015.06]])*t_Parts[[NetPPH]:[NetPPH]]</f>
        <v>6436.2790697674418</v>
      </c>
      <c r="EW16" s="62">
        <f>(t_Parts[[#This Row],[ha2015.07]]-t_Parts[[#This Row],[hp2015.07]])*t_Parts[[NetPPH]:[NetPPH]]</f>
        <v>4921.8604651162786</v>
      </c>
      <c r="EX16" s="62">
        <f>(t_Parts[[#This Row],[ha2015.08]]-t_Parts[[#This Row],[hp2015.08]])*t_Parts[[NetPPH]:[NetPPH]]</f>
        <v>4921.8604651162786</v>
      </c>
      <c r="EY16" s="62">
        <f>(t_Parts[[#This Row],[ha2015.09]]-t_Parts[[#This Row],[hp2015.09]])*t_Parts[[NetPPH]:[NetPPH]]</f>
        <v>6436.2790697674418</v>
      </c>
      <c r="EZ16" s="62">
        <f>(t_Parts[[#This Row],[ha2015.10]]-t_Parts[[#This Row],[hp2015.10]])*t_Parts[[NetPPH]:[NetPPH]]</f>
        <v>4921.8604651162786</v>
      </c>
      <c r="FA16" s="62">
        <f>(t_Parts[[#This Row],[ha2015.11]]-t_Parts[[#This Row],[hp2015.11]])*t_Parts[[NetPPH]:[NetPPH]]</f>
        <v>4921.8604651162786</v>
      </c>
      <c r="FB16" s="62">
        <f>(t_Parts[[#This Row],[ha2015.12]]-t_Parts[[#This Row],[hp2015.12]])*t_Parts[[NetPPH]:[NetPPH]]</f>
        <v>6436.2790697674418</v>
      </c>
      <c r="FC16" s="62">
        <f>(t_Parts[[#This Row],[ha2015.FY]]-t_Parts[[#This Row],[hp2015.FY]])*t_Parts[[NetPPH]:[NetPPH]]</f>
        <v>65119.999999999985</v>
      </c>
      <c r="FD16" s="62">
        <f>(t_Parts[[#This Row],[ha2016.01]]-t_Parts[[#This Row],[hp2016.01]])*t_Parts[[NetPPH]:[NetPPH]]</f>
        <v>12480</v>
      </c>
      <c r="FE16" s="62">
        <f>(t_Parts[[#This Row],[ha2016.02]]-t_Parts[[#This Row],[hp2016.02]])*t_Parts[[NetPPH]:[NetPPH]]</f>
        <v>12480</v>
      </c>
      <c r="FF16" s="62">
        <f>(t_Parts[[#This Row],[ha2016.03]]-t_Parts[[#This Row],[hp2016.03]])*t_Parts[[NetPPH]:[NetPPH]]</f>
        <v>16320</v>
      </c>
      <c r="FG16" s="62">
        <f>(t_Parts[[#This Row],[ha2016.04]]-t_Parts[[#This Row],[hp2016.04]])*t_Parts[[NetPPH]:[NetPPH]]</f>
        <v>12480</v>
      </c>
      <c r="FH16" s="62">
        <f>(t_Parts[[#This Row],[ha2016.05]]-t_Parts[[#This Row],[hp2016.05]])*t_Parts[[NetPPH]:[NetPPH]]</f>
        <v>12480</v>
      </c>
      <c r="FI16" s="62">
        <f>(t_Parts[[#This Row],[ha2016.06]]-t_Parts[[#This Row],[hp2016.06]])*t_Parts[[NetPPH]:[NetPPH]]</f>
        <v>16320</v>
      </c>
      <c r="FJ16" s="62">
        <f>(t_Parts[[#This Row],[ha2016.07]]-t_Parts[[#This Row],[hp2016.07]])*t_Parts[[NetPPH]:[NetPPH]]</f>
        <v>12480</v>
      </c>
      <c r="FK16" s="62">
        <f>(t_Parts[[#This Row],[ha2016.08]]-t_Parts[[#This Row],[hp2016.08]])*t_Parts[[NetPPH]:[NetPPH]]</f>
        <v>12480</v>
      </c>
      <c r="FL16" s="62">
        <f>(t_Parts[[#This Row],[ha2016.09]]-t_Parts[[#This Row],[hp2016.09]])*t_Parts[[NetPPH]:[NetPPH]]</f>
        <v>16320</v>
      </c>
      <c r="FM16" s="62">
        <f>(t_Parts[[#This Row],[ha2016.10]]-t_Parts[[#This Row],[hp2016.10]])*t_Parts[[NetPPH]:[NetPPH]]</f>
        <v>12480</v>
      </c>
      <c r="FN16" s="62">
        <f>(t_Parts[[#This Row],[ha2016.11]]-t_Parts[[#This Row],[hp2016.11]])*t_Parts[[NetPPH]:[NetPPH]]</f>
        <v>12480</v>
      </c>
      <c r="FO16" s="62">
        <f>(t_Parts[[#This Row],[ha2016.12]]-t_Parts[[#This Row],[hp2016.12]])*t_Parts[[NetPPH]:[NetPPH]]</f>
        <v>16320</v>
      </c>
      <c r="FP16" s="62">
        <f>(t_Parts[[#This Row],[ha2016.FY]]-t_Parts[[#This Row],[hp2016.FY]])*t_Parts[[NetPPH]:[NetPPH]]</f>
        <v>165120</v>
      </c>
      <c r="FQ16" s="62">
        <f>(t_Parts[[#This Row],[ha2017]]-t_Parts[[#This Row],[hp2017]])*t_Parts[[NetPPH]:[NetPPH]]</f>
        <v>165120</v>
      </c>
      <c r="FR16" s="62">
        <f>(t_Parts[[#This Row],[ha2018]]-t_Parts[[#This Row],[hp2018]])*t_Parts[[NetPPH]:[NetPPH]]</f>
        <v>165120</v>
      </c>
      <c r="FS16" s="62">
        <f>(t_Parts[[#This Row],[ha2019]]-t_Parts[[#This Row],[hp2019]])*t_Parts[[NetPPH]:[NetPPH]]</f>
        <v>165120</v>
      </c>
    </row>
    <row r="17" spans="1:175" x14ac:dyDescent="0.25">
      <c r="A17" s="78" t="s">
        <v>479</v>
      </c>
      <c r="B17" s="78" t="s">
        <v>127</v>
      </c>
      <c r="C17" s="79"/>
      <c r="D17" s="77"/>
      <c r="E17" s="80"/>
      <c r="F17" s="81"/>
      <c r="G17" s="79"/>
      <c r="H17" s="79"/>
      <c r="I17" s="77"/>
      <c r="J17" s="77"/>
      <c r="K17" s="77"/>
      <c r="L17" s="77"/>
      <c r="M17" s="77"/>
      <c r="N17" s="83"/>
      <c r="O17" s="83"/>
      <c r="P17" s="84"/>
      <c r="Q17" s="80"/>
      <c r="R17" s="83"/>
      <c r="S17" s="85"/>
      <c r="T17" s="86"/>
      <c r="U17" s="87"/>
      <c r="V17" s="83"/>
      <c r="W17" s="43" t="str">
        <f>VLOOKUP(t_Parts[[#This Row],[Press]],t_Presses[],Press!B$1,FALSE)</f>
        <v>Bond</v>
      </c>
      <c r="X17" s="43" t="str">
        <f>VLOOKUP(t_Parts[[#This Row],[Press]],t_Presses[],Press!E$1,FALSE)</f>
        <v>0-299</v>
      </c>
      <c r="Y17" s="51">
        <f>VLOOKUP(t_Parts[[#This Row],[Plant]],t_Plants[],Plants!C$1,FALSE)</f>
        <v>0.76</v>
      </c>
      <c r="Z17" s="51">
        <f>VLOOKUP(t_Parts[[#This Row],[Press]],t_Presses[],Press!F$1,FALSE)</f>
        <v>0</v>
      </c>
      <c r="AA17" s="88"/>
      <c r="AB17" s="51">
        <f>IF(ISBLANK(t_Parts[[#This Row],[PartOEE]])=FALSE,t_Parts[[#This Row],[PartOEE]], IF(t_Parts[[#This Row],[PressOEE]]&gt;0, t_Parts[[#This Row],[PressOEE]], t_Parts[[#This Row],[PlantOEE]] ))</f>
        <v>0.76</v>
      </c>
      <c r="AC17" s="93">
        <f>t_Parts[[#This Row],[SetupsPerMo]]*t_Parts[[#This Row],[SetupHrs]]</f>
        <v>0</v>
      </c>
      <c r="AD17" s="43">
        <f>(t_Parts[[#This Row],[UnitsPerCycle]]*t_Parts[[#This Row],[CyclesPerHr]])*t_Parts[[#This Row],[UseOEE]]</f>
        <v>0</v>
      </c>
      <c r="AE17" s="77">
        <f>IF(AND(AE$3&gt;=VALUE(t_Parts[[SOP]:[SOP]]),AE$3&lt;=VALUE(t_Parts[[EOP]:[EOP]])),  (t_Parts[[2015vol]:[2015vol]]/VLOOKUP(t_Parts[[Plant]:[Plant]],t_Plants[],Plants!$BV$1, FALSE))*VLOOKUP(t_Parts[[Plant]:[Plant]],t_Plants[],Plants!BJ$1,FALSE),0)</f>
        <v>0</v>
      </c>
      <c r="AF17" s="77">
        <f>IF(AND(AF$3&gt;=VALUE(t_Parts[[SOP]:[SOP]]),AF$3&lt;=VALUE(t_Parts[[EOP]:[EOP]])),  (t_Parts[[2015vol]:[2015vol]]/VLOOKUP(t_Parts[[Plant]:[Plant]],t_Plants[],Plants!$BV$1, FALSE))*VLOOKUP(t_Parts[[Plant]:[Plant]],t_Plants[],Plants!BK$1,FALSE),0)</f>
        <v>0</v>
      </c>
      <c r="AG17" s="79">
        <f>IF(AND(AG$3&gt;=VALUE(t_Parts[[SOP]:[SOP]]),AG$3&lt;=VALUE(t_Parts[[EOP]:[EOP]])),  (t_Parts[[2015vol]:[2015vol]]/VLOOKUP(t_Parts[[Plant]:[Plant]],t_Plants[],Plants!$BV$1, FALSE))*VLOOKUP(t_Parts[[Plant]:[Plant]],t_Plants[],Plants!BL$1,FALSE),0)</f>
        <v>0</v>
      </c>
      <c r="AH17" s="79">
        <f>IF(AND(AH$3&gt;=VALUE(t_Parts[[SOP]:[SOP]]),AH$3&lt;=VALUE(t_Parts[[EOP]:[EOP]])),  (t_Parts[[2015vol]:[2015vol]]/VLOOKUP(t_Parts[[Plant]:[Plant]],t_Plants[],Plants!$BV$1, FALSE))*VLOOKUP(t_Parts[[Plant]:[Plant]],t_Plants[],Plants!BM$1,FALSE),0)</f>
        <v>0</v>
      </c>
      <c r="AI17" s="77">
        <f>IF(AND(AI$3&gt;=VALUE(t_Parts[[SOP]:[SOP]]),AI$3&lt;=VALUE(t_Parts[[EOP]:[EOP]])),  (t_Parts[[2015vol]:[2015vol]]/VLOOKUP(t_Parts[[Plant]:[Plant]],t_Plants[],Plants!$BV$1, FALSE))*VLOOKUP(t_Parts[[Plant]:[Plant]],t_Plants[],Plants!BN$1,FALSE),0)</f>
        <v>0</v>
      </c>
      <c r="AJ17" s="77">
        <f>IF(AND(AJ$3&gt;=VALUE(t_Parts[[SOP]:[SOP]]),AJ$3&lt;=VALUE(t_Parts[[EOP]:[EOP]])),  (t_Parts[[2015vol]:[2015vol]]/VLOOKUP(t_Parts[[Plant]:[Plant]],t_Plants[],Plants!$BV$1, FALSE))*VLOOKUP(t_Parts[[Plant]:[Plant]],t_Plants[],Plants!BO$1,FALSE),0)</f>
        <v>0</v>
      </c>
      <c r="AK17" s="79">
        <f>IF(AND(AK$3&gt;=VALUE(t_Parts[[SOP]:[SOP]]),AK$3&lt;=VALUE(t_Parts[[EOP]:[EOP]])),  (t_Parts[[2015vol]:[2015vol]]/VLOOKUP(t_Parts[[Plant]:[Plant]],t_Plants[],Plants!$BV$1, FALSE))*VLOOKUP(t_Parts[[Plant]:[Plant]],t_Plants[],Plants!BP$1,FALSE),0)</f>
        <v>0</v>
      </c>
      <c r="AL17" s="79">
        <f>IF(AND(AL$3&gt;=VALUE(t_Parts[[SOP]:[SOP]]),AL$3&lt;=VALUE(t_Parts[[EOP]:[EOP]])),  (t_Parts[[2015vol]:[2015vol]]/VLOOKUP(t_Parts[[Plant]:[Plant]],t_Plants[],Plants!$BV$1, FALSE))*VLOOKUP(t_Parts[[Plant]:[Plant]],t_Plants[],Plants!BQ$1,FALSE),0)</f>
        <v>0</v>
      </c>
      <c r="AM17" s="88">
        <f>IF(AND(AM$3&gt;=VALUE(t_Parts[[SOP]:[SOP]]),AM$3&lt;=VALUE(t_Parts[[EOP]:[EOP]])),  (t_Parts[[2015vol]:[2015vol]]/VLOOKUP(t_Parts[[Plant]:[Plant]],t_Plants[],Plants!$BV$1, FALSE))*VLOOKUP(t_Parts[[Plant]:[Plant]],t_Plants[],Plants!BR$1,FALSE),0)</f>
        <v>0</v>
      </c>
      <c r="AN17" s="88">
        <f>IF(AND(AN$3&gt;=VALUE(t_Parts[[SOP]:[SOP]]),AN$3&lt;=VALUE(t_Parts[[EOP]:[EOP]])),  (t_Parts[[2015vol]:[2015vol]]/VLOOKUP(t_Parts[[Plant]:[Plant]],t_Plants[],Plants!$BV$1, FALSE))*VLOOKUP(t_Parts[[Plant]:[Plant]],t_Plants[],Plants!BS$1,FALSE),0)</f>
        <v>0</v>
      </c>
      <c r="AO17" s="79">
        <f>IF(AND(AO$3&gt;=VALUE(t_Parts[[SOP]:[SOP]]),AO$3&lt;=VALUE(t_Parts[[EOP]:[EOP]])),  (t_Parts[[2015vol]:[2015vol]]/VLOOKUP(t_Parts[[Plant]:[Plant]],t_Plants[],Plants!$BV$1, FALSE))*VLOOKUP(t_Parts[[Plant]:[Plant]],t_Plants[],Plants!BT$1,FALSE),0)</f>
        <v>0</v>
      </c>
      <c r="AP17" s="88">
        <f>IF(AND(AP$3&gt;=VALUE(t_Parts[[SOP]:[SOP]]),AP$3&lt;=VALUE(t_Parts[[EOP]:[EOP]])),  (t_Parts[[2015vol]:[2015vol]]/VLOOKUP(t_Parts[[Plant]:[Plant]],t_Plants[],Plants!$BV$1, FALSE))*VLOOKUP(t_Parts[[Plant]:[Plant]],t_Plants[],Plants!BU$1,FALSE),0)</f>
        <v>0</v>
      </c>
      <c r="AQ17" s="44">
        <f>SUM(t_Parts[[#This Row],[pv2015.01]:[pv2015.12]])</f>
        <v>0</v>
      </c>
      <c r="AR17" s="77">
        <f>IF(AND(AR$3&gt;=VALUE(t_Parts[[SOP]:[SOP]]),AR$3&lt;=VALUE(t_Parts[[EOP]:[EOP]])),  (t_Parts[[2016vol]:[2016vol]]/VLOOKUP(t_Parts[[Plant]:[Plant]],t_Plants[],Plants!$CI$1, FALSE))*VLOOKUP(t_Parts[[Plant]:[Plant]],t_Plants[],Plants!BW$1,FALSE),0)</f>
        <v>0</v>
      </c>
      <c r="AS17" s="77">
        <f>IF(AND(AS$3&gt;=VALUE(t_Parts[[SOP]:[SOP]]),AS$3&lt;=VALUE(t_Parts[[EOP]:[EOP]])),  (t_Parts[[2016vol]:[2016vol]]/VLOOKUP(t_Parts[[Plant]:[Plant]],t_Plants[],Plants!$CI$1, FALSE))*VLOOKUP(t_Parts[[Plant]:[Plant]],t_Plants[],Plants!BX$1,FALSE),0)</f>
        <v>0</v>
      </c>
      <c r="AT17" s="77">
        <f>IF(AND(AT$3&gt;=VALUE(t_Parts[[SOP]:[SOP]]),AT$3&lt;=VALUE(t_Parts[[EOP]:[EOP]])),  (t_Parts[[2016vol]:[2016vol]]/VLOOKUP(t_Parts[[Plant]:[Plant]],t_Plants[],Plants!$CI$1, FALSE))*VLOOKUP(t_Parts[[Plant]:[Plant]],t_Plants[],Plants!BY$1,FALSE),0)</f>
        <v>0</v>
      </c>
      <c r="AU17" s="77">
        <f>IF(AND(AU$3&gt;=VALUE(t_Parts[[SOP]:[SOP]]),AU$3&lt;=VALUE(t_Parts[[EOP]:[EOP]])),  (t_Parts[[2016vol]:[2016vol]]/VLOOKUP(t_Parts[[Plant]:[Plant]],t_Plants[],Plants!$CI$1, FALSE))*VLOOKUP(t_Parts[[Plant]:[Plant]],t_Plants[],Plants!BZ$1,FALSE),0)</f>
        <v>0</v>
      </c>
      <c r="AV17" s="77">
        <f>IF(AND(AV$3&gt;=VALUE(t_Parts[[SOP]:[SOP]]),AV$3&lt;=VALUE(t_Parts[[EOP]:[EOP]])),  (t_Parts[[2016vol]:[2016vol]]/VLOOKUP(t_Parts[[Plant]:[Plant]],t_Plants[],Plants!$CI$1, FALSE))*VLOOKUP(t_Parts[[Plant]:[Plant]],t_Plants[],Plants!CA$1,FALSE),0)</f>
        <v>0</v>
      </c>
      <c r="AW17" s="77">
        <f>IF(AND(AW$3&gt;=VALUE(t_Parts[[SOP]:[SOP]]),AW$3&lt;=VALUE(t_Parts[[EOP]:[EOP]])),  (t_Parts[[2016vol]:[2016vol]]/VLOOKUP(t_Parts[[Plant]:[Plant]],t_Plants[],Plants!$CI$1, FALSE))*VLOOKUP(t_Parts[[Plant]:[Plant]],t_Plants[],Plants!CB$1,FALSE),0)</f>
        <v>0</v>
      </c>
      <c r="AX17" s="77">
        <f>IF(AND(AX$3&gt;=VALUE(t_Parts[[SOP]:[SOP]]),AX$3&lt;=VALUE(t_Parts[[EOP]:[EOP]])),  (t_Parts[[2016vol]:[2016vol]]/VLOOKUP(t_Parts[[Plant]:[Plant]],t_Plants[],Plants!$CI$1, FALSE))*VLOOKUP(t_Parts[[Plant]:[Plant]],t_Plants[],Plants!CC$1,FALSE),0)</f>
        <v>0</v>
      </c>
      <c r="AY17" s="77">
        <f>IF(AND(AY$3&gt;=VALUE(t_Parts[[SOP]:[SOP]]),AY$3&lt;=VALUE(t_Parts[[EOP]:[EOP]])),  (t_Parts[[2016vol]:[2016vol]]/VLOOKUP(t_Parts[[Plant]:[Plant]],t_Plants[],Plants!$CI$1, FALSE))*VLOOKUP(t_Parts[[Plant]:[Plant]],t_Plants[],Plants!CD$1,FALSE),0)</f>
        <v>0</v>
      </c>
      <c r="AZ17" s="77">
        <f>IF(AND(AZ$3&gt;=VALUE(t_Parts[[SOP]:[SOP]]),AZ$3&lt;=VALUE(t_Parts[[EOP]:[EOP]])),  (t_Parts[[2016vol]:[2016vol]]/VLOOKUP(t_Parts[[Plant]:[Plant]],t_Plants[],Plants!$CI$1, FALSE))*VLOOKUP(t_Parts[[Plant]:[Plant]],t_Plants[],Plants!CE$1,FALSE),0)</f>
        <v>0</v>
      </c>
      <c r="BA17" s="77">
        <f>IF(AND(BA$3&gt;=VALUE(t_Parts[[SOP]:[SOP]]),BA$3&lt;=VALUE(t_Parts[[EOP]:[EOP]])),  (t_Parts[[2016vol]:[2016vol]]/VLOOKUP(t_Parts[[Plant]:[Plant]],t_Plants[],Plants!$CI$1, FALSE))*VLOOKUP(t_Parts[[Plant]:[Plant]],t_Plants[],Plants!CF$1,FALSE),0)</f>
        <v>0</v>
      </c>
      <c r="BB17" s="77">
        <f>IF(AND(BB$3&gt;=VALUE(t_Parts[[SOP]:[SOP]]),BB$3&lt;=VALUE(t_Parts[[EOP]:[EOP]])),  (t_Parts[[2016vol]:[2016vol]]/VLOOKUP(t_Parts[[Plant]:[Plant]],t_Plants[],Plants!$CI$1, FALSE))*VLOOKUP(t_Parts[[Plant]:[Plant]],t_Plants[],Plants!CG$1,FALSE),0)</f>
        <v>0</v>
      </c>
      <c r="BC17" s="77">
        <f>IF(AND(BC$3&gt;=VALUE(t_Parts[[SOP]:[SOP]]),BC$3&lt;=VALUE(t_Parts[[EOP]:[EOP]])),  (t_Parts[[2016vol]:[2016vol]]/VLOOKUP(t_Parts[[Plant]:[Plant]],t_Plants[],Plants!$CI$1, FALSE))*VLOOKUP(t_Parts[[Plant]:[Plant]],t_Plants[],Plants!CH$1,FALSE),0)</f>
        <v>0</v>
      </c>
      <c r="BD17" s="43">
        <f>SUM(t_Parts[[#This Row],[pv2016.01]:[pv2016.12]])</f>
        <v>0</v>
      </c>
      <c r="BE17" s="43">
        <f>t_Parts[[#This Row],[2017vol]]</f>
        <v>0</v>
      </c>
      <c r="BF17" s="43">
        <f>t_Parts[[#This Row],[2018vol]]</f>
        <v>0</v>
      </c>
      <c r="BG17" s="43">
        <f>t_Parts[[#This Row],[2019vol]]</f>
        <v>0</v>
      </c>
      <c r="BH17" s="44">
        <f>VLOOKUP(t_Parts[[Plant]:[Plant]],t_Plants[],Plants!CM$1,FALSE)</f>
        <v>208</v>
      </c>
      <c r="BI17" s="43">
        <f>VLOOKUP(t_Parts[[Plant]:[Plant]],t_Plants[],Plants!CN$1,FALSE)</f>
        <v>208</v>
      </c>
      <c r="BJ17" s="43">
        <f>VLOOKUP(t_Parts[[Plant]:[Plant]],t_Plants[],Plants!CO$1,FALSE)</f>
        <v>272</v>
      </c>
      <c r="BK17" s="43">
        <f>VLOOKUP(t_Parts[[Plant]:[Plant]],t_Plants[],Plants!CP$1,FALSE)</f>
        <v>208</v>
      </c>
      <c r="BL17" s="43">
        <f>VLOOKUP(t_Parts[[Plant]:[Plant]],t_Plants[],Plants!CQ$1,FALSE)</f>
        <v>208</v>
      </c>
      <c r="BM17" s="43">
        <f>VLOOKUP(t_Parts[[Plant]:[Plant]],t_Plants[],Plants!CR$1,FALSE)</f>
        <v>272</v>
      </c>
      <c r="BN17" s="43">
        <f>VLOOKUP(t_Parts[[Plant]:[Plant]],t_Plants[],Plants!CS$1,FALSE)</f>
        <v>208</v>
      </c>
      <c r="BO17" s="43">
        <f>VLOOKUP(t_Parts[[Plant]:[Plant]],t_Plants[],Plants!CT$1,FALSE)</f>
        <v>208</v>
      </c>
      <c r="BP17" s="43">
        <f>VLOOKUP(t_Parts[[Plant]:[Plant]],t_Plants[],Plants!CU$1,FALSE)</f>
        <v>272</v>
      </c>
      <c r="BQ17" s="43">
        <f>VLOOKUP(t_Parts[[Plant]:[Plant]],t_Plants[],Plants!CV$1,FALSE)</f>
        <v>208</v>
      </c>
      <c r="BR17" s="43">
        <f>VLOOKUP(t_Parts[[Plant]:[Plant]],t_Plants[],Plants!CW$1,FALSE)</f>
        <v>208</v>
      </c>
      <c r="BS17" s="43">
        <f>VLOOKUP(t_Parts[[Plant]:[Plant]],t_Plants[],Plants!CX$1,FALSE)</f>
        <v>272</v>
      </c>
      <c r="BT17" s="44">
        <f>SUM(t_Parts[[#This Row],[ha2015.01]:[ha2015.12]])</f>
        <v>2752</v>
      </c>
      <c r="BU17" s="44">
        <f>VLOOKUP(t_Parts[[Plant]:[Plant]],t_Plants[],Plants!CZ$1,FALSE)</f>
        <v>208</v>
      </c>
      <c r="BV17" s="43">
        <f>VLOOKUP(t_Parts[[Plant]:[Plant]],t_Plants[],Plants!DA$1,FALSE)</f>
        <v>208</v>
      </c>
      <c r="BW17" s="43">
        <f>VLOOKUP(t_Parts[[Plant]:[Plant]],t_Plants[],Plants!DB$1,FALSE)</f>
        <v>272</v>
      </c>
      <c r="BX17" s="43">
        <f>VLOOKUP(t_Parts[[Plant]:[Plant]],t_Plants[],Plants!DC$1,FALSE)</f>
        <v>208</v>
      </c>
      <c r="BY17" s="14">
        <f>VLOOKUP(t_Parts[[Plant]:[Plant]],t_Plants[],Plants!DD$1,FALSE)</f>
        <v>208</v>
      </c>
      <c r="BZ17" s="14">
        <f>VLOOKUP(t_Parts[[Plant]:[Plant]],t_Plants[],Plants!DE$1,FALSE)</f>
        <v>272</v>
      </c>
      <c r="CA17" s="14">
        <f>VLOOKUP(t_Parts[[Plant]:[Plant]],t_Plants[],Plants!DF$1,FALSE)</f>
        <v>208</v>
      </c>
      <c r="CB17" s="14">
        <f>VLOOKUP(t_Parts[[Plant]:[Plant]],t_Plants[],Plants!DG$1,FALSE)</f>
        <v>208</v>
      </c>
      <c r="CC17" s="14">
        <f>VLOOKUP(t_Parts[[Plant]:[Plant]],t_Plants[],Plants!DH$1,FALSE)</f>
        <v>272</v>
      </c>
      <c r="CD17" s="14">
        <f>VLOOKUP(t_Parts[[Plant]:[Plant]],t_Plants[],Plants!DI$1,FALSE)</f>
        <v>208</v>
      </c>
      <c r="CE17" s="14">
        <f>VLOOKUP(t_Parts[[Plant]:[Plant]],t_Plants[],Plants!DJ$1,FALSE)</f>
        <v>208</v>
      </c>
      <c r="CF17" s="14">
        <f>VLOOKUP(t_Parts[[Plant]:[Plant]],t_Plants[],Plants!DK$1,FALSE)</f>
        <v>272</v>
      </c>
      <c r="CG17" s="14">
        <f>VLOOKUP(t_Parts[[Plant]:[Plant]],t_Plants[],Plants!DL$1,FALSE)</f>
        <v>2752</v>
      </c>
      <c r="CH17" s="14">
        <f>VLOOKUP(t_Parts[[Plant]:[Plant]],t_Plants[],Plants!DM$1,FALSE)</f>
        <v>2752</v>
      </c>
      <c r="CI17" s="14">
        <f>VLOOKUP(t_Parts[[Plant]:[Plant]],t_Plants[],Plants!DN$1,FALSE)</f>
        <v>2752</v>
      </c>
      <c r="CJ17" s="14">
        <f>VLOOKUP(t_Parts[[Plant]:[Plant]],t_Plants[],Plants!DO$1,FALSE)</f>
        <v>2752</v>
      </c>
      <c r="CK17" s="43">
        <f>IF(AND(AE$3&gt;=VALUE(t_Parts[[SOP]:[SOP]]),AE$3&lt;=VALUE(t_Parts[[EOP]:[EOP]])), t_Parts[[SetupHrsPerMo]:[SetupHrsPerMo]]+(t_Parts[[#This Row],[pv2015.01]]/t_Parts[[NetPPH]:[NetPPH]]),0)</f>
        <v>0</v>
      </c>
      <c r="CL17" s="14">
        <f>IF(AND(AF$3&gt;=VALUE(t_Parts[[SOP]:[SOP]]),AF$3&lt;=VALUE(t_Parts[[EOP]:[EOP]])), t_Parts[[SetupHrsPerMo]:[SetupHrsPerMo]]+(t_Parts[[#This Row],[pv2015.02]]/t_Parts[[NetPPH]:[NetPPH]]),0)</f>
        <v>0</v>
      </c>
      <c r="CM17" s="14">
        <f>IF(AND(AG$3&gt;=VALUE(t_Parts[[SOP]:[SOP]]),AG$3&lt;=VALUE(t_Parts[[EOP]:[EOP]])), t_Parts[[SetupHrsPerMo]:[SetupHrsPerMo]]+(t_Parts[[#This Row],[pv2015.03]]/t_Parts[[NetPPH]:[NetPPH]]),0)</f>
        <v>0</v>
      </c>
      <c r="CN17" s="14">
        <f>IF(AND(AH$3&gt;=VALUE(t_Parts[[SOP]:[SOP]]),AH$3&lt;=VALUE(t_Parts[[EOP]:[EOP]])), t_Parts[[SetupHrsPerMo]:[SetupHrsPerMo]]+(t_Parts[[#This Row],[pv2015.04]]/t_Parts[[NetPPH]:[NetPPH]]),0)</f>
        <v>0</v>
      </c>
      <c r="CO17" s="14">
        <f>IF(AND(AI$3&gt;=VALUE(t_Parts[[SOP]:[SOP]]),AI$3&lt;=VALUE(t_Parts[[EOP]:[EOP]])), t_Parts[[SetupHrsPerMo]:[SetupHrsPerMo]]+(t_Parts[[#This Row],[pv2015.05]]/t_Parts[[NetPPH]:[NetPPH]]),0)</f>
        <v>0</v>
      </c>
      <c r="CP17" s="14">
        <f>IF(AND(AJ$3&gt;=VALUE(t_Parts[[SOP]:[SOP]]),AJ$3&lt;=VALUE(t_Parts[[EOP]:[EOP]])), t_Parts[[SetupHrsPerMo]:[SetupHrsPerMo]]+(t_Parts[[#This Row],[pv2015.06]]/t_Parts[[NetPPH]:[NetPPH]]),0)</f>
        <v>0</v>
      </c>
      <c r="CQ17" s="14">
        <f>IF(AND(AK$3&gt;=VALUE(t_Parts[[SOP]:[SOP]]),AK$3&lt;=VALUE(t_Parts[[EOP]:[EOP]])), t_Parts[[SetupHrsPerMo]:[SetupHrsPerMo]]+(t_Parts[[#This Row],[pv2015.07]]/t_Parts[[NetPPH]:[NetPPH]]),0)</f>
        <v>0</v>
      </c>
      <c r="CR17" s="14">
        <f>IF(AND(AL$3&gt;=VALUE(t_Parts[[SOP]:[SOP]]),AL$3&lt;=VALUE(t_Parts[[EOP]:[EOP]])), t_Parts[[SetupHrsPerMo]:[SetupHrsPerMo]]+(t_Parts[[#This Row],[pv2015.08]]/t_Parts[[NetPPH]:[NetPPH]]),0)</f>
        <v>0</v>
      </c>
      <c r="CS17" s="14">
        <f>IF(AND(AM$3&gt;=VALUE(t_Parts[[SOP]:[SOP]]),AM$3&lt;=VALUE(t_Parts[[EOP]:[EOP]])), t_Parts[[SetupHrsPerMo]:[SetupHrsPerMo]]+(t_Parts[[#This Row],[pv2015.09]]/t_Parts[[NetPPH]:[NetPPH]]),0)</f>
        <v>0</v>
      </c>
      <c r="CT17" s="14">
        <f>IF(AND(AN$3&gt;=VALUE(t_Parts[[SOP]:[SOP]]),AN$3&lt;=VALUE(t_Parts[[EOP]:[EOP]])), t_Parts[[SetupHrsPerMo]:[SetupHrsPerMo]]+(t_Parts[[#This Row],[pv2015.10]]/t_Parts[[NetPPH]:[NetPPH]]),0)</f>
        <v>0</v>
      </c>
      <c r="CU17" s="14">
        <f>IF(AND(AO$3&gt;=VALUE(t_Parts[[SOP]:[SOP]]),AO$3&lt;=VALUE(t_Parts[[EOP]:[EOP]])), t_Parts[[SetupHrsPerMo]:[SetupHrsPerMo]]+(t_Parts[[#This Row],[pv2015.11]]/t_Parts[[NetPPH]:[NetPPH]]),0)</f>
        <v>0</v>
      </c>
      <c r="CV17" s="14">
        <f>IF(AND(AP$3&gt;=VALUE(t_Parts[[SOP]:[SOP]]),AP$3&lt;=VALUE(t_Parts[[EOP]:[EOP]])), t_Parts[[SetupHrsPerMo]:[SetupHrsPerMo]]+(t_Parts[[#This Row],[pv2015.12]]/t_Parts[[NetPPH]:[NetPPH]]),0)</f>
        <v>0</v>
      </c>
      <c r="CW17" s="43">
        <f>SUM(t_Parts[[#This Row],[hp2015.01]:[hp2015.12]])</f>
        <v>0</v>
      </c>
      <c r="CX17" s="43">
        <f>IF(AND(AR$3&gt;=VALUE(t_Parts[[SOP]:[SOP]]),AR$3&lt;=VALUE(t_Parts[[EOP]:[EOP]])), t_Parts[[SetupHrsPerMo]:[SetupHrsPerMo]]+(t_Parts[[#This Row],[pv2016.01]]/t_Parts[[NetPPH]:[NetPPH]]),0)</f>
        <v>0</v>
      </c>
      <c r="CY17" s="43">
        <f>IF(AND(AS$3&gt;=VALUE(t_Parts[[SOP]:[SOP]]),AS$3&lt;=VALUE(t_Parts[[EOP]:[EOP]])), t_Parts[[SetupHrsPerMo]:[SetupHrsPerMo]]+(t_Parts[[#This Row],[pv2016.02]]/t_Parts[[NetPPH]:[NetPPH]]),0)</f>
        <v>0</v>
      </c>
      <c r="CZ17" s="43">
        <f>IF(AND(AT$3&gt;=VALUE(t_Parts[[SOP]:[SOP]]),AT$3&lt;=VALUE(t_Parts[[EOP]:[EOP]])), t_Parts[[SetupHrsPerMo]:[SetupHrsPerMo]]+(t_Parts[[#This Row],[pv2016.03]]/t_Parts[[NetPPH]:[NetPPH]]),0)</f>
        <v>0</v>
      </c>
      <c r="DA17" s="43">
        <f>IF(AND(AU$3&gt;=VALUE(t_Parts[[SOP]:[SOP]]),AU$3&lt;=VALUE(t_Parts[[EOP]:[EOP]])), t_Parts[[SetupHrsPerMo]:[SetupHrsPerMo]]+(t_Parts[[#This Row],[pv2016.04]]/t_Parts[[NetPPH]:[NetPPH]]),0)</f>
        <v>0</v>
      </c>
      <c r="DB17" s="43">
        <f>IF(AND(AV$3&gt;=VALUE(t_Parts[[SOP]:[SOP]]),AV$3&lt;=VALUE(t_Parts[[EOP]:[EOP]])), t_Parts[[SetupHrsPerMo]:[SetupHrsPerMo]]+(t_Parts[[#This Row],[pv2016.05]]/t_Parts[[NetPPH]:[NetPPH]]),0)</f>
        <v>0</v>
      </c>
      <c r="DC17" s="43">
        <f>IF(AND(AW$3&gt;=VALUE(t_Parts[[SOP]:[SOP]]),AW$3&lt;=VALUE(t_Parts[[EOP]:[EOP]])), t_Parts[[SetupHrsPerMo]:[SetupHrsPerMo]]+(t_Parts[[#This Row],[pv2016.06]]/t_Parts[[NetPPH]:[NetPPH]]),0)</f>
        <v>0</v>
      </c>
      <c r="DD17" s="43">
        <f>IF(AND(AX$3&gt;=VALUE(t_Parts[[SOP]:[SOP]]),AX$3&lt;=VALUE(t_Parts[[EOP]:[EOP]])), t_Parts[[SetupHrsPerMo]:[SetupHrsPerMo]]+(t_Parts[[#This Row],[pv2016.07]]/t_Parts[[NetPPH]:[NetPPH]]),0)</f>
        <v>0</v>
      </c>
      <c r="DE17" s="43">
        <f>IF(AND(AY$3&gt;=VALUE(t_Parts[[SOP]:[SOP]]),AY$3&lt;=VALUE(t_Parts[[EOP]:[EOP]])), t_Parts[[SetupHrsPerMo]:[SetupHrsPerMo]]+(t_Parts[[#This Row],[pv2016.08]]/t_Parts[[NetPPH]:[NetPPH]]),0)</f>
        <v>0</v>
      </c>
      <c r="DF17" s="43">
        <f>IF(AND(AZ$3&gt;=VALUE(t_Parts[[SOP]:[SOP]]),AZ$3&lt;=VALUE(t_Parts[[EOP]:[EOP]])), t_Parts[[SetupHrsPerMo]:[SetupHrsPerMo]]+(t_Parts[[#This Row],[pv2016.09]]/t_Parts[[NetPPH]:[NetPPH]]),0)</f>
        <v>0</v>
      </c>
      <c r="DG17" s="43">
        <f>IF(AND(BA$3&gt;=VALUE(t_Parts[[SOP]:[SOP]]),BA$3&lt;=VALUE(t_Parts[[EOP]:[EOP]])), t_Parts[[SetupHrsPerMo]:[SetupHrsPerMo]]+(t_Parts[[#This Row],[pv2016.10]]/t_Parts[[NetPPH]:[NetPPH]]),0)</f>
        <v>0</v>
      </c>
      <c r="DH17" s="43">
        <f>IF(AND(BB$3&gt;=VALUE(t_Parts[[SOP]:[SOP]]),BB$3&lt;=VALUE(t_Parts[[EOP]:[EOP]])), t_Parts[[SetupHrsPerMo]:[SetupHrsPerMo]]+(t_Parts[[#This Row],[pv2016.11]]/t_Parts[[NetPPH]:[NetPPH]]),0)</f>
        <v>0</v>
      </c>
      <c r="DI17" s="43">
        <f>IF(AND(BC$3&gt;=VALUE(t_Parts[[SOP]:[SOP]]),BC$3&lt;=VALUE(t_Parts[[EOP]:[EOP]])), t_Parts[[SetupHrsPerMo]:[SetupHrsPerMo]]+(t_Parts[[#This Row],[pv2016.12]]/t_Parts[[NetPPH]:[NetPPH]]),0)</f>
        <v>0</v>
      </c>
      <c r="DJ17" s="43">
        <f>SUM(t_Parts[[#This Row],[hp2016.01]:[hp2016.12]])</f>
        <v>0</v>
      </c>
      <c r="DK17" s="43">
        <f>IF(AND(BE$3&gt;=VALUE(t_Parts[[SOP]:[SOP]]),BE$3&lt;=VALUE(t_Parts[[EOP]:[EOP]])), 12*t_Parts[[SetupHrsPerMo]:[SetupHrsPerMo]]+(t_Parts[[#This Row],[pv2017]]/t_Parts[[NetPPH]:[NetPPH]]),0)</f>
        <v>0</v>
      </c>
      <c r="DL17" s="43">
        <f>IF(AND(BF$3&gt;=VALUE(t_Parts[[SOP]:[SOP]]),BF$3&lt;=VALUE(t_Parts[[EOP]:[EOP]])), 12*t_Parts[[SetupHrsPerMo]:[SetupHrsPerMo]]+(t_Parts[[#This Row],[pv2018]]/t_Parts[[NetPPH]:[NetPPH]]),0)</f>
        <v>0</v>
      </c>
      <c r="DM17" s="43">
        <f>IF(AND(BG$3&gt;=VALUE(t_Parts[[SOP]:[SOP]]),BG$3&lt;=VALUE(t_Parts[[EOP]:[EOP]])), 12*t_Parts[[SetupHrsPerMo]:[SetupHrsPerMo]]+(t_Parts[[#This Row],[pv2019]]/t_Parts[[NetPPH]:[NetPPH]]),0)</f>
        <v>0</v>
      </c>
      <c r="DN17" s="94">
        <f>t_Parts[[#This Row],[hp2015.01]]/t_Parts[[#This Row],[ha2015.01]]</f>
        <v>0</v>
      </c>
      <c r="DO17" s="94">
        <f>t_Parts[[#This Row],[hp2015.02]]/t_Parts[[#This Row],[ha2015.02]]</f>
        <v>0</v>
      </c>
      <c r="DP17" s="94">
        <f>t_Parts[[#This Row],[hp2015.03]]/t_Parts[[#This Row],[ha2015.03]]</f>
        <v>0</v>
      </c>
      <c r="DQ17" s="94">
        <f>t_Parts[[#This Row],[hp2015.04]]/t_Parts[[#This Row],[ha2015.04]]</f>
        <v>0</v>
      </c>
      <c r="DR17" s="94">
        <f>t_Parts[[#This Row],[hp2015.05]]/t_Parts[[#This Row],[ha2015.05]]</f>
        <v>0</v>
      </c>
      <c r="DS17" s="94">
        <f>t_Parts[[#This Row],[hp2015.06]]/t_Parts[[#This Row],[ha2015.06]]</f>
        <v>0</v>
      </c>
      <c r="DT17" s="94">
        <f>t_Parts[[#This Row],[hp2015.07]]/t_Parts[[#This Row],[ha2015.07]]</f>
        <v>0</v>
      </c>
      <c r="DU17" s="94">
        <f>t_Parts[[#This Row],[hp2015.08]]/t_Parts[[#This Row],[ha2015.08]]</f>
        <v>0</v>
      </c>
      <c r="DV17" s="94">
        <f>t_Parts[[#This Row],[hp2015.09]]/t_Parts[[#This Row],[ha2015.09]]</f>
        <v>0</v>
      </c>
      <c r="DW17" s="94">
        <f>t_Parts[[#This Row],[hp2015.10]]/t_Parts[[#This Row],[ha2015.10]]</f>
        <v>0</v>
      </c>
      <c r="DX17" s="94">
        <f>t_Parts[[#This Row],[hp2015.11]]/t_Parts[[#This Row],[ha2015.11]]</f>
        <v>0</v>
      </c>
      <c r="DY17" s="94">
        <f>t_Parts[[#This Row],[hp2015.12]]/t_Parts[[#This Row],[ha2015.12]]</f>
        <v>0</v>
      </c>
      <c r="DZ17" s="94">
        <f>t_Parts[[#This Row],[hp2015.FY]]/t_Parts[[#This Row],[ha2015.FY]]</f>
        <v>0</v>
      </c>
      <c r="EA17" s="94">
        <f>t_Parts[[#This Row],[hp2016.01]]/t_Parts[[#This Row],[ha2016.01]]</f>
        <v>0</v>
      </c>
      <c r="EB17" s="94">
        <f>t_Parts[[#This Row],[hp2016.02]]/t_Parts[[#This Row],[ha2016.02]]</f>
        <v>0</v>
      </c>
      <c r="EC17" s="94">
        <f>t_Parts[[#This Row],[hp2016.03]]/t_Parts[[#This Row],[ha2016.03]]</f>
        <v>0</v>
      </c>
      <c r="ED17" s="94">
        <f>t_Parts[[#This Row],[hp2016.04]]/t_Parts[[#This Row],[ha2016.04]]</f>
        <v>0</v>
      </c>
      <c r="EE17" s="94">
        <f>t_Parts[[#This Row],[hp2016.05]]/t_Parts[[#This Row],[ha2016.05]]</f>
        <v>0</v>
      </c>
      <c r="EF17" s="94">
        <f>t_Parts[[#This Row],[hp2016.06]]/t_Parts[[#This Row],[ha2016.06]]</f>
        <v>0</v>
      </c>
      <c r="EG17" s="51">
        <f>t_Parts[[#This Row],[hp2016.07]]/t_Parts[[#This Row],[ha2016.07]]</f>
        <v>0</v>
      </c>
      <c r="EH17" s="51">
        <f>t_Parts[[#This Row],[hp2016.08]]/t_Parts[[#This Row],[ha2016.08]]</f>
        <v>0</v>
      </c>
      <c r="EI17" s="51">
        <f>t_Parts[[#This Row],[hp2016.09]]/t_Parts[[#This Row],[ha2016.09]]</f>
        <v>0</v>
      </c>
      <c r="EJ17" s="51">
        <f>t_Parts[[#This Row],[hp2016.10]]/t_Parts[[#This Row],[ha2016.10]]</f>
        <v>0</v>
      </c>
      <c r="EK17" s="51">
        <f>t_Parts[[#This Row],[hp2016.11]]/t_Parts[[#This Row],[ha2016.11]]</f>
        <v>0</v>
      </c>
      <c r="EL17" s="51">
        <f>t_Parts[[#This Row],[hp2016.12]]/t_Parts[[#This Row],[ha2016.12]]</f>
        <v>0</v>
      </c>
      <c r="EM17" s="51">
        <f>t_Parts[[#This Row],[hp2016.FY]]/t_Parts[[#This Row],[ha2016.FY]]</f>
        <v>0</v>
      </c>
      <c r="EN17" s="51">
        <f>t_Parts[[#This Row],[hp2017]]/t_Parts[[#This Row],[ha2017]]</f>
        <v>0</v>
      </c>
      <c r="EO17" s="51">
        <f>t_Parts[[#This Row],[hp2018]]/t_Parts[[#This Row],[ha2018]]</f>
        <v>0</v>
      </c>
      <c r="EP17" s="51" t="e">
        <f>t_Parts[[#This Row],[hp2019]]/t_Parts[[#This Row],[hp2015.01]]</f>
        <v>#DIV/0!</v>
      </c>
      <c r="EQ17" s="95">
        <f>(t_Parts[[#This Row],[ha2015.01]]-t_Parts[[#This Row],[hp2015.01]])*t_Parts[[NetPPH]:[NetPPH]]</f>
        <v>0</v>
      </c>
      <c r="ER17" s="51">
        <f>(t_Parts[[#This Row],[ha2015.02]]-t_Parts[[#This Row],[hp2015.02]])*t_Parts[[NetPPH]:[NetPPH]]</f>
        <v>0</v>
      </c>
      <c r="ES17" s="51">
        <f>(t_Parts[[#This Row],[ha2015.03]]-t_Parts[[#This Row],[hp2015.03]])*t_Parts[[NetPPH]:[NetPPH]]</f>
        <v>0</v>
      </c>
      <c r="ET17" s="51">
        <f>(t_Parts[[#This Row],[ha2015.04]]-t_Parts[[#This Row],[hp2015.04]])*t_Parts[[NetPPH]:[NetPPH]]</f>
        <v>0</v>
      </c>
      <c r="EU17" s="51">
        <f>(t_Parts[[#This Row],[ha2015.05]]-t_Parts[[#This Row],[hp2015.05]])*t_Parts[[NetPPH]:[NetPPH]]</f>
        <v>0</v>
      </c>
      <c r="EV17" s="51">
        <f>(t_Parts[[#This Row],[ha2015.06]]-t_Parts[[#This Row],[hp2015.06]])*t_Parts[[NetPPH]:[NetPPH]]</f>
        <v>0</v>
      </c>
      <c r="EW17" s="51">
        <f>(t_Parts[[#This Row],[ha2015.07]]-t_Parts[[#This Row],[hp2015.07]])*t_Parts[[NetPPH]:[NetPPH]]</f>
        <v>0</v>
      </c>
      <c r="EX17" s="51">
        <f>(t_Parts[[#This Row],[ha2015.08]]-t_Parts[[#This Row],[hp2015.08]])*t_Parts[[NetPPH]:[NetPPH]]</f>
        <v>0</v>
      </c>
      <c r="EY17" s="51">
        <f>(t_Parts[[#This Row],[ha2015.09]]-t_Parts[[#This Row],[hp2015.09]])*t_Parts[[NetPPH]:[NetPPH]]</f>
        <v>0</v>
      </c>
      <c r="EZ17" s="51">
        <f>(t_Parts[[#This Row],[ha2015.10]]-t_Parts[[#This Row],[hp2015.10]])*t_Parts[[NetPPH]:[NetPPH]]</f>
        <v>0</v>
      </c>
      <c r="FA17" s="51">
        <f>(t_Parts[[#This Row],[ha2015.11]]-t_Parts[[#This Row],[hp2015.11]])*t_Parts[[NetPPH]:[NetPPH]]</f>
        <v>0</v>
      </c>
      <c r="FB17" s="51">
        <f>(t_Parts[[#This Row],[ha2015.12]]-t_Parts[[#This Row],[hp2015.12]])*t_Parts[[NetPPH]:[NetPPH]]</f>
        <v>0</v>
      </c>
      <c r="FC17" s="51">
        <f>(t_Parts[[#This Row],[ha2015.FY]]-t_Parts[[#This Row],[hp2015.FY]])*t_Parts[[NetPPH]:[NetPPH]]</f>
        <v>0</v>
      </c>
      <c r="FD17" s="51">
        <f>(t_Parts[[#This Row],[ha2016.01]]-t_Parts[[#This Row],[hp2016.01]])*t_Parts[[NetPPH]:[NetPPH]]</f>
        <v>0</v>
      </c>
      <c r="FE17" s="51">
        <f>(t_Parts[[#This Row],[ha2016.02]]-t_Parts[[#This Row],[hp2016.02]])*t_Parts[[NetPPH]:[NetPPH]]</f>
        <v>0</v>
      </c>
      <c r="FF17" s="51">
        <f>(t_Parts[[#This Row],[ha2016.03]]-t_Parts[[#This Row],[hp2016.03]])*t_Parts[[NetPPH]:[NetPPH]]</f>
        <v>0</v>
      </c>
      <c r="FG17" s="51">
        <f>(t_Parts[[#This Row],[ha2016.04]]-t_Parts[[#This Row],[hp2016.04]])*t_Parts[[NetPPH]:[NetPPH]]</f>
        <v>0</v>
      </c>
      <c r="FH17" s="51">
        <f>(t_Parts[[#This Row],[ha2016.05]]-t_Parts[[#This Row],[hp2016.05]])*t_Parts[[NetPPH]:[NetPPH]]</f>
        <v>0</v>
      </c>
      <c r="FI17" s="51">
        <f>(t_Parts[[#This Row],[ha2016.06]]-t_Parts[[#This Row],[hp2016.06]])*t_Parts[[NetPPH]:[NetPPH]]</f>
        <v>0</v>
      </c>
      <c r="FJ17" s="51">
        <f>(t_Parts[[#This Row],[ha2016.07]]-t_Parts[[#This Row],[hp2016.07]])*t_Parts[[NetPPH]:[NetPPH]]</f>
        <v>0</v>
      </c>
      <c r="FK17" s="51">
        <f>(t_Parts[[#This Row],[ha2016.08]]-t_Parts[[#This Row],[hp2016.08]])*t_Parts[[NetPPH]:[NetPPH]]</f>
        <v>0</v>
      </c>
      <c r="FL17" s="51">
        <f>(t_Parts[[#This Row],[ha2016.09]]-t_Parts[[#This Row],[hp2016.09]])*t_Parts[[NetPPH]:[NetPPH]]</f>
        <v>0</v>
      </c>
      <c r="FM17" s="51">
        <f>(t_Parts[[#This Row],[ha2016.10]]-t_Parts[[#This Row],[hp2016.10]])*t_Parts[[NetPPH]:[NetPPH]]</f>
        <v>0</v>
      </c>
      <c r="FN17" s="51">
        <f>(t_Parts[[#This Row],[ha2016.11]]-t_Parts[[#This Row],[hp2016.11]])*t_Parts[[NetPPH]:[NetPPH]]</f>
        <v>0</v>
      </c>
      <c r="FO17" s="51">
        <f>(t_Parts[[#This Row],[ha2016.12]]-t_Parts[[#This Row],[hp2016.12]])*t_Parts[[NetPPH]:[NetPPH]]</f>
        <v>0</v>
      </c>
      <c r="FP17" s="51">
        <f>(t_Parts[[#This Row],[ha2016.FY]]-t_Parts[[#This Row],[hp2016.FY]])*t_Parts[[NetPPH]:[NetPPH]]</f>
        <v>0</v>
      </c>
      <c r="FQ17" s="51">
        <f>(t_Parts[[#This Row],[ha2017]]-t_Parts[[#This Row],[hp2017]])*t_Parts[[NetPPH]:[NetPPH]]</f>
        <v>0</v>
      </c>
      <c r="FR17" s="51">
        <f>(t_Parts[[#This Row],[ha2018]]-t_Parts[[#This Row],[hp2018]])*t_Parts[[NetPPH]:[NetPPH]]</f>
        <v>0</v>
      </c>
      <c r="FS17" s="51">
        <f>(t_Parts[[#This Row],[ha2019]]-t_Parts[[#This Row],[hp2019]])*t_Parts[[NetPPH]:[NetPPH]]</f>
        <v>0</v>
      </c>
    </row>
    <row r="18" spans="1:175" x14ac:dyDescent="0.25">
      <c r="B18" s="16"/>
      <c r="K18" s="20"/>
      <c r="L18" s="25"/>
      <c r="M18" s="20"/>
      <c r="N18" s="26"/>
      <c r="O18" s="16"/>
      <c r="P18" s="27"/>
      <c r="Q18" s="27"/>
      <c r="T18" s="20"/>
      <c r="U18" s="25"/>
      <c r="AC18" s="15"/>
      <c r="AD18" s="20"/>
      <c r="AF18" s="20"/>
      <c r="AI18" s="20"/>
      <c r="AJ18" s="20"/>
      <c r="AM18" s="15"/>
      <c r="AN18" s="15"/>
      <c r="AP18" s="15"/>
      <c r="AQ18" s="20"/>
      <c r="AR18" s="20"/>
      <c r="AS18" s="26"/>
      <c r="AT18" s="25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</row>
    <row r="19" spans="1:175" x14ac:dyDescent="0.25">
      <c r="B19" s="16"/>
      <c r="K19" s="20"/>
      <c r="L19" s="25"/>
      <c r="M19" s="20"/>
      <c r="N19" s="26"/>
      <c r="O19" s="16"/>
      <c r="P19" s="27"/>
      <c r="Q19" s="27"/>
      <c r="T19" s="20"/>
      <c r="U19" s="25"/>
      <c r="AC19" s="15"/>
      <c r="AD19" s="20"/>
      <c r="AF19" s="20"/>
      <c r="AI19" s="20"/>
      <c r="AJ19" s="20"/>
      <c r="AM19" s="15"/>
      <c r="AN19" s="15"/>
      <c r="AP19" s="15"/>
      <c r="AQ19" s="20"/>
      <c r="AR19" s="20"/>
      <c r="AS19" s="26"/>
      <c r="AT19" s="25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</row>
    <row r="20" spans="1:175" x14ac:dyDescent="0.25">
      <c r="B20" s="16"/>
      <c r="K20" s="20"/>
      <c r="L20" s="25"/>
      <c r="M20" s="20"/>
      <c r="N20" s="26"/>
      <c r="O20" s="16"/>
      <c r="P20" s="27"/>
      <c r="Q20" s="27"/>
      <c r="T20" s="20"/>
      <c r="U20" s="25"/>
      <c r="AC20" s="15"/>
      <c r="AD20" s="20"/>
      <c r="AF20" s="20"/>
      <c r="AI20" s="20"/>
      <c r="AJ20" s="20"/>
      <c r="AM20" s="15"/>
      <c r="AN20" s="15"/>
      <c r="AP20" s="15"/>
      <c r="AQ20" s="20"/>
      <c r="AR20" s="20"/>
      <c r="AS20" s="26"/>
      <c r="AT20" s="25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</row>
    <row r="21" spans="1:175" x14ac:dyDescent="0.25">
      <c r="B21" s="16"/>
      <c r="K21" s="20"/>
      <c r="L21" s="25"/>
      <c r="M21" s="20"/>
      <c r="N21" s="26"/>
      <c r="O21" s="16"/>
      <c r="P21" s="27"/>
      <c r="Q21" s="27"/>
      <c r="T21" s="20"/>
      <c r="U21" s="25"/>
      <c r="AC21" s="15"/>
      <c r="AD21" s="20"/>
      <c r="AF21" s="20"/>
      <c r="AI21" s="20"/>
      <c r="AJ21" s="20"/>
      <c r="AM21" s="15"/>
      <c r="AN21" s="15"/>
      <c r="AP21" s="15"/>
      <c r="AQ21" s="20"/>
      <c r="AR21" s="20"/>
      <c r="AS21" s="26"/>
      <c r="AT21" s="25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</row>
    <row r="22" spans="1:175" x14ac:dyDescent="0.25">
      <c r="B22" s="16"/>
      <c r="K22" s="20"/>
      <c r="L22" s="25"/>
      <c r="M22" s="20"/>
      <c r="N22" s="26"/>
      <c r="O22" s="16"/>
      <c r="P22" s="27"/>
      <c r="Q22" s="27"/>
      <c r="T22" s="20"/>
      <c r="U22" s="25"/>
      <c r="AC22" s="15"/>
      <c r="AD22" s="20"/>
      <c r="AF22" s="20"/>
      <c r="AI22" s="20"/>
      <c r="AJ22" s="20"/>
      <c r="AM22" s="15"/>
      <c r="AN22" s="15"/>
      <c r="AP22" s="15"/>
      <c r="AQ22" s="20"/>
      <c r="AR22" s="20"/>
      <c r="AS22" s="26"/>
      <c r="AT22" s="25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</row>
    <row r="23" spans="1:175" x14ac:dyDescent="0.25">
      <c r="B23" s="16"/>
      <c r="K23" s="20"/>
      <c r="L23" s="25"/>
      <c r="M23" s="20"/>
      <c r="N23" s="26"/>
      <c r="O23" s="16"/>
      <c r="P23" s="27"/>
      <c r="Q23" s="27"/>
      <c r="T23" s="20"/>
      <c r="U23" s="25"/>
      <c r="AC23" s="15"/>
      <c r="AD23" s="20"/>
      <c r="AF23" s="20"/>
      <c r="AI23" s="20"/>
      <c r="AJ23" s="20"/>
      <c r="AM23" s="15"/>
      <c r="AN23" s="15"/>
      <c r="AP23" s="15"/>
      <c r="AQ23" s="20"/>
      <c r="AR23" s="20"/>
      <c r="AS23" s="26"/>
      <c r="AT23" s="25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</row>
    <row r="24" spans="1:175" x14ac:dyDescent="0.25">
      <c r="B24" s="16"/>
      <c r="K24" s="20"/>
      <c r="L24" s="25"/>
      <c r="M24" s="20"/>
      <c r="N24" s="26"/>
      <c r="O24" s="16"/>
      <c r="P24" s="27"/>
      <c r="Q24" s="27"/>
      <c r="T24" s="20"/>
      <c r="U24" s="25"/>
      <c r="AC24" s="15"/>
      <c r="AD24" s="20"/>
      <c r="AF24" s="20"/>
      <c r="AI24" s="20"/>
      <c r="AJ24" s="20"/>
      <c r="AM24" s="15"/>
      <c r="AN24" s="15"/>
      <c r="AP24" s="15"/>
      <c r="AQ24" s="20"/>
      <c r="AR24" s="20"/>
      <c r="AS24" s="26"/>
      <c r="AT24" s="25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</row>
    <row r="25" spans="1:175" x14ac:dyDescent="0.25">
      <c r="B25" s="16"/>
      <c r="K25" s="20"/>
      <c r="L25" s="25"/>
      <c r="M25" s="20"/>
      <c r="N25" s="26"/>
      <c r="O25" s="16"/>
      <c r="P25" s="27"/>
      <c r="Q25" s="27"/>
      <c r="T25" s="20"/>
      <c r="U25" s="25"/>
      <c r="AC25" s="15"/>
      <c r="AD25" s="20"/>
      <c r="AF25" s="20"/>
      <c r="AI25" s="20"/>
      <c r="AJ25" s="20"/>
      <c r="AM25" s="15"/>
      <c r="AN25" s="15"/>
      <c r="AP25" s="15"/>
      <c r="AQ25" s="20"/>
      <c r="AR25" s="20"/>
      <c r="AS25" s="26"/>
      <c r="AT25" s="25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</row>
    <row r="26" spans="1:175" x14ac:dyDescent="0.25">
      <c r="B26" s="16"/>
    </row>
    <row r="27" spans="1:175" x14ac:dyDescent="0.25">
      <c r="B27" s="16"/>
    </row>
    <row r="28" spans="1:175" x14ac:dyDescent="0.25">
      <c r="B28" s="16"/>
    </row>
    <row r="29" spans="1:175" x14ac:dyDescent="0.25">
      <c r="B29" s="16"/>
    </row>
  </sheetData>
  <dataValidations count="2">
    <dataValidation type="list" showInputMessage="1" showErrorMessage="1" sqref="B6:B17">
      <formula1>list_Presses</formula1>
    </dataValidation>
    <dataValidation type="list" allowBlank="1" showInputMessage="1" showErrorMessage="1" sqref="G6:H17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8" r:id="rId4" name="DropDownPartViews">
              <controlPr defaultSize="0" autoLine="0" autoPict="0" macro="[0]!DropDownPart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1</xdr:col>
                    <xdr:colOff>542925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18" sqref="A1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57" t="s">
        <v>25</v>
      </c>
      <c r="B2" s="40" t="s">
        <v>26</v>
      </c>
      <c r="C2" s="40" t="s">
        <v>27</v>
      </c>
    </row>
    <row r="3" spans="1:7" s="41" customFormat="1" x14ac:dyDescent="0.25">
      <c r="A3" s="58" t="s">
        <v>28</v>
      </c>
      <c r="B3" s="41" t="s">
        <v>29</v>
      </c>
      <c r="C3" s="42">
        <v>300</v>
      </c>
      <c r="G3" s="53"/>
    </row>
    <row r="4" spans="1:7" s="41" customFormat="1" x14ac:dyDescent="0.25">
      <c r="A4" s="58" t="s">
        <v>179</v>
      </c>
      <c r="C4" s="52">
        <v>0.2</v>
      </c>
    </row>
    <row r="5" spans="1:7" s="41" customFormat="1" x14ac:dyDescent="0.25">
      <c r="A5" s="58" t="s">
        <v>180</v>
      </c>
      <c r="C5" s="52">
        <v>0.75</v>
      </c>
    </row>
    <row r="6" spans="1:7" s="41" customFormat="1" x14ac:dyDescent="0.25">
      <c r="A6" s="58" t="s">
        <v>181</v>
      </c>
      <c r="C6" s="52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57" t="s">
        <v>371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337</v>
      </c>
    </row>
    <row r="24" spans="1:1" x14ac:dyDescent="0.25">
      <c r="A24" s="16" t="s">
        <v>338</v>
      </c>
    </row>
    <row r="25" spans="1:1" x14ac:dyDescent="0.25">
      <c r="A25" s="16" t="s">
        <v>339</v>
      </c>
    </row>
    <row r="26" spans="1:1" x14ac:dyDescent="0.25">
      <c r="A26" s="16" t="s">
        <v>340</v>
      </c>
    </row>
    <row r="27" spans="1:1" x14ac:dyDescent="0.25">
      <c r="A27" s="16" t="s">
        <v>341</v>
      </c>
    </row>
    <row r="28" spans="1:1" x14ac:dyDescent="0.25">
      <c r="A28" s="16" t="s">
        <v>342</v>
      </c>
    </row>
    <row r="29" spans="1:1" x14ac:dyDescent="0.25">
      <c r="A29" s="16" t="s">
        <v>343</v>
      </c>
    </row>
    <row r="30" spans="1:1" x14ac:dyDescent="0.25">
      <c r="A30" s="16" t="s">
        <v>344</v>
      </c>
    </row>
    <row r="31" spans="1:1" x14ac:dyDescent="0.25">
      <c r="A31" s="16" t="s">
        <v>345</v>
      </c>
    </row>
    <row r="32" spans="1:1" x14ac:dyDescent="0.25">
      <c r="A32" s="16" t="s">
        <v>346</v>
      </c>
    </row>
    <row r="33" spans="1:1" x14ac:dyDescent="0.25">
      <c r="A33" s="16" t="s">
        <v>347</v>
      </c>
    </row>
    <row r="34" spans="1:1" x14ac:dyDescent="0.25">
      <c r="A34" s="16" t="s">
        <v>348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66" t="s">
        <v>438</v>
      </c>
    </row>
    <row r="3" spans="1:5" x14ac:dyDescent="0.25">
      <c r="A3">
        <v>1</v>
      </c>
      <c r="B3" t="s">
        <v>439</v>
      </c>
    </row>
    <row r="4" spans="1:5" x14ac:dyDescent="0.25">
      <c r="A4">
        <v>2</v>
      </c>
      <c r="B4" t="s">
        <v>440</v>
      </c>
    </row>
    <row r="5" spans="1:5" x14ac:dyDescent="0.25">
      <c r="A5">
        <v>3</v>
      </c>
      <c r="B5" t="s">
        <v>441</v>
      </c>
    </row>
    <row r="6" spans="1:5" x14ac:dyDescent="0.25">
      <c r="A6">
        <v>4</v>
      </c>
      <c r="B6" t="s">
        <v>442</v>
      </c>
    </row>
    <row r="9" spans="1:5" x14ac:dyDescent="0.25">
      <c r="B9" t="s">
        <v>443</v>
      </c>
    </row>
    <row r="10" spans="1:5" x14ac:dyDescent="0.25">
      <c r="C10" t="s">
        <v>444</v>
      </c>
      <c r="E10" t="s">
        <v>447</v>
      </c>
    </row>
    <row r="11" spans="1:5" x14ac:dyDescent="0.25">
      <c r="C11" t="s">
        <v>445</v>
      </c>
    </row>
    <row r="12" spans="1:5" x14ac:dyDescent="0.25">
      <c r="C12" t="s">
        <v>448</v>
      </c>
    </row>
    <row r="13" spans="1:5" x14ac:dyDescent="0.25">
      <c r="C13" t="s">
        <v>446</v>
      </c>
    </row>
    <row r="16" spans="1:5" x14ac:dyDescent="0.25">
      <c r="B16" t="s">
        <v>450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3"/>
  <sheetViews>
    <sheetView workbookViewId="0">
      <selection activeCell="A18" sqref="A15:A18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451</v>
      </c>
      <c r="B1" t="s">
        <v>472</v>
      </c>
    </row>
    <row r="2" spans="1:2" x14ac:dyDescent="0.25">
      <c r="A2" t="s">
        <v>454</v>
      </c>
      <c r="B2" s="92">
        <v>10</v>
      </c>
    </row>
    <row r="3" spans="1:2" x14ac:dyDescent="0.25">
      <c r="A3" s="16" t="s">
        <v>453</v>
      </c>
      <c r="B3" s="92">
        <v>20</v>
      </c>
    </row>
    <row r="4" spans="1:2" x14ac:dyDescent="0.25">
      <c r="A4" s="16" t="s">
        <v>452</v>
      </c>
      <c r="B4" s="92">
        <v>30</v>
      </c>
    </row>
    <row r="5" spans="1:2" x14ac:dyDescent="0.25">
      <c r="A5" s="16" t="s">
        <v>461</v>
      </c>
      <c r="B5" s="92">
        <v>40</v>
      </c>
    </row>
    <row r="6" spans="1:2" x14ac:dyDescent="0.25">
      <c r="A6" s="16" t="s">
        <v>459</v>
      </c>
      <c r="B6" s="92">
        <v>60</v>
      </c>
    </row>
    <row r="7" spans="1:2" x14ac:dyDescent="0.25">
      <c r="A7" s="16" t="s">
        <v>31</v>
      </c>
      <c r="B7" s="92">
        <v>70</v>
      </c>
    </row>
    <row r="8" spans="1:2" x14ac:dyDescent="0.25">
      <c r="A8" t="s">
        <v>458</v>
      </c>
      <c r="B8" s="92">
        <v>80</v>
      </c>
    </row>
    <row r="9" spans="1:2" x14ac:dyDescent="0.25">
      <c r="A9" s="16" t="s">
        <v>460</v>
      </c>
      <c r="B9" s="92">
        <v>90</v>
      </c>
    </row>
    <row r="10" spans="1:2" x14ac:dyDescent="0.25">
      <c r="A10" s="16" t="s">
        <v>186</v>
      </c>
      <c r="B10" s="92">
        <v>100</v>
      </c>
    </row>
    <row r="11" spans="1:2" x14ac:dyDescent="0.25">
      <c r="A11" s="16" t="s">
        <v>462</v>
      </c>
      <c r="B11" s="92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470</v>
      </c>
      <c r="B14" t="s">
        <v>472</v>
      </c>
    </row>
    <row r="15" spans="1:2" x14ac:dyDescent="0.25">
      <c r="A15" t="s">
        <v>454</v>
      </c>
      <c r="B15" s="92">
        <v>10</v>
      </c>
    </row>
    <row r="16" spans="1:2" x14ac:dyDescent="0.25">
      <c r="A16" s="16" t="s">
        <v>453</v>
      </c>
      <c r="B16" s="92">
        <v>20</v>
      </c>
    </row>
    <row r="17" spans="1:2" x14ac:dyDescent="0.25">
      <c r="A17" s="16" t="s">
        <v>452</v>
      </c>
      <c r="B17" s="92">
        <v>30</v>
      </c>
    </row>
    <row r="18" spans="1:2" x14ac:dyDescent="0.25">
      <c r="A18" s="16" t="s">
        <v>462</v>
      </c>
      <c r="B18" s="92">
        <v>40</v>
      </c>
    </row>
    <row r="21" spans="1:2" x14ac:dyDescent="0.25">
      <c r="A21" s="72" t="s">
        <v>469</v>
      </c>
      <c r="B21" s="72" t="s">
        <v>472</v>
      </c>
    </row>
    <row r="22" spans="1:2" x14ac:dyDescent="0.25">
      <c r="A22" s="71" t="s">
        <v>463</v>
      </c>
      <c r="B22" s="72">
        <v>0</v>
      </c>
    </row>
    <row r="23" spans="1:2" x14ac:dyDescent="0.25">
      <c r="A23" s="71" t="s">
        <v>454</v>
      </c>
      <c r="B23" s="72">
        <v>1</v>
      </c>
    </row>
    <row r="24" spans="1:2" x14ac:dyDescent="0.25">
      <c r="A24" s="71" t="s">
        <v>453</v>
      </c>
      <c r="B24" s="72">
        <v>2</v>
      </c>
    </row>
    <row r="25" spans="1:2" x14ac:dyDescent="0.25">
      <c r="A25" s="71" t="s">
        <v>452</v>
      </c>
      <c r="B25" s="72">
        <v>3</v>
      </c>
    </row>
    <row r="26" spans="1:2" x14ac:dyDescent="0.25">
      <c r="A26" s="71" t="s">
        <v>464</v>
      </c>
      <c r="B26" s="72">
        <v>4</v>
      </c>
    </row>
    <row r="27" spans="1:2" x14ac:dyDescent="0.25">
      <c r="A27" s="71" t="s">
        <v>465</v>
      </c>
      <c r="B27" s="72">
        <v>5</v>
      </c>
    </row>
    <row r="28" spans="1:2" x14ac:dyDescent="0.25">
      <c r="A28" s="71" t="s">
        <v>466</v>
      </c>
      <c r="B28" s="72">
        <v>6</v>
      </c>
    </row>
    <row r="29" spans="1:2" x14ac:dyDescent="0.25">
      <c r="A29" s="71" t="s">
        <v>460</v>
      </c>
      <c r="B29" s="72">
        <v>7</v>
      </c>
    </row>
    <row r="30" spans="1:2" x14ac:dyDescent="0.25">
      <c r="A30" s="71" t="s">
        <v>186</v>
      </c>
      <c r="B30" s="72">
        <v>8</v>
      </c>
    </row>
    <row r="31" spans="1:2" x14ac:dyDescent="0.25">
      <c r="A31" s="71" t="s">
        <v>467</v>
      </c>
      <c r="B31" s="72">
        <v>9</v>
      </c>
    </row>
    <row r="32" spans="1:2" x14ac:dyDescent="0.25">
      <c r="A32" s="71" t="s">
        <v>468</v>
      </c>
      <c r="B32" s="72">
        <v>10</v>
      </c>
    </row>
    <row r="33" spans="1:2" x14ac:dyDescent="0.25">
      <c r="A33" s="71" t="s">
        <v>462</v>
      </c>
      <c r="B33" s="72">
        <v>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vr_TrAll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2015-03-20T19:56:04Z</dcterms:modified>
</cp:coreProperties>
</file>